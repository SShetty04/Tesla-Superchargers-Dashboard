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lok\OneDrive\Documents\Tesla Interview Dashboard\"/>
    </mc:Choice>
  </mc:AlternateContent>
  <xr:revisionPtr revIDLastSave="0" documentId="13_ncr:9_{2C060516-0C55-4211-AF13-BFB6F9B9A372}" xr6:coauthVersionLast="47" xr6:coauthVersionMax="47" xr10:uidLastSave="{00000000-0000-0000-0000-000000000000}"/>
  <bookViews>
    <workbookView xWindow="28680" yWindow="-120" windowWidth="29040" windowHeight="15720" xr2:uid="{75C1F423-E7F7-4EBB-A2E5-FF8F8C2CFA2E}"/>
  </bookViews>
  <sheets>
    <sheet name="clustered_superchargers_AMER" sheetId="1" r:id="rId1"/>
    <sheet name="Category Assumptions" sheetId="6" r:id="rId2"/>
  </sheets>
  <definedNames>
    <definedName name="_xlnm._FilterDatabase" localSheetId="0" hidden="1">clustered_superchargers_AMER!$A$1:$AJ$1792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" i="1" l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13" i="1"/>
  <c r="AA714" i="1"/>
  <c r="AA715" i="1"/>
  <c r="AA716" i="1"/>
  <c r="AA717" i="1"/>
  <c r="AA718" i="1"/>
  <c r="AA719" i="1"/>
  <c r="AA720" i="1"/>
  <c r="AA721" i="1"/>
  <c r="AA722" i="1"/>
  <c r="AA723" i="1"/>
  <c r="AA724" i="1"/>
  <c r="AA725" i="1"/>
  <c r="AA726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AA750" i="1"/>
  <c r="AA751" i="1"/>
  <c r="AA752" i="1"/>
  <c r="AA753" i="1"/>
  <c r="AA754" i="1"/>
  <c r="AA755" i="1"/>
  <c r="AA756" i="1"/>
  <c r="AA757" i="1"/>
  <c r="AA758" i="1"/>
  <c r="AA759" i="1"/>
  <c r="AA760" i="1"/>
  <c r="AA761" i="1"/>
  <c r="AA762" i="1"/>
  <c r="AA763" i="1"/>
  <c r="AA764" i="1"/>
  <c r="AA765" i="1"/>
  <c r="AA766" i="1"/>
  <c r="AA767" i="1"/>
  <c r="AA768" i="1"/>
  <c r="AA769" i="1"/>
  <c r="AA770" i="1"/>
  <c r="AA771" i="1"/>
  <c r="AA772" i="1"/>
  <c r="AA773" i="1"/>
  <c r="AA774" i="1"/>
  <c r="AA775" i="1"/>
  <c r="AA776" i="1"/>
  <c r="AA777" i="1"/>
  <c r="AA778" i="1"/>
  <c r="AA779" i="1"/>
  <c r="AA780" i="1"/>
  <c r="AA781" i="1"/>
  <c r="AA782" i="1"/>
  <c r="AA783" i="1"/>
  <c r="AA784" i="1"/>
  <c r="AA785" i="1"/>
  <c r="AA786" i="1"/>
  <c r="AA787" i="1"/>
  <c r="AA788" i="1"/>
  <c r="AA789" i="1"/>
  <c r="AA790" i="1"/>
  <c r="AA791" i="1"/>
  <c r="AA792" i="1"/>
  <c r="AA793" i="1"/>
  <c r="AA794" i="1"/>
  <c r="AA795" i="1"/>
  <c r="AA796" i="1"/>
  <c r="AA797" i="1"/>
  <c r="AA798" i="1"/>
  <c r="AA799" i="1"/>
  <c r="AA800" i="1"/>
  <c r="AA801" i="1"/>
  <c r="AA802" i="1"/>
  <c r="AA803" i="1"/>
  <c r="AA804" i="1"/>
  <c r="AA805" i="1"/>
  <c r="AA806" i="1"/>
  <c r="AA807" i="1"/>
  <c r="AA808" i="1"/>
  <c r="AA809" i="1"/>
  <c r="AA810" i="1"/>
  <c r="AA811" i="1"/>
  <c r="AA812" i="1"/>
  <c r="AA813" i="1"/>
  <c r="AA814" i="1"/>
  <c r="AA815" i="1"/>
  <c r="AA816" i="1"/>
  <c r="AA817" i="1"/>
  <c r="AA818" i="1"/>
  <c r="AA819" i="1"/>
  <c r="AA820" i="1"/>
  <c r="AA821" i="1"/>
  <c r="AA822" i="1"/>
  <c r="AA823" i="1"/>
  <c r="AA824" i="1"/>
  <c r="AA825" i="1"/>
  <c r="AA826" i="1"/>
  <c r="AA827" i="1"/>
  <c r="AA828" i="1"/>
  <c r="AA829" i="1"/>
  <c r="AA830" i="1"/>
  <c r="AA831" i="1"/>
  <c r="AA832" i="1"/>
  <c r="AA833" i="1"/>
  <c r="AA834" i="1"/>
  <c r="AA835" i="1"/>
  <c r="AA836" i="1"/>
  <c r="AA837" i="1"/>
  <c r="AA838" i="1"/>
  <c r="AA839" i="1"/>
  <c r="AA840" i="1"/>
  <c r="AA841" i="1"/>
  <c r="AA842" i="1"/>
  <c r="AA843" i="1"/>
  <c r="AA844" i="1"/>
  <c r="AA845" i="1"/>
  <c r="AA846" i="1"/>
  <c r="AA847" i="1"/>
  <c r="AA848" i="1"/>
  <c r="AA849" i="1"/>
  <c r="AA850" i="1"/>
  <c r="AA851" i="1"/>
  <c r="AA852" i="1"/>
  <c r="AA853" i="1"/>
  <c r="AA854" i="1"/>
  <c r="AA855" i="1"/>
  <c r="AA856" i="1"/>
  <c r="AA857" i="1"/>
  <c r="AA858" i="1"/>
  <c r="AA859" i="1"/>
  <c r="AA860" i="1"/>
  <c r="AA861" i="1"/>
  <c r="AA862" i="1"/>
  <c r="AA863" i="1"/>
  <c r="AA864" i="1"/>
  <c r="AA865" i="1"/>
  <c r="AA866" i="1"/>
  <c r="AA867" i="1"/>
  <c r="AA868" i="1"/>
  <c r="AA869" i="1"/>
  <c r="AA870" i="1"/>
  <c r="AA871" i="1"/>
  <c r="AA872" i="1"/>
  <c r="AA873" i="1"/>
  <c r="AA874" i="1"/>
  <c r="AA875" i="1"/>
  <c r="AA876" i="1"/>
  <c r="AA877" i="1"/>
  <c r="AA878" i="1"/>
  <c r="AA879" i="1"/>
  <c r="AA880" i="1"/>
  <c r="AA881" i="1"/>
  <c r="AA882" i="1"/>
  <c r="AA883" i="1"/>
  <c r="AA884" i="1"/>
  <c r="AA885" i="1"/>
  <c r="AA886" i="1"/>
  <c r="AA887" i="1"/>
  <c r="AA888" i="1"/>
  <c r="AA889" i="1"/>
  <c r="AA890" i="1"/>
  <c r="AA891" i="1"/>
  <c r="AA892" i="1"/>
  <c r="AA893" i="1"/>
  <c r="AA894" i="1"/>
  <c r="AA895" i="1"/>
  <c r="AA896" i="1"/>
  <c r="AA897" i="1"/>
  <c r="AA898" i="1"/>
  <c r="AA899" i="1"/>
  <c r="AA900" i="1"/>
  <c r="AA901" i="1"/>
  <c r="AA902" i="1"/>
  <c r="AA903" i="1"/>
  <c r="AA904" i="1"/>
  <c r="AA905" i="1"/>
  <c r="AA906" i="1"/>
  <c r="AA907" i="1"/>
  <c r="AA908" i="1"/>
  <c r="AA909" i="1"/>
  <c r="AA910" i="1"/>
  <c r="AA911" i="1"/>
  <c r="AA912" i="1"/>
  <c r="AA913" i="1"/>
  <c r="AA914" i="1"/>
  <c r="AA915" i="1"/>
  <c r="AA916" i="1"/>
  <c r="AA917" i="1"/>
  <c r="AA918" i="1"/>
  <c r="AA919" i="1"/>
  <c r="AA920" i="1"/>
  <c r="AA921" i="1"/>
  <c r="AA922" i="1"/>
  <c r="AA923" i="1"/>
  <c r="AA924" i="1"/>
  <c r="AA925" i="1"/>
  <c r="AA926" i="1"/>
  <c r="AA927" i="1"/>
  <c r="AA928" i="1"/>
  <c r="AA929" i="1"/>
  <c r="AA930" i="1"/>
  <c r="AA931" i="1"/>
  <c r="AA932" i="1"/>
  <c r="AA933" i="1"/>
  <c r="AA934" i="1"/>
  <c r="AA935" i="1"/>
  <c r="AA936" i="1"/>
  <c r="AA937" i="1"/>
  <c r="AA938" i="1"/>
  <c r="AA939" i="1"/>
  <c r="AA940" i="1"/>
  <c r="AA941" i="1"/>
  <c r="AA942" i="1"/>
  <c r="AA943" i="1"/>
  <c r="AA944" i="1"/>
  <c r="AA945" i="1"/>
  <c r="AA946" i="1"/>
  <c r="AA947" i="1"/>
  <c r="AA948" i="1"/>
  <c r="AA949" i="1"/>
  <c r="AA950" i="1"/>
  <c r="AA951" i="1"/>
  <c r="AA952" i="1"/>
  <c r="AA953" i="1"/>
  <c r="AA954" i="1"/>
  <c r="AA955" i="1"/>
  <c r="AA956" i="1"/>
  <c r="AA957" i="1"/>
  <c r="AA958" i="1"/>
  <c r="AA959" i="1"/>
  <c r="AA960" i="1"/>
  <c r="AA961" i="1"/>
  <c r="AA962" i="1"/>
  <c r="AA963" i="1"/>
  <c r="AA964" i="1"/>
  <c r="AA965" i="1"/>
  <c r="AA966" i="1"/>
  <c r="AA967" i="1"/>
  <c r="AA968" i="1"/>
  <c r="AA969" i="1"/>
  <c r="AA970" i="1"/>
  <c r="AA971" i="1"/>
  <c r="AA972" i="1"/>
  <c r="AA973" i="1"/>
  <c r="AA974" i="1"/>
  <c r="AA975" i="1"/>
  <c r="AA976" i="1"/>
  <c r="AA977" i="1"/>
  <c r="AA978" i="1"/>
  <c r="AA979" i="1"/>
  <c r="AA980" i="1"/>
  <c r="AA981" i="1"/>
  <c r="AA982" i="1"/>
  <c r="AA983" i="1"/>
  <c r="AA984" i="1"/>
  <c r="AA985" i="1"/>
  <c r="AA986" i="1"/>
  <c r="AA987" i="1"/>
  <c r="AA988" i="1"/>
  <c r="AA989" i="1"/>
  <c r="AA990" i="1"/>
  <c r="AA991" i="1"/>
  <c r="AA992" i="1"/>
  <c r="AA993" i="1"/>
  <c r="AA994" i="1"/>
  <c r="AA995" i="1"/>
  <c r="AA996" i="1"/>
  <c r="AA997" i="1"/>
  <c r="AA998" i="1"/>
  <c r="AA999" i="1"/>
  <c r="AA1000" i="1"/>
  <c r="AA1001" i="1"/>
  <c r="AA1002" i="1"/>
  <c r="AA1003" i="1"/>
  <c r="AA1004" i="1"/>
  <c r="AA1005" i="1"/>
  <c r="AA1006" i="1"/>
  <c r="AA1007" i="1"/>
  <c r="AA1008" i="1"/>
  <c r="AA1009" i="1"/>
  <c r="AA1010" i="1"/>
  <c r="AA1011" i="1"/>
  <c r="AA1012" i="1"/>
  <c r="AA1013" i="1"/>
  <c r="AA1014" i="1"/>
  <c r="AA1015" i="1"/>
  <c r="AA1016" i="1"/>
  <c r="AA1017" i="1"/>
  <c r="AA1018" i="1"/>
  <c r="AA1019" i="1"/>
  <c r="AA1020" i="1"/>
  <c r="AA1021" i="1"/>
  <c r="AA1022" i="1"/>
  <c r="AA1023" i="1"/>
  <c r="AA1024" i="1"/>
  <c r="AA1025" i="1"/>
  <c r="AA1026" i="1"/>
  <c r="AA1027" i="1"/>
  <c r="AA1028" i="1"/>
  <c r="AA1029" i="1"/>
  <c r="AA1030" i="1"/>
  <c r="AA1031" i="1"/>
  <c r="AA1032" i="1"/>
  <c r="AA1033" i="1"/>
  <c r="AA1034" i="1"/>
  <c r="AA1035" i="1"/>
  <c r="AA1036" i="1"/>
  <c r="AA1037" i="1"/>
  <c r="AA1038" i="1"/>
  <c r="AA1039" i="1"/>
  <c r="AA1040" i="1"/>
  <c r="AA1041" i="1"/>
  <c r="AA1042" i="1"/>
  <c r="AA1043" i="1"/>
  <c r="AA1044" i="1"/>
  <c r="AA1045" i="1"/>
  <c r="AA1046" i="1"/>
  <c r="AA1047" i="1"/>
  <c r="AA1048" i="1"/>
  <c r="AA1049" i="1"/>
  <c r="AA1050" i="1"/>
  <c r="AA1051" i="1"/>
  <c r="AA1052" i="1"/>
  <c r="AA1053" i="1"/>
  <c r="AA1054" i="1"/>
  <c r="AA1055" i="1"/>
  <c r="AA1056" i="1"/>
  <c r="AA1057" i="1"/>
  <c r="AA1058" i="1"/>
  <c r="AA1059" i="1"/>
  <c r="AA1060" i="1"/>
  <c r="AA1061" i="1"/>
  <c r="AA1062" i="1"/>
  <c r="AA1063" i="1"/>
  <c r="AA1064" i="1"/>
  <c r="AA1065" i="1"/>
  <c r="AA1066" i="1"/>
  <c r="AA1067" i="1"/>
  <c r="AA1068" i="1"/>
  <c r="AA1069" i="1"/>
  <c r="AA1070" i="1"/>
  <c r="AA1071" i="1"/>
  <c r="AA1072" i="1"/>
  <c r="AA1073" i="1"/>
  <c r="AA1074" i="1"/>
  <c r="AA1075" i="1"/>
  <c r="AA1076" i="1"/>
  <c r="AA1077" i="1"/>
  <c r="AA1078" i="1"/>
  <c r="AA1079" i="1"/>
  <c r="AA1080" i="1"/>
  <c r="AA1081" i="1"/>
  <c r="AA1082" i="1"/>
  <c r="AA1083" i="1"/>
  <c r="AA1084" i="1"/>
  <c r="AA1085" i="1"/>
  <c r="AA1086" i="1"/>
  <c r="AA1087" i="1"/>
  <c r="AA1088" i="1"/>
  <c r="AA1089" i="1"/>
  <c r="AA1090" i="1"/>
  <c r="AA1091" i="1"/>
  <c r="AA1092" i="1"/>
  <c r="AA1093" i="1"/>
  <c r="AA1094" i="1"/>
  <c r="AA1095" i="1"/>
  <c r="AA1096" i="1"/>
  <c r="AA1097" i="1"/>
  <c r="AA1098" i="1"/>
  <c r="AA1099" i="1"/>
  <c r="AA1100" i="1"/>
  <c r="AA1101" i="1"/>
  <c r="AA1102" i="1"/>
  <c r="AA1103" i="1"/>
  <c r="AA1104" i="1"/>
  <c r="AA1105" i="1"/>
  <c r="AA1106" i="1"/>
  <c r="AA1107" i="1"/>
  <c r="AA1108" i="1"/>
  <c r="AA1109" i="1"/>
  <c r="AA1110" i="1"/>
  <c r="AA1111" i="1"/>
  <c r="AA1112" i="1"/>
  <c r="AA1113" i="1"/>
  <c r="AA1114" i="1"/>
  <c r="AA1115" i="1"/>
  <c r="AA1116" i="1"/>
  <c r="AA1117" i="1"/>
  <c r="AA1118" i="1"/>
  <c r="AA1119" i="1"/>
  <c r="AA1120" i="1"/>
  <c r="AA1121" i="1"/>
  <c r="AA1122" i="1"/>
  <c r="AA1123" i="1"/>
  <c r="AA1124" i="1"/>
  <c r="AA1125" i="1"/>
  <c r="AA1126" i="1"/>
  <c r="AA1127" i="1"/>
  <c r="AA1128" i="1"/>
  <c r="AA1129" i="1"/>
  <c r="AA1130" i="1"/>
  <c r="AA1131" i="1"/>
  <c r="AA1132" i="1"/>
  <c r="AA1133" i="1"/>
  <c r="AA1134" i="1"/>
  <c r="AA1135" i="1"/>
  <c r="AA1136" i="1"/>
  <c r="AA1137" i="1"/>
  <c r="AA1138" i="1"/>
  <c r="AA1139" i="1"/>
  <c r="AA1140" i="1"/>
  <c r="AA1141" i="1"/>
  <c r="AA1142" i="1"/>
  <c r="AA1143" i="1"/>
  <c r="AA1144" i="1"/>
  <c r="AA1145" i="1"/>
  <c r="AA1146" i="1"/>
  <c r="AA1147" i="1"/>
  <c r="AA1148" i="1"/>
  <c r="AA1149" i="1"/>
  <c r="AA1150" i="1"/>
  <c r="AA1151" i="1"/>
  <c r="AA1152" i="1"/>
  <c r="AA1153" i="1"/>
  <c r="AA1154" i="1"/>
  <c r="AA1155" i="1"/>
  <c r="AA1156" i="1"/>
  <c r="AA1157" i="1"/>
  <c r="AA1158" i="1"/>
  <c r="AA1159" i="1"/>
  <c r="AA1160" i="1"/>
  <c r="AA1161" i="1"/>
  <c r="AA1162" i="1"/>
  <c r="AA1163" i="1"/>
  <c r="AA1164" i="1"/>
  <c r="AA1165" i="1"/>
  <c r="AA1166" i="1"/>
  <c r="AA1167" i="1"/>
  <c r="AA1168" i="1"/>
  <c r="AA1169" i="1"/>
  <c r="AA1170" i="1"/>
  <c r="AA1171" i="1"/>
  <c r="AA1172" i="1"/>
  <c r="AA1173" i="1"/>
  <c r="AA1174" i="1"/>
  <c r="AA1175" i="1"/>
  <c r="AA1176" i="1"/>
  <c r="AA1177" i="1"/>
  <c r="AA1178" i="1"/>
  <c r="AA1179" i="1"/>
  <c r="AA1180" i="1"/>
  <c r="AA1181" i="1"/>
  <c r="AA1182" i="1"/>
  <c r="AA1183" i="1"/>
  <c r="AA1184" i="1"/>
  <c r="AA1185" i="1"/>
  <c r="AA1186" i="1"/>
  <c r="AA1187" i="1"/>
  <c r="AA1188" i="1"/>
  <c r="AA1189" i="1"/>
  <c r="AA1190" i="1"/>
  <c r="AA1191" i="1"/>
  <c r="AA1192" i="1"/>
  <c r="AA1193" i="1"/>
  <c r="AA1194" i="1"/>
  <c r="AA1195" i="1"/>
  <c r="AA1196" i="1"/>
  <c r="AA1197" i="1"/>
  <c r="AA1198" i="1"/>
  <c r="AA1199" i="1"/>
  <c r="AA1200" i="1"/>
  <c r="AA1201" i="1"/>
  <c r="AA1202" i="1"/>
  <c r="AA1203" i="1"/>
  <c r="AA1204" i="1"/>
  <c r="AA1205" i="1"/>
  <c r="AA1206" i="1"/>
  <c r="AA1207" i="1"/>
  <c r="AA1208" i="1"/>
  <c r="AA1209" i="1"/>
  <c r="AA1210" i="1"/>
  <c r="AA1211" i="1"/>
  <c r="AA1212" i="1"/>
  <c r="AA1213" i="1"/>
  <c r="AA1214" i="1"/>
  <c r="AA1215" i="1"/>
  <c r="AA1216" i="1"/>
  <c r="AA1217" i="1"/>
  <c r="AA1218" i="1"/>
  <c r="AA1219" i="1"/>
  <c r="AA1220" i="1"/>
  <c r="AA1221" i="1"/>
  <c r="AA1222" i="1"/>
  <c r="AA1223" i="1"/>
  <c r="AA1224" i="1"/>
  <c r="AA1225" i="1"/>
  <c r="AA1226" i="1"/>
  <c r="AA1227" i="1"/>
  <c r="AA1228" i="1"/>
  <c r="AA1229" i="1"/>
  <c r="AA1230" i="1"/>
  <c r="AA1231" i="1"/>
  <c r="AA1232" i="1"/>
  <c r="AA1233" i="1"/>
  <c r="AA1234" i="1"/>
  <c r="AA1235" i="1"/>
  <c r="AA1236" i="1"/>
  <c r="AA1237" i="1"/>
  <c r="AA1238" i="1"/>
  <c r="AA1239" i="1"/>
  <c r="AA1240" i="1"/>
  <c r="AA1241" i="1"/>
  <c r="AA1242" i="1"/>
  <c r="AA1243" i="1"/>
  <c r="AA1244" i="1"/>
  <c r="AA1245" i="1"/>
  <c r="AA1246" i="1"/>
  <c r="AA1247" i="1"/>
  <c r="AA1248" i="1"/>
  <c r="AA1249" i="1"/>
  <c r="AA1250" i="1"/>
  <c r="AA1251" i="1"/>
  <c r="AA1252" i="1"/>
  <c r="AA1253" i="1"/>
  <c r="AA1254" i="1"/>
  <c r="AA1255" i="1"/>
  <c r="AA1256" i="1"/>
  <c r="AA1257" i="1"/>
  <c r="AA1258" i="1"/>
  <c r="AA1259" i="1"/>
  <c r="AA1260" i="1"/>
  <c r="AA1261" i="1"/>
  <c r="AA1262" i="1"/>
  <c r="AA1263" i="1"/>
  <c r="AA1264" i="1"/>
  <c r="AA1265" i="1"/>
  <c r="AA1266" i="1"/>
  <c r="AA1267" i="1"/>
  <c r="AA1268" i="1"/>
  <c r="AA1269" i="1"/>
  <c r="AA1270" i="1"/>
  <c r="AA1271" i="1"/>
  <c r="AA1272" i="1"/>
  <c r="AA1273" i="1"/>
  <c r="AA1274" i="1"/>
  <c r="AA1275" i="1"/>
  <c r="AA1276" i="1"/>
  <c r="AA1277" i="1"/>
  <c r="AA1278" i="1"/>
  <c r="AA1279" i="1"/>
  <c r="AA1280" i="1"/>
  <c r="AA1281" i="1"/>
  <c r="AA1282" i="1"/>
  <c r="AA1283" i="1"/>
  <c r="AA1284" i="1"/>
  <c r="AA1285" i="1"/>
  <c r="AA1286" i="1"/>
  <c r="AA1287" i="1"/>
  <c r="AA1288" i="1"/>
  <c r="AA1289" i="1"/>
  <c r="AA1290" i="1"/>
  <c r="AA1291" i="1"/>
  <c r="AA1292" i="1"/>
  <c r="AA1293" i="1"/>
  <c r="AA1294" i="1"/>
  <c r="AA1295" i="1"/>
  <c r="AA1296" i="1"/>
  <c r="AA1297" i="1"/>
  <c r="AA1298" i="1"/>
  <c r="AA1299" i="1"/>
  <c r="AA1300" i="1"/>
  <c r="AA1301" i="1"/>
  <c r="AA1302" i="1"/>
  <c r="AA1303" i="1"/>
  <c r="AA1304" i="1"/>
  <c r="AA1305" i="1"/>
  <c r="AA1306" i="1"/>
  <c r="AA1307" i="1"/>
  <c r="AA1308" i="1"/>
  <c r="AA1309" i="1"/>
  <c r="AA1310" i="1"/>
  <c r="AA1311" i="1"/>
  <c r="AA1312" i="1"/>
  <c r="AA1313" i="1"/>
  <c r="AA1314" i="1"/>
  <c r="AA1315" i="1"/>
  <c r="AA1316" i="1"/>
  <c r="AA1317" i="1"/>
  <c r="AA1318" i="1"/>
  <c r="AA1319" i="1"/>
  <c r="AA1320" i="1"/>
  <c r="AA1321" i="1"/>
  <c r="AA1322" i="1"/>
  <c r="AA1323" i="1"/>
  <c r="AA1324" i="1"/>
  <c r="AA1325" i="1"/>
  <c r="AA1326" i="1"/>
  <c r="AA1327" i="1"/>
  <c r="AA1328" i="1"/>
  <c r="AA1329" i="1"/>
  <c r="AA1330" i="1"/>
  <c r="AA1331" i="1"/>
  <c r="AA1332" i="1"/>
  <c r="AA1333" i="1"/>
  <c r="AA1334" i="1"/>
  <c r="AA1335" i="1"/>
  <c r="AA1336" i="1"/>
  <c r="AA1337" i="1"/>
  <c r="AA1338" i="1"/>
  <c r="AA1339" i="1"/>
  <c r="AA1340" i="1"/>
  <c r="AA1341" i="1"/>
  <c r="AA1342" i="1"/>
  <c r="AA1343" i="1"/>
  <c r="AA1344" i="1"/>
  <c r="AA1345" i="1"/>
  <c r="AA1346" i="1"/>
  <c r="AA1347" i="1"/>
  <c r="AA1348" i="1"/>
  <c r="AA1349" i="1"/>
  <c r="AA1350" i="1"/>
  <c r="AA1351" i="1"/>
  <c r="AA1352" i="1"/>
  <c r="AA1353" i="1"/>
  <c r="AA1354" i="1"/>
  <c r="AA1355" i="1"/>
  <c r="AA1356" i="1"/>
  <c r="AA1357" i="1"/>
  <c r="AA1358" i="1"/>
  <c r="AA1359" i="1"/>
  <c r="AA1360" i="1"/>
  <c r="AA1361" i="1"/>
  <c r="AA1362" i="1"/>
  <c r="AA1363" i="1"/>
  <c r="AA1364" i="1"/>
  <c r="AA1365" i="1"/>
  <c r="AA1366" i="1"/>
  <c r="AA1367" i="1"/>
  <c r="AA1368" i="1"/>
  <c r="AA1369" i="1"/>
  <c r="AA1370" i="1"/>
  <c r="AA1371" i="1"/>
  <c r="AA1372" i="1"/>
  <c r="AA1373" i="1"/>
  <c r="AA1374" i="1"/>
  <c r="AA1375" i="1"/>
  <c r="AA1376" i="1"/>
  <c r="AA1377" i="1"/>
  <c r="AA1378" i="1"/>
  <c r="AA1379" i="1"/>
  <c r="AA1380" i="1"/>
  <c r="AA1381" i="1"/>
  <c r="AA1382" i="1"/>
  <c r="AA1383" i="1"/>
  <c r="AA1384" i="1"/>
  <c r="AA1385" i="1"/>
  <c r="AA1386" i="1"/>
  <c r="AA1387" i="1"/>
  <c r="AA1388" i="1"/>
  <c r="AA1389" i="1"/>
  <c r="AA1390" i="1"/>
  <c r="AA1391" i="1"/>
  <c r="AA1392" i="1"/>
  <c r="AA1393" i="1"/>
  <c r="AA1394" i="1"/>
  <c r="AA1395" i="1"/>
  <c r="AA1396" i="1"/>
  <c r="AA1397" i="1"/>
  <c r="AA1398" i="1"/>
  <c r="AA1399" i="1"/>
  <c r="AA1400" i="1"/>
  <c r="AA1401" i="1"/>
  <c r="AA1402" i="1"/>
  <c r="AA1403" i="1"/>
  <c r="AA1404" i="1"/>
  <c r="AA1405" i="1"/>
  <c r="AA1406" i="1"/>
  <c r="AA1407" i="1"/>
  <c r="AA1408" i="1"/>
  <c r="AA1409" i="1"/>
  <c r="AA1410" i="1"/>
  <c r="AA1411" i="1"/>
  <c r="AA1412" i="1"/>
  <c r="AA1413" i="1"/>
  <c r="AA1414" i="1"/>
  <c r="AA1415" i="1"/>
  <c r="AA1416" i="1"/>
  <c r="AA1417" i="1"/>
  <c r="AA1418" i="1"/>
  <c r="AA1419" i="1"/>
  <c r="AA1420" i="1"/>
  <c r="AA1421" i="1"/>
  <c r="AA1422" i="1"/>
  <c r="AA1423" i="1"/>
  <c r="AA1424" i="1"/>
  <c r="AA1425" i="1"/>
  <c r="AA1426" i="1"/>
  <c r="AA1427" i="1"/>
  <c r="AA1428" i="1"/>
  <c r="AA1429" i="1"/>
  <c r="AA1430" i="1"/>
  <c r="AA1431" i="1"/>
  <c r="AA1432" i="1"/>
  <c r="AA1433" i="1"/>
  <c r="AA1434" i="1"/>
  <c r="AA1435" i="1"/>
  <c r="AA1436" i="1"/>
  <c r="AA1437" i="1"/>
  <c r="AA1438" i="1"/>
  <c r="AA1439" i="1"/>
  <c r="AA1440" i="1"/>
  <c r="AA1441" i="1"/>
  <c r="AA1442" i="1"/>
  <c r="AA1443" i="1"/>
  <c r="AA1444" i="1"/>
  <c r="AA1445" i="1"/>
  <c r="AA1446" i="1"/>
  <c r="AA1447" i="1"/>
  <c r="AA1448" i="1"/>
  <c r="AA1449" i="1"/>
  <c r="AA1450" i="1"/>
  <c r="AA1451" i="1"/>
  <c r="AA1452" i="1"/>
  <c r="AA1453" i="1"/>
  <c r="AA1454" i="1"/>
  <c r="AA1455" i="1"/>
  <c r="AA1456" i="1"/>
  <c r="AA1457" i="1"/>
  <c r="AA1458" i="1"/>
  <c r="AA1459" i="1"/>
  <c r="AA1460" i="1"/>
  <c r="AA1461" i="1"/>
  <c r="AA1462" i="1"/>
  <c r="AA1463" i="1"/>
  <c r="AA1464" i="1"/>
  <c r="AA1465" i="1"/>
  <c r="AA1466" i="1"/>
  <c r="AA1467" i="1"/>
  <c r="AA1468" i="1"/>
  <c r="AA1469" i="1"/>
  <c r="AA1470" i="1"/>
  <c r="AA1471" i="1"/>
  <c r="AA1472" i="1"/>
  <c r="AA1473" i="1"/>
  <c r="AA1474" i="1"/>
  <c r="AA1475" i="1"/>
  <c r="AA1476" i="1"/>
  <c r="AA1477" i="1"/>
  <c r="AA1478" i="1"/>
  <c r="AA1479" i="1"/>
  <c r="AA1480" i="1"/>
  <c r="AA1481" i="1"/>
  <c r="AA1482" i="1"/>
  <c r="AA1483" i="1"/>
  <c r="AA1484" i="1"/>
  <c r="AA1485" i="1"/>
  <c r="AA1486" i="1"/>
  <c r="AA1487" i="1"/>
  <c r="AA1488" i="1"/>
  <c r="AA1489" i="1"/>
  <c r="AA1490" i="1"/>
  <c r="AA1491" i="1"/>
  <c r="AA1492" i="1"/>
  <c r="AA1493" i="1"/>
  <c r="AA1494" i="1"/>
  <c r="AA1495" i="1"/>
  <c r="AA1496" i="1"/>
  <c r="AA1497" i="1"/>
  <c r="AA1498" i="1"/>
  <c r="AA1499" i="1"/>
  <c r="AA1500" i="1"/>
  <c r="AA1501" i="1"/>
  <c r="AA1502" i="1"/>
  <c r="AA1503" i="1"/>
  <c r="AA1504" i="1"/>
  <c r="AA1505" i="1"/>
  <c r="AA1506" i="1"/>
  <c r="AA1507" i="1"/>
  <c r="AA1508" i="1"/>
  <c r="AA1509" i="1"/>
  <c r="AA1510" i="1"/>
  <c r="AA1511" i="1"/>
  <c r="AA1512" i="1"/>
  <c r="AA1513" i="1"/>
  <c r="AA1514" i="1"/>
  <c r="AA1515" i="1"/>
  <c r="AA1516" i="1"/>
  <c r="AA1517" i="1"/>
  <c r="AA1518" i="1"/>
  <c r="AA1519" i="1"/>
  <c r="AA1520" i="1"/>
  <c r="AA1521" i="1"/>
  <c r="AA1522" i="1"/>
  <c r="AA1523" i="1"/>
  <c r="AA1524" i="1"/>
  <c r="AA1525" i="1"/>
  <c r="AA1526" i="1"/>
  <c r="AA1527" i="1"/>
  <c r="AA1528" i="1"/>
  <c r="AA1529" i="1"/>
  <c r="AA1530" i="1"/>
  <c r="AA1531" i="1"/>
  <c r="AA1532" i="1"/>
  <c r="AA1533" i="1"/>
  <c r="AA1534" i="1"/>
  <c r="AA1535" i="1"/>
  <c r="AA1536" i="1"/>
  <c r="AA1537" i="1"/>
  <c r="AA1538" i="1"/>
  <c r="AA1539" i="1"/>
  <c r="AA1540" i="1"/>
  <c r="AA1541" i="1"/>
  <c r="AA1542" i="1"/>
  <c r="AA1543" i="1"/>
  <c r="AA1544" i="1"/>
  <c r="AA1545" i="1"/>
  <c r="AA1546" i="1"/>
  <c r="AA1547" i="1"/>
  <c r="AA1548" i="1"/>
  <c r="AA1549" i="1"/>
  <c r="AA1550" i="1"/>
  <c r="AA1551" i="1"/>
  <c r="AA1552" i="1"/>
  <c r="AA1553" i="1"/>
  <c r="AA1554" i="1"/>
  <c r="AA1555" i="1"/>
  <c r="AA1556" i="1"/>
  <c r="AA1557" i="1"/>
  <c r="AA1558" i="1"/>
  <c r="AA1559" i="1"/>
  <c r="AA1560" i="1"/>
  <c r="AA1561" i="1"/>
  <c r="AA1562" i="1"/>
  <c r="AA1563" i="1"/>
  <c r="AA1564" i="1"/>
  <c r="AA1565" i="1"/>
  <c r="AA1566" i="1"/>
  <c r="AA1567" i="1"/>
  <c r="AA1568" i="1"/>
  <c r="AA1569" i="1"/>
  <c r="AA1570" i="1"/>
  <c r="AA1571" i="1"/>
  <c r="AA1572" i="1"/>
  <c r="AA1573" i="1"/>
  <c r="AA1574" i="1"/>
  <c r="AA1575" i="1"/>
  <c r="AA1576" i="1"/>
  <c r="AA1577" i="1"/>
  <c r="AA1578" i="1"/>
  <c r="AA1579" i="1"/>
  <c r="AA1580" i="1"/>
  <c r="AA1581" i="1"/>
  <c r="AA1582" i="1"/>
  <c r="AA1583" i="1"/>
  <c r="AA1584" i="1"/>
  <c r="AA1585" i="1"/>
  <c r="AA1586" i="1"/>
  <c r="AA1587" i="1"/>
  <c r="AA1588" i="1"/>
  <c r="AA1589" i="1"/>
  <c r="AA1590" i="1"/>
  <c r="AA1591" i="1"/>
  <c r="AA1592" i="1"/>
  <c r="AA1593" i="1"/>
  <c r="AA1594" i="1"/>
  <c r="AA1595" i="1"/>
  <c r="AA1596" i="1"/>
  <c r="AA1597" i="1"/>
  <c r="AA1598" i="1"/>
  <c r="AA1599" i="1"/>
  <c r="AA1600" i="1"/>
  <c r="AA1601" i="1"/>
  <c r="AA1602" i="1"/>
  <c r="AA1603" i="1"/>
  <c r="AA1604" i="1"/>
  <c r="AA1605" i="1"/>
  <c r="AA1606" i="1"/>
  <c r="AA1607" i="1"/>
  <c r="AA1608" i="1"/>
  <c r="AA1609" i="1"/>
  <c r="AA1610" i="1"/>
  <c r="AA1611" i="1"/>
  <c r="AA1612" i="1"/>
  <c r="AA1613" i="1"/>
  <c r="AA1614" i="1"/>
  <c r="AA1615" i="1"/>
  <c r="AA1616" i="1"/>
  <c r="AA1617" i="1"/>
  <c r="AA1618" i="1"/>
  <c r="AA1619" i="1"/>
  <c r="AA1620" i="1"/>
  <c r="AA1621" i="1"/>
  <c r="AA1622" i="1"/>
  <c r="AA1623" i="1"/>
  <c r="AA1624" i="1"/>
  <c r="AA1625" i="1"/>
  <c r="AA1626" i="1"/>
  <c r="AA1627" i="1"/>
  <c r="AA1628" i="1"/>
  <c r="AA1629" i="1"/>
  <c r="AA1630" i="1"/>
  <c r="AA1631" i="1"/>
  <c r="AA1632" i="1"/>
  <c r="AA1633" i="1"/>
  <c r="AA1634" i="1"/>
  <c r="AA1635" i="1"/>
  <c r="AA1636" i="1"/>
  <c r="AA1637" i="1"/>
  <c r="AA1638" i="1"/>
  <c r="AA1639" i="1"/>
  <c r="AA1640" i="1"/>
  <c r="AA1641" i="1"/>
  <c r="AA1642" i="1"/>
  <c r="AA1643" i="1"/>
  <c r="AA1644" i="1"/>
  <c r="AA1645" i="1"/>
  <c r="AA1646" i="1"/>
  <c r="AA1647" i="1"/>
  <c r="AA1648" i="1"/>
  <c r="AA1649" i="1"/>
  <c r="AA1650" i="1"/>
  <c r="AA1651" i="1"/>
  <c r="AA1652" i="1"/>
  <c r="AA1653" i="1"/>
  <c r="AA1654" i="1"/>
  <c r="AA1655" i="1"/>
  <c r="AA1656" i="1"/>
  <c r="AA1657" i="1"/>
  <c r="AA1658" i="1"/>
  <c r="AA1659" i="1"/>
  <c r="AA1660" i="1"/>
  <c r="AA1661" i="1"/>
  <c r="AA1662" i="1"/>
  <c r="AA1663" i="1"/>
  <c r="AA1664" i="1"/>
  <c r="AA1665" i="1"/>
  <c r="AA1666" i="1"/>
  <c r="AA1667" i="1"/>
  <c r="AA1668" i="1"/>
  <c r="AA1669" i="1"/>
  <c r="AA1670" i="1"/>
  <c r="AA1671" i="1"/>
  <c r="AA1672" i="1"/>
  <c r="AA1673" i="1"/>
  <c r="AA1674" i="1"/>
  <c r="AA1675" i="1"/>
  <c r="AA1676" i="1"/>
  <c r="AA1677" i="1"/>
  <c r="AA1678" i="1"/>
  <c r="AA1679" i="1"/>
  <c r="AA1680" i="1"/>
  <c r="AA1681" i="1"/>
  <c r="AA1682" i="1"/>
  <c r="AA1683" i="1"/>
  <c r="AA1684" i="1"/>
  <c r="AA1685" i="1"/>
  <c r="AA1686" i="1"/>
  <c r="AA1687" i="1"/>
  <c r="AA1688" i="1"/>
  <c r="AA1689" i="1"/>
  <c r="AA1690" i="1"/>
  <c r="AA1691" i="1"/>
  <c r="AA1692" i="1"/>
  <c r="AA1693" i="1"/>
  <c r="AA1694" i="1"/>
  <c r="AA1695" i="1"/>
  <c r="AA1696" i="1"/>
  <c r="AA1697" i="1"/>
  <c r="AA1698" i="1"/>
  <c r="AA1699" i="1"/>
  <c r="AA1700" i="1"/>
  <c r="AA1701" i="1"/>
  <c r="AA1702" i="1"/>
  <c r="AA1703" i="1"/>
  <c r="AA1704" i="1"/>
  <c r="AA1705" i="1"/>
  <c r="AA1706" i="1"/>
  <c r="AA1707" i="1"/>
  <c r="AA1708" i="1"/>
  <c r="AA1709" i="1"/>
  <c r="AA1710" i="1"/>
  <c r="AA1711" i="1"/>
  <c r="AA1712" i="1"/>
  <c r="AA1713" i="1"/>
  <c r="AA1714" i="1"/>
  <c r="AA1715" i="1"/>
  <c r="AA1716" i="1"/>
  <c r="AA1717" i="1"/>
  <c r="AA1718" i="1"/>
  <c r="AA1719" i="1"/>
  <c r="AA1720" i="1"/>
  <c r="AA1721" i="1"/>
  <c r="AA1722" i="1"/>
  <c r="AA1723" i="1"/>
  <c r="AA1724" i="1"/>
  <c r="AA1725" i="1"/>
  <c r="AA1726" i="1"/>
  <c r="AA1727" i="1"/>
  <c r="AA1728" i="1"/>
  <c r="AA1729" i="1"/>
  <c r="AA1730" i="1"/>
  <c r="AA1731" i="1"/>
  <c r="AA1732" i="1"/>
  <c r="AA1733" i="1"/>
  <c r="AA1734" i="1"/>
  <c r="AA1735" i="1"/>
  <c r="AA1736" i="1"/>
  <c r="AA1737" i="1"/>
  <c r="AA1738" i="1"/>
  <c r="AA1739" i="1"/>
  <c r="AA1740" i="1"/>
  <c r="AA1741" i="1"/>
  <c r="AA1742" i="1"/>
  <c r="AA1743" i="1"/>
  <c r="AA1744" i="1"/>
  <c r="AA1745" i="1"/>
  <c r="AA1746" i="1"/>
  <c r="AA1747" i="1"/>
  <c r="AA1748" i="1"/>
  <c r="AA1749" i="1"/>
  <c r="AA1750" i="1"/>
  <c r="AA1751" i="1"/>
  <c r="AA1752" i="1"/>
  <c r="AA1753" i="1"/>
  <c r="AA1754" i="1"/>
  <c r="AA1755" i="1"/>
  <c r="AA1756" i="1"/>
  <c r="AA1757" i="1"/>
  <c r="AA1758" i="1"/>
  <c r="AA1759" i="1"/>
  <c r="AA1760" i="1"/>
  <c r="AA1761" i="1"/>
  <c r="AA1762" i="1"/>
  <c r="AA1763" i="1"/>
  <c r="AA1764" i="1"/>
  <c r="AA1765" i="1"/>
  <c r="AA1766" i="1"/>
  <c r="AA1767" i="1"/>
  <c r="AA1768" i="1"/>
  <c r="AA1769" i="1"/>
  <c r="AA1770" i="1"/>
  <c r="AA1771" i="1"/>
  <c r="AA1772" i="1"/>
  <c r="AA1773" i="1"/>
  <c r="AA1774" i="1"/>
  <c r="AA1775" i="1"/>
  <c r="AA1776" i="1"/>
  <c r="AA1777" i="1"/>
  <c r="AA1778" i="1"/>
  <c r="AA1779" i="1"/>
  <c r="AA1780" i="1"/>
  <c r="AA1781" i="1"/>
  <c r="AA1782" i="1"/>
  <c r="AA1783" i="1"/>
  <c r="AA1784" i="1"/>
  <c r="AA1785" i="1"/>
  <c r="AA1786" i="1"/>
  <c r="AA1787" i="1"/>
  <c r="AA1788" i="1"/>
  <c r="AA1789" i="1"/>
  <c r="AA1790" i="1"/>
  <c r="AA1791" i="1"/>
  <c r="AA1792" i="1"/>
  <c r="AA2" i="1"/>
  <c r="T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2" i="1"/>
  <c r="I3" i="1" a="1"/>
  <c r="I3" i="1" s="1"/>
  <c r="I4" i="1" a="1"/>
  <c r="I4" i="1" s="1"/>
  <c r="I5" i="1" a="1"/>
  <c r="I5" i="1" s="1"/>
  <c r="I6" i="1" a="1"/>
  <c r="I6" i="1" s="1"/>
  <c r="I7" i="1" a="1"/>
  <c r="I7" i="1" s="1"/>
  <c r="I8" i="1" a="1"/>
  <c r="I8" i="1" s="1"/>
  <c r="I9" i="1" a="1"/>
  <c r="I9" i="1" s="1"/>
  <c r="I10" i="1" a="1"/>
  <c r="I10" i="1" s="1"/>
  <c r="I11" i="1" a="1"/>
  <c r="I11" i="1" s="1"/>
  <c r="I12" i="1" a="1"/>
  <c r="I12" i="1" s="1"/>
  <c r="I13" i="1" a="1"/>
  <c r="I13" i="1" s="1"/>
  <c r="I14" i="1" a="1"/>
  <c r="I14" i="1" s="1"/>
  <c r="I15" i="1" a="1"/>
  <c r="I15" i="1" s="1"/>
  <c r="I16" i="1" a="1"/>
  <c r="I16" i="1" s="1"/>
  <c r="I17" i="1" a="1"/>
  <c r="I17" i="1" s="1"/>
  <c r="I18" i="1" a="1"/>
  <c r="I18" i="1" s="1"/>
  <c r="I19" i="1" a="1"/>
  <c r="I19" i="1" s="1"/>
  <c r="I20" i="1" a="1"/>
  <c r="I20" i="1" s="1"/>
  <c r="I21" i="1" a="1"/>
  <c r="I21" i="1" s="1"/>
  <c r="I22" i="1" a="1"/>
  <c r="I22" i="1" s="1"/>
  <c r="I23" i="1" a="1"/>
  <c r="I23" i="1" s="1"/>
  <c r="I24" i="1" a="1"/>
  <c r="I24" i="1" s="1"/>
  <c r="I25" i="1" a="1"/>
  <c r="I25" i="1" s="1"/>
  <c r="I26" i="1" a="1"/>
  <c r="I26" i="1" s="1"/>
  <c r="I27" i="1" a="1"/>
  <c r="I27" i="1" s="1"/>
  <c r="I28" i="1" a="1"/>
  <c r="I28" i="1" s="1"/>
  <c r="I29" i="1" a="1"/>
  <c r="I29" i="1" s="1"/>
  <c r="I30" i="1" a="1"/>
  <c r="I30" i="1" s="1"/>
  <c r="I31" i="1" a="1"/>
  <c r="I31" i="1" s="1"/>
  <c r="I32" i="1" a="1"/>
  <c r="I32" i="1" s="1"/>
  <c r="I33" i="1" a="1"/>
  <c r="I33" i="1" s="1"/>
  <c r="I34" i="1" a="1"/>
  <c r="I34" i="1" s="1"/>
  <c r="I35" i="1" a="1"/>
  <c r="I35" i="1" s="1"/>
  <c r="I36" i="1" a="1"/>
  <c r="I36" i="1" s="1"/>
  <c r="I37" i="1" a="1"/>
  <c r="I37" i="1" s="1"/>
  <c r="I38" i="1" a="1"/>
  <c r="I38" i="1" s="1"/>
  <c r="I39" i="1" a="1"/>
  <c r="I39" i="1" s="1"/>
  <c r="I40" i="1" a="1"/>
  <c r="I40" i="1" s="1"/>
  <c r="I41" i="1" a="1"/>
  <c r="I41" i="1" s="1"/>
  <c r="I42" i="1" a="1"/>
  <c r="I42" i="1" s="1"/>
  <c r="I43" i="1" a="1"/>
  <c r="I43" i="1" s="1"/>
  <c r="I44" i="1" a="1"/>
  <c r="I44" i="1" s="1"/>
  <c r="I45" i="1" a="1"/>
  <c r="I45" i="1" s="1"/>
  <c r="I46" i="1" a="1"/>
  <c r="I46" i="1" s="1"/>
  <c r="I47" i="1" a="1"/>
  <c r="I47" i="1" s="1"/>
  <c r="I48" i="1" a="1"/>
  <c r="I48" i="1" s="1"/>
  <c r="I49" i="1" a="1"/>
  <c r="I49" i="1" s="1"/>
  <c r="I50" i="1" a="1"/>
  <c r="I50" i="1" s="1"/>
  <c r="I51" i="1" a="1"/>
  <c r="I51" i="1" s="1"/>
  <c r="I52" i="1" a="1"/>
  <c r="I52" i="1" s="1"/>
  <c r="I53" i="1" a="1"/>
  <c r="I53" i="1" s="1"/>
  <c r="I54" i="1" a="1"/>
  <c r="I54" i="1" s="1"/>
  <c r="I55" i="1" a="1"/>
  <c r="I55" i="1" s="1"/>
  <c r="I56" i="1" a="1"/>
  <c r="I56" i="1" s="1"/>
  <c r="I57" i="1" a="1"/>
  <c r="I57" i="1" s="1"/>
  <c r="I58" i="1" a="1"/>
  <c r="I58" i="1" s="1"/>
  <c r="I59" i="1" a="1"/>
  <c r="I59" i="1" s="1"/>
  <c r="I60" i="1" a="1"/>
  <c r="I60" i="1" s="1"/>
  <c r="I61" i="1" a="1"/>
  <c r="I61" i="1" s="1"/>
  <c r="I62" i="1" a="1"/>
  <c r="I62" i="1" s="1"/>
  <c r="I63" i="1" a="1"/>
  <c r="I63" i="1" s="1"/>
  <c r="I64" i="1" a="1"/>
  <c r="I64" i="1" s="1"/>
  <c r="I65" i="1" a="1"/>
  <c r="I65" i="1" s="1"/>
  <c r="I66" i="1" a="1"/>
  <c r="I66" i="1" s="1"/>
  <c r="I67" i="1" a="1"/>
  <c r="I67" i="1" s="1"/>
  <c r="I68" i="1" a="1"/>
  <c r="I68" i="1" s="1"/>
  <c r="I69" i="1" a="1"/>
  <c r="I69" i="1" s="1"/>
  <c r="I70" i="1" a="1"/>
  <c r="I70" i="1" s="1"/>
  <c r="I71" i="1" a="1"/>
  <c r="I71" i="1" s="1"/>
  <c r="I72" i="1" a="1"/>
  <c r="I72" i="1" s="1"/>
  <c r="I73" i="1" a="1"/>
  <c r="I73" i="1" s="1"/>
  <c r="I74" i="1" a="1"/>
  <c r="I74" i="1" s="1"/>
  <c r="I75" i="1" a="1"/>
  <c r="I75" i="1" s="1"/>
  <c r="I76" i="1" a="1"/>
  <c r="I76" i="1" s="1"/>
  <c r="I77" i="1" a="1"/>
  <c r="I77" i="1" s="1"/>
  <c r="I78" i="1" a="1"/>
  <c r="I78" i="1" s="1"/>
  <c r="I79" i="1" a="1"/>
  <c r="I79" i="1" s="1"/>
  <c r="I80" i="1" a="1"/>
  <c r="I80" i="1" s="1"/>
  <c r="I81" i="1" a="1"/>
  <c r="I81" i="1" s="1"/>
  <c r="I82" i="1" a="1"/>
  <c r="I82" i="1" s="1"/>
  <c r="I83" i="1" a="1"/>
  <c r="I83" i="1" s="1"/>
  <c r="I84" i="1" a="1"/>
  <c r="I84" i="1" s="1"/>
  <c r="I85" i="1" a="1"/>
  <c r="I85" i="1" s="1"/>
  <c r="I86" i="1" a="1"/>
  <c r="I86" i="1" s="1"/>
  <c r="I87" i="1" a="1"/>
  <c r="I87" i="1" s="1"/>
  <c r="I88" i="1" a="1"/>
  <c r="I88" i="1" s="1"/>
  <c r="I89" i="1" a="1"/>
  <c r="I89" i="1" s="1"/>
  <c r="I90" i="1" a="1"/>
  <c r="I90" i="1" s="1"/>
  <c r="I91" i="1" a="1"/>
  <c r="I91" i="1" s="1"/>
  <c r="I92" i="1" a="1"/>
  <c r="I92" i="1" s="1"/>
  <c r="I93" i="1" a="1"/>
  <c r="I93" i="1" s="1"/>
  <c r="I94" i="1" a="1"/>
  <c r="I94" i="1" s="1"/>
  <c r="I95" i="1" a="1"/>
  <c r="I95" i="1" s="1"/>
  <c r="I96" i="1" a="1"/>
  <c r="I96" i="1" s="1"/>
  <c r="I97" i="1" a="1"/>
  <c r="I97" i="1" s="1"/>
  <c r="I98" i="1" a="1"/>
  <c r="I98" i="1" s="1"/>
  <c r="I99" i="1" a="1"/>
  <c r="I99" i="1" s="1"/>
  <c r="I100" i="1" a="1"/>
  <c r="I100" i="1" s="1"/>
  <c r="I101" i="1" a="1"/>
  <c r="I101" i="1" s="1"/>
  <c r="I102" i="1" a="1"/>
  <c r="I102" i="1" s="1"/>
  <c r="I103" i="1" a="1"/>
  <c r="I103" i="1" s="1"/>
  <c r="I104" i="1" a="1"/>
  <c r="I104" i="1" s="1"/>
  <c r="I105" i="1" a="1"/>
  <c r="I105" i="1" s="1"/>
  <c r="I106" i="1" a="1"/>
  <c r="I106" i="1" s="1"/>
  <c r="I107" i="1" a="1"/>
  <c r="I107" i="1" s="1"/>
  <c r="I108" i="1" a="1"/>
  <c r="I108" i="1" s="1"/>
  <c r="I109" i="1" a="1"/>
  <c r="I109" i="1" s="1"/>
  <c r="I110" i="1" a="1"/>
  <c r="I110" i="1" s="1"/>
  <c r="I111" i="1" a="1"/>
  <c r="I111" i="1" s="1"/>
  <c r="I112" i="1" a="1"/>
  <c r="I112" i="1" s="1"/>
  <c r="I113" i="1" a="1"/>
  <c r="I113" i="1" s="1"/>
  <c r="I114" i="1" a="1"/>
  <c r="I114" i="1" s="1"/>
  <c r="I115" i="1" a="1"/>
  <c r="I115" i="1" s="1"/>
  <c r="I116" i="1" a="1"/>
  <c r="I116" i="1" s="1"/>
  <c r="I117" i="1" a="1"/>
  <c r="I117" i="1" s="1"/>
  <c r="I118" i="1" a="1"/>
  <c r="I118" i="1" s="1"/>
  <c r="I119" i="1" a="1"/>
  <c r="I119" i="1" s="1"/>
  <c r="I120" i="1" a="1"/>
  <c r="I120" i="1" s="1"/>
  <c r="I121" i="1" a="1"/>
  <c r="I121" i="1" s="1"/>
  <c r="I122" i="1" a="1"/>
  <c r="I122" i="1" s="1"/>
  <c r="I123" i="1" a="1"/>
  <c r="I123" i="1" s="1"/>
  <c r="I124" i="1" a="1"/>
  <c r="I124" i="1" s="1"/>
  <c r="I125" i="1" a="1"/>
  <c r="I125" i="1" s="1"/>
  <c r="I126" i="1" a="1"/>
  <c r="I126" i="1" s="1"/>
  <c r="I127" i="1" a="1"/>
  <c r="I127" i="1" s="1"/>
  <c r="I128" i="1" a="1"/>
  <c r="I128" i="1" s="1"/>
  <c r="I129" i="1" a="1"/>
  <c r="I129" i="1" s="1"/>
  <c r="I130" i="1" a="1"/>
  <c r="I130" i="1" s="1"/>
  <c r="I131" i="1" a="1"/>
  <c r="I131" i="1" s="1"/>
  <c r="I132" i="1" a="1"/>
  <c r="I132" i="1" s="1"/>
  <c r="I133" i="1" a="1"/>
  <c r="I133" i="1" s="1"/>
  <c r="I134" i="1" a="1"/>
  <c r="I134" i="1" s="1"/>
  <c r="I135" i="1" a="1"/>
  <c r="I135" i="1" s="1"/>
  <c r="I136" i="1" a="1"/>
  <c r="I136" i="1" s="1"/>
  <c r="I137" i="1" a="1"/>
  <c r="I137" i="1" s="1"/>
  <c r="I138" i="1" a="1"/>
  <c r="I138" i="1" s="1"/>
  <c r="I139" i="1" a="1"/>
  <c r="I139" i="1" s="1"/>
  <c r="I140" i="1" a="1"/>
  <c r="I140" i="1" s="1"/>
  <c r="I141" i="1" a="1"/>
  <c r="I141" i="1" s="1"/>
  <c r="I142" i="1" a="1"/>
  <c r="I142" i="1" s="1"/>
  <c r="I143" i="1" a="1"/>
  <c r="I143" i="1" s="1"/>
  <c r="I144" i="1" a="1"/>
  <c r="I144" i="1" s="1"/>
  <c r="I145" i="1" a="1"/>
  <c r="I145" i="1" s="1"/>
  <c r="I146" i="1" a="1"/>
  <c r="I146" i="1" s="1"/>
  <c r="I147" i="1" a="1"/>
  <c r="I147" i="1" s="1"/>
  <c r="I148" i="1" a="1"/>
  <c r="I148" i="1" s="1"/>
  <c r="I149" i="1" a="1"/>
  <c r="I149" i="1" s="1"/>
  <c r="I150" i="1" a="1"/>
  <c r="I150" i="1" s="1"/>
  <c r="I151" i="1" a="1"/>
  <c r="I151" i="1" s="1"/>
  <c r="I152" i="1" a="1"/>
  <c r="I152" i="1" s="1"/>
  <c r="I153" i="1" a="1"/>
  <c r="I153" i="1" s="1"/>
  <c r="I154" i="1" a="1"/>
  <c r="I154" i="1" s="1"/>
  <c r="I155" i="1" a="1"/>
  <c r="I155" i="1" s="1"/>
  <c r="I156" i="1" a="1"/>
  <c r="I156" i="1" s="1"/>
  <c r="I157" i="1" a="1"/>
  <c r="I157" i="1" s="1"/>
  <c r="I158" i="1" a="1"/>
  <c r="I158" i="1" s="1"/>
  <c r="I159" i="1" a="1"/>
  <c r="I159" i="1" s="1"/>
  <c r="I160" i="1" a="1"/>
  <c r="I160" i="1" s="1"/>
  <c r="I161" i="1" a="1"/>
  <c r="I161" i="1" s="1"/>
  <c r="I162" i="1" a="1"/>
  <c r="I162" i="1" s="1"/>
  <c r="I163" i="1" a="1"/>
  <c r="I163" i="1" s="1"/>
  <c r="I164" i="1" a="1"/>
  <c r="I164" i="1" s="1"/>
  <c r="I165" i="1" a="1"/>
  <c r="I165" i="1" s="1"/>
  <c r="I166" i="1" a="1"/>
  <c r="I166" i="1" s="1"/>
  <c r="I167" i="1" a="1"/>
  <c r="I167" i="1" s="1"/>
  <c r="I168" i="1" a="1"/>
  <c r="I168" i="1" s="1"/>
  <c r="I169" i="1" a="1"/>
  <c r="I169" i="1" s="1"/>
  <c r="I170" i="1" a="1"/>
  <c r="I170" i="1" s="1"/>
  <c r="I171" i="1" a="1"/>
  <c r="I171" i="1" s="1"/>
  <c r="I172" i="1" a="1"/>
  <c r="I172" i="1" s="1"/>
  <c r="I173" i="1" a="1"/>
  <c r="I173" i="1" s="1"/>
  <c r="I174" i="1" a="1"/>
  <c r="I174" i="1" s="1"/>
  <c r="I175" i="1" a="1"/>
  <c r="I175" i="1" s="1"/>
  <c r="I176" i="1" a="1"/>
  <c r="I176" i="1" s="1"/>
  <c r="I177" i="1" a="1"/>
  <c r="I177" i="1" s="1"/>
  <c r="I178" i="1" a="1"/>
  <c r="I178" i="1" s="1"/>
  <c r="I179" i="1" a="1"/>
  <c r="I179" i="1" s="1"/>
  <c r="I180" i="1" a="1"/>
  <c r="I180" i="1" s="1"/>
  <c r="I181" i="1" a="1"/>
  <c r="I181" i="1" s="1"/>
  <c r="I182" i="1" a="1"/>
  <c r="I182" i="1" s="1"/>
  <c r="I183" i="1" a="1"/>
  <c r="I183" i="1" s="1"/>
  <c r="I184" i="1" a="1"/>
  <c r="I184" i="1" s="1"/>
  <c r="I185" i="1" a="1"/>
  <c r="I185" i="1" s="1"/>
  <c r="I186" i="1" a="1"/>
  <c r="I186" i="1" s="1"/>
  <c r="I187" i="1" a="1"/>
  <c r="I187" i="1" s="1"/>
  <c r="I188" i="1" a="1"/>
  <c r="I188" i="1" s="1"/>
  <c r="I189" i="1" a="1"/>
  <c r="I189" i="1" s="1"/>
  <c r="I190" i="1" a="1"/>
  <c r="I190" i="1" s="1"/>
  <c r="I191" i="1" a="1"/>
  <c r="I191" i="1" s="1"/>
  <c r="I192" i="1" a="1"/>
  <c r="I192" i="1" s="1"/>
  <c r="I193" i="1" a="1"/>
  <c r="I193" i="1" s="1"/>
  <c r="I194" i="1" a="1"/>
  <c r="I194" i="1" s="1"/>
  <c r="I195" i="1" a="1"/>
  <c r="I195" i="1" s="1"/>
  <c r="I196" i="1" a="1"/>
  <c r="I196" i="1" s="1"/>
  <c r="I197" i="1" a="1"/>
  <c r="I197" i="1" s="1"/>
  <c r="I198" i="1" a="1"/>
  <c r="I198" i="1" s="1"/>
  <c r="I199" i="1" a="1"/>
  <c r="I199" i="1" s="1"/>
  <c r="I200" i="1" a="1"/>
  <c r="I200" i="1" s="1"/>
  <c r="I201" i="1" a="1"/>
  <c r="I201" i="1" s="1"/>
  <c r="I202" i="1" a="1"/>
  <c r="I202" i="1" s="1"/>
  <c r="I203" i="1" a="1"/>
  <c r="I203" i="1" s="1"/>
  <c r="I204" i="1" a="1"/>
  <c r="I204" i="1" s="1"/>
  <c r="I205" i="1" a="1"/>
  <c r="I205" i="1" s="1"/>
  <c r="I206" i="1" a="1"/>
  <c r="I206" i="1" s="1"/>
  <c r="I207" i="1" a="1"/>
  <c r="I207" i="1" s="1"/>
  <c r="I208" i="1" a="1"/>
  <c r="I208" i="1" s="1"/>
  <c r="I209" i="1" a="1"/>
  <c r="I209" i="1" s="1"/>
  <c r="I210" i="1" a="1"/>
  <c r="I210" i="1" s="1"/>
  <c r="I211" i="1" a="1"/>
  <c r="I211" i="1" s="1"/>
  <c r="I212" i="1" a="1"/>
  <c r="I212" i="1" s="1"/>
  <c r="I213" i="1" a="1"/>
  <c r="I213" i="1" s="1"/>
  <c r="I214" i="1" a="1"/>
  <c r="I214" i="1" s="1"/>
  <c r="I215" i="1" a="1"/>
  <c r="I215" i="1" s="1"/>
  <c r="I216" i="1" a="1"/>
  <c r="I216" i="1" s="1"/>
  <c r="I217" i="1" a="1"/>
  <c r="I217" i="1" s="1"/>
  <c r="I218" i="1" a="1"/>
  <c r="I218" i="1" s="1"/>
  <c r="I219" i="1" a="1"/>
  <c r="I219" i="1" s="1"/>
  <c r="I220" i="1" a="1"/>
  <c r="I220" i="1" s="1"/>
  <c r="I221" i="1" a="1"/>
  <c r="I221" i="1" s="1"/>
  <c r="I222" i="1" a="1"/>
  <c r="I222" i="1" s="1"/>
  <c r="I223" i="1" a="1"/>
  <c r="I223" i="1" s="1"/>
  <c r="I224" i="1" a="1"/>
  <c r="I224" i="1" s="1"/>
  <c r="I225" i="1" a="1"/>
  <c r="I225" i="1" s="1"/>
  <c r="I226" i="1" a="1"/>
  <c r="I226" i="1" s="1"/>
  <c r="I227" i="1" a="1"/>
  <c r="I227" i="1" s="1"/>
  <c r="I228" i="1" a="1"/>
  <c r="I228" i="1" s="1"/>
  <c r="I229" i="1" a="1"/>
  <c r="I229" i="1" s="1"/>
  <c r="I230" i="1" a="1"/>
  <c r="I230" i="1" s="1"/>
  <c r="I231" i="1" a="1"/>
  <c r="I231" i="1" s="1"/>
  <c r="I232" i="1" a="1"/>
  <c r="I232" i="1" s="1"/>
  <c r="I233" i="1" a="1"/>
  <c r="I233" i="1" s="1"/>
  <c r="I234" i="1" a="1"/>
  <c r="I234" i="1" s="1"/>
  <c r="I235" i="1" a="1"/>
  <c r="I235" i="1" s="1"/>
  <c r="I236" i="1" a="1"/>
  <c r="I236" i="1" s="1"/>
  <c r="I237" i="1" a="1"/>
  <c r="I237" i="1" s="1"/>
  <c r="I238" i="1" a="1"/>
  <c r="I238" i="1" s="1"/>
  <c r="I239" i="1" a="1"/>
  <c r="I239" i="1" s="1"/>
  <c r="I240" i="1" a="1"/>
  <c r="I240" i="1" s="1"/>
  <c r="I241" i="1" a="1"/>
  <c r="I241" i="1" s="1"/>
  <c r="I242" i="1" a="1"/>
  <c r="I242" i="1" s="1"/>
  <c r="I243" i="1" a="1"/>
  <c r="I243" i="1" s="1"/>
  <c r="I244" i="1" a="1"/>
  <c r="I244" i="1" s="1"/>
  <c r="I245" i="1" a="1"/>
  <c r="I245" i="1" s="1"/>
  <c r="I246" i="1" a="1"/>
  <c r="I246" i="1" s="1"/>
  <c r="I247" i="1" a="1"/>
  <c r="I247" i="1" s="1"/>
  <c r="I248" i="1" a="1"/>
  <c r="I248" i="1" s="1"/>
  <c r="I249" i="1" a="1"/>
  <c r="I249" i="1" s="1"/>
  <c r="I250" i="1" a="1"/>
  <c r="I250" i="1" s="1"/>
  <c r="I251" i="1" a="1"/>
  <c r="I251" i="1" s="1"/>
  <c r="I252" i="1" a="1"/>
  <c r="I252" i="1" s="1"/>
  <c r="I253" i="1" a="1"/>
  <c r="I253" i="1" s="1"/>
  <c r="I254" i="1" a="1"/>
  <c r="I254" i="1" s="1"/>
  <c r="I255" i="1" a="1"/>
  <c r="I255" i="1" s="1"/>
  <c r="I256" i="1" a="1"/>
  <c r="I256" i="1" s="1"/>
  <c r="I257" i="1" a="1"/>
  <c r="I257" i="1" s="1"/>
  <c r="I258" i="1" a="1"/>
  <c r="I258" i="1" s="1"/>
  <c r="I259" i="1" a="1"/>
  <c r="I259" i="1" s="1"/>
  <c r="I260" i="1" a="1"/>
  <c r="I260" i="1" s="1"/>
  <c r="I261" i="1" a="1"/>
  <c r="I261" i="1" s="1"/>
  <c r="I262" i="1" a="1"/>
  <c r="I262" i="1" s="1"/>
  <c r="I263" i="1" a="1"/>
  <c r="I263" i="1" s="1"/>
  <c r="I264" i="1" a="1"/>
  <c r="I264" i="1" s="1"/>
  <c r="I265" i="1" a="1"/>
  <c r="I265" i="1" s="1"/>
  <c r="I266" i="1" a="1"/>
  <c r="I266" i="1" s="1"/>
  <c r="I267" i="1" a="1"/>
  <c r="I267" i="1" s="1"/>
  <c r="I268" i="1" a="1"/>
  <c r="I268" i="1" s="1"/>
  <c r="I269" i="1" a="1"/>
  <c r="I269" i="1" s="1"/>
  <c r="I270" i="1" a="1"/>
  <c r="I270" i="1" s="1"/>
  <c r="I271" i="1" a="1"/>
  <c r="I271" i="1" s="1"/>
  <c r="I272" i="1" a="1"/>
  <c r="I272" i="1" s="1"/>
  <c r="I273" i="1" a="1"/>
  <c r="I273" i="1" s="1"/>
  <c r="I274" i="1" a="1"/>
  <c r="I274" i="1" s="1"/>
  <c r="I275" i="1" a="1"/>
  <c r="I275" i="1" s="1"/>
  <c r="I276" i="1" a="1"/>
  <c r="I276" i="1" s="1"/>
  <c r="I277" i="1" a="1"/>
  <c r="I277" i="1" s="1"/>
  <c r="I278" i="1" a="1"/>
  <c r="I278" i="1" s="1"/>
  <c r="I279" i="1" a="1"/>
  <c r="I279" i="1" s="1"/>
  <c r="I280" i="1" a="1"/>
  <c r="I280" i="1" s="1"/>
  <c r="I281" i="1" a="1"/>
  <c r="I281" i="1" s="1"/>
  <c r="I282" i="1" a="1"/>
  <c r="I282" i="1" s="1"/>
  <c r="I283" i="1" a="1"/>
  <c r="I283" i="1" s="1"/>
  <c r="I284" i="1" a="1"/>
  <c r="I284" i="1" s="1"/>
  <c r="I285" i="1" a="1"/>
  <c r="I285" i="1" s="1"/>
  <c r="I286" i="1" a="1"/>
  <c r="I286" i="1" s="1"/>
  <c r="I287" i="1" a="1"/>
  <c r="I287" i="1" s="1"/>
  <c r="I288" i="1" a="1"/>
  <c r="I288" i="1" s="1"/>
  <c r="I289" i="1" a="1"/>
  <c r="I289" i="1" s="1"/>
  <c r="I290" i="1" a="1"/>
  <c r="I290" i="1" s="1"/>
  <c r="I291" i="1" a="1"/>
  <c r="I291" i="1" s="1"/>
  <c r="I292" i="1" a="1"/>
  <c r="I292" i="1" s="1"/>
  <c r="I293" i="1" a="1"/>
  <c r="I293" i="1" s="1"/>
  <c r="I294" i="1" a="1"/>
  <c r="I294" i="1" s="1"/>
  <c r="I295" i="1" a="1"/>
  <c r="I295" i="1" s="1"/>
  <c r="I296" i="1" a="1"/>
  <c r="I296" i="1" s="1"/>
  <c r="I297" i="1" a="1"/>
  <c r="I297" i="1" s="1"/>
  <c r="I298" i="1" a="1"/>
  <c r="I298" i="1" s="1"/>
  <c r="I299" i="1" a="1"/>
  <c r="I299" i="1" s="1"/>
  <c r="I300" i="1" a="1"/>
  <c r="I300" i="1" s="1"/>
  <c r="I301" i="1" a="1"/>
  <c r="I301" i="1" s="1"/>
  <c r="I302" i="1" a="1"/>
  <c r="I302" i="1" s="1"/>
  <c r="I303" i="1" a="1"/>
  <c r="I303" i="1" s="1"/>
  <c r="I304" i="1" a="1"/>
  <c r="I304" i="1" s="1"/>
  <c r="I305" i="1" a="1"/>
  <c r="I305" i="1" s="1"/>
  <c r="I306" i="1" a="1"/>
  <c r="I306" i="1" s="1"/>
  <c r="I307" i="1" a="1"/>
  <c r="I307" i="1" s="1"/>
  <c r="I308" i="1" a="1"/>
  <c r="I308" i="1" s="1"/>
  <c r="I309" i="1" a="1"/>
  <c r="I309" i="1" s="1"/>
  <c r="I310" i="1" a="1"/>
  <c r="I310" i="1" s="1"/>
  <c r="I311" i="1" a="1"/>
  <c r="I311" i="1" s="1"/>
  <c r="I312" i="1" a="1"/>
  <c r="I312" i="1" s="1"/>
  <c r="I313" i="1" a="1"/>
  <c r="I313" i="1" s="1"/>
  <c r="I314" i="1" a="1"/>
  <c r="I314" i="1" s="1"/>
  <c r="I315" i="1" a="1"/>
  <c r="I315" i="1" s="1"/>
  <c r="I316" i="1" a="1"/>
  <c r="I316" i="1" s="1"/>
  <c r="I317" i="1" a="1"/>
  <c r="I317" i="1" s="1"/>
  <c r="I318" i="1" a="1"/>
  <c r="I318" i="1" s="1"/>
  <c r="I319" i="1" a="1"/>
  <c r="I319" i="1" s="1"/>
  <c r="I320" i="1" a="1"/>
  <c r="I320" i="1" s="1"/>
  <c r="I321" i="1" a="1"/>
  <c r="I321" i="1" s="1"/>
  <c r="I322" i="1" a="1"/>
  <c r="I322" i="1" s="1"/>
  <c r="I323" i="1" a="1"/>
  <c r="I323" i="1" s="1"/>
  <c r="I324" i="1" a="1"/>
  <c r="I324" i="1" s="1"/>
  <c r="I325" i="1" a="1"/>
  <c r="I325" i="1" s="1"/>
  <c r="I326" i="1" a="1"/>
  <c r="I326" i="1" s="1"/>
  <c r="I327" i="1" a="1"/>
  <c r="I327" i="1" s="1"/>
  <c r="I328" i="1" a="1"/>
  <c r="I328" i="1" s="1"/>
  <c r="I329" i="1" a="1"/>
  <c r="I329" i="1" s="1"/>
  <c r="I330" i="1" a="1"/>
  <c r="I330" i="1" s="1"/>
  <c r="I331" i="1" a="1"/>
  <c r="I331" i="1" s="1"/>
  <c r="I332" i="1" a="1"/>
  <c r="I332" i="1" s="1"/>
  <c r="I333" i="1" a="1"/>
  <c r="I333" i="1" s="1"/>
  <c r="I334" i="1" a="1"/>
  <c r="I334" i="1" s="1"/>
  <c r="I335" i="1" a="1"/>
  <c r="I335" i="1" s="1"/>
  <c r="I336" i="1" a="1"/>
  <c r="I336" i="1" s="1"/>
  <c r="I337" i="1" a="1"/>
  <c r="I337" i="1" s="1"/>
  <c r="I338" i="1" a="1"/>
  <c r="I338" i="1" s="1"/>
  <c r="I339" i="1" a="1"/>
  <c r="I339" i="1" s="1"/>
  <c r="I340" i="1" a="1"/>
  <c r="I340" i="1" s="1"/>
  <c r="I341" i="1" a="1"/>
  <c r="I341" i="1" s="1"/>
  <c r="I342" i="1" a="1"/>
  <c r="I342" i="1" s="1"/>
  <c r="I343" i="1" a="1"/>
  <c r="I343" i="1" s="1"/>
  <c r="I344" i="1" a="1"/>
  <c r="I344" i="1" s="1"/>
  <c r="I345" i="1" a="1"/>
  <c r="I345" i="1" s="1"/>
  <c r="I346" i="1" a="1"/>
  <c r="I346" i="1" s="1"/>
  <c r="I347" i="1" a="1"/>
  <c r="I347" i="1" s="1"/>
  <c r="I348" i="1" a="1"/>
  <c r="I348" i="1" s="1"/>
  <c r="I349" i="1" a="1"/>
  <c r="I349" i="1" s="1"/>
  <c r="I350" i="1" a="1"/>
  <c r="I350" i="1" s="1"/>
  <c r="I351" i="1" a="1"/>
  <c r="I351" i="1" s="1"/>
  <c r="I352" i="1" a="1"/>
  <c r="I352" i="1" s="1"/>
  <c r="I353" i="1" a="1"/>
  <c r="I353" i="1" s="1"/>
  <c r="I354" i="1" a="1"/>
  <c r="I354" i="1" s="1"/>
  <c r="I355" i="1" a="1"/>
  <c r="I355" i="1" s="1"/>
  <c r="I356" i="1" a="1"/>
  <c r="I356" i="1" s="1"/>
  <c r="I357" i="1" a="1"/>
  <c r="I357" i="1" s="1"/>
  <c r="I358" i="1" a="1"/>
  <c r="I358" i="1" s="1"/>
  <c r="I359" i="1" a="1"/>
  <c r="I359" i="1" s="1"/>
  <c r="I360" i="1" a="1"/>
  <c r="I360" i="1" s="1"/>
  <c r="I361" i="1" a="1"/>
  <c r="I361" i="1" s="1"/>
  <c r="I362" i="1" a="1"/>
  <c r="I362" i="1" s="1"/>
  <c r="I363" i="1" a="1"/>
  <c r="I363" i="1" s="1"/>
  <c r="I364" i="1" a="1"/>
  <c r="I364" i="1" s="1"/>
  <c r="I365" i="1" a="1"/>
  <c r="I365" i="1" s="1"/>
  <c r="I366" i="1" a="1"/>
  <c r="I366" i="1" s="1"/>
  <c r="I367" i="1" a="1"/>
  <c r="I367" i="1" s="1"/>
  <c r="I368" i="1" a="1"/>
  <c r="I368" i="1" s="1"/>
  <c r="I369" i="1" a="1"/>
  <c r="I369" i="1" s="1"/>
  <c r="I370" i="1" a="1"/>
  <c r="I370" i="1" s="1"/>
  <c r="I371" i="1" a="1"/>
  <c r="I371" i="1" s="1"/>
  <c r="I372" i="1" a="1"/>
  <c r="I372" i="1" s="1"/>
  <c r="I373" i="1" a="1"/>
  <c r="I373" i="1" s="1"/>
  <c r="I374" i="1" a="1"/>
  <c r="I374" i="1" s="1"/>
  <c r="I375" i="1" a="1"/>
  <c r="I375" i="1" s="1"/>
  <c r="I376" i="1" a="1"/>
  <c r="I376" i="1" s="1"/>
  <c r="I377" i="1" a="1"/>
  <c r="I377" i="1" s="1"/>
  <c r="I378" i="1" a="1"/>
  <c r="I378" i="1" s="1"/>
  <c r="I379" i="1" a="1"/>
  <c r="I379" i="1" s="1"/>
  <c r="I380" i="1" a="1"/>
  <c r="I380" i="1" s="1"/>
  <c r="I381" i="1" a="1"/>
  <c r="I381" i="1" s="1"/>
  <c r="I382" i="1" a="1"/>
  <c r="I382" i="1" s="1"/>
  <c r="I383" i="1" a="1"/>
  <c r="I383" i="1" s="1"/>
  <c r="I384" i="1" a="1"/>
  <c r="I384" i="1" s="1"/>
  <c r="I385" i="1" a="1"/>
  <c r="I385" i="1" s="1"/>
  <c r="I386" i="1" a="1"/>
  <c r="I386" i="1" s="1"/>
  <c r="I387" i="1" a="1"/>
  <c r="I387" i="1" s="1"/>
  <c r="I388" i="1" a="1"/>
  <c r="I388" i="1" s="1"/>
  <c r="I389" i="1" a="1"/>
  <c r="I389" i="1" s="1"/>
  <c r="I390" i="1" a="1"/>
  <c r="I390" i="1" s="1"/>
  <c r="I391" i="1" a="1"/>
  <c r="I391" i="1" s="1"/>
  <c r="I392" i="1" a="1"/>
  <c r="I392" i="1" s="1"/>
  <c r="I393" i="1" a="1"/>
  <c r="I393" i="1" s="1"/>
  <c r="I394" i="1" a="1"/>
  <c r="I394" i="1" s="1"/>
  <c r="I395" i="1" a="1"/>
  <c r="I395" i="1" s="1"/>
  <c r="I396" i="1" a="1"/>
  <c r="I396" i="1" s="1"/>
  <c r="I397" i="1" a="1"/>
  <c r="I397" i="1" s="1"/>
  <c r="I398" i="1" a="1"/>
  <c r="I398" i="1" s="1"/>
  <c r="I399" i="1" a="1"/>
  <c r="I399" i="1" s="1"/>
  <c r="I400" i="1" a="1"/>
  <c r="I400" i="1" s="1"/>
  <c r="I401" i="1" a="1"/>
  <c r="I401" i="1" s="1"/>
  <c r="I402" i="1" a="1"/>
  <c r="I402" i="1" s="1"/>
  <c r="I403" i="1" a="1"/>
  <c r="I403" i="1" s="1"/>
  <c r="I404" i="1" a="1"/>
  <c r="I404" i="1" s="1"/>
  <c r="I405" i="1" a="1"/>
  <c r="I405" i="1" s="1"/>
  <c r="I406" i="1" a="1"/>
  <c r="I406" i="1" s="1"/>
  <c r="I407" i="1" a="1"/>
  <c r="I407" i="1" s="1"/>
  <c r="I408" i="1" a="1"/>
  <c r="I408" i="1" s="1"/>
  <c r="I409" i="1" a="1"/>
  <c r="I409" i="1" s="1"/>
  <c r="I410" i="1" a="1"/>
  <c r="I410" i="1" s="1"/>
  <c r="I411" i="1" a="1"/>
  <c r="I411" i="1" s="1"/>
  <c r="I412" i="1" a="1"/>
  <c r="I412" i="1" s="1"/>
  <c r="I413" i="1" a="1"/>
  <c r="I413" i="1" s="1"/>
  <c r="I414" i="1" a="1"/>
  <c r="I414" i="1" s="1"/>
  <c r="I415" i="1" a="1"/>
  <c r="I415" i="1" s="1"/>
  <c r="I416" i="1" a="1"/>
  <c r="I416" i="1" s="1"/>
  <c r="I417" i="1" a="1"/>
  <c r="I417" i="1" s="1"/>
  <c r="I418" i="1" a="1"/>
  <c r="I418" i="1" s="1"/>
  <c r="I419" i="1" a="1"/>
  <c r="I419" i="1" s="1"/>
  <c r="I420" i="1" a="1"/>
  <c r="I420" i="1" s="1"/>
  <c r="I421" i="1" a="1"/>
  <c r="I421" i="1" s="1"/>
  <c r="I422" i="1" a="1"/>
  <c r="I422" i="1" s="1"/>
  <c r="I423" i="1" a="1"/>
  <c r="I423" i="1" s="1"/>
  <c r="I424" i="1" a="1"/>
  <c r="I424" i="1" s="1"/>
  <c r="I425" i="1" a="1"/>
  <c r="I425" i="1" s="1"/>
  <c r="I426" i="1" a="1"/>
  <c r="I426" i="1" s="1"/>
  <c r="I427" i="1" a="1"/>
  <c r="I427" i="1" s="1"/>
  <c r="I428" i="1" a="1"/>
  <c r="I428" i="1" s="1"/>
  <c r="I429" i="1" a="1"/>
  <c r="I429" i="1" s="1"/>
  <c r="I430" i="1" a="1"/>
  <c r="I430" i="1" s="1"/>
  <c r="I431" i="1" a="1"/>
  <c r="I431" i="1" s="1"/>
  <c r="I432" i="1" a="1"/>
  <c r="I432" i="1" s="1"/>
  <c r="I433" i="1" a="1"/>
  <c r="I433" i="1" s="1"/>
  <c r="I434" i="1" a="1"/>
  <c r="I434" i="1" s="1"/>
  <c r="I435" i="1" a="1"/>
  <c r="I435" i="1" s="1"/>
  <c r="I436" i="1" a="1"/>
  <c r="I436" i="1" s="1"/>
  <c r="I437" i="1" a="1"/>
  <c r="I437" i="1" s="1"/>
  <c r="I438" i="1" a="1"/>
  <c r="I438" i="1" s="1"/>
  <c r="I439" i="1" a="1"/>
  <c r="I439" i="1" s="1"/>
  <c r="I440" i="1" a="1"/>
  <c r="I440" i="1" s="1"/>
  <c r="I441" i="1" a="1"/>
  <c r="I441" i="1" s="1"/>
  <c r="I442" i="1" a="1"/>
  <c r="I442" i="1" s="1"/>
  <c r="I443" i="1" a="1"/>
  <c r="I443" i="1" s="1"/>
  <c r="I444" i="1" a="1"/>
  <c r="I444" i="1" s="1"/>
  <c r="I445" i="1" a="1"/>
  <c r="I445" i="1" s="1"/>
  <c r="I446" i="1" a="1"/>
  <c r="I446" i="1" s="1"/>
  <c r="I447" i="1" a="1"/>
  <c r="I447" i="1" s="1"/>
  <c r="I448" i="1" a="1"/>
  <c r="I448" i="1" s="1"/>
  <c r="I449" i="1" a="1"/>
  <c r="I449" i="1" s="1"/>
  <c r="I450" i="1" a="1"/>
  <c r="I450" i="1" s="1"/>
  <c r="I451" i="1" a="1"/>
  <c r="I451" i="1" s="1"/>
  <c r="I452" i="1" a="1"/>
  <c r="I452" i="1" s="1"/>
  <c r="I453" i="1" a="1"/>
  <c r="I453" i="1" s="1"/>
  <c r="I454" i="1" a="1"/>
  <c r="I454" i="1" s="1"/>
  <c r="I455" i="1" a="1"/>
  <c r="I455" i="1" s="1"/>
  <c r="I456" i="1" a="1"/>
  <c r="I456" i="1" s="1"/>
  <c r="I457" i="1" a="1"/>
  <c r="I457" i="1" s="1"/>
  <c r="I458" i="1" a="1"/>
  <c r="I458" i="1" s="1"/>
  <c r="I459" i="1" a="1"/>
  <c r="I459" i="1" s="1"/>
  <c r="I460" i="1" a="1"/>
  <c r="I460" i="1" s="1"/>
  <c r="I461" i="1" a="1"/>
  <c r="I461" i="1" s="1"/>
  <c r="I462" i="1" a="1"/>
  <c r="I462" i="1" s="1"/>
  <c r="I463" i="1" a="1"/>
  <c r="I463" i="1" s="1"/>
  <c r="I464" i="1" a="1"/>
  <c r="I464" i="1" s="1"/>
  <c r="I465" i="1" a="1"/>
  <c r="I465" i="1" s="1"/>
  <c r="I466" i="1" a="1"/>
  <c r="I466" i="1" s="1"/>
  <c r="I467" i="1" a="1"/>
  <c r="I467" i="1" s="1"/>
  <c r="I468" i="1" a="1"/>
  <c r="I468" i="1" s="1"/>
  <c r="I469" i="1" a="1"/>
  <c r="I469" i="1" s="1"/>
  <c r="I470" i="1" a="1"/>
  <c r="I470" i="1" s="1"/>
  <c r="I471" i="1" a="1"/>
  <c r="I471" i="1" s="1"/>
  <c r="I472" i="1" a="1"/>
  <c r="I472" i="1" s="1"/>
  <c r="I473" i="1" a="1"/>
  <c r="I473" i="1" s="1"/>
  <c r="I474" i="1" a="1"/>
  <c r="I474" i="1" s="1"/>
  <c r="I475" i="1" a="1"/>
  <c r="I475" i="1" s="1"/>
  <c r="I476" i="1" a="1"/>
  <c r="I476" i="1" s="1"/>
  <c r="I477" i="1" a="1"/>
  <c r="I477" i="1" s="1"/>
  <c r="I478" i="1" a="1"/>
  <c r="I478" i="1" s="1"/>
  <c r="I479" i="1" a="1"/>
  <c r="I479" i="1" s="1"/>
  <c r="I480" i="1" a="1"/>
  <c r="I480" i="1" s="1"/>
  <c r="I481" i="1" a="1"/>
  <c r="I481" i="1" s="1"/>
  <c r="I482" i="1" a="1"/>
  <c r="I482" i="1" s="1"/>
  <c r="I483" i="1" a="1"/>
  <c r="I483" i="1" s="1"/>
  <c r="I484" i="1" a="1"/>
  <c r="I484" i="1" s="1"/>
  <c r="I485" i="1" a="1"/>
  <c r="I485" i="1" s="1"/>
  <c r="I486" i="1" a="1"/>
  <c r="I486" i="1" s="1"/>
  <c r="I487" i="1" a="1"/>
  <c r="I487" i="1" s="1"/>
  <c r="I488" i="1" a="1"/>
  <c r="I488" i="1" s="1"/>
  <c r="I489" i="1" a="1"/>
  <c r="I489" i="1" s="1"/>
  <c r="I490" i="1" a="1"/>
  <c r="I490" i="1" s="1"/>
  <c r="I491" i="1" a="1"/>
  <c r="I491" i="1" s="1"/>
  <c r="I492" i="1" a="1"/>
  <c r="I492" i="1" s="1"/>
  <c r="I493" i="1" a="1"/>
  <c r="I493" i="1" s="1"/>
  <c r="I494" i="1" a="1"/>
  <c r="I494" i="1" s="1"/>
  <c r="I495" i="1" a="1"/>
  <c r="I495" i="1" s="1"/>
  <c r="I496" i="1" a="1"/>
  <c r="I496" i="1" s="1"/>
  <c r="I497" i="1" a="1"/>
  <c r="I497" i="1" s="1"/>
  <c r="I498" i="1" a="1"/>
  <c r="I498" i="1" s="1"/>
  <c r="I499" i="1" a="1"/>
  <c r="I499" i="1" s="1"/>
  <c r="I500" i="1" a="1"/>
  <c r="I500" i="1" s="1"/>
  <c r="I501" i="1" a="1"/>
  <c r="I501" i="1" s="1"/>
  <c r="I502" i="1" a="1"/>
  <c r="I502" i="1" s="1"/>
  <c r="I503" i="1" a="1"/>
  <c r="I503" i="1" s="1"/>
  <c r="I504" i="1" a="1"/>
  <c r="I504" i="1" s="1"/>
  <c r="I505" i="1" a="1"/>
  <c r="I505" i="1" s="1"/>
  <c r="I506" i="1" a="1"/>
  <c r="I506" i="1" s="1"/>
  <c r="I507" i="1" a="1"/>
  <c r="I507" i="1" s="1"/>
  <c r="I508" i="1" a="1"/>
  <c r="I508" i="1" s="1"/>
  <c r="I509" i="1" a="1"/>
  <c r="I509" i="1" s="1"/>
  <c r="I510" i="1" a="1"/>
  <c r="I510" i="1" s="1"/>
  <c r="I511" i="1" a="1"/>
  <c r="I511" i="1" s="1"/>
  <c r="I512" i="1" a="1"/>
  <c r="I512" i="1" s="1"/>
  <c r="I513" i="1" a="1"/>
  <c r="I513" i="1" s="1"/>
  <c r="I514" i="1" a="1"/>
  <c r="I514" i="1" s="1"/>
  <c r="I515" i="1" a="1"/>
  <c r="I515" i="1" s="1"/>
  <c r="I516" i="1" a="1"/>
  <c r="I516" i="1" s="1"/>
  <c r="I517" i="1" a="1"/>
  <c r="I517" i="1" s="1"/>
  <c r="I518" i="1" a="1"/>
  <c r="I518" i="1" s="1"/>
  <c r="I519" i="1" a="1"/>
  <c r="I519" i="1" s="1"/>
  <c r="I520" i="1" a="1"/>
  <c r="I520" i="1" s="1"/>
  <c r="I521" i="1" a="1"/>
  <c r="I521" i="1" s="1"/>
  <c r="I522" i="1" a="1"/>
  <c r="I522" i="1" s="1"/>
  <c r="I523" i="1" a="1"/>
  <c r="I523" i="1" s="1"/>
  <c r="I524" i="1" a="1"/>
  <c r="I524" i="1" s="1"/>
  <c r="I525" i="1" a="1"/>
  <c r="I525" i="1" s="1"/>
  <c r="I526" i="1" a="1"/>
  <c r="I526" i="1" s="1"/>
  <c r="I527" i="1" a="1"/>
  <c r="I527" i="1" s="1"/>
  <c r="I528" i="1" a="1"/>
  <c r="I528" i="1" s="1"/>
  <c r="I529" i="1" a="1"/>
  <c r="I529" i="1" s="1"/>
  <c r="I530" i="1" a="1"/>
  <c r="I530" i="1" s="1"/>
  <c r="I531" i="1" a="1"/>
  <c r="I531" i="1" s="1"/>
  <c r="I532" i="1" a="1"/>
  <c r="I532" i="1" s="1"/>
  <c r="I533" i="1" a="1"/>
  <c r="I533" i="1" s="1"/>
  <c r="I534" i="1" a="1"/>
  <c r="I534" i="1" s="1"/>
  <c r="I535" i="1" a="1"/>
  <c r="I535" i="1" s="1"/>
  <c r="I536" i="1" a="1"/>
  <c r="I536" i="1" s="1"/>
  <c r="I537" i="1" a="1"/>
  <c r="I537" i="1" s="1"/>
  <c r="I538" i="1" a="1"/>
  <c r="I538" i="1" s="1"/>
  <c r="I539" i="1" a="1"/>
  <c r="I539" i="1" s="1"/>
  <c r="I540" i="1" a="1"/>
  <c r="I540" i="1" s="1"/>
  <c r="I541" i="1" a="1"/>
  <c r="I541" i="1" s="1"/>
  <c r="I542" i="1" a="1"/>
  <c r="I542" i="1" s="1"/>
  <c r="I543" i="1" a="1"/>
  <c r="I543" i="1" s="1"/>
  <c r="I544" i="1" a="1"/>
  <c r="I544" i="1" s="1"/>
  <c r="I545" i="1" a="1"/>
  <c r="I545" i="1" s="1"/>
  <c r="I546" i="1" a="1"/>
  <c r="I546" i="1" s="1"/>
  <c r="I547" i="1" a="1"/>
  <c r="I547" i="1" s="1"/>
  <c r="I548" i="1" a="1"/>
  <c r="I548" i="1" s="1"/>
  <c r="I549" i="1" a="1"/>
  <c r="I549" i="1" s="1"/>
  <c r="I550" i="1" a="1"/>
  <c r="I550" i="1" s="1"/>
  <c r="I551" i="1" a="1"/>
  <c r="I551" i="1" s="1"/>
  <c r="I552" i="1" a="1"/>
  <c r="I552" i="1" s="1"/>
  <c r="I553" i="1" a="1"/>
  <c r="I553" i="1" s="1"/>
  <c r="I554" i="1" a="1"/>
  <c r="I554" i="1" s="1"/>
  <c r="I555" i="1" a="1"/>
  <c r="I555" i="1" s="1"/>
  <c r="I556" i="1" a="1"/>
  <c r="I556" i="1" s="1"/>
  <c r="I557" i="1" a="1"/>
  <c r="I557" i="1" s="1"/>
  <c r="I558" i="1" a="1"/>
  <c r="I558" i="1" s="1"/>
  <c r="I559" i="1" a="1"/>
  <c r="I559" i="1" s="1"/>
  <c r="I560" i="1" a="1"/>
  <c r="I560" i="1" s="1"/>
  <c r="I561" i="1" a="1"/>
  <c r="I561" i="1" s="1"/>
  <c r="I562" i="1" a="1"/>
  <c r="I562" i="1" s="1"/>
  <c r="I563" i="1" a="1"/>
  <c r="I563" i="1" s="1"/>
  <c r="I564" i="1" a="1"/>
  <c r="I564" i="1" s="1"/>
  <c r="I565" i="1" a="1"/>
  <c r="I565" i="1" s="1"/>
  <c r="I566" i="1" a="1"/>
  <c r="I566" i="1" s="1"/>
  <c r="I567" i="1" a="1"/>
  <c r="I567" i="1" s="1"/>
  <c r="I568" i="1" a="1"/>
  <c r="I568" i="1" s="1"/>
  <c r="I569" i="1" a="1"/>
  <c r="I569" i="1" s="1"/>
  <c r="I570" i="1" a="1"/>
  <c r="I570" i="1" s="1"/>
  <c r="I571" i="1" a="1"/>
  <c r="I571" i="1" s="1"/>
  <c r="I572" i="1" a="1"/>
  <c r="I572" i="1" s="1"/>
  <c r="I573" i="1" a="1"/>
  <c r="I573" i="1" s="1"/>
  <c r="I574" i="1" a="1"/>
  <c r="I574" i="1" s="1"/>
  <c r="I575" i="1" a="1"/>
  <c r="I575" i="1" s="1"/>
  <c r="I576" i="1" a="1"/>
  <c r="I576" i="1" s="1"/>
  <c r="I577" i="1" a="1"/>
  <c r="I577" i="1" s="1"/>
  <c r="I578" i="1" a="1"/>
  <c r="I578" i="1" s="1"/>
  <c r="I579" i="1" a="1"/>
  <c r="I579" i="1" s="1"/>
  <c r="I580" i="1" a="1"/>
  <c r="I580" i="1" s="1"/>
  <c r="I581" i="1" a="1"/>
  <c r="I581" i="1" s="1"/>
  <c r="I582" i="1" a="1"/>
  <c r="I582" i="1" s="1"/>
  <c r="I583" i="1" a="1"/>
  <c r="I583" i="1" s="1"/>
  <c r="I584" i="1" a="1"/>
  <c r="I584" i="1" s="1"/>
  <c r="I585" i="1" a="1"/>
  <c r="I585" i="1" s="1"/>
  <c r="I586" i="1" a="1"/>
  <c r="I586" i="1" s="1"/>
  <c r="I587" i="1" a="1"/>
  <c r="I587" i="1" s="1"/>
  <c r="I588" i="1" a="1"/>
  <c r="I588" i="1" s="1"/>
  <c r="I589" i="1" a="1"/>
  <c r="I589" i="1" s="1"/>
  <c r="I590" i="1" a="1"/>
  <c r="I590" i="1" s="1"/>
  <c r="I591" i="1" a="1"/>
  <c r="I591" i="1" s="1"/>
  <c r="I592" i="1" a="1"/>
  <c r="I592" i="1" s="1"/>
  <c r="I593" i="1" a="1"/>
  <c r="I593" i="1" s="1"/>
  <c r="I594" i="1" a="1"/>
  <c r="I594" i="1" s="1"/>
  <c r="I595" i="1" a="1"/>
  <c r="I595" i="1" s="1"/>
  <c r="I596" i="1" a="1"/>
  <c r="I596" i="1" s="1"/>
  <c r="I597" i="1" a="1"/>
  <c r="I597" i="1" s="1"/>
  <c r="I598" i="1" a="1"/>
  <c r="I598" i="1" s="1"/>
  <c r="I599" i="1" a="1"/>
  <c r="I599" i="1" s="1"/>
  <c r="I600" i="1" a="1"/>
  <c r="I600" i="1" s="1"/>
  <c r="I601" i="1" a="1"/>
  <c r="I601" i="1" s="1"/>
  <c r="I602" i="1" a="1"/>
  <c r="I602" i="1" s="1"/>
  <c r="I603" i="1" a="1"/>
  <c r="I603" i="1" s="1"/>
  <c r="I604" i="1" a="1"/>
  <c r="I604" i="1" s="1"/>
  <c r="I605" i="1" a="1"/>
  <c r="I605" i="1" s="1"/>
  <c r="I606" i="1" a="1"/>
  <c r="I606" i="1" s="1"/>
  <c r="I607" i="1" a="1"/>
  <c r="I607" i="1" s="1"/>
  <c r="I608" i="1" a="1"/>
  <c r="I608" i="1" s="1"/>
  <c r="I609" i="1" a="1"/>
  <c r="I609" i="1" s="1"/>
  <c r="I610" i="1" a="1"/>
  <c r="I610" i="1" s="1"/>
  <c r="I611" i="1" a="1"/>
  <c r="I611" i="1" s="1"/>
  <c r="I612" i="1" a="1"/>
  <c r="I612" i="1" s="1"/>
  <c r="I613" i="1" a="1"/>
  <c r="I613" i="1" s="1"/>
  <c r="I614" i="1" a="1"/>
  <c r="I614" i="1" s="1"/>
  <c r="I615" i="1" a="1"/>
  <c r="I615" i="1" s="1"/>
  <c r="I616" i="1" a="1"/>
  <c r="I616" i="1" s="1"/>
  <c r="I617" i="1" a="1"/>
  <c r="I617" i="1" s="1"/>
  <c r="I618" i="1" a="1"/>
  <c r="I618" i="1" s="1"/>
  <c r="I619" i="1" a="1"/>
  <c r="I619" i="1" s="1"/>
  <c r="I620" i="1" a="1"/>
  <c r="I620" i="1" s="1"/>
  <c r="I621" i="1" a="1"/>
  <c r="I621" i="1" s="1"/>
  <c r="I622" i="1" a="1"/>
  <c r="I622" i="1" s="1"/>
  <c r="I623" i="1" a="1"/>
  <c r="I623" i="1" s="1"/>
  <c r="I624" i="1" a="1"/>
  <c r="I624" i="1" s="1"/>
  <c r="I625" i="1" a="1"/>
  <c r="I625" i="1" s="1"/>
  <c r="I626" i="1" a="1"/>
  <c r="I626" i="1" s="1"/>
  <c r="I627" i="1" a="1"/>
  <c r="I627" i="1" s="1"/>
  <c r="I628" i="1" a="1"/>
  <c r="I628" i="1" s="1"/>
  <c r="I629" i="1" a="1"/>
  <c r="I629" i="1" s="1"/>
  <c r="I630" i="1" a="1"/>
  <c r="I630" i="1" s="1"/>
  <c r="I631" i="1" a="1"/>
  <c r="I631" i="1" s="1"/>
  <c r="I632" i="1" a="1"/>
  <c r="I632" i="1" s="1"/>
  <c r="I633" i="1" a="1"/>
  <c r="I633" i="1" s="1"/>
  <c r="I634" i="1" a="1"/>
  <c r="I634" i="1" s="1"/>
  <c r="I635" i="1" a="1"/>
  <c r="I635" i="1" s="1"/>
  <c r="I636" i="1" a="1"/>
  <c r="I636" i="1" s="1"/>
  <c r="I637" i="1" a="1"/>
  <c r="I637" i="1" s="1"/>
  <c r="I638" i="1" a="1"/>
  <c r="I638" i="1" s="1"/>
  <c r="I639" i="1" a="1"/>
  <c r="I639" i="1" s="1"/>
  <c r="I640" i="1" a="1"/>
  <c r="I640" i="1" s="1"/>
  <c r="I641" i="1" a="1"/>
  <c r="I641" i="1" s="1"/>
  <c r="I642" i="1" a="1"/>
  <c r="I642" i="1" s="1"/>
  <c r="I643" i="1" a="1"/>
  <c r="I643" i="1" s="1"/>
  <c r="I644" i="1" a="1"/>
  <c r="I644" i="1" s="1"/>
  <c r="I645" i="1" a="1"/>
  <c r="I645" i="1" s="1"/>
  <c r="I646" i="1" a="1"/>
  <c r="I646" i="1" s="1"/>
  <c r="I647" i="1" a="1"/>
  <c r="I647" i="1" s="1"/>
  <c r="I648" i="1" a="1"/>
  <c r="I648" i="1" s="1"/>
  <c r="I649" i="1" a="1"/>
  <c r="I649" i="1" s="1"/>
  <c r="I650" i="1" a="1"/>
  <c r="I650" i="1" s="1"/>
  <c r="I651" i="1" a="1"/>
  <c r="I651" i="1" s="1"/>
  <c r="I652" i="1" a="1"/>
  <c r="I652" i="1" s="1"/>
  <c r="I653" i="1" a="1"/>
  <c r="I653" i="1" s="1"/>
  <c r="I654" i="1" a="1"/>
  <c r="I654" i="1" s="1"/>
  <c r="I655" i="1" a="1"/>
  <c r="I655" i="1" s="1"/>
  <c r="I656" i="1" a="1"/>
  <c r="I656" i="1" s="1"/>
  <c r="I657" i="1" a="1"/>
  <c r="I657" i="1" s="1"/>
  <c r="I658" i="1" a="1"/>
  <c r="I658" i="1" s="1"/>
  <c r="I659" i="1" a="1"/>
  <c r="I659" i="1" s="1"/>
  <c r="I660" i="1" a="1"/>
  <c r="I660" i="1" s="1"/>
  <c r="I661" i="1" a="1"/>
  <c r="I661" i="1" s="1"/>
  <c r="I662" i="1" a="1"/>
  <c r="I662" i="1" s="1"/>
  <c r="I663" i="1" a="1"/>
  <c r="I663" i="1" s="1"/>
  <c r="I664" i="1" a="1"/>
  <c r="I664" i="1" s="1"/>
  <c r="I665" i="1" a="1"/>
  <c r="I665" i="1" s="1"/>
  <c r="I666" i="1" a="1"/>
  <c r="I666" i="1" s="1"/>
  <c r="I667" i="1" a="1"/>
  <c r="I667" i="1" s="1"/>
  <c r="I668" i="1" a="1"/>
  <c r="I668" i="1" s="1"/>
  <c r="I669" i="1" a="1"/>
  <c r="I669" i="1" s="1"/>
  <c r="I670" i="1" a="1"/>
  <c r="I670" i="1" s="1"/>
  <c r="I671" i="1" a="1"/>
  <c r="I671" i="1" s="1"/>
  <c r="I672" i="1" a="1"/>
  <c r="I672" i="1" s="1"/>
  <c r="I673" i="1" a="1"/>
  <c r="I673" i="1" s="1"/>
  <c r="I674" i="1" a="1"/>
  <c r="I674" i="1" s="1"/>
  <c r="I675" i="1" a="1"/>
  <c r="I675" i="1" s="1"/>
  <c r="I676" i="1" a="1"/>
  <c r="I676" i="1" s="1"/>
  <c r="I677" i="1" a="1"/>
  <c r="I677" i="1" s="1"/>
  <c r="I678" i="1" a="1"/>
  <c r="I678" i="1" s="1"/>
  <c r="I679" i="1" a="1"/>
  <c r="I679" i="1" s="1"/>
  <c r="I680" i="1" a="1"/>
  <c r="I680" i="1" s="1"/>
  <c r="I681" i="1" a="1"/>
  <c r="I681" i="1" s="1"/>
  <c r="I682" i="1" a="1"/>
  <c r="I682" i="1" s="1"/>
  <c r="I683" i="1" a="1"/>
  <c r="I683" i="1" s="1"/>
  <c r="I684" i="1" a="1"/>
  <c r="I684" i="1" s="1"/>
  <c r="I685" i="1" a="1"/>
  <c r="I685" i="1" s="1"/>
  <c r="I686" i="1" a="1"/>
  <c r="I686" i="1" s="1"/>
  <c r="I687" i="1" a="1"/>
  <c r="I687" i="1" s="1"/>
  <c r="I688" i="1" a="1"/>
  <c r="I688" i="1" s="1"/>
  <c r="I689" i="1" a="1"/>
  <c r="I689" i="1" s="1"/>
  <c r="I690" i="1" a="1"/>
  <c r="I690" i="1" s="1"/>
  <c r="I691" i="1" a="1"/>
  <c r="I691" i="1" s="1"/>
  <c r="I692" i="1" a="1"/>
  <c r="I692" i="1" s="1"/>
  <c r="I693" i="1" a="1"/>
  <c r="I693" i="1" s="1"/>
  <c r="I694" i="1" a="1"/>
  <c r="I694" i="1" s="1"/>
  <c r="I695" i="1" a="1"/>
  <c r="I695" i="1" s="1"/>
  <c r="I696" i="1" a="1"/>
  <c r="I696" i="1" s="1"/>
  <c r="I697" i="1" a="1"/>
  <c r="I697" i="1" s="1"/>
  <c r="I698" i="1" a="1"/>
  <c r="I698" i="1" s="1"/>
  <c r="I699" i="1" a="1"/>
  <c r="I699" i="1" s="1"/>
  <c r="I700" i="1" a="1"/>
  <c r="I700" i="1" s="1"/>
  <c r="I701" i="1" a="1"/>
  <c r="I701" i="1" s="1"/>
  <c r="I702" i="1" a="1"/>
  <c r="I702" i="1" s="1"/>
  <c r="I703" i="1" a="1"/>
  <c r="I703" i="1" s="1"/>
  <c r="I704" i="1" a="1"/>
  <c r="I704" i="1" s="1"/>
  <c r="I705" i="1" a="1"/>
  <c r="I705" i="1" s="1"/>
  <c r="I706" i="1" a="1"/>
  <c r="I706" i="1" s="1"/>
  <c r="I707" i="1" a="1"/>
  <c r="I707" i="1" s="1"/>
  <c r="I708" i="1" a="1"/>
  <c r="I708" i="1" s="1"/>
  <c r="I709" i="1" a="1"/>
  <c r="I709" i="1" s="1"/>
  <c r="I710" i="1" a="1"/>
  <c r="I710" i="1" s="1"/>
  <c r="I711" i="1" a="1"/>
  <c r="I711" i="1" s="1"/>
  <c r="I712" i="1" a="1"/>
  <c r="I712" i="1" s="1"/>
  <c r="I713" i="1" a="1"/>
  <c r="I713" i="1" s="1"/>
  <c r="I714" i="1" a="1"/>
  <c r="I714" i="1" s="1"/>
  <c r="I715" i="1" a="1"/>
  <c r="I715" i="1" s="1"/>
  <c r="I716" i="1" a="1"/>
  <c r="I716" i="1" s="1"/>
  <c r="I717" i="1" a="1"/>
  <c r="I717" i="1" s="1"/>
  <c r="I718" i="1" a="1"/>
  <c r="I718" i="1" s="1"/>
  <c r="I719" i="1" a="1"/>
  <c r="I719" i="1" s="1"/>
  <c r="I720" i="1" a="1"/>
  <c r="I720" i="1" s="1"/>
  <c r="I721" i="1" a="1"/>
  <c r="I721" i="1" s="1"/>
  <c r="I722" i="1" a="1"/>
  <c r="I722" i="1" s="1"/>
  <c r="I723" i="1" a="1"/>
  <c r="I723" i="1" s="1"/>
  <c r="I724" i="1" a="1"/>
  <c r="I724" i="1" s="1"/>
  <c r="I725" i="1" a="1"/>
  <c r="I725" i="1" s="1"/>
  <c r="I726" i="1" a="1"/>
  <c r="I726" i="1" s="1"/>
  <c r="I727" i="1" a="1"/>
  <c r="I727" i="1" s="1"/>
  <c r="I728" i="1" a="1"/>
  <c r="I728" i="1" s="1"/>
  <c r="I729" i="1" a="1"/>
  <c r="I729" i="1" s="1"/>
  <c r="I730" i="1" a="1"/>
  <c r="I730" i="1" s="1"/>
  <c r="I731" i="1" a="1"/>
  <c r="I731" i="1" s="1"/>
  <c r="I732" i="1" a="1"/>
  <c r="I732" i="1" s="1"/>
  <c r="I733" i="1" a="1"/>
  <c r="I733" i="1" s="1"/>
  <c r="I734" i="1" a="1"/>
  <c r="I734" i="1" s="1"/>
  <c r="I735" i="1" a="1"/>
  <c r="I735" i="1" s="1"/>
  <c r="I736" i="1" a="1"/>
  <c r="I736" i="1" s="1"/>
  <c r="I737" i="1" a="1"/>
  <c r="I737" i="1" s="1"/>
  <c r="I738" i="1" a="1"/>
  <c r="I738" i="1" s="1"/>
  <c r="I739" i="1" a="1"/>
  <c r="I739" i="1" s="1"/>
  <c r="I740" i="1" a="1"/>
  <c r="I740" i="1" s="1"/>
  <c r="I741" i="1" a="1"/>
  <c r="I741" i="1" s="1"/>
  <c r="I742" i="1" a="1"/>
  <c r="I742" i="1" s="1"/>
  <c r="I743" i="1" a="1"/>
  <c r="I743" i="1" s="1"/>
  <c r="I744" i="1" a="1"/>
  <c r="I744" i="1" s="1"/>
  <c r="I745" i="1" a="1"/>
  <c r="I745" i="1" s="1"/>
  <c r="I746" i="1" a="1"/>
  <c r="I746" i="1" s="1"/>
  <c r="I747" i="1" a="1"/>
  <c r="I747" i="1" s="1"/>
  <c r="I748" i="1" a="1"/>
  <c r="I748" i="1" s="1"/>
  <c r="I749" i="1" a="1"/>
  <c r="I749" i="1" s="1"/>
  <c r="I750" i="1" a="1"/>
  <c r="I750" i="1" s="1"/>
  <c r="I751" i="1" a="1"/>
  <c r="I751" i="1" s="1"/>
  <c r="I752" i="1" a="1"/>
  <c r="I752" i="1" s="1"/>
  <c r="I753" i="1" a="1"/>
  <c r="I753" i="1" s="1"/>
  <c r="I754" i="1" a="1"/>
  <c r="I754" i="1" s="1"/>
  <c r="I755" i="1" a="1"/>
  <c r="I755" i="1" s="1"/>
  <c r="I756" i="1" a="1"/>
  <c r="I756" i="1" s="1"/>
  <c r="I757" i="1" a="1"/>
  <c r="I757" i="1" s="1"/>
  <c r="I758" i="1" a="1"/>
  <c r="I758" i="1" s="1"/>
  <c r="I759" i="1" a="1"/>
  <c r="I759" i="1" s="1"/>
  <c r="I760" i="1" a="1"/>
  <c r="I760" i="1" s="1"/>
  <c r="I761" i="1" a="1"/>
  <c r="I761" i="1" s="1"/>
  <c r="I762" i="1" a="1"/>
  <c r="I762" i="1" s="1"/>
  <c r="I763" i="1" a="1"/>
  <c r="I763" i="1" s="1"/>
  <c r="I764" i="1" a="1"/>
  <c r="I764" i="1" s="1"/>
  <c r="I765" i="1" a="1"/>
  <c r="I765" i="1" s="1"/>
  <c r="I766" i="1" a="1"/>
  <c r="I766" i="1" s="1"/>
  <c r="I767" i="1" a="1"/>
  <c r="I767" i="1" s="1"/>
  <c r="I768" i="1" a="1"/>
  <c r="I768" i="1" s="1"/>
  <c r="I769" i="1" a="1"/>
  <c r="I769" i="1" s="1"/>
  <c r="I770" i="1" a="1"/>
  <c r="I770" i="1" s="1"/>
  <c r="I771" i="1" a="1"/>
  <c r="I771" i="1" s="1"/>
  <c r="I772" i="1" a="1"/>
  <c r="I772" i="1" s="1"/>
  <c r="I773" i="1" a="1"/>
  <c r="I773" i="1" s="1"/>
  <c r="I774" i="1" a="1"/>
  <c r="I774" i="1" s="1"/>
  <c r="I775" i="1" a="1"/>
  <c r="I775" i="1" s="1"/>
  <c r="I776" i="1" a="1"/>
  <c r="I776" i="1" s="1"/>
  <c r="I777" i="1" a="1"/>
  <c r="I777" i="1" s="1"/>
  <c r="I778" i="1" a="1"/>
  <c r="I778" i="1" s="1"/>
  <c r="I779" i="1" a="1"/>
  <c r="I779" i="1" s="1"/>
  <c r="I780" i="1" a="1"/>
  <c r="I780" i="1" s="1"/>
  <c r="I781" i="1" a="1"/>
  <c r="I781" i="1" s="1"/>
  <c r="I782" i="1" a="1"/>
  <c r="I782" i="1" s="1"/>
  <c r="I783" i="1" a="1"/>
  <c r="I783" i="1" s="1"/>
  <c r="I784" i="1" a="1"/>
  <c r="I784" i="1" s="1"/>
  <c r="I785" i="1" a="1"/>
  <c r="I785" i="1" s="1"/>
  <c r="I786" i="1" a="1"/>
  <c r="I786" i="1" s="1"/>
  <c r="I787" i="1" a="1"/>
  <c r="I787" i="1" s="1"/>
  <c r="I788" i="1" a="1"/>
  <c r="I788" i="1" s="1"/>
  <c r="I789" i="1" a="1"/>
  <c r="I789" i="1" s="1"/>
  <c r="I790" i="1" a="1"/>
  <c r="I790" i="1" s="1"/>
  <c r="I791" i="1" a="1"/>
  <c r="I791" i="1" s="1"/>
  <c r="I792" i="1" a="1"/>
  <c r="I792" i="1" s="1"/>
  <c r="I793" i="1" a="1"/>
  <c r="I793" i="1" s="1"/>
  <c r="I794" i="1" a="1"/>
  <c r="I794" i="1" s="1"/>
  <c r="I795" i="1" a="1"/>
  <c r="I795" i="1" s="1"/>
  <c r="I796" i="1" a="1"/>
  <c r="I796" i="1" s="1"/>
  <c r="I797" i="1" a="1"/>
  <c r="I797" i="1" s="1"/>
  <c r="I798" i="1" a="1"/>
  <c r="I798" i="1" s="1"/>
  <c r="I799" i="1" a="1"/>
  <c r="I799" i="1" s="1"/>
  <c r="I800" i="1" a="1"/>
  <c r="I800" i="1" s="1"/>
  <c r="I801" i="1" a="1"/>
  <c r="I801" i="1" s="1"/>
  <c r="I802" i="1" a="1"/>
  <c r="I802" i="1" s="1"/>
  <c r="I803" i="1" a="1"/>
  <c r="I803" i="1" s="1"/>
  <c r="I804" i="1" a="1"/>
  <c r="I804" i="1" s="1"/>
  <c r="I805" i="1" a="1"/>
  <c r="I805" i="1" s="1"/>
  <c r="I806" i="1" a="1"/>
  <c r="I806" i="1" s="1"/>
  <c r="I807" i="1" a="1"/>
  <c r="I807" i="1" s="1"/>
  <c r="I808" i="1" a="1"/>
  <c r="I808" i="1" s="1"/>
  <c r="I809" i="1" a="1"/>
  <c r="I809" i="1" s="1"/>
  <c r="I810" i="1" a="1"/>
  <c r="I810" i="1" s="1"/>
  <c r="I811" i="1" a="1"/>
  <c r="I811" i="1" s="1"/>
  <c r="I812" i="1" a="1"/>
  <c r="I812" i="1" s="1"/>
  <c r="I813" i="1" a="1"/>
  <c r="I813" i="1" s="1"/>
  <c r="I814" i="1" a="1"/>
  <c r="I814" i="1" s="1"/>
  <c r="I815" i="1" a="1"/>
  <c r="I815" i="1" s="1"/>
  <c r="I816" i="1" a="1"/>
  <c r="I816" i="1" s="1"/>
  <c r="I817" i="1" a="1"/>
  <c r="I817" i="1" s="1"/>
  <c r="I818" i="1" a="1"/>
  <c r="I818" i="1" s="1"/>
  <c r="I819" i="1" a="1"/>
  <c r="I819" i="1" s="1"/>
  <c r="I820" i="1" a="1"/>
  <c r="I820" i="1" s="1"/>
  <c r="I821" i="1" a="1"/>
  <c r="I821" i="1" s="1"/>
  <c r="I822" i="1" a="1"/>
  <c r="I822" i="1" s="1"/>
  <c r="I823" i="1" a="1"/>
  <c r="I823" i="1" s="1"/>
  <c r="I824" i="1" a="1"/>
  <c r="I824" i="1" s="1"/>
  <c r="I825" i="1" a="1"/>
  <c r="I825" i="1" s="1"/>
  <c r="I826" i="1" a="1"/>
  <c r="I826" i="1" s="1"/>
  <c r="I827" i="1" a="1"/>
  <c r="I827" i="1" s="1"/>
  <c r="I828" i="1" a="1"/>
  <c r="I828" i="1" s="1"/>
  <c r="I829" i="1" a="1"/>
  <c r="I829" i="1" s="1"/>
  <c r="I830" i="1" a="1"/>
  <c r="I830" i="1" s="1"/>
  <c r="I831" i="1" a="1"/>
  <c r="I831" i="1" s="1"/>
  <c r="I832" i="1" a="1"/>
  <c r="I832" i="1" s="1"/>
  <c r="I833" i="1" a="1"/>
  <c r="I833" i="1" s="1"/>
  <c r="I834" i="1" a="1"/>
  <c r="I834" i="1" s="1"/>
  <c r="I835" i="1" a="1"/>
  <c r="I835" i="1" s="1"/>
  <c r="I836" i="1" a="1"/>
  <c r="I836" i="1" s="1"/>
  <c r="I837" i="1" a="1"/>
  <c r="I837" i="1" s="1"/>
  <c r="I838" i="1" a="1"/>
  <c r="I838" i="1" s="1"/>
  <c r="I839" i="1" a="1"/>
  <c r="I839" i="1" s="1"/>
  <c r="I840" i="1" a="1"/>
  <c r="I840" i="1" s="1"/>
  <c r="I841" i="1" a="1"/>
  <c r="I841" i="1" s="1"/>
  <c r="I842" i="1" a="1"/>
  <c r="I842" i="1" s="1"/>
  <c r="I843" i="1" a="1"/>
  <c r="I843" i="1" s="1"/>
  <c r="I844" i="1" a="1"/>
  <c r="I844" i="1" s="1"/>
  <c r="I845" i="1" a="1"/>
  <c r="I845" i="1" s="1"/>
  <c r="I846" i="1" a="1"/>
  <c r="I846" i="1" s="1"/>
  <c r="I847" i="1" a="1"/>
  <c r="I847" i="1" s="1"/>
  <c r="I848" i="1" a="1"/>
  <c r="I848" i="1" s="1"/>
  <c r="I849" i="1" a="1"/>
  <c r="I849" i="1" s="1"/>
  <c r="I850" i="1" a="1"/>
  <c r="I850" i="1" s="1"/>
  <c r="I851" i="1" a="1"/>
  <c r="I851" i="1" s="1"/>
  <c r="I852" i="1" a="1"/>
  <c r="I852" i="1" s="1"/>
  <c r="I853" i="1" a="1"/>
  <c r="I853" i="1" s="1"/>
  <c r="I854" i="1" a="1"/>
  <c r="I854" i="1" s="1"/>
  <c r="I855" i="1" a="1"/>
  <c r="I855" i="1" s="1"/>
  <c r="I856" i="1" a="1"/>
  <c r="I856" i="1" s="1"/>
  <c r="I857" i="1" a="1"/>
  <c r="I857" i="1" s="1"/>
  <c r="I858" i="1" a="1"/>
  <c r="I858" i="1" s="1"/>
  <c r="I859" i="1" a="1"/>
  <c r="I859" i="1" s="1"/>
  <c r="I860" i="1" a="1"/>
  <c r="I860" i="1" s="1"/>
  <c r="I861" i="1" a="1"/>
  <c r="I861" i="1" s="1"/>
  <c r="I862" i="1" a="1"/>
  <c r="I862" i="1" s="1"/>
  <c r="I863" i="1" a="1"/>
  <c r="I863" i="1" s="1"/>
  <c r="I864" i="1" a="1"/>
  <c r="I864" i="1" s="1"/>
  <c r="I865" i="1" a="1"/>
  <c r="I865" i="1" s="1"/>
  <c r="I866" i="1" a="1"/>
  <c r="I866" i="1" s="1"/>
  <c r="I867" i="1" a="1"/>
  <c r="I867" i="1" s="1"/>
  <c r="I868" i="1" a="1"/>
  <c r="I868" i="1" s="1"/>
  <c r="I869" i="1" a="1"/>
  <c r="I869" i="1" s="1"/>
  <c r="I870" i="1" a="1"/>
  <c r="I870" i="1" s="1"/>
  <c r="I871" i="1" a="1"/>
  <c r="I871" i="1" s="1"/>
  <c r="I872" i="1" a="1"/>
  <c r="I872" i="1" s="1"/>
  <c r="I873" i="1" a="1"/>
  <c r="I873" i="1" s="1"/>
  <c r="I874" i="1" a="1"/>
  <c r="I874" i="1" s="1"/>
  <c r="I875" i="1" a="1"/>
  <c r="I875" i="1" s="1"/>
  <c r="I876" i="1" a="1"/>
  <c r="I876" i="1" s="1"/>
  <c r="I877" i="1" a="1"/>
  <c r="I877" i="1" s="1"/>
  <c r="I878" i="1" a="1"/>
  <c r="I878" i="1" s="1"/>
  <c r="I879" i="1" a="1"/>
  <c r="I879" i="1" s="1"/>
  <c r="I880" i="1" a="1"/>
  <c r="I880" i="1" s="1"/>
  <c r="I881" i="1" a="1"/>
  <c r="I881" i="1" s="1"/>
  <c r="I882" i="1" a="1"/>
  <c r="I882" i="1" s="1"/>
  <c r="I883" i="1" a="1"/>
  <c r="I883" i="1" s="1"/>
  <c r="I884" i="1" a="1"/>
  <c r="I884" i="1" s="1"/>
  <c r="I885" i="1" a="1"/>
  <c r="I885" i="1" s="1"/>
  <c r="I886" i="1" a="1"/>
  <c r="I886" i="1" s="1"/>
  <c r="I887" i="1" a="1"/>
  <c r="I887" i="1" s="1"/>
  <c r="I888" i="1" a="1"/>
  <c r="I888" i="1" s="1"/>
  <c r="I889" i="1" a="1"/>
  <c r="I889" i="1" s="1"/>
  <c r="I890" i="1" a="1"/>
  <c r="I890" i="1" s="1"/>
  <c r="I891" i="1" a="1"/>
  <c r="I891" i="1" s="1"/>
  <c r="I892" i="1" a="1"/>
  <c r="I892" i="1" s="1"/>
  <c r="I893" i="1" a="1"/>
  <c r="I893" i="1" s="1"/>
  <c r="I894" i="1" a="1"/>
  <c r="I894" i="1" s="1"/>
  <c r="I895" i="1" a="1"/>
  <c r="I895" i="1" s="1"/>
  <c r="I896" i="1" a="1"/>
  <c r="I896" i="1" s="1"/>
  <c r="I897" i="1" a="1"/>
  <c r="I897" i="1" s="1"/>
  <c r="I898" i="1" a="1"/>
  <c r="I898" i="1" s="1"/>
  <c r="I899" i="1" a="1"/>
  <c r="I899" i="1" s="1"/>
  <c r="I900" i="1" a="1"/>
  <c r="I900" i="1" s="1"/>
  <c r="I901" i="1" a="1"/>
  <c r="I901" i="1" s="1"/>
  <c r="I902" i="1" a="1"/>
  <c r="I902" i="1" s="1"/>
  <c r="I903" i="1" a="1"/>
  <c r="I903" i="1" s="1"/>
  <c r="I904" i="1" a="1"/>
  <c r="I904" i="1" s="1"/>
  <c r="I905" i="1" a="1"/>
  <c r="I905" i="1" s="1"/>
  <c r="I906" i="1" a="1"/>
  <c r="I906" i="1" s="1"/>
  <c r="I907" i="1" a="1"/>
  <c r="I907" i="1" s="1"/>
  <c r="I908" i="1" a="1"/>
  <c r="I908" i="1" s="1"/>
  <c r="I909" i="1" a="1"/>
  <c r="I909" i="1" s="1"/>
  <c r="I910" i="1" a="1"/>
  <c r="I910" i="1" s="1"/>
  <c r="I911" i="1" a="1"/>
  <c r="I911" i="1" s="1"/>
  <c r="I912" i="1" a="1"/>
  <c r="I912" i="1" s="1"/>
  <c r="I913" i="1" a="1"/>
  <c r="I913" i="1" s="1"/>
  <c r="I914" i="1" a="1"/>
  <c r="I914" i="1" s="1"/>
  <c r="I915" i="1" a="1"/>
  <c r="I915" i="1" s="1"/>
  <c r="I916" i="1" a="1"/>
  <c r="I916" i="1" s="1"/>
  <c r="I917" i="1" a="1"/>
  <c r="I917" i="1" s="1"/>
  <c r="I918" i="1" a="1"/>
  <c r="I918" i="1" s="1"/>
  <c r="I919" i="1" a="1"/>
  <c r="I919" i="1" s="1"/>
  <c r="I920" i="1" a="1"/>
  <c r="I920" i="1" s="1"/>
  <c r="I921" i="1" a="1"/>
  <c r="I921" i="1" s="1"/>
  <c r="I922" i="1" a="1"/>
  <c r="I922" i="1" s="1"/>
  <c r="I923" i="1" a="1"/>
  <c r="I923" i="1" s="1"/>
  <c r="I924" i="1" a="1"/>
  <c r="I924" i="1" s="1"/>
  <c r="I925" i="1" a="1"/>
  <c r="I925" i="1" s="1"/>
  <c r="I926" i="1" a="1"/>
  <c r="I926" i="1" s="1"/>
  <c r="I927" i="1" a="1"/>
  <c r="I927" i="1" s="1"/>
  <c r="I928" i="1" a="1"/>
  <c r="I928" i="1" s="1"/>
  <c r="I929" i="1" a="1"/>
  <c r="I929" i="1" s="1"/>
  <c r="I930" i="1" a="1"/>
  <c r="I930" i="1" s="1"/>
  <c r="I931" i="1" a="1"/>
  <c r="I931" i="1" s="1"/>
  <c r="I932" i="1" a="1"/>
  <c r="I932" i="1" s="1"/>
  <c r="I933" i="1" a="1"/>
  <c r="I933" i="1" s="1"/>
  <c r="I934" i="1" a="1"/>
  <c r="I934" i="1" s="1"/>
  <c r="I935" i="1" a="1"/>
  <c r="I935" i="1" s="1"/>
  <c r="I936" i="1" a="1"/>
  <c r="I936" i="1" s="1"/>
  <c r="I937" i="1" a="1"/>
  <c r="I937" i="1" s="1"/>
  <c r="I938" i="1" a="1"/>
  <c r="I938" i="1" s="1"/>
  <c r="I939" i="1" a="1"/>
  <c r="I939" i="1" s="1"/>
  <c r="I940" i="1" a="1"/>
  <c r="I940" i="1" s="1"/>
  <c r="I941" i="1" a="1"/>
  <c r="I941" i="1" s="1"/>
  <c r="I942" i="1" a="1"/>
  <c r="I942" i="1" s="1"/>
  <c r="I943" i="1" a="1"/>
  <c r="I943" i="1" s="1"/>
  <c r="I944" i="1" a="1"/>
  <c r="I944" i="1" s="1"/>
  <c r="I945" i="1" a="1"/>
  <c r="I945" i="1" s="1"/>
  <c r="I946" i="1" a="1"/>
  <c r="I946" i="1" s="1"/>
  <c r="I947" i="1" a="1"/>
  <c r="I947" i="1" s="1"/>
  <c r="I948" i="1" a="1"/>
  <c r="I948" i="1" s="1"/>
  <c r="I949" i="1" a="1"/>
  <c r="I949" i="1" s="1"/>
  <c r="I950" i="1" a="1"/>
  <c r="I950" i="1" s="1"/>
  <c r="I951" i="1" a="1"/>
  <c r="I951" i="1" s="1"/>
  <c r="I952" i="1" a="1"/>
  <c r="I952" i="1" s="1"/>
  <c r="I953" i="1" a="1"/>
  <c r="I953" i="1" s="1"/>
  <c r="I954" i="1" a="1"/>
  <c r="I954" i="1" s="1"/>
  <c r="I955" i="1" a="1"/>
  <c r="I955" i="1" s="1"/>
  <c r="I956" i="1" a="1"/>
  <c r="I956" i="1" s="1"/>
  <c r="I957" i="1" a="1"/>
  <c r="I957" i="1" s="1"/>
  <c r="I958" i="1" a="1"/>
  <c r="I958" i="1" s="1"/>
  <c r="I959" i="1" a="1"/>
  <c r="I959" i="1" s="1"/>
  <c r="I960" i="1" a="1"/>
  <c r="I960" i="1" s="1"/>
  <c r="I961" i="1" a="1"/>
  <c r="I961" i="1" s="1"/>
  <c r="I962" i="1" a="1"/>
  <c r="I962" i="1" s="1"/>
  <c r="I963" i="1" a="1"/>
  <c r="I963" i="1" s="1"/>
  <c r="I964" i="1" a="1"/>
  <c r="I964" i="1" s="1"/>
  <c r="I965" i="1" a="1"/>
  <c r="I965" i="1" s="1"/>
  <c r="I966" i="1" a="1"/>
  <c r="I966" i="1" s="1"/>
  <c r="I967" i="1" a="1"/>
  <c r="I967" i="1" s="1"/>
  <c r="I968" i="1" a="1"/>
  <c r="I968" i="1" s="1"/>
  <c r="I969" i="1" a="1"/>
  <c r="I969" i="1" s="1"/>
  <c r="I970" i="1" a="1"/>
  <c r="I970" i="1" s="1"/>
  <c r="I971" i="1" a="1"/>
  <c r="I971" i="1" s="1"/>
  <c r="I972" i="1" a="1"/>
  <c r="I972" i="1" s="1"/>
  <c r="I973" i="1" a="1"/>
  <c r="I973" i="1" s="1"/>
  <c r="I974" i="1" a="1"/>
  <c r="I974" i="1" s="1"/>
  <c r="I975" i="1" a="1"/>
  <c r="I975" i="1" s="1"/>
  <c r="I976" i="1" a="1"/>
  <c r="I976" i="1" s="1"/>
  <c r="I977" i="1" a="1"/>
  <c r="I977" i="1" s="1"/>
  <c r="I978" i="1" a="1"/>
  <c r="I978" i="1" s="1"/>
  <c r="I979" i="1" a="1"/>
  <c r="I979" i="1" s="1"/>
  <c r="I980" i="1" a="1"/>
  <c r="I980" i="1" s="1"/>
  <c r="I981" i="1" a="1"/>
  <c r="I981" i="1" s="1"/>
  <c r="I982" i="1" a="1"/>
  <c r="I982" i="1" s="1"/>
  <c r="I983" i="1" a="1"/>
  <c r="I983" i="1" s="1"/>
  <c r="I984" i="1" a="1"/>
  <c r="I984" i="1" s="1"/>
  <c r="I985" i="1" a="1"/>
  <c r="I985" i="1" s="1"/>
  <c r="I986" i="1" a="1"/>
  <c r="I986" i="1" s="1"/>
  <c r="I987" i="1" a="1"/>
  <c r="I987" i="1" s="1"/>
  <c r="I988" i="1" a="1"/>
  <c r="I988" i="1" s="1"/>
  <c r="I989" i="1" a="1"/>
  <c r="I989" i="1" s="1"/>
  <c r="I990" i="1" a="1"/>
  <c r="I990" i="1" s="1"/>
  <c r="I991" i="1" a="1"/>
  <c r="I991" i="1" s="1"/>
  <c r="I992" i="1" a="1"/>
  <c r="I992" i="1" s="1"/>
  <c r="I993" i="1" a="1"/>
  <c r="I993" i="1" s="1"/>
  <c r="I994" i="1" a="1"/>
  <c r="I994" i="1" s="1"/>
  <c r="I995" i="1" a="1"/>
  <c r="I995" i="1" s="1"/>
  <c r="I996" i="1" a="1"/>
  <c r="I996" i="1" s="1"/>
  <c r="I997" i="1" a="1"/>
  <c r="I997" i="1" s="1"/>
  <c r="I998" i="1" a="1"/>
  <c r="I998" i="1" s="1"/>
  <c r="I999" i="1" a="1"/>
  <c r="I999" i="1" s="1"/>
  <c r="I1000" i="1" a="1"/>
  <c r="I1000" i="1" s="1"/>
  <c r="I1001" i="1" a="1"/>
  <c r="I1001" i="1" s="1"/>
  <c r="I1002" i="1" a="1"/>
  <c r="I1002" i="1" s="1"/>
  <c r="I1003" i="1" a="1"/>
  <c r="I1003" i="1" s="1"/>
  <c r="I1004" i="1" a="1"/>
  <c r="I1004" i="1" s="1"/>
  <c r="I1005" i="1" a="1"/>
  <c r="I1005" i="1" s="1"/>
  <c r="I1006" i="1" a="1"/>
  <c r="I1006" i="1" s="1"/>
  <c r="I1007" i="1" a="1"/>
  <c r="I1007" i="1" s="1"/>
  <c r="I1008" i="1" a="1"/>
  <c r="I1008" i="1" s="1"/>
  <c r="I1009" i="1" a="1"/>
  <c r="I1009" i="1" s="1"/>
  <c r="I1010" i="1" a="1"/>
  <c r="I1010" i="1" s="1"/>
  <c r="I1011" i="1" a="1"/>
  <c r="I1011" i="1" s="1"/>
  <c r="I1012" i="1" a="1"/>
  <c r="I1012" i="1" s="1"/>
  <c r="I1013" i="1" a="1"/>
  <c r="I1013" i="1" s="1"/>
  <c r="I1014" i="1" a="1"/>
  <c r="I1014" i="1" s="1"/>
  <c r="I1015" i="1" a="1"/>
  <c r="I1015" i="1" s="1"/>
  <c r="I1016" i="1" a="1"/>
  <c r="I1016" i="1" s="1"/>
  <c r="I1017" i="1" a="1"/>
  <c r="I1017" i="1" s="1"/>
  <c r="I1018" i="1" a="1"/>
  <c r="I1018" i="1" s="1"/>
  <c r="I1019" i="1" a="1"/>
  <c r="I1019" i="1" s="1"/>
  <c r="I1020" i="1" a="1"/>
  <c r="I1020" i="1" s="1"/>
  <c r="I1021" i="1" a="1"/>
  <c r="I1021" i="1" s="1"/>
  <c r="I1022" i="1" a="1"/>
  <c r="I1022" i="1" s="1"/>
  <c r="I1023" i="1" a="1"/>
  <c r="I1023" i="1" s="1"/>
  <c r="I1024" i="1" a="1"/>
  <c r="I1024" i="1" s="1"/>
  <c r="I1025" i="1" a="1"/>
  <c r="I1025" i="1" s="1"/>
  <c r="I1026" i="1" a="1"/>
  <c r="I1026" i="1" s="1"/>
  <c r="I1027" i="1" a="1"/>
  <c r="I1027" i="1" s="1"/>
  <c r="I1028" i="1" a="1"/>
  <c r="I1028" i="1" s="1"/>
  <c r="I1029" i="1" a="1"/>
  <c r="I1029" i="1" s="1"/>
  <c r="I1030" i="1" a="1"/>
  <c r="I1030" i="1" s="1"/>
  <c r="I1031" i="1" a="1"/>
  <c r="I1031" i="1" s="1"/>
  <c r="I1032" i="1" a="1"/>
  <c r="I1032" i="1" s="1"/>
  <c r="I1033" i="1" a="1"/>
  <c r="I1033" i="1" s="1"/>
  <c r="I1034" i="1" a="1"/>
  <c r="I1034" i="1" s="1"/>
  <c r="I1035" i="1" a="1"/>
  <c r="I1035" i="1" s="1"/>
  <c r="I1036" i="1" a="1"/>
  <c r="I1036" i="1" s="1"/>
  <c r="I1037" i="1" a="1"/>
  <c r="I1037" i="1" s="1"/>
  <c r="I1038" i="1" a="1"/>
  <c r="I1038" i="1" s="1"/>
  <c r="I1039" i="1" a="1"/>
  <c r="I1039" i="1" s="1"/>
  <c r="I1040" i="1" a="1"/>
  <c r="I1040" i="1" s="1"/>
  <c r="I1041" i="1" a="1"/>
  <c r="I1041" i="1" s="1"/>
  <c r="I1042" i="1" a="1"/>
  <c r="I1042" i="1" s="1"/>
  <c r="I1043" i="1" a="1"/>
  <c r="I1043" i="1" s="1"/>
  <c r="I1044" i="1" a="1"/>
  <c r="I1044" i="1" s="1"/>
  <c r="I1045" i="1" a="1"/>
  <c r="I1045" i="1" s="1"/>
  <c r="I1046" i="1" a="1"/>
  <c r="I1046" i="1" s="1"/>
  <c r="I1047" i="1" a="1"/>
  <c r="I1047" i="1" s="1"/>
  <c r="I1048" i="1" a="1"/>
  <c r="I1048" i="1" s="1"/>
  <c r="I1049" i="1" a="1"/>
  <c r="I1049" i="1" s="1"/>
  <c r="I1050" i="1" a="1"/>
  <c r="I1050" i="1" s="1"/>
  <c r="I1051" i="1" a="1"/>
  <c r="I1051" i="1" s="1"/>
  <c r="I1052" i="1" a="1"/>
  <c r="I1052" i="1" s="1"/>
  <c r="I1053" i="1" a="1"/>
  <c r="I1053" i="1" s="1"/>
  <c r="I1054" i="1" a="1"/>
  <c r="I1054" i="1" s="1"/>
  <c r="I1055" i="1" a="1"/>
  <c r="I1055" i="1" s="1"/>
  <c r="I1056" i="1" a="1"/>
  <c r="I1056" i="1" s="1"/>
  <c r="I1057" i="1" a="1"/>
  <c r="I1057" i="1" s="1"/>
  <c r="I1058" i="1" a="1"/>
  <c r="I1058" i="1" s="1"/>
  <c r="I1059" i="1" a="1"/>
  <c r="I1059" i="1" s="1"/>
  <c r="I1060" i="1" a="1"/>
  <c r="I1060" i="1" s="1"/>
  <c r="I1061" i="1" a="1"/>
  <c r="I1061" i="1" s="1"/>
  <c r="I1062" i="1" a="1"/>
  <c r="I1062" i="1" s="1"/>
  <c r="I1063" i="1" a="1"/>
  <c r="I1063" i="1" s="1"/>
  <c r="I1064" i="1" a="1"/>
  <c r="I1064" i="1" s="1"/>
  <c r="I1065" i="1" a="1"/>
  <c r="I1065" i="1" s="1"/>
  <c r="I1066" i="1" a="1"/>
  <c r="I1066" i="1" s="1"/>
  <c r="I1067" i="1" a="1"/>
  <c r="I1067" i="1" s="1"/>
  <c r="I1068" i="1" a="1"/>
  <c r="I1068" i="1" s="1"/>
  <c r="I1069" i="1" a="1"/>
  <c r="I1069" i="1" s="1"/>
  <c r="I1070" i="1" a="1"/>
  <c r="I1070" i="1" s="1"/>
  <c r="I1071" i="1" a="1"/>
  <c r="I1071" i="1" s="1"/>
  <c r="I1072" i="1" a="1"/>
  <c r="I1072" i="1" s="1"/>
  <c r="I1073" i="1" a="1"/>
  <c r="I1073" i="1" s="1"/>
  <c r="I1074" i="1" a="1"/>
  <c r="I1074" i="1" s="1"/>
  <c r="I1075" i="1" a="1"/>
  <c r="I1075" i="1" s="1"/>
  <c r="I1076" i="1" a="1"/>
  <c r="I1076" i="1" s="1"/>
  <c r="I1077" i="1" a="1"/>
  <c r="I1077" i="1" s="1"/>
  <c r="I1078" i="1" a="1"/>
  <c r="I1078" i="1" s="1"/>
  <c r="I1079" i="1" a="1"/>
  <c r="I1079" i="1" s="1"/>
  <c r="I1080" i="1" a="1"/>
  <c r="I1080" i="1" s="1"/>
  <c r="I1081" i="1" a="1"/>
  <c r="I1081" i="1" s="1"/>
  <c r="I1082" i="1" a="1"/>
  <c r="I1082" i="1" s="1"/>
  <c r="I1083" i="1" a="1"/>
  <c r="I1083" i="1" s="1"/>
  <c r="I1084" i="1" a="1"/>
  <c r="I1084" i="1" s="1"/>
  <c r="I1085" i="1" a="1"/>
  <c r="I1085" i="1" s="1"/>
  <c r="I1086" i="1" a="1"/>
  <c r="I1086" i="1" s="1"/>
  <c r="I1087" i="1" a="1"/>
  <c r="I1087" i="1" s="1"/>
  <c r="I1088" i="1" a="1"/>
  <c r="I1088" i="1" s="1"/>
  <c r="I1089" i="1" a="1"/>
  <c r="I1089" i="1" s="1"/>
  <c r="I1090" i="1" a="1"/>
  <c r="I1090" i="1" s="1"/>
  <c r="I1091" i="1" a="1"/>
  <c r="I1091" i="1" s="1"/>
  <c r="I1092" i="1" a="1"/>
  <c r="I1092" i="1" s="1"/>
  <c r="I1093" i="1" a="1"/>
  <c r="I1093" i="1" s="1"/>
  <c r="I1094" i="1" a="1"/>
  <c r="I1094" i="1" s="1"/>
  <c r="I1095" i="1" a="1"/>
  <c r="I1095" i="1" s="1"/>
  <c r="I1096" i="1" a="1"/>
  <c r="I1096" i="1" s="1"/>
  <c r="I1097" i="1" a="1"/>
  <c r="I1097" i="1" s="1"/>
  <c r="I1098" i="1" a="1"/>
  <c r="I1098" i="1" s="1"/>
  <c r="I1099" i="1" a="1"/>
  <c r="I1099" i="1" s="1"/>
  <c r="I1100" i="1" a="1"/>
  <c r="I1100" i="1" s="1"/>
  <c r="I1101" i="1" a="1"/>
  <c r="I1101" i="1" s="1"/>
  <c r="I1102" i="1" a="1"/>
  <c r="I1102" i="1" s="1"/>
  <c r="I1103" i="1" a="1"/>
  <c r="I1103" i="1" s="1"/>
  <c r="I1104" i="1" a="1"/>
  <c r="I1104" i="1" s="1"/>
  <c r="I1105" i="1" a="1"/>
  <c r="I1105" i="1" s="1"/>
  <c r="I1106" i="1" a="1"/>
  <c r="I1106" i="1" s="1"/>
  <c r="I1107" i="1" a="1"/>
  <c r="I1107" i="1" s="1"/>
  <c r="I1108" i="1" a="1"/>
  <c r="I1108" i="1" s="1"/>
  <c r="I1109" i="1" a="1"/>
  <c r="I1109" i="1" s="1"/>
  <c r="I1110" i="1" a="1"/>
  <c r="I1110" i="1" s="1"/>
  <c r="I1111" i="1" a="1"/>
  <c r="I1111" i="1" s="1"/>
  <c r="I1112" i="1" a="1"/>
  <c r="I1112" i="1" s="1"/>
  <c r="I1113" i="1" a="1"/>
  <c r="I1113" i="1" s="1"/>
  <c r="I1114" i="1" a="1"/>
  <c r="I1114" i="1" s="1"/>
  <c r="I1115" i="1" a="1"/>
  <c r="I1115" i="1" s="1"/>
  <c r="I1116" i="1" a="1"/>
  <c r="I1116" i="1" s="1"/>
  <c r="I1117" i="1" a="1"/>
  <c r="I1117" i="1" s="1"/>
  <c r="I1118" i="1" a="1"/>
  <c r="I1118" i="1" s="1"/>
  <c r="I1119" i="1" a="1"/>
  <c r="I1119" i="1" s="1"/>
  <c r="I1120" i="1" a="1"/>
  <c r="I1120" i="1" s="1"/>
  <c r="I1121" i="1" a="1"/>
  <c r="I1121" i="1" s="1"/>
  <c r="I1122" i="1" a="1"/>
  <c r="I1122" i="1" s="1"/>
  <c r="I1123" i="1" a="1"/>
  <c r="I1123" i="1" s="1"/>
  <c r="I1124" i="1" a="1"/>
  <c r="I1124" i="1" s="1"/>
  <c r="I1125" i="1" a="1"/>
  <c r="I1125" i="1" s="1"/>
  <c r="I1126" i="1" a="1"/>
  <c r="I1126" i="1" s="1"/>
  <c r="I1127" i="1" a="1"/>
  <c r="I1127" i="1" s="1"/>
  <c r="I1128" i="1" a="1"/>
  <c r="I1128" i="1" s="1"/>
  <c r="I1129" i="1" a="1"/>
  <c r="I1129" i="1" s="1"/>
  <c r="I1130" i="1" a="1"/>
  <c r="I1130" i="1" s="1"/>
  <c r="I1131" i="1" a="1"/>
  <c r="I1131" i="1" s="1"/>
  <c r="I1132" i="1" a="1"/>
  <c r="I1132" i="1" s="1"/>
  <c r="I1133" i="1" a="1"/>
  <c r="I1133" i="1" s="1"/>
  <c r="I1134" i="1" a="1"/>
  <c r="I1134" i="1" s="1"/>
  <c r="I1135" i="1" a="1"/>
  <c r="I1135" i="1" s="1"/>
  <c r="I1136" i="1" a="1"/>
  <c r="I1136" i="1" s="1"/>
  <c r="I1137" i="1" a="1"/>
  <c r="I1137" i="1" s="1"/>
  <c r="I1138" i="1" a="1"/>
  <c r="I1138" i="1" s="1"/>
  <c r="I1139" i="1" a="1"/>
  <c r="I1139" i="1" s="1"/>
  <c r="I1140" i="1" a="1"/>
  <c r="I1140" i="1" s="1"/>
  <c r="I1141" i="1" a="1"/>
  <c r="I1141" i="1" s="1"/>
  <c r="I1142" i="1" a="1"/>
  <c r="I1142" i="1" s="1"/>
  <c r="I1143" i="1" a="1"/>
  <c r="I1143" i="1" s="1"/>
  <c r="I1144" i="1" a="1"/>
  <c r="I1144" i="1" s="1"/>
  <c r="I1145" i="1" a="1"/>
  <c r="I1145" i="1" s="1"/>
  <c r="I1146" i="1" a="1"/>
  <c r="I1146" i="1" s="1"/>
  <c r="I1147" i="1" a="1"/>
  <c r="I1147" i="1" s="1"/>
  <c r="I1148" i="1" a="1"/>
  <c r="I1148" i="1" s="1"/>
  <c r="I1149" i="1" a="1"/>
  <c r="I1149" i="1" s="1"/>
  <c r="I1150" i="1" a="1"/>
  <c r="I1150" i="1" s="1"/>
  <c r="I1151" i="1" a="1"/>
  <c r="I1151" i="1" s="1"/>
  <c r="I1152" i="1" a="1"/>
  <c r="I1152" i="1" s="1"/>
  <c r="I1153" i="1" a="1"/>
  <c r="I1153" i="1" s="1"/>
  <c r="I1154" i="1" a="1"/>
  <c r="I1154" i="1" s="1"/>
  <c r="I1155" i="1" a="1"/>
  <c r="I1155" i="1" s="1"/>
  <c r="I1156" i="1" a="1"/>
  <c r="I1156" i="1" s="1"/>
  <c r="I1157" i="1" a="1"/>
  <c r="I1157" i="1" s="1"/>
  <c r="I1158" i="1" a="1"/>
  <c r="I1158" i="1" s="1"/>
  <c r="I1159" i="1" a="1"/>
  <c r="I1159" i="1" s="1"/>
  <c r="I1160" i="1" a="1"/>
  <c r="I1160" i="1" s="1"/>
  <c r="I1161" i="1" a="1"/>
  <c r="I1161" i="1" s="1"/>
  <c r="I1162" i="1" a="1"/>
  <c r="I1162" i="1" s="1"/>
  <c r="I1163" i="1" a="1"/>
  <c r="I1163" i="1" s="1"/>
  <c r="I1164" i="1" a="1"/>
  <c r="I1164" i="1" s="1"/>
  <c r="I1165" i="1" a="1"/>
  <c r="I1165" i="1" s="1"/>
  <c r="I1166" i="1" a="1"/>
  <c r="I1166" i="1" s="1"/>
  <c r="I1167" i="1" a="1"/>
  <c r="I1167" i="1" s="1"/>
  <c r="I1168" i="1" a="1"/>
  <c r="I1168" i="1" s="1"/>
  <c r="I1169" i="1" a="1"/>
  <c r="I1169" i="1" s="1"/>
  <c r="I1170" i="1" a="1"/>
  <c r="I1170" i="1" s="1"/>
  <c r="I1171" i="1" a="1"/>
  <c r="I1171" i="1" s="1"/>
  <c r="I1172" i="1" a="1"/>
  <c r="I1172" i="1" s="1"/>
  <c r="I1173" i="1" a="1"/>
  <c r="I1173" i="1" s="1"/>
  <c r="I1174" i="1" a="1"/>
  <c r="I1174" i="1" s="1"/>
  <c r="I1175" i="1" a="1"/>
  <c r="I1175" i="1" s="1"/>
  <c r="I1176" i="1" a="1"/>
  <c r="I1176" i="1" s="1"/>
  <c r="I1177" i="1" a="1"/>
  <c r="I1177" i="1" s="1"/>
  <c r="I1178" i="1" a="1"/>
  <c r="I1178" i="1" s="1"/>
  <c r="I1179" i="1" a="1"/>
  <c r="I1179" i="1" s="1"/>
  <c r="I1180" i="1" a="1"/>
  <c r="I1180" i="1" s="1"/>
  <c r="I1181" i="1" a="1"/>
  <c r="I1181" i="1" s="1"/>
  <c r="I1182" i="1" a="1"/>
  <c r="I1182" i="1" s="1"/>
  <c r="I1183" i="1" a="1"/>
  <c r="I1183" i="1" s="1"/>
  <c r="I1184" i="1" a="1"/>
  <c r="I1184" i="1" s="1"/>
  <c r="I1185" i="1" a="1"/>
  <c r="I1185" i="1" s="1"/>
  <c r="I1186" i="1" a="1"/>
  <c r="I1186" i="1" s="1"/>
  <c r="I1187" i="1" a="1"/>
  <c r="I1187" i="1" s="1"/>
  <c r="I1188" i="1" a="1"/>
  <c r="I1188" i="1" s="1"/>
  <c r="I1189" i="1" a="1"/>
  <c r="I1189" i="1" s="1"/>
  <c r="I1190" i="1" a="1"/>
  <c r="I1190" i="1" s="1"/>
  <c r="I1191" i="1" a="1"/>
  <c r="I1191" i="1" s="1"/>
  <c r="I1192" i="1" a="1"/>
  <c r="I1192" i="1" s="1"/>
  <c r="I1193" i="1" a="1"/>
  <c r="I1193" i="1" s="1"/>
  <c r="I1194" i="1" a="1"/>
  <c r="I1194" i="1" s="1"/>
  <c r="I1195" i="1" a="1"/>
  <c r="I1195" i="1" s="1"/>
  <c r="I1196" i="1" a="1"/>
  <c r="I1196" i="1" s="1"/>
  <c r="I1197" i="1" a="1"/>
  <c r="I1197" i="1" s="1"/>
  <c r="I1198" i="1" a="1"/>
  <c r="I1198" i="1" s="1"/>
  <c r="I1199" i="1" a="1"/>
  <c r="I1199" i="1" s="1"/>
  <c r="I1200" i="1" a="1"/>
  <c r="I1200" i="1" s="1"/>
  <c r="I1201" i="1" a="1"/>
  <c r="I1201" i="1" s="1"/>
  <c r="I1202" i="1" a="1"/>
  <c r="I1202" i="1" s="1"/>
  <c r="I1203" i="1" a="1"/>
  <c r="I1203" i="1" s="1"/>
  <c r="I1204" i="1" a="1"/>
  <c r="I1204" i="1" s="1"/>
  <c r="I1205" i="1" a="1"/>
  <c r="I1205" i="1" s="1"/>
  <c r="I1206" i="1" a="1"/>
  <c r="I1206" i="1" s="1"/>
  <c r="I1207" i="1" a="1"/>
  <c r="I1207" i="1" s="1"/>
  <c r="I1208" i="1" a="1"/>
  <c r="I1208" i="1" s="1"/>
  <c r="I1209" i="1" a="1"/>
  <c r="I1209" i="1" s="1"/>
  <c r="I1210" i="1" a="1"/>
  <c r="I1210" i="1" s="1"/>
  <c r="I1211" i="1" a="1"/>
  <c r="I1211" i="1" s="1"/>
  <c r="I1212" i="1" a="1"/>
  <c r="I1212" i="1" s="1"/>
  <c r="I1213" i="1" a="1"/>
  <c r="I1213" i="1" s="1"/>
  <c r="I1214" i="1" a="1"/>
  <c r="I1214" i="1" s="1"/>
  <c r="I1215" i="1" a="1"/>
  <c r="I1215" i="1" s="1"/>
  <c r="I1216" i="1" a="1"/>
  <c r="I1216" i="1" s="1"/>
  <c r="I1217" i="1" a="1"/>
  <c r="I1217" i="1" s="1"/>
  <c r="I1218" i="1" a="1"/>
  <c r="I1218" i="1" s="1"/>
  <c r="I1219" i="1" a="1"/>
  <c r="I1219" i="1" s="1"/>
  <c r="I1220" i="1" a="1"/>
  <c r="I1220" i="1" s="1"/>
  <c r="I1221" i="1" a="1"/>
  <c r="I1221" i="1" s="1"/>
  <c r="I1222" i="1" a="1"/>
  <c r="I1222" i="1" s="1"/>
  <c r="I1223" i="1" a="1"/>
  <c r="I1223" i="1" s="1"/>
  <c r="I1224" i="1" a="1"/>
  <c r="I1224" i="1" s="1"/>
  <c r="I1225" i="1" a="1"/>
  <c r="I1225" i="1" s="1"/>
  <c r="I1226" i="1" a="1"/>
  <c r="I1226" i="1" s="1"/>
  <c r="I1227" i="1" a="1"/>
  <c r="I1227" i="1" s="1"/>
  <c r="I1228" i="1" a="1"/>
  <c r="I1228" i="1" s="1"/>
  <c r="I1229" i="1" a="1"/>
  <c r="I1229" i="1" s="1"/>
  <c r="I1230" i="1" a="1"/>
  <c r="I1230" i="1" s="1"/>
  <c r="I1231" i="1" a="1"/>
  <c r="I1231" i="1" s="1"/>
  <c r="I1232" i="1" a="1"/>
  <c r="I1232" i="1" s="1"/>
  <c r="I1233" i="1" a="1"/>
  <c r="I1233" i="1" s="1"/>
  <c r="I1234" i="1" a="1"/>
  <c r="I1234" i="1" s="1"/>
  <c r="I1235" i="1" a="1"/>
  <c r="I1235" i="1" s="1"/>
  <c r="I1236" i="1" a="1"/>
  <c r="I1236" i="1" s="1"/>
  <c r="I1237" i="1" a="1"/>
  <c r="I1237" i="1" s="1"/>
  <c r="I1238" i="1" a="1"/>
  <c r="I1238" i="1" s="1"/>
  <c r="I1239" i="1" a="1"/>
  <c r="I1239" i="1" s="1"/>
  <c r="I1240" i="1" a="1"/>
  <c r="I1240" i="1" s="1"/>
  <c r="I1241" i="1" a="1"/>
  <c r="I1241" i="1" s="1"/>
  <c r="I1242" i="1" a="1"/>
  <c r="I1242" i="1" s="1"/>
  <c r="I1243" i="1" a="1"/>
  <c r="I1243" i="1" s="1"/>
  <c r="I1244" i="1" a="1"/>
  <c r="I1244" i="1" s="1"/>
  <c r="I1245" i="1" a="1"/>
  <c r="I1245" i="1" s="1"/>
  <c r="I1246" i="1" a="1"/>
  <c r="I1246" i="1" s="1"/>
  <c r="I1247" i="1" a="1"/>
  <c r="I1247" i="1" s="1"/>
  <c r="I1248" i="1" a="1"/>
  <c r="I1248" i="1" s="1"/>
  <c r="I1249" i="1" a="1"/>
  <c r="I1249" i="1" s="1"/>
  <c r="I1250" i="1" a="1"/>
  <c r="I1250" i="1" s="1"/>
  <c r="I1251" i="1" a="1"/>
  <c r="I1251" i="1" s="1"/>
  <c r="I1252" i="1" a="1"/>
  <c r="I1252" i="1" s="1"/>
  <c r="I1253" i="1" a="1"/>
  <c r="I1253" i="1" s="1"/>
  <c r="I1254" i="1" a="1"/>
  <c r="I1254" i="1" s="1"/>
  <c r="I1255" i="1" a="1"/>
  <c r="I1255" i="1" s="1"/>
  <c r="I1256" i="1" a="1"/>
  <c r="I1256" i="1" s="1"/>
  <c r="I1257" i="1" a="1"/>
  <c r="I1257" i="1" s="1"/>
  <c r="I1258" i="1" a="1"/>
  <c r="I1258" i="1" s="1"/>
  <c r="I1259" i="1" a="1"/>
  <c r="I1259" i="1" s="1"/>
  <c r="I1260" i="1" a="1"/>
  <c r="I1260" i="1" s="1"/>
  <c r="I1261" i="1" a="1"/>
  <c r="I1261" i="1" s="1"/>
  <c r="I1262" i="1" a="1"/>
  <c r="I1262" i="1" s="1"/>
  <c r="I1263" i="1" a="1"/>
  <c r="I1263" i="1" s="1"/>
  <c r="I1264" i="1" a="1"/>
  <c r="I1264" i="1" s="1"/>
  <c r="I1265" i="1" a="1"/>
  <c r="I1265" i="1" s="1"/>
  <c r="I1266" i="1" a="1"/>
  <c r="I1266" i="1" s="1"/>
  <c r="I1267" i="1" a="1"/>
  <c r="I1267" i="1" s="1"/>
  <c r="I1268" i="1" a="1"/>
  <c r="I1268" i="1" s="1"/>
  <c r="I1269" i="1" a="1"/>
  <c r="I1269" i="1" s="1"/>
  <c r="I1270" i="1" a="1"/>
  <c r="I1270" i="1" s="1"/>
  <c r="I1271" i="1" a="1"/>
  <c r="I1271" i="1" s="1"/>
  <c r="I1272" i="1" a="1"/>
  <c r="I1272" i="1" s="1"/>
  <c r="I1273" i="1" a="1"/>
  <c r="I1273" i="1" s="1"/>
  <c r="I1274" i="1" a="1"/>
  <c r="I1274" i="1" s="1"/>
  <c r="I1275" i="1" a="1"/>
  <c r="I1275" i="1" s="1"/>
  <c r="I1276" i="1" a="1"/>
  <c r="I1276" i="1" s="1"/>
  <c r="I1277" i="1" a="1"/>
  <c r="I1277" i="1" s="1"/>
  <c r="I1278" i="1" a="1"/>
  <c r="I1278" i="1" s="1"/>
  <c r="I1279" i="1" a="1"/>
  <c r="I1279" i="1" s="1"/>
  <c r="I1280" i="1" a="1"/>
  <c r="I1280" i="1" s="1"/>
  <c r="I1281" i="1" a="1"/>
  <c r="I1281" i="1" s="1"/>
  <c r="I1282" i="1" a="1"/>
  <c r="I1282" i="1" s="1"/>
  <c r="I1283" i="1" a="1"/>
  <c r="I1283" i="1" s="1"/>
  <c r="I1284" i="1" a="1"/>
  <c r="I1284" i="1" s="1"/>
  <c r="I1285" i="1" a="1"/>
  <c r="I1285" i="1" s="1"/>
  <c r="I1286" i="1" a="1"/>
  <c r="I1286" i="1" s="1"/>
  <c r="I1287" i="1" a="1"/>
  <c r="I1287" i="1" s="1"/>
  <c r="I1288" i="1" a="1"/>
  <c r="I1288" i="1" s="1"/>
  <c r="I1289" i="1" a="1"/>
  <c r="I1289" i="1" s="1"/>
  <c r="I1290" i="1" a="1"/>
  <c r="I1290" i="1" s="1"/>
  <c r="I1291" i="1" a="1"/>
  <c r="I1291" i="1" s="1"/>
  <c r="I1292" i="1" a="1"/>
  <c r="I1292" i="1" s="1"/>
  <c r="I1293" i="1" a="1"/>
  <c r="I1293" i="1" s="1"/>
  <c r="I1294" i="1" a="1"/>
  <c r="I1294" i="1" s="1"/>
  <c r="I1295" i="1" a="1"/>
  <c r="I1295" i="1" s="1"/>
  <c r="I1296" i="1" a="1"/>
  <c r="I1296" i="1" s="1"/>
  <c r="I1297" i="1" a="1"/>
  <c r="I1297" i="1" s="1"/>
  <c r="I1298" i="1" a="1"/>
  <c r="I1298" i="1" s="1"/>
  <c r="I1299" i="1" a="1"/>
  <c r="I1299" i="1" s="1"/>
  <c r="I1300" i="1" a="1"/>
  <c r="I1300" i="1" s="1"/>
  <c r="I1301" i="1" a="1"/>
  <c r="I1301" i="1" s="1"/>
  <c r="I1302" i="1" a="1"/>
  <c r="I1302" i="1" s="1"/>
  <c r="I1303" i="1" a="1"/>
  <c r="I1303" i="1" s="1"/>
  <c r="I1304" i="1" a="1"/>
  <c r="I1304" i="1" s="1"/>
  <c r="I1305" i="1" a="1"/>
  <c r="I1305" i="1" s="1"/>
  <c r="I1306" i="1" a="1"/>
  <c r="I1306" i="1" s="1"/>
  <c r="I1307" i="1" a="1"/>
  <c r="I1307" i="1" s="1"/>
  <c r="I1308" i="1" a="1"/>
  <c r="I1308" i="1" s="1"/>
  <c r="I1309" i="1" a="1"/>
  <c r="I1309" i="1" s="1"/>
  <c r="I1310" i="1" a="1"/>
  <c r="I1310" i="1" s="1"/>
  <c r="I1311" i="1" a="1"/>
  <c r="I1311" i="1" s="1"/>
  <c r="I1312" i="1" a="1"/>
  <c r="I1312" i="1" s="1"/>
  <c r="I1313" i="1" a="1"/>
  <c r="I1313" i="1" s="1"/>
  <c r="I1314" i="1" a="1"/>
  <c r="I1314" i="1" s="1"/>
  <c r="I1315" i="1" a="1"/>
  <c r="I1315" i="1" s="1"/>
  <c r="I1316" i="1" a="1"/>
  <c r="I1316" i="1" s="1"/>
  <c r="I1317" i="1" a="1"/>
  <c r="I1317" i="1" s="1"/>
  <c r="I1318" i="1" a="1"/>
  <c r="I1318" i="1" s="1"/>
  <c r="I1319" i="1" a="1"/>
  <c r="I1319" i="1" s="1"/>
  <c r="I1320" i="1" a="1"/>
  <c r="I1320" i="1" s="1"/>
  <c r="I1321" i="1" a="1"/>
  <c r="I1321" i="1" s="1"/>
  <c r="I1322" i="1" a="1"/>
  <c r="I1322" i="1" s="1"/>
  <c r="I1323" i="1" a="1"/>
  <c r="I1323" i="1" s="1"/>
  <c r="I1324" i="1" a="1"/>
  <c r="I1324" i="1" s="1"/>
  <c r="I1325" i="1" a="1"/>
  <c r="I1325" i="1" s="1"/>
  <c r="I1326" i="1" a="1"/>
  <c r="I1326" i="1" s="1"/>
  <c r="I1327" i="1" a="1"/>
  <c r="I1327" i="1" s="1"/>
  <c r="I1328" i="1" a="1"/>
  <c r="I1328" i="1" s="1"/>
  <c r="I1329" i="1" a="1"/>
  <c r="I1329" i="1" s="1"/>
  <c r="I1330" i="1" a="1"/>
  <c r="I1330" i="1" s="1"/>
  <c r="I1331" i="1" a="1"/>
  <c r="I1331" i="1" s="1"/>
  <c r="I1332" i="1" a="1"/>
  <c r="I1332" i="1" s="1"/>
  <c r="I1333" i="1" a="1"/>
  <c r="I1333" i="1" s="1"/>
  <c r="I1334" i="1" a="1"/>
  <c r="I1334" i="1" s="1"/>
  <c r="I1335" i="1" a="1"/>
  <c r="I1335" i="1" s="1"/>
  <c r="I1336" i="1" a="1"/>
  <c r="I1336" i="1" s="1"/>
  <c r="I1337" i="1" a="1"/>
  <c r="I1337" i="1" s="1"/>
  <c r="I1338" i="1" a="1"/>
  <c r="I1338" i="1" s="1"/>
  <c r="I1339" i="1" a="1"/>
  <c r="I1339" i="1" s="1"/>
  <c r="I1340" i="1" a="1"/>
  <c r="I1340" i="1" s="1"/>
  <c r="I1341" i="1" a="1"/>
  <c r="I1341" i="1" s="1"/>
  <c r="I1342" i="1" a="1"/>
  <c r="I1342" i="1" s="1"/>
  <c r="I1343" i="1" a="1"/>
  <c r="I1343" i="1" s="1"/>
  <c r="I1344" i="1" a="1"/>
  <c r="I1344" i="1" s="1"/>
  <c r="I1345" i="1" a="1"/>
  <c r="I1345" i="1" s="1"/>
  <c r="I1346" i="1" a="1"/>
  <c r="I1346" i="1" s="1"/>
  <c r="I1347" i="1" a="1"/>
  <c r="I1347" i="1" s="1"/>
  <c r="I1348" i="1" a="1"/>
  <c r="I1348" i="1" s="1"/>
  <c r="I1349" i="1" a="1"/>
  <c r="I1349" i="1" s="1"/>
  <c r="I1350" i="1" a="1"/>
  <c r="I1350" i="1" s="1"/>
  <c r="I1351" i="1" a="1"/>
  <c r="I1351" i="1" s="1"/>
  <c r="I1352" i="1" a="1"/>
  <c r="I1352" i="1" s="1"/>
  <c r="I1353" i="1" a="1"/>
  <c r="I1353" i="1" s="1"/>
  <c r="I1354" i="1" a="1"/>
  <c r="I1354" i="1" s="1"/>
  <c r="I1355" i="1" a="1"/>
  <c r="I1355" i="1" s="1"/>
  <c r="I1356" i="1" a="1"/>
  <c r="I1356" i="1" s="1"/>
  <c r="I1357" i="1" a="1"/>
  <c r="I1357" i="1" s="1"/>
  <c r="I1358" i="1" a="1"/>
  <c r="I1358" i="1" s="1"/>
  <c r="I1359" i="1" a="1"/>
  <c r="I1359" i="1" s="1"/>
  <c r="I1360" i="1" a="1"/>
  <c r="I1360" i="1" s="1"/>
  <c r="I1361" i="1" a="1"/>
  <c r="I1361" i="1" s="1"/>
  <c r="I1362" i="1" a="1"/>
  <c r="I1362" i="1" s="1"/>
  <c r="I1363" i="1" a="1"/>
  <c r="I1363" i="1" s="1"/>
  <c r="I1364" i="1" a="1"/>
  <c r="I1364" i="1" s="1"/>
  <c r="I1365" i="1" a="1"/>
  <c r="I1365" i="1" s="1"/>
  <c r="I1366" i="1" a="1"/>
  <c r="I1366" i="1" s="1"/>
  <c r="I1367" i="1" a="1"/>
  <c r="I1367" i="1" s="1"/>
  <c r="I1368" i="1" a="1"/>
  <c r="I1368" i="1" s="1"/>
  <c r="I1369" i="1" a="1"/>
  <c r="I1369" i="1" s="1"/>
  <c r="I1370" i="1" a="1"/>
  <c r="I1370" i="1" s="1"/>
  <c r="I1371" i="1" a="1"/>
  <c r="I1371" i="1" s="1"/>
  <c r="I1372" i="1" a="1"/>
  <c r="I1372" i="1" s="1"/>
  <c r="I1373" i="1" a="1"/>
  <c r="I1373" i="1" s="1"/>
  <c r="I1374" i="1" a="1"/>
  <c r="I1374" i="1" s="1"/>
  <c r="I1375" i="1" a="1"/>
  <c r="I1375" i="1" s="1"/>
  <c r="I1376" i="1" a="1"/>
  <c r="I1376" i="1" s="1"/>
  <c r="I1377" i="1" a="1"/>
  <c r="I1377" i="1" s="1"/>
  <c r="I1378" i="1" a="1"/>
  <c r="I1378" i="1" s="1"/>
  <c r="I1379" i="1" a="1"/>
  <c r="I1379" i="1" s="1"/>
  <c r="I1380" i="1" a="1"/>
  <c r="I1380" i="1" s="1"/>
  <c r="I1381" i="1" a="1"/>
  <c r="I1381" i="1" s="1"/>
  <c r="I1382" i="1" a="1"/>
  <c r="I1382" i="1" s="1"/>
  <c r="I1383" i="1" a="1"/>
  <c r="I1383" i="1" s="1"/>
  <c r="I1384" i="1" a="1"/>
  <c r="I1384" i="1" s="1"/>
  <c r="I1385" i="1" a="1"/>
  <c r="I1385" i="1" s="1"/>
  <c r="I1386" i="1" a="1"/>
  <c r="I1386" i="1" s="1"/>
  <c r="I1387" i="1" a="1"/>
  <c r="I1387" i="1" s="1"/>
  <c r="I1388" i="1" a="1"/>
  <c r="I1388" i="1" s="1"/>
  <c r="I1389" i="1" a="1"/>
  <c r="I1389" i="1" s="1"/>
  <c r="I1390" i="1" a="1"/>
  <c r="I1390" i="1" s="1"/>
  <c r="I1391" i="1" a="1"/>
  <c r="I1391" i="1" s="1"/>
  <c r="I1392" i="1" a="1"/>
  <c r="I1392" i="1" s="1"/>
  <c r="I1393" i="1" a="1"/>
  <c r="I1393" i="1" s="1"/>
  <c r="I1394" i="1" a="1"/>
  <c r="I1394" i="1" s="1"/>
  <c r="I1395" i="1" a="1"/>
  <c r="I1395" i="1" s="1"/>
  <c r="I1396" i="1" a="1"/>
  <c r="I1396" i="1" s="1"/>
  <c r="I1397" i="1" a="1"/>
  <c r="I1397" i="1" s="1"/>
  <c r="I1398" i="1" a="1"/>
  <c r="I1398" i="1" s="1"/>
  <c r="I1399" i="1" a="1"/>
  <c r="I1399" i="1" s="1"/>
  <c r="I1400" i="1" a="1"/>
  <c r="I1400" i="1" s="1"/>
  <c r="I1401" i="1" a="1"/>
  <c r="I1401" i="1" s="1"/>
  <c r="I1402" i="1" a="1"/>
  <c r="I1402" i="1" s="1"/>
  <c r="I1403" i="1" a="1"/>
  <c r="I1403" i="1" s="1"/>
  <c r="I1404" i="1" a="1"/>
  <c r="I1404" i="1" s="1"/>
  <c r="I1405" i="1" a="1"/>
  <c r="I1405" i="1" s="1"/>
  <c r="I1406" i="1" a="1"/>
  <c r="I1406" i="1" s="1"/>
  <c r="I1407" i="1" a="1"/>
  <c r="I1407" i="1" s="1"/>
  <c r="I1408" i="1" a="1"/>
  <c r="I1408" i="1" s="1"/>
  <c r="I1409" i="1" a="1"/>
  <c r="I1409" i="1" s="1"/>
  <c r="I1410" i="1" a="1"/>
  <c r="I1410" i="1" s="1"/>
  <c r="I1411" i="1" a="1"/>
  <c r="I1411" i="1" s="1"/>
  <c r="I1412" i="1" a="1"/>
  <c r="I1412" i="1" s="1"/>
  <c r="I1413" i="1" a="1"/>
  <c r="I1413" i="1" s="1"/>
  <c r="I1414" i="1" a="1"/>
  <c r="I1414" i="1" s="1"/>
  <c r="I1415" i="1" a="1"/>
  <c r="I1415" i="1" s="1"/>
  <c r="I1416" i="1" a="1"/>
  <c r="I1416" i="1" s="1"/>
  <c r="I1417" i="1" a="1"/>
  <c r="I1417" i="1" s="1"/>
  <c r="I1418" i="1" a="1"/>
  <c r="I1418" i="1" s="1"/>
  <c r="I1419" i="1" a="1"/>
  <c r="I1419" i="1" s="1"/>
  <c r="I1420" i="1" a="1"/>
  <c r="I1420" i="1" s="1"/>
  <c r="I1421" i="1" a="1"/>
  <c r="I1421" i="1" s="1"/>
  <c r="I1422" i="1" a="1"/>
  <c r="I1422" i="1" s="1"/>
  <c r="I1423" i="1" a="1"/>
  <c r="I1423" i="1" s="1"/>
  <c r="I1424" i="1" a="1"/>
  <c r="I1424" i="1" s="1"/>
  <c r="I1425" i="1" a="1"/>
  <c r="I1425" i="1" s="1"/>
  <c r="I1426" i="1" a="1"/>
  <c r="I1426" i="1" s="1"/>
  <c r="I1427" i="1" a="1"/>
  <c r="I1427" i="1" s="1"/>
  <c r="I1428" i="1" a="1"/>
  <c r="I1428" i="1" s="1"/>
  <c r="I1429" i="1" a="1"/>
  <c r="I1429" i="1" s="1"/>
  <c r="I1430" i="1" a="1"/>
  <c r="I1430" i="1" s="1"/>
  <c r="I1431" i="1" a="1"/>
  <c r="I1431" i="1" s="1"/>
  <c r="I1432" i="1" a="1"/>
  <c r="I1432" i="1" s="1"/>
  <c r="I1433" i="1" a="1"/>
  <c r="I1433" i="1" s="1"/>
  <c r="I1434" i="1" a="1"/>
  <c r="I1434" i="1" s="1"/>
  <c r="I1435" i="1" a="1"/>
  <c r="I1435" i="1" s="1"/>
  <c r="I1436" i="1" a="1"/>
  <c r="I1436" i="1" s="1"/>
  <c r="I1437" i="1" a="1"/>
  <c r="I1437" i="1" s="1"/>
  <c r="I1438" i="1" a="1"/>
  <c r="I1438" i="1" s="1"/>
  <c r="I1439" i="1" a="1"/>
  <c r="I1439" i="1" s="1"/>
  <c r="I1440" i="1" a="1"/>
  <c r="I1440" i="1" s="1"/>
  <c r="I1441" i="1" a="1"/>
  <c r="I1441" i="1" s="1"/>
  <c r="I1442" i="1" a="1"/>
  <c r="I1442" i="1" s="1"/>
  <c r="I1443" i="1" a="1"/>
  <c r="I1443" i="1" s="1"/>
  <c r="I1444" i="1" a="1"/>
  <c r="I1444" i="1" s="1"/>
  <c r="I1445" i="1" a="1"/>
  <c r="I1445" i="1" s="1"/>
  <c r="I1446" i="1" a="1"/>
  <c r="I1446" i="1" s="1"/>
  <c r="I1447" i="1" a="1"/>
  <c r="I1447" i="1" s="1"/>
  <c r="I1448" i="1" a="1"/>
  <c r="I1448" i="1" s="1"/>
  <c r="I1449" i="1" a="1"/>
  <c r="I1449" i="1" s="1"/>
  <c r="I1450" i="1" a="1"/>
  <c r="I1450" i="1" s="1"/>
  <c r="I1451" i="1" a="1"/>
  <c r="I1451" i="1" s="1"/>
  <c r="I1452" i="1" a="1"/>
  <c r="I1452" i="1" s="1"/>
  <c r="I1453" i="1" a="1"/>
  <c r="I1453" i="1" s="1"/>
  <c r="I1454" i="1" a="1"/>
  <c r="I1454" i="1" s="1"/>
  <c r="I1455" i="1" a="1"/>
  <c r="I1455" i="1" s="1"/>
  <c r="I1456" i="1" a="1"/>
  <c r="I1456" i="1" s="1"/>
  <c r="I1457" i="1" a="1"/>
  <c r="I1457" i="1" s="1"/>
  <c r="I1458" i="1" a="1"/>
  <c r="I1458" i="1" s="1"/>
  <c r="I1459" i="1" a="1"/>
  <c r="I1459" i="1" s="1"/>
  <c r="I1460" i="1" a="1"/>
  <c r="I1460" i="1" s="1"/>
  <c r="I1461" i="1" a="1"/>
  <c r="I1461" i="1" s="1"/>
  <c r="I1462" i="1" a="1"/>
  <c r="I1462" i="1" s="1"/>
  <c r="I1463" i="1" a="1"/>
  <c r="I1463" i="1" s="1"/>
  <c r="I1464" i="1" a="1"/>
  <c r="I1464" i="1" s="1"/>
  <c r="I1465" i="1" a="1"/>
  <c r="I1465" i="1" s="1"/>
  <c r="I1466" i="1" a="1"/>
  <c r="I1466" i="1" s="1"/>
  <c r="I1467" i="1" a="1"/>
  <c r="I1467" i="1" s="1"/>
  <c r="I1468" i="1" a="1"/>
  <c r="I1468" i="1" s="1"/>
  <c r="I1469" i="1" a="1"/>
  <c r="I1469" i="1" s="1"/>
  <c r="I1470" i="1" a="1"/>
  <c r="I1470" i="1" s="1"/>
  <c r="I1471" i="1" a="1"/>
  <c r="I1471" i="1" s="1"/>
  <c r="I1472" i="1" a="1"/>
  <c r="I1472" i="1" s="1"/>
  <c r="I1473" i="1" a="1"/>
  <c r="I1473" i="1" s="1"/>
  <c r="I1474" i="1" a="1"/>
  <c r="I1474" i="1" s="1"/>
  <c r="I1475" i="1" a="1"/>
  <c r="I1475" i="1" s="1"/>
  <c r="I1476" i="1" a="1"/>
  <c r="I1476" i="1" s="1"/>
  <c r="I1477" i="1" a="1"/>
  <c r="I1477" i="1" s="1"/>
  <c r="I1478" i="1" a="1"/>
  <c r="I1478" i="1" s="1"/>
  <c r="I1479" i="1" a="1"/>
  <c r="I1479" i="1" s="1"/>
  <c r="I1480" i="1" a="1"/>
  <c r="I1480" i="1" s="1"/>
  <c r="I1481" i="1" a="1"/>
  <c r="I1481" i="1" s="1"/>
  <c r="I1482" i="1" a="1"/>
  <c r="I1482" i="1" s="1"/>
  <c r="I1483" i="1" a="1"/>
  <c r="I1483" i="1" s="1"/>
  <c r="I1484" i="1" a="1"/>
  <c r="I1484" i="1" s="1"/>
  <c r="I1485" i="1" a="1"/>
  <c r="I1485" i="1" s="1"/>
  <c r="I1486" i="1" a="1"/>
  <c r="I1486" i="1" s="1"/>
  <c r="I1487" i="1" a="1"/>
  <c r="I1487" i="1" s="1"/>
  <c r="I1488" i="1" a="1"/>
  <c r="I1488" i="1" s="1"/>
  <c r="I1489" i="1" a="1"/>
  <c r="I1489" i="1" s="1"/>
  <c r="I1490" i="1" a="1"/>
  <c r="I1490" i="1" s="1"/>
  <c r="I1491" i="1" a="1"/>
  <c r="I1491" i="1" s="1"/>
  <c r="I1492" i="1" a="1"/>
  <c r="I1492" i="1" s="1"/>
  <c r="I1493" i="1" a="1"/>
  <c r="I1493" i="1" s="1"/>
  <c r="I1494" i="1" a="1"/>
  <c r="I1494" i="1" s="1"/>
  <c r="I1495" i="1" a="1"/>
  <c r="I1495" i="1" s="1"/>
  <c r="I1496" i="1" a="1"/>
  <c r="I1496" i="1" s="1"/>
  <c r="I1497" i="1" a="1"/>
  <c r="I1497" i="1" s="1"/>
  <c r="I1498" i="1" a="1"/>
  <c r="I1498" i="1" s="1"/>
  <c r="I1499" i="1" a="1"/>
  <c r="I1499" i="1" s="1"/>
  <c r="I1500" i="1" a="1"/>
  <c r="I1500" i="1" s="1"/>
  <c r="I1501" i="1" a="1"/>
  <c r="I1501" i="1" s="1"/>
  <c r="I1502" i="1" a="1"/>
  <c r="I1502" i="1" s="1"/>
  <c r="I1503" i="1" a="1"/>
  <c r="I1503" i="1" s="1"/>
  <c r="I1504" i="1" a="1"/>
  <c r="I1504" i="1" s="1"/>
  <c r="I1505" i="1" a="1"/>
  <c r="I1505" i="1" s="1"/>
  <c r="I1506" i="1" a="1"/>
  <c r="I1506" i="1" s="1"/>
  <c r="I1507" i="1" a="1"/>
  <c r="I1507" i="1" s="1"/>
  <c r="I1508" i="1" a="1"/>
  <c r="I1508" i="1" s="1"/>
  <c r="I1509" i="1" a="1"/>
  <c r="I1509" i="1" s="1"/>
  <c r="I1510" i="1" a="1"/>
  <c r="I1510" i="1" s="1"/>
  <c r="I1511" i="1" a="1"/>
  <c r="I1511" i="1" s="1"/>
  <c r="I1512" i="1" a="1"/>
  <c r="I1512" i="1" s="1"/>
  <c r="I1513" i="1" a="1"/>
  <c r="I1513" i="1" s="1"/>
  <c r="I1514" i="1" a="1"/>
  <c r="I1514" i="1" s="1"/>
  <c r="I1515" i="1" a="1"/>
  <c r="I1515" i="1" s="1"/>
  <c r="I1516" i="1" a="1"/>
  <c r="I1516" i="1" s="1"/>
  <c r="I1517" i="1" a="1"/>
  <c r="I1517" i="1" s="1"/>
  <c r="I1518" i="1" a="1"/>
  <c r="I1518" i="1" s="1"/>
  <c r="I1519" i="1" a="1"/>
  <c r="I1519" i="1" s="1"/>
  <c r="I1520" i="1" a="1"/>
  <c r="I1520" i="1" s="1"/>
  <c r="I1521" i="1" a="1"/>
  <c r="I1521" i="1" s="1"/>
  <c r="I1522" i="1" a="1"/>
  <c r="I1522" i="1" s="1"/>
  <c r="I1523" i="1" a="1"/>
  <c r="I1523" i="1" s="1"/>
  <c r="I1524" i="1" a="1"/>
  <c r="I1524" i="1" s="1"/>
  <c r="I1525" i="1" a="1"/>
  <c r="I1525" i="1" s="1"/>
  <c r="I1526" i="1" a="1"/>
  <c r="I1526" i="1" s="1"/>
  <c r="I1527" i="1" a="1"/>
  <c r="I1527" i="1" s="1"/>
  <c r="I1528" i="1" a="1"/>
  <c r="I1528" i="1" s="1"/>
  <c r="I1529" i="1" a="1"/>
  <c r="I1529" i="1" s="1"/>
  <c r="I1530" i="1" a="1"/>
  <c r="I1530" i="1" s="1"/>
  <c r="I1531" i="1" a="1"/>
  <c r="I1531" i="1" s="1"/>
  <c r="I1532" i="1" a="1"/>
  <c r="I1532" i="1" s="1"/>
  <c r="I1533" i="1" a="1"/>
  <c r="I1533" i="1" s="1"/>
  <c r="I1534" i="1" a="1"/>
  <c r="I1534" i="1" s="1"/>
  <c r="I1535" i="1" a="1"/>
  <c r="I1535" i="1" s="1"/>
  <c r="I1536" i="1" a="1"/>
  <c r="I1536" i="1" s="1"/>
  <c r="I1537" i="1" a="1"/>
  <c r="I1537" i="1" s="1"/>
  <c r="I1538" i="1" a="1"/>
  <c r="I1538" i="1" s="1"/>
  <c r="I1539" i="1" a="1"/>
  <c r="I1539" i="1" s="1"/>
  <c r="I1540" i="1" a="1"/>
  <c r="I1540" i="1" s="1"/>
  <c r="I1541" i="1" a="1"/>
  <c r="I1541" i="1" s="1"/>
  <c r="I1542" i="1" a="1"/>
  <c r="I1542" i="1" s="1"/>
  <c r="I1543" i="1" a="1"/>
  <c r="I1543" i="1" s="1"/>
  <c r="I1544" i="1" a="1"/>
  <c r="I1544" i="1" s="1"/>
  <c r="I1545" i="1" a="1"/>
  <c r="I1545" i="1" s="1"/>
  <c r="I1546" i="1" a="1"/>
  <c r="I1546" i="1" s="1"/>
  <c r="I1547" i="1" a="1"/>
  <c r="I1547" i="1" s="1"/>
  <c r="I1548" i="1" a="1"/>
  <c r="I1548" i="1" s="1"/>
  <c r="I1549" i="1" a="1"/>
  <c r="I1549" i="1" s="1"/>
  <c r="I1550" i="1" a="1"/>
  <c r="I1550" i="1" s="1"/>
  <c r="I1551" i="1" a="1"/>
  <c r="I1551" i="1" s="1"/>
  <c r="I1552" i="1" a="1"/>
  <c r="I1552" i="1" s="1"/>
  <c r="I1553" i="1" a="1"/>
  <c r="I1553" i="1" s="1"/>
  <c r="I1554" i="1" a="1"/>
  <c r="I1554" i="1" s="1"/>
  <c r="I1555" i="1" a="1"/>
  <c r="I1555" i="1" s="1"/>
  <c r="I1556" i="1" a="1"/>
  <c r="I1556" i="1" s="1"/>
  <c r="I1557" i="1" a="1"/>
  <c r="I1557" i="1" s="1"/>
  <c r="I1558" i="1" a="1"/>
  <c r="I1558" i="1" s="1"/>
  <c r="I1559" i="1" a="1"/>
  <c r="I1559" i="1" s="1"/>
  <c r="I1560" i="1" a="1"/>
  <c r="I1560" i="1" s="1"/>
  <c r="I1561" i="1" a="1"/>
  <c r="I1561" i="1" s="1"/>
  <c r="I1562" i="1" a="1"/>
  <c r="I1562" i="1" s="1"/>
  <c r="I1563" i="1" a="1"/>
  <c r="I1563" i="1" s="1"/>
  <c r="I1564" i="1" a="1"/>
  <c r="I1564" i="1" s="1"/>
  <c r="I1565" i="1" a="1"/>
  <c r="I1565" i="1" s="1"/>
  <c r="I1566" i="1" a="1"/>
  <c r="I1566" i="1" s="1"/>
  <c r="I1567" i="1" a="1"/>
  <c r="I1567" i="1" s="1"/>
  <c r="I1568" i="1" a="1"/>
  <c r="I1568" i="1" s="1"/>
  <c r="I1569" i="1" a="1"/>
  <c r="I1569" i="1" s="1"/>
  <c r="I1570" i="1" a="1"/>
  <c r="I1570" i="1" s="1"/>
  <c r="I1571" i="1" a="1"/>
  <c r="I1571" i="1" s="1"/>
  <c r="I1572" i="1" a="1"/>
  <c r="I1572" i="1" s="1"/>
  <c r="I1573" i="1" a="1"/>
  <c r="I1573" i="1" s="1"/>
  <c r="I1574" i="1" a="1"/>
  <c r="I1574" i="1" s="1"/>
  <c r="I1575" i="1" a="1"/>
  <c r="I1575" i="1" s="1"/>
  <c r="I1576" i="1" a="1"/>
  <c r="I1576" i="1" s="1"/>
  <c r="I1577" i="1" a="1"/>
  <c r="I1577" i="1" s="1"/>
  <c r="I1578" i="1" a="1"/>
  <c r="I1578" i="1" s="1"/>
  <c r="I1579" i="1" a="1"/>
  <c r="I1579" i="1" s="1"/>
  <c r="I1580" i="1" a="1"/>
  <c r="I1580" i="1" s="1"/>
  <c r="I1581" i="1" a="1"/>
  <c r="I1581" i="1" s="1"/>
  <c r="I1582" i="1" a="1"/>
  <c r="I1582" i="1" s="1"/>
  <c r="I1583" i="1" a="1"/>
  <c r="I1583" i="1" s="1"/>
  <c r="I1584" i="1" a="1"/>
  <c r="I1584" i="1" s="1"/>
  <c r="I1585" i="1" a="1"/>
  <c r="I1585" i="1" s="1"/>
  <c r="I1586" i="1" a="1"/>
  <c r="I1586" i="1" s="1"/>
  <c r="I1587" i="1" a="1"/>
  <c r="I1587" i="1" s="1"/>
  <c r="I1588" i="1" a="1"/>
  <c r="I1588" i="1" s="1"/>
  <c r="I1589" i="1" a="1"/>
  <c r="I1589" i="1" s="1"/>
  <c r="I1590" i="1" a="1"/>
  <c r="I1590" i="1" s="1"/>
  <c r="I1591" i="1" a="1"/>
  <c r="I1591" i="1" s="1"/>
  <c r="I1592" i="1" a="1"/>
  <c r="I1592" i="1" s="1"/>
  <c r="I1593" i="1" a="1"/>
  <c r="I1593" i="1" s="1"/>
  <c r="I1594" i="1" a="1"/>
  <c r="I1594" i="1" s="1"/>
  <c r="I1595" i="1" a="1"/>
  <c r="I1595" i="1" s="1"/>
  <c r="I1596" i="1" a="1"/>
  <c r="I1596" i="1" s="1"/>
  <c r="I1597" i="1" a="1"/>
  <c r="I1597" i="1" s="1"/>
  <c r="I1598" i="1" a="1"/>
  <c r="I1598" i="1" s="1"/>
  <c r="I1599" i="1" a="1"/>
  <c r="I1599" i="1" s="1"/>
  <c r="I1600" i="1" a="1"/>
  <c r="I1600" i="1" s="1"/>
  <c r="I1601" i="1" a="1"/>
  <c r="I1601" i="1" s="1"/>
  <c r="I1602" i="1" a="1"/>
  <c r="I1602" i="1" s="1"/>
  <c r="I1603" i="1" a="1"/>
  <c r="I1603" i="1" s="1"/>
  <c r="I1604" i="1" a="1"/>
  <c r="I1604" i="1" s="1"/>
  <c r="I1605" i="1" a="1"/>
  <c r="I1605" i="1" s="1"/>
  <c r="I1606" i="1" a="1"/>
  <c r="I1606" i="1" s="1"/>
  <c r="I1607" i="1" a="1"/>
  <c r="I1607" i="1" s="1"/>
  <c r="I1608" i="1" a="1"/>
  <c r="I1608" i="1" s="1"/>
  <c r="I1609" i="1" a="1"/>
  <c r="I1609" i="1" s="1"/>
  <c r="I1610" i="1" a="1"/>
  <c r="I1610" i="1" s="1"/>
  <c r="I1611" i="1" a="1"/>
  <c r="I1611" i="1" s="1"/>
  <c r="I1612" i="1" a="1"/>
  <c r="I1612" i="1" s="1"/>
  <c r="I1613" i="1" a="1"/>
  <c r="I1613" i="1" s="1"/>
  <c r="I1614" i="1" a="1"/>
  <c r="I1614" i="1" s="1"/>
  <c r="I1615" i="1" a="1"/>
  <c r="I1615" i="1" s="1"/>
  <c r="I1616" i="1" a="1"/>
  <c r="I1616" i="1" s="1"/>
  <c r="I1617" i="1" a="1"/>
  <c r="I1617" i="1" s="1"/>
  <c r="I1618" i="1" a="1"/>
  <c r="I1618" i="1" s="1"/>
  <c r="I1619" i="1" a="1"/>
  <c r="I1619" i="1" s="1"/>
  <c r="I1620" i="1" a="1"/>
  <c r="I1620" i="1" s="1"/>
  <c r="I1621" i="1" a="1"/>
  <c r="I1621" i="1" s="1"/>
  <c r="I1622" i="1" a="1"/>
  <c r="I1622" i="1" s="1"/>
  <c r="I1623" i="1" a="1"/>
  <c r="I1623" i="1" s="1"/>
  <c r="I1624" i="1" a="1"/>
  <c r="I1624" i="1" s="1"/>
  <c r="I1625" i="1" a="1"/>
  <c r="I1625" i="1" s="1"/>
  <c r="I1626" i="1" a="1"/>
  <c r="I1626" i="1" s="1"/>
  <c r="I1627" i="1" a="1"/>
  <c r="I1627" i="1" s="1"/>
  <c r="I1628" i="1" a="1"/>
  <c r="I1628" i="1" s="1"/>
  <c r="I1629" i="1" a="1"/>
  <c r="I1629" i="1" s="1"/>
  <c r="I1630" i="1" a="1"/>
  <c r="I1630" i="1" s="1"/>
  <c r="I1631" i="1" a="1"/>
  <c r="I1631" i="1" s="1"/>
  <c r="I1632" i="1" a="1"/>
  <c r="I1632" i="1" s="1"/>
  <c r="I1633" i="1" a="1"/>
  <c r="I1633" i="1" s="1"/>
  <c r="I1634" i="1" a="1"/>
  <c r="I1634" i="1" s="1"/>
  <c r="I1635" i="1" a="1"/>
  <c r="I1635" i="1" s="1"/>
  <c r="I1636" i="1" a="1"/>
  <c r="I1636" i="1" s="1"/>
  <c r="I1637" i="1" a="1"/>
  <c r="I1637" i="1" s="1"/>
  <c r="I1638" i="1" a="1"/>
  <c r="I1638" i="1" s="1"/>
  <c r="I1639" i="1" a="1"/>
  <c r="I1639" i="1" s="1"/>
  <c r="I1640" i="1" a="1"/>
  <c r="I1640" i="1" s="1"/>
  <c r="I1641" i="1" a="1"/>
  <c r="I1641" i="1" s="1"/>
  <c r="I1642" i="1" a="1"/>
  <c r="I1642" i="1" s="1"/>
  <c r="I1643" i="1" a="1"/>
  <c r="I1643" i="1" s="1"/>
  <c r="I1644" i="1" a="1"/>
  <c r="I1644" i="1" s="1"/>
  <c r="I1645" i="1" a="1"/>
  <c r="I1645" i="1" s="1"/>
  <c r="I1646" i="1" a="1"/>
  <c r="I1646" i="1" s="1"/>
  <c r="I1647" i="1" a="1"/>
  <c r="I1647" i="1" s="1"/>
  <c r="I1648" i="1" a="1"/>
  <c r="I1648" i="1" s="1"/>
  <c r="I1649" i="1" a="1"/>
  <c r="I1649" i="1" s="1"/>
  <c r="I1650" i="1" a="1"/>
  <c r="I1650" i="1" s="1"/>
  <c r="I1651" i="1" a="1"/>
  <c r="I1651" i="1" s="1"/>
  <c r="I1652" i="1" a="1"/>
  <c r="I1652" i="1" s="1"/>
  <c r="I1653" i="1" a="1"/>
  <c r="I1653" i="1" s="1"/>
  <c r="I1654" i="1" a="1"/>
  <c r="I1654" i="1" s="1"/>
  <c r="I1655" i="1" a="1"/>
  <c r="I1655" i="1" s="1"/>
  <c r="I1656" i="1" a="1"/>
  <c r="I1656" i="1" s="1"/>
  <c r="I1657" i="1" a="1"/>
  <c r="I1657" i="1" s="1"/>
  <c r="I1658" i="1" a="1"/>
  <c r="I1658" i="1" s="1"/>
  <c r="I1659" i="1" a="1"/>
  <c r="I1659" i="1" s="1"/>
  <c r="I1660" i="1" a="1"/>
  <c r="I1660" i="1" s="1"/>
  <c r="I1661" i="1" a="1"/>
  <c r="I1661" i="1" s="1"/>
  <c r="I1662" i="1" a="1"/>
  <c r="I1662" i="1" s="1"/>
  <c r="I1663" i="1" a="1"/>
  <c r="I1663" i="1" s="1"/>
  <c r="I1664" i="1" a="1"/>
  <c r="I1664" i="1" s="1"/>
  <c r="I1665" i="1" a="1"/>
  <c r="I1665" i="1" s="1"/>
  <c r="I1666" i="1" a="1"/>
  <c r="I1666" i="1" s="1"/>
  <c r="I1667" i="1" a="1"/>
  <c r="I1667" i="1" s="1"/>
  <c r="I1668" i="1" a="1"/>
  <c r="I1668" i="1" s="1"/>
  <c r="I1669" i="1" a="1"/>
  <c r="I1669" i="1" s="1"/>
  <c r="I1670" i="1" a="1"/>
  <c r="I1670" i="1" s="1"/>
  <c r="I1671" i="1" a="1"/>
  <c r="I1671" i="1" s="1"/>
  <c r="I1672" i="1" a="1"/>
  <c r="I1672" i="1" s="1"/>
  <c r="I1673" i="1" a="1"/>
  <c r="I1673" i="1" s="1"/>
  <c r="I1674" i="1" a="1"/>
  <c r="I1674" i="1" s="1"/>
  <c r="I1675" i="1" a="1"/>
  <c r="I1675" i="1" s="1"/>
  <c r="I1676" i="1" a="1"/>
  <c r="I1676" i="1" s="1"/>
  <c r="I1677" i="1" a="1"/>
  <c r="I1677" i="1" s="1"/>
  <c r="I1678" i="1" a="1"/>
  <c r="I1678" i="1" s="1"/>
  <c r="I1679" i="1" a="1"/>
  <c r="I1679" i="1" s="1"/>
  <c r="I1680" i="1" a="1"/>
  <c r="I1680" i="1" s="1"/>
  <c r="I1681" i="1" a="1"/>
  <c r="I1681" i="1" s="1"/>
  <c r="I1682" i="1" a="1"/>
  <c r="I1682" i="1" s="1"/>
  <c r="I1683" i="1" a="1"/>
  <c r="I1683" i="1" s="1"/>
  <c r="I1684" i="1" a="1"/>
  <c r="I1684" i="1" s="1"/>
  <c r="I1685" i="1" a="1"/>
  <c r="I1685" i="1" s="1"/>
  <c r="I1686" i="1" a="1"/>
  <c r="I1686" i="1" s="1"/>
  <c r="I1687" i="1" a="1"/>
  <c r="I1687" i="1" s="1"/>
  <c r="I1688" i="1" a="1"/>
  <c r="I1688" i="1" s="1"/>
  <c r="I1689" i="1" a="1"/>
  <c r="I1689" i="1" s="1"/>
  <c r="I1690" i="1" a="1"/>
  <c r="I1690" i="1" s="1"/>
  <c r="I1691" i="1" a="1"/>
  <c r="I1691" i="1" s="1"/>
  <c r="I1692" i="1" a="1"/>
  <c r="I1692" i="1" s="1"/>
  <c r="I1693" i="1" a="1"/>
  <c r="I1693" i="1" s="1"/>
  <c r="I1694" i="1" a="1"/>
  <c r="I1694" i="1" s="1"/>
  <c r="I1695" i="1" a="1"/>
  <c r="I1695" i="1" s="1"/>
  <c r="I1696" i="1" a="1"/>
  <c r="I1696" i="1" s="1"/>
  <c r="I1697" i="1" a="1"/>
  <c r="I1697" i="1" s="1"/>
  <c r="I1698" i="1" a="1"/>
  <c r="I1698" i="1" s="1"/>
  <c r="I1699" i="1" a="1"/>
  <c r="I1699" i="1" s="1"/>
  <c r="I1700" i="1" a="1"/>
  <c r="I1700" i="1" s="1"/>
  <c r="I1701" i="1" a="1"/>
  <c r="I1701" i="1" s="1"/>
  <c r="I1702" i="1" a="1"/>
  <c r="I1702" i="1" s="1"/>
  <c r="I1703" i="1" a="1"/>
  <c r="I1703" i="1" s="1"/>
  <c r="I1704" i="1" a="1"/>
  <c r="I1704" i="1" s="1"/>
  <c r="I1705" i="1" a="1"/>
  <c r="I1705" i="1" s="1"/>
  <c r="I1706" i="1" a="1"/>
  <c r="I1706" i="1" s="1"/>
  <c r="I1707" i="1" a="1"/>
  <c r="I1707" i="1" s="1"/>
  <c r="I1708" i="1" a="1"/>
  <c r="I1708" i="1" s="1"/>
  <c r="I1709" i="1" a="1"/>
  <c r="I1709" i="1" s="1"/>
  <c r="I1710" i="1" a="1"/>
  <c r="I1710" i="1" s="1"/>
  <c r="I1711" i="1" a="1"/>
  <c r="I1711" i="1" s="1"/>
  <c r="I1712" i="1" a="1"/>
  <c r="I1712" i="1" s="1"/>
  <c r="I1713" i="1" a="1"/>
  <c r="I1713" i="1" s="1"/>
  <c r="I1714" i="1" a="1"/>
  <c r="I1714" i="1" s="1"/>
  <c r="I1715" i="1" a="1"/>
  <c r="I1715" i="1" s="1"/>
  <c r="I1716" i="1" a="1"/>
  <c r="I1716" i="1" s="1"/>
  <c r="I1717" i="1" a="1"/>
  <c r="I1717" i="1" s="1"/>
  <c r="I1718" i="1" a="1"/>
  <c r="I1718" i="1" s="1"/>
  <c r="I1719" i="1" a="1"/>
  <c r="I1719" i="1" s="1"/>
  <c r="I1720" i="1" a="1"/>
  <c r="I1720" i="1" s="1"/>
  <c r="I1721" i="1" a="1"/>
  <c r="I1721" i="1" s="1"/>
  <c r="I1722" i="1" a="1"/>
  <c r="I1722" i="1" s="1"/>
  <c r="I1723" i="1" a="1"/>
  <c r="I1723" i="1" s="1"/>
  <c r="I1724" i="1" a="1"/>
  <c r="I1724" i="1" s="1"/>
  <c r="I1725" i="1" a="1"/>
  <c r="I1725" i="1" s="1"/>
  <c r="I1726" i="1" a="1"/>
  <c r="I1726" i="1" s="1"/>
  <c r="I1727" i="1" a="1"/>
  <c r="I1727" i="1" s="1"/>
  <c r="I1728" i="1" a="1"/>
  <c r="I1728" i="1" s="1"/>
  <c r="I1729" i="1" a="1"/>
  <c r="I1729" i="1" s="1"/>
  <c r="I1730" i="1" a="1"/>
  <c r="I1730" i="1" s="1"/>
  <c r="I1731" i="1" a="1"/>
  <c r="I1731" i="1" s="1"/>
  <c r="I1732" i="1" a="1"/>
  <c r="I1732" i="1" s="1"/>
  <c r="I1733" i="1" a="1"/>
  <c r="I1733" i="1" s="1"/>
  <c r="I1734" i="1" a="1"/>
  <c r="I1734" i="1" s="1"/>
  <c r="I1735" i="1" a="1"/>
  <c r="I1735" i="1" s="1"/>
  <c r="I1736" i="1" a="1"/>
  <c r="I1736" i="1" s="1"/>
  <c r="I1737" i="1" a="1"/>
  <c r="I1737" i="1" s="1"/>
  <c r="I1738" i="1" a="1"/>
  <c r="I1738" i="1" s="1"/>
  <c r="I1739" i="1" a="1"/>
  <c r="I1739" i="1" s="1"/>
  <c r="I1740" i="1" a="1"/>
  <c r="I1740" i="1" s="1"/>
  <c r="I1741" i="1" a="1"/>
  <c r="I1741" i="1" s="1"/>
  <c r="I1742" i="1" a="1"/>
  <c r="I1742" i="1" s="1"/>
  <c r="I1743" i="1" a="1"/>
  <c r="I1743" i="1" s="1"/>
  <c r="I1744" i="1" a="1"/>
  <c r="I1744" i="1" s="1"/>
  <c r="I1745" i="1" a="1"/>
  <c r="I1745" i="1" s="1"/>
  <c r="I1746" i="1" a="1"/>
  <c r="I1746" i="1" s="1"/>
  <c r="I1747" i="1" a="1"/>
  <c r="I1747" i="1" s="1"/>
  <c r="I1748" i="1" a="1"/>
  <c r="I1748" i="1" s="1"/>
  <c r="I1749" i="1" a="1"/>
  <c r="I1749" i="1" s="1"/>
  <c r="I1750" i="1" a="1"/>
  <c r="I1750" i="1" s="1"/>
  <c r="I1751" i="1" a="1"/>
  <c r="I1751" i="1" s="1"/>
  <c r="I1752" i="1" a="1"/>
  <c r="I1752" i="1" s="1"/>
  <c r="I1753" i="1" a="1"/>
  <c r="I1753" i="1" s="1"/>
  <c r="I1754" i="1" a="1"/>
  <c r="I1754" i="1" s="1"/>
  <c r="I1755" i="1" a="1"/>
  <c r="I1755" i="1" s="1"/>
  <c r="I1756" i="1" a="1"/>
  <c r="I1756" i="1" s="1"/>
  <c r="I1757" i="1" a="1"/>
  <c r="I1757" i="1" s="1"/>
  <c r="I1758" i="1" a="1"/>
  <c r="I1758" i="1" s="1"/>
  <c r="I1759" i="1" a="1"/>
  <c r="I1759" i="1" s="1"/>
  <c r="I1760" i="1" a="1"/>
  <c r="I1760" i="1" s="1"/>
  <c r="I1761" i="1" a="1"/>
  <c r="I1761" i="1" s="1"/>
  <c r="I1762" i="1" a="1"/>
  <c r="I1762" i="1" s="1"/>
  <c r="I1763" i="1" a="1"/>
  <c r="I1763" i="1" s="1"/>
  <c r="I1764" i="1" a="1"/>
  <c r="I1764" i="1" s="1"/>
  <c r="I1765" i="1" a="1"/>
  <c r="I1765" i="1" s="1"/>
  <c r="I1766" i="1" a="1"/>
  <c r="I1766" i="1" s="1"/>
  <c r="I1767" i="1" a="1"/>
  <c r="I1767" i="1" s="1"/>
  <c r="I1768" i="1" a="1"/>
  <c r="I1768" i="1" s="1"/>
  <c r="I1769" i="1" a="1"/>
  <c r="I1769" i="1" s="1"/>
  <c r="I1770" i="1" a="1"/>
  <c r="I1770" i="1" s="1"/>
  <c r="I1771" i="1" a="1"/>
  <c r="I1771" i="1" s="1"/>
  <c r="I1772" i="1" a="1"/>
  <c r="I1772" i="1" s="1"/>
  <c r="I1773" i="1" a="1"/>
  <c r="I1773" i="1" s="1"/>
  <c r="I1774" i="1" a="1"/>
  <c r="I1774" i="1" s="1"/>
  <c r="I1775" i="1" a="1"/>
  <c r="I1775" i="1" s="1"/>
  <c r="I1776" i="1" a="1"/>
  <c r="I1776" i="1" s="1"/>
  <c r="I1777" i="1" a="1"/>
  <c r="I1777" i="1" s="1"/>
  <c r="I1778" i="1" a="1"/>
  <c r="I1778" i="1" s="1"/>
  <c r="I1779" i="1" a="1"/>
  <c r="I1779" i="1" s="1"/>
  <c r="I1780" i="1" a="1"/>
  <c r="I1780" i="1" s="1"/>
  <c r="I1781" i="1" a="1"/>
  <c r="I1781" i="1" s="1"/>
  <c r="I1782" i="1" a="1"/>
  <c r="I1782" i="1" s="1"/>
  <c r="I1783" i="1" a="1"/>
  <c r="I1783" i="1" s="1"/>
  <c r="I1784" i="1" a="1"/>
  <c r="I1784" i="1" s="1"/>
  <c r="I1785" i="1" a="1"/>
  <c r="I1785" i="1" s="1"/>
  <c r="I1786" i="1" a="1"/>
  <c r="I1786" i="1" s="1"/>
  <c r="I1787" i="1" a="1"/>
  <c r="I1787" i="1" s="1"/>
  <c r="I1788" i="1" a="1"/>
  <c r="I1788" i="1" s="1"/>
  <c r="I1789" i="1" a="1"/>
  <c r="I1789" i="1" s="1"/>
  <c r="I1790" i="1" a="1"/>
  <c r="I1790" i="1" s="1"/>
  <c r="I1791" i="1" a="1"/>
  <c r="I1791" i="1" s="1"/>
  <c r="I1792" i="1" a="1"/>
  <c r="I1792" i="1" s="1"/>
  <c r="I2" i="1" a="1"/>
  <c r="I2" i="1" s="1"/>
  <c r="S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P3" i="1"/>
  <c r="Q3" i="1" s="1"/>
  <c r="P4" i="1"/>
  <c r="Q4" i="1" s="1"/>
  <c r="P5" i="1"/>
  <c r="Q5" i="1" s="1"/>
  <c r="P6" i="1"/>
  <c r="Q6" i="1" s="1"/>
  <c r="P7" i="1"/>
  <c r="Q7" i="1" s="1"/>
  <c r="P8" i="1"/>
  <c r="Q8" i="1" s="1"/>
  <c r="P9" i="1"/>
  <c r="Q9" i="1" s="1"/>
  <c r="P10" i="1"/>
  <c r="Q10" i="1" s="1"/>
  <c r="P11" i="1"/>
  <c r="Q11" i="1" s="1"/>
  <c r="P12" i="1"/>
  <c r="Q12" i="1" s="1"/>
  <c r="P13" i="1"/>
  <c r="Q13" i="1" s="1"/>
  <c r="P14" i="1"/>
  <c r="Q14" i="1" s="1"/>
  <c r="P15" i="1"/>
  <c r="Q15" i="1" s="1"/>
  <c r="P16" i="1"/>
  <c r="Q16" i="1" s="1"/>
  <c r="P17" i="1"/>
  <c r="Q17" i="1" s="1"/>
  <c r="P18" i="1"/>
  <c r="Q18" i="1" s="1"/>
  <c r="P19" i="1"/>
  <c r="Q19" i="1" s="1"/>
  <c r="P20" i="1"/>
  <c r="Q20" i="1" s="1"/>
  <c r="P21" i="1"/>
  <c r="Q21" i="1" s="1"/>
  <c r="P22" i="1"/>
  <c r="Q22" i="1" s="1"/>
  <c r="P23" i="1"/>
  <c r="Q23" i="1" s="1"/>
  <c r="P24" i="1"/>
  <c r="Q24" i="1" s="1"/>
  <c r="P25" i="1"/>
  <c r="Q25" i="1" s="1"/>
  <c r="P26" i="1"/>
  <c r="Q26" i="1" s="1"/>
  <c r="P27" i="1"/>
  <c r="Q27" i="1" s="1"/>
  <c r="P28" i="1"/>
  <c r="Q28" i="1" s="1"/>
  <c r="P29" i="1"/>
  <c r="Q29" i="1" s="1"/>
  <c r="P30" i="1"/>
  <c r="Q30" i="1" s="1"/>
  <c r="P31" i="1"/>
  <c r="Q31" i="1" s="1"/>
  <c r="P32" i="1"/>
  <c r="Q32" i="1" s="1"/>
  <c r="P33" i="1"/>
  <c r="Q33" i="1" s="1"/>
  <c r="P34" i="1"/>
  <c r="Q34" i="1" s="1"/>
  <c r="P35" i="1"/>
  <c r="Q35" i="1" s="1"/>
  <c r="P36" i="1"/>
  <c r="Q36" i="1" s="1"/>
  <c r="P37" i="1"/>
  <c r="Q37" i="1" s="1"/>
  <c r="P38" i="1"/>
  <c r="Q38" i="1" s="1"/>
  <c r="P39" i="1"/>
  <c r="Q39" i="1" s="1"/>
  <c r="P40" i="1"/>
  <c r="Q40" i="1" s="1"/>
  <c r="P41" i="1"/>
  <c r="Q41" i="1" s="1"/>
  <c r="P42" i="1"/>
  <c r="Q42" i="1" s="1"/>
  <c r="P43" i="1"/>
  <c r="Q43" i="1" s="1"/>
  <c r="P44" i="1"/>
  <c r="Q44" i="1" s="1"/>
  <c r="P45" i="1"/>
  <c r="Q45" i="1" s="1"/>
  <c r="P46" i="1"/>
  <c r="Q46" i="1" s="1"/>
  <c r="P47" i="1"/>
  <c r="Q47" i="1" s="1"/>
  <c r="P48" i="1"/>
  <c r="Q48" i="1" s="1"/>
  <c r="P49" i="1"/>
  <c r="Q49" i="1" s="1"/>
  <c r="P50" i="1"/>
  <c r="Q50" i="1" s="1"/>
  <c r="P51" i="1"/>
  <c r="Q51" i="1" s="1"/>
  <c r="P52" i="1"/>
  <c r="Q52" i="1" s="1"/>
  <c r="P53" i="1"/>
  <c r="Q53" i="1" s="1"/>
  <c r="P54" i="1"/>
  <c r="Q54" i="1" s="1"/>
  <c r="P55" i="1"/>
  <c r="Q55" i="1" s="1"/>
  <c r="P56" i="1"/>
  <c r="Q56" i="1" s="1"/>
  <c r="P57" i="1"/>
  <c r="Q57" i="1" s="1"/>
  <c r="P58" i="1"/>
  <c r="Q58" i="1" s="1"/>
  <c r="P59" i="1"/>
  <c r="Q59" i="1" s="1"/>
  <c r="P60" i="1"/>
  <c r="Q60" i="1" s="1"/>
  <c r="P61" i="1"/>
  <c r="Q61" i="1" s="1"/>
  <c r="P62" i="1"/>
  <c r="Q62" i="1" s="1"/>
  <c r="P63" i="1"/>
  <c r="Q63" i="1" s="1"/>
  <c r="P64" i="1"/>
  <c r="Q64" i="1" s="1"/>
  <c r="P65" i="1"/>
  <c r="Q65" i="1" s="1"/>
  <c r="P66" i="1"/>
  <c r="Q66" i="1" s="1"/>
  <c r="P67" i="1"/>
  <c r="Q67" i="1" s="1"/>
  <c r="P68" i="1"/>
  <c r="Q68" i="1" s="1"/>
  <c r="P69" i="1"/>
  <c r="Q69" i="1" s="1"/>
  <c r="P70" i="1"/>
  <c r="Q70" i="1" s="1"/>
  <c r="P71" i="1"/>
  <c r="Q71" i="1" s="1"/>
  <c r="P72" i="1"/>
  <c r="Q72" i="1" s="1"/>
  <c r="P73" i="1"/>
  <c r="Q73" i="1" s="1"/>
  <c r="P74" i="1"/>
  <c r="Q74" i="1" s="1"/>
  <c r="P75" i="1"/>
  <c r="Q75" i="1" s="1"/>
  <c r="P76" i="1"/>
  <c r="Q76" i="1" s="1"/>
  <c r="P77" i="1"/>
  <c r="Q77" i="1" s="1"/>
  <c r="P78" i="1"/>
  <c r="Q78" i="1" s="1"/>
  <c r="P79" i="1"/>
  <c r="Q79" i="1" s="1"/>
  <c r="P80" i="1"/>
  <c r="Q80" i="1" s="1"/>
  <c r="P81" i="1"/>
  <c r="Q81" i="1" s="1"/>
  <c r="P82" i="1"/>
  <c r="Q82" i="1" s="1"/>
  <c r="P83" i="1"/>
  <c r="Q83" i="1" s="1"/>
  <c r="P84" i="1"/>
  <c r="Q84" i="1" s="1"/>
  <c r="P85" i="1"/>
  <c r="Q85" i="1" s="1"/>
  <c r="P86" i="1"/>
  <c r="Q86" i="1" s="1"/>
  <c r="P87" i="1"/>
  <c r="Q87" i="1" s="1"/>
  <c r="P88" i="1"/>
  <c r="Q88" i="1" s="1"/>
  <c r="P89" i="1"/>
  <c r="Q89" i="1" s="1"/>
  <c r="P90" i="1"/>
  <c r="Q90" i="1" s="1"/>
  <c r="P91" i="1"/>
  <c r="Q91" i="1" s="1"/>
  <c r="P92" i="1"/>
  <c r="Q92" i="1" s="1"/>
  <c r="P93" i="1"/>
  <c r="Q93" i="1" s="1"/>
  <c r="P94" i="1"/>
  <c r="Q94" i="1" s="1"/>
  <c r="P95" i="1"/>
  <c r="Q95" i="1" s="1"/>
  <c r="P96" i="1"/>
  <c r="Q96" i="1" s="1"/>
  <c r="P97" i="1"/>
  <c r="Q97" i="1" s="1"/>
  <c r="P98" i="1"/>
  <c r="Q98" i="1" s="1"/>
  <c r="P99" i="1"/>
  <c r="Q99" i="1" s="1"/>
  <c r="P100" i="1"/>
  <c r="Q100" i="1" s="1"/>
  <c r="P101" i="1"/>
  <c r="Q101" i="1" s="1"/>
  <c r="P102" i="1"/>
  <c r="Q102" i="1" s="1"/>
  <c r="P103" i="1"/>
  <c r="Q103" i="1" s="1"/>
  <c r="P104" i="1"/>
  <c r="Q104" i="1" s="1"/>
  <c r="P105" i="1"/>
  <c r="Q105" i="1" s="1"/>
  <c r="P106" i="1"/>
  <c r="Q106" i="1" s="1"/>
  <c r="P107" i="1"/>
  <c r="Q107" i="1" s="1"/>
  <c r="P108" i="1"/>
  <c r="Q108" i="1" s="1"/>
  <c r="P109" i="1"/>
  <c r="Q109" i="1" s="1"/>
  <c r="P110" i="1"/>
  <c r="Q110" i="1" s="1"/>
  <c r="P111" i="1"/>
  <c r="Q111" i="1" s="1"/>
  <c r="P112" i="1"/>
  <c r="Q112" i="1" s="1"/>
  <c r="P113" i="1"/>
  <c r="Q113" i="1" s="1"/>
  <c r="P114" i="1"/>
  <c r="Q114" i="1" s="1"/>
  <c r="P115" i="1"/>
  <c r="Q115" i="1" s="1"/>
  <c r="P116" i="1"/>
  <c r="Q116" i="1" s="1"/>
  <c r="P117" i="1"/>
  <c r="Q117" i="1" s="1"/>
  <c r="P118" i="1"/>
  <c r="Q118" i="1" s="1"/>
  <c r="P119" i="1"/>
  <c r="Q119" i="1" s="1"/>
  <c r="P120" i="1"/>
  <c r="Q120" i="1" s="1"/>
  <c r="P121" i="1"/>
  <c r="Q121" i="1" s="1"/>
  <c r="P122" i="1"/>
  <c r="Q122" i="1" s="1"/>
  <c r="P123" i="1"/>
  <c r="Q123" i="1" s="1"/>
  <c r="P124" i="1"/>
  <c r="Q124" i="1" s="1"/>
  <c r="P125" i="1"/>
  <c r="Q125" i="1" s="1"/>
  <c r="P126" i="1"/>
  <c r="Q126" i="1" s="1"/>
  <c r="P127" i="1"/>
  <c r="Q127" i="1" s="1"/>
  <c r="P128" i="1"/>
  <c r="Q128" i="1" s="1"/>
  <c r="P129" i="1"/>
  <c r="Q129" i="1" s="1"/>
  <c r="P130" i="1"/>
  <c r="Q130" i="1" s="1"/>
  <c r="P131" i="1"/>
  <c r="Q131" i="1" s="1"/>
  <c r="P132" i="1"/>
  <c r="Q132" i="1" s="1"/>
  <c r="P133" i="1"/>
  <c r="Q133" i="1" s="1"/>
  <c r="P134" i="1"/>
  <c r="Q134" i="1" s="1"/>
  <c r="P135" i="1"/>
  <c r="Q135" i="1" s="1"/>
  <c r="P136" i="1"/>
  <c r="Q136" i="1" s="1"/>
  <c r="P137" i="1"/>
  <c r="Q137" i="1" s="1"/>
  <c r="P138" i="1"/>
  <c r="Q138" i="1" s="1"/>
  <c r="P139" i="1"/>
  <c r="Q139" i="1" s="1"/>
  <c r="P140" i="1"/>
  <c r="Q140" i="1" s="1"/>
  <c r="P141" i="1"/>
  <c r="Q141" i="1" s="1"/>
  <c r="P142" i="1"/>
  <c r="Q142" i="1" s="1"/>
  <c r="P143" i="1"/>
  <c r="Q143" i="1" s="1"/>
  <c r="P144" i="1"/>
  <c r="Q144" i="1" s="1"/>
  <c r="P145" i="1"/>
  <c r="Q145" i="1" s="1"/>
  <c r="P146" i="1"/>
  <c r="Q146" i="1" s="1"/>
  <c r="P147" i="1"/>
  <c r="Q147" i="1" s="1"/>
  <c r="P148" i="1"/>
  <c r="Q148" i="1" s="1"/>
  <c r="P149" i="1"/>
  <c r="Q149" i="1" s="1"/>
  <c r="P150" i="1"/>
  <c r="Q150" i="1" s="1"/>
  <c r="P151" i="1"/>
  <c r="Q151" i="1" s="1"/>
  <c r="P152" i="1"/>
  <c r="Q152" i="1" s="1"/>
  <c r="P153" i="1"/>
  <c r="Q153" i="1" s="1"/>
  <c r="P154" i="1"/>
  <c r="Q154" i="1" s="1"/>
  <c r="P155" i="1"/>
  <c r="Q155" i="1" s="1"/>
  <c r="P156" i="1"/>
  <c r="Q156" i="1" s="1"/>
  <c r="P157" i="1"/>
  <c r="Q157" i="1" s="1"/>
  <c r="P158" i="1"/>
  <c r="Q158" i="1" s="1"/>
  <c r="P159" i="1"/>
  <c r="Q159" i="1" s="1"/>
  <c r="P160" i="1"/>
  <c r="Q160" i="1" s="1"/>
  <c r="P161" i="1"/>
  <c r="Q161" i="1" s="1"/>
  <c r="P162" i="1"/>
  <c r="Q162" i="1" s="1"/>
  <c r="P163" i="1"/>
  <c r="Q163" i="1" s="1"/>
  <c r="P164" i="1"/>
  <c r="Q164" i="1" s="1"/>
  <c r="P165" i="1"/>
  <c r="Q165" i="1" s="1"/>
  <c r="P166" i="1"/>
  <c r="Q166" i="1" s="1"/>
  <c r="P167" i="1"/>
  <c r="Q167" i="1" s="1"/>
  <c r="P168" i="1"/>
  <c r="Q168" i="1" s="1"/>
  <c r="P169" i="1"/>
  <c r="Q169" i="1" s="1"/>
  <c r="P170" i="1"/>
  <c r="Q170" i="1" s="1"/>
  <c r="P171" i="1"/>
  <c r="Q171" i="1" s="1"/>
  <c r="P172" i="1"/>
  <c r="Q172" i="1" s="1"/>
  <c r="P173" i="1"/>
  <c r="Q173" i="1" s="1"/>
  <c r="P174" i="1"/>
  <c r="Q174" i="1" s="1"/>
  <c r="P175" i="1"/>
  <c r="Q175" i="1" s="1"/>
  <c r="P176" i="1"/>
  <c r="Q176" i="1" s="1"/>
  <c r="P177" i="1"/>
  <c r="Q177" i="1" s="1"/>
  <c r="P178" i="1"/>
  <c r="Q178" i="1" s="1"/>
  <c r="P179" i="1"/>
  <c r="Q179" i="1" s="1"/>
  <c r="P180" i="1"/>
  <c r="Q180" i="1" s="1"/>
  <c r="P181" i="1"/>
  <c r="Q181" i="1" s="1"/>
  <c r="P182" i="1"/>
  <c r="Q182" i="1" s="1"/>
  <c r="P183" i="1"/>
  <c r="Q183" i="1" s="1"/>
  <c r="P184" i="1"/>
  <c r="Q184" i="1" s="1"/>
  <c r="P185" i="1"/>
  <c r="Q185" i="1" s="1"/>
  <c r="P186" i="1"/>
  <c r="Q186" i="1" s="1"/>
  <c r="P187" i="1"/>
  <c r="Q187" i="1" s="1"/>
  <c r="P188" i="1"/>
  <c r="Q188" i="1" s="1"/>
  <c r="P189" i="1"/>
  <c r="Q189" i="1" s="1"/>
  <c r="P190" i="1"/>
  <c r="Q190" i="1" s="1"/>
  <c r="P191" i="1"/>
  <c r="Q191" i="1" s="1"/>
  <c r="P192" i="1"/>
  <c r="Q192" i="1" s="1"/>
  <c r="P193" i="1"/>
  <c r="Q193" i="1" s="1"/>
  <c r="P194" i="1"/>
  <c r="Q194" i="1" s="1"/>
  <c r="P195" i="1"/>
  <c r="Q195" i="1" s="1"/>
  <c r="P196" i="1"/>
  <c r="Q196" i="1" s="1"/>
  <c r="P197" i="1"/>
  <c r="Q197" i="1" s="1"/>
  <c r="P198" i="1"/>
  <c r="Q198" i="1" s="1"/>
  <c r="P199" i="1"/>
  <c r="Q199" i="1" s="1"/>
  <c r="P200" i="1"/>
  <c r="Q200" i="1" s="1"/>
  <c r="P201" i="1"/>
  <c r="Q201" i="1" s="1"/>
  <c r="P202" i="1"/>
  <c r="Q202" i="1" s="1"/>
  <c r="P203" i="1"/>
  <c r="Q203" i="1" s="1"/>
  <c r="P204" i="1"/>
  <c r="Q204" i="1" s="1"/>
  <c r="P205" i="1"/>
  <c r="Q205" i="1" s="1"/>
  <c r="P206" i="1"/>
  <c r="Q206" i="1" s="1"/>
  <c r="P207" i="1"/>
  <c r="Q207" i="1" s="1"/>
  <c r="P208" i="1"/>
  <c r="Q208" i="1" s="1"/>
  <c r="P209" i="1"/>
  <c r="Q209" i="1" s="1"/>
  <c r="P210" i="1"/>
  <c r="Q210" i="1" s="1"/>
  <c r="P211" i="1"/>
  <c r="Q211" i="1" s="1"/>
  <c r="P212" i="1"/>
  <c r="Q212" i="1" s="1"/>
  <c r="P213" i="1"/>
  <c r="Q213" i="1" s="1"/>
  <c r="P214" i="1"/>
  <c r="Q214" i="1" s="1"/>
  <c r="P215" i="1"/>
  <c r="Q215" i="1" s="1"/>
  <c r="P216" i="1"/>
  <c r="Q216" i="1" s="1"/>
  <c r="P217" i="1"/>
  <c r="Q217" i="1" s="1"/>
  <c r="P218" i="1"/>
  <c r="Q218" i="1" s="1"/>
  <c r="P219" i="1"/>
  <c r="Q219" i="1" s="1"/>
  <c r="P220" i="1"/>
  <c r="Q220" i="1" s="1"/>
  <c r="P221" i="1"/>
  <c r="Q221" i="1" s="1"/>
  <c r="P222" i="1"/>
  <c r="Q222" i="1" s="1"/>
  <c r="P223" i="1"/>
  <c r="Q223" i="1" s="1"/>
  <c r="P224" i="1"/>
  <c r="Q224" i="1" s="1"/>
  <c r="P225" i="1"/>
  <c r="Q225" i="1" s="1"/>
  <c r="P226" i="1"/>
  <c r="Q226" i="1" s="1"/>
  <c r="P227" i="1"/>
  <c r="Q227" i="1" s="1"/>
  <c r="P228" i="1"/>
  <c r="Q228" i="1" s="1"/>
  <c r="P229" i="1"/>
  <c r="Q229" i="1" s="1"/>
  <c r="P230" i="1"/>
  <c r="Q230" i="1" s="1"/>
  <c r="P231" i="1"/>
  <c r="Q231" i="1" s="1"/>
  <c r="P232" i="1"/>
  <c r="Q232" i="1" s="1"/>
  <c r="P233" i="1"/>
  <c r="Q233" i="1" s="1"/>
  <c r="P234" i="1"/>
  <c r="Q234" i="1" s="1"/>
  <c r="P235" i="1"/>
  <c r="Q235" i="1" s="1"/>
  <c r="P236" i="1"/>
  <c r="Q236" i="1" s="1"/>
  <c r="P237" i="1"/>
  <c r="Q237" i="1" s="1"/>
  <c r="P238" i="1"/>
  <c r="Q238" i="1" s="1"/>
  <c r="P239" i="1"/>
  <c r="Q239" i="1" s="1"/>
  <c r="P240" i="1"/>
  <c r="Q240" i="1" s="1"/>
  <c r="P241" i="1"/>
  <c r="Q241" i="1" s="1"/>
  <c r="P242" i="1"/>
  <c r="Q242" i="1" s="1"/>
  <c r="P243" i="1"/>
  <c r="Q243" i="1" s="1"/>
  <c r="P244" i="1"/>
  <c r="Q244" i="1" s="1"/>
  <c r="P245" i="1"/>
  <c r="Q245" i="1" s="1"/>
  <c r="P246" i="1"/>
  <c r="Q246" i="1" s="1"/>
  <c r="P247" i="1"/>
  <c r="Q247" i="1" s="1"/>
  <c r="P248" i="1"/>
  <c r="Q248" i="1" s="1"/>
  <c r="P249" i="1"/>
  <c r="Q249" i="1" s="1"/>
  <c r="P250" i="1"/>
  <c r="Q250" i="1" s="1"/>
  <c r="P251" i="1"/>
  <c r="Q251" i="1" s="1"/>
  <c r="P252" i="1"/>
  <c r="Q252" i="1" s="1"/>
  <c r="P253" i="1"/>
  <c r="Q253" i="1" s="1"/>
  <c r="P254" i="1"/>
  <c r="Q254" i="1" s="1"/>
  <c r="P255" i="1"/>
  <c r="Q255" i="1" s="1"/>
  <c r="P256" i="1"/>
  <c r="Q256" i="1" s="1"/>
  <c r="P257" i="1"/>
  <c r="Q257" i="1" s="1"/>
  <c r="P258" i="1"/>
  <c r="Q258" i="1" s="1"/>
  <c r="P259" i="1"/>
  <c r="Q259" i="1" s="1"/>
  <c r="P260" i="1"/>
  <c r="Q260" i="1" s="1"/>
  <c r="P261" i="1"/>
  <c r="Q261" i="1" s="1"/>
  <c r="P262" i="1"/>
  <c r="Q262" i="1" s="1"/>
  <c r="P263" i="1"/>
  <c r="Q263" i="1" s="1"/>
  <c r="P264" i="1"/>
  <c r="Q264" i="1" s="1"/>
  <c r="P265" i="1"/>
  <c r="Q265" i="1" s="1"/>
  <c r="P266" i="1"/>
  <c r="Q266" i="1" s="1"/>
  <c r="P267" i="1"/>
  <c r="Q267" i="1" s="1"/>
  <c r="P268" i="1"/>
  <c r="Q268" i="1" s="1"/>
  <c r="P269" i="1"/>
  <c r="Q269" i="1" s="1"/>
  <c r="P270" i="1"/>
  <c r="Q270" i="1" s="1"/>
  <c r="P271" i="1"/>
  <c r="Q271" i="1" s="1"/>
  <c r="P272" i="1"/>
  <c r="Q272" i="1" s="1"/>
  <c r="P273" i="1"/>
  <c r="Q273" i="1" s="1"/>
  <c r="P274" i="1"/>
  <c r="Q274" i="1" s="1"/>
  <c r="P275" i="1"/>
  <c r="Q275" i="1" s="1"/>
  <c r="P276" i="1"/>
  <c r="Q276" i="1" s="1"/>
  <c r="P277" i="1"/>
  <c r="Q277" i="1" s="1"/>
  <c r="P278" i="1"/>
  <c r="Q278" i="1" s="1"/>
  <c r="P279" i="1"/>
  <c r="Q279" i="1" s="1"/>
  <c r="P280" i="1"/>
  <c r="Q280" i="1" s="1"/>
  <c r="P281" i="1"/>
  <c r="Q281" i="1" s="1"/>
  <c r="P282" i="1"/>
  <c r="Q282" i="1" s="1"/>
  <c r="P283" i="1"/>
  <c r="Q283" i="1" s="1"/>
  <c r="P284" i="1"/>
  <c r="Q284" i="1" s="1"/>
  <c r="P285" i="1"/>
  <c r="Q285" i="1" s="1"/>
  <c r="P286" i="1"/>
  <c r="Q286" i="1" s="1"/>
  <c r="P287" i="1"/>
  <c r="Q287" i="1" s="1"/>
  <c r="P288" i="1"/>
  <c r="Q288" i="1" s="1"/>
  <c r="P289" i="1"/>
  <c r="Q289" i="1" s="1"/>
  <c r="P290" i="1"/>
  <c r="Q290" i="1" s="1"/>
  <c r="P291" i="1"/>
  <c r="Q291" i="1" s="1"/>
  <c r="P292" i="1"/>
  <c r="Q292" i="1" s="1"/>
  <c r="P293" i="1"/>
  <c r="Q293" i="1" s="1"/>
  <c r="P294" i="1"/>
  <c r="Q294" i="1" s="1"/>
  <c r="P295" i="1"/>
  <c r="Q295" i="1" s="1"/>
  <c r="P296" i="1"/>
  <c r="Q296" i="1" s="1"/>
  <c r="P297" i="1"/>
  <c r="Q297" i="1" s="1"/>
  <c r="P298" i="1"/>
  <c r="Q298" i="1" s="1"/>
  <c r="P299" i="1"/>
  <c r="Q299" i="1" s="1"/>
  <c r="P300" i="1"/>
  <c r="Q300" i="1" s="1"/>
  <c r="P301" i="1"/>
  <c r="Q301" i="1" s="1"/>
  <c r="P302" i="1"/>
  <c r="Q302" i="1" s="1"/>
  <c r="P303" i="1"/>
  <c r="Q303" i="1" s="1"/>
  <c r="P304" i="1"/>
  <c r="Q304" i="1" s="1"/>
  <c r="P305" i="1"/>
  <c r="Q305" i="1" s="1"/>
  <c r="P306" i="1"/>
  <c r="Q306" i="1" s="1"/>
  <c r="P307" i="1"/>
  <c r="Q307" i="1" s="1"/>
  <c r="P308" i="1"/>
  <c r="Q308" i="1" s="1"/>
  <c r="P309" i="1"/>
  <c r="Q309" i="1" s="1"/>
  <c r="P310" i="1"/>
  <c r="Q310" i="1" s="1"/>
  <c r="P311" i="1"/>
  <c r="Q311" i="1" s="1"/>
  <c r="P312" i="1"/>
  <c r="Q312" i="1" s="1"/>
  <c r="P313" i="1"/>
  <c r="Q313" i="1" s="1"/>
  <c r="P314" i="1"/>
  <c r="Q314" i="1" s="1"/>
  <c r="P315" i="1"/>
  <c r="Q315" i="1" s="1"/>
  <c r="P316" i="1"/>
  <c r="Q316" i="1" s="1"/>
  <c r="P317" i="1"/>
  <c r="Q317" i="1" s="1"/>
  <c r="P318" i="1"/>
  <c r="Q318" i="1" s="1"/>
  <c r="P319" i="1"/>
  <c r="Q319" i="1" s="1"/>
  <c r="P320" i="1"/>
  <c r="Q320" i="1" s="1"/>
  <c r="P321" i="1"/>
  <c r="Q321" i="1" s="1"/>
  <c r="P322" i="1"/>
  <c r="Q322" i="1" s="1"/>
  <c r="P323" i="1"/>
  <c r="Q323" i="1" s="1"/>
  <c r="P324" i="1"/>
  <c r="Q324" i="1" s="1"/>
  <c r="P325" i="1"/>
  <c r="Q325" i="1" s="1"/>
  <c r="P326" i="1"/>
  <c r="Q326" i="1" s="1"/>
  <c r="P327" i="1"/>
  <c r="Q327" i="1" s="1"/>
  <c r="P328" i="1"/>
  <c r="Q328" i="1" s="1"/>
  <c r="P329" i="1"/>
  <c r="Q329" i="1" s="1"/>
  <c r="P330" i="1"/>
  <c r="Q330" i="1" s="1"/>
  <c r="P331" i="1"/>
  <c r="Q331" i="1" s="1"/>
  <c r="P332" i="1"/>
  <c r="Q332" i="1" s="1"/>
  <c r="P333" i="1"/>
  <c r="Q333" i="1" s="1"/>
  <c r="P334" i="1"/>
  <c r="Q334" i="1" s="1"/>
  <c r="P335" i="1"/>
  <c r="Q335" i="1" s="1"/>
  <c r="P336" i="1"/>
  <c r="Q336" i="1" s="1"/>
  <c r="P337" i="1"/>
  <c r="Q337" i="1" s="1"/>
  <c r="P338" i="1"/>
  <c r="Q338" i="1" s="1"/>
  <c r="P339" i="1"/>
  <c r="Q339" i="1" s="1"/>
  <c r="P340" i="1"/>
  <c r="Q340" i="1" s="1"/>
  <c r="P341" i="1"/>
  <c r="Q341" i="1" s="1"/>
  <c r="P342" i="1"/>
  <c r="Q342" i="1" s="1"/>
  <c r="P343" i="1"/>
  <c r="Q343" i="1" s="1"/>
  <c r="P344" i="1"/>
  <c r="Q344" i="1" s="1"/>
  <c r="P345" i="1"/>
  <c r="Q345" i="1" s="1"/>
  <c r="P346" i="1"/>
  <c r="Q346" i="1" s="1"/>
  <c r="P347" i="1"/>
  <c r="Q347" i="1" s="1"/>
  <c r="P348" i="1"/>
  <c r="Q348" i="1" s="1"/>
  <c r="P349" i="1"/>
  <c r="Q349" i="1" s="1"/>
  <c r="P350" i="1"/>
  <c r="Q350" i="1" s="1"/>
  <c r="P351" i="1"/>
  <c r="Q351" i="1" s="1"/>
  <c r="P352" i="1"/>
  <c r="Q352" i="1" s="1"/>
  <c r="P353" i="1"/>
  <c r="Q353" i="1" s="1"/>
  <c r="P354" i="1"/>
  <c r="Q354" i="1" s="1"/>
  <c r="P355" i="1"/>
  <c r="Q355" i="1" s="1"/>
  <c r="P356" i="1"/>
  <c r="Q356" i="1" s="1"/>
  <c r="P357" i="1"/>
  <c r="Q357" i="1" s="1"/>
  <c r="P358" i="1"/>
  <c r="Q358" i="1" s="1"/>
  <c r="P359" i="1"/>
  <c r="Q359" i="1" s="1"/>
  <c r="P360" i="1"/>
  <c r="Q360" i="1" s="1"/>
  <c r="P361" i="1"/>
  <c r="Q361" i="1" s="1"/>
  <c r="P362" i="1"/>
  <c r="Q362" i="1" s="1"/>
  <c r="P363" i="1"/>
  <c r="Q363" i="1" s="1"/>
  <c r="P364" i="1"/>
  <c r="Q364" i="1" s="1"/>
  <c r="P365" i="1"/>
  <c r="Q365" i="1" s="1"/>
  <c r="P366" i="1"/>
  <c r="Q366" i="1" s="1"/>
  <c r="P367" i="1"/>
  <c r="Q367" i="1" s="1"/>
  <c r="P368" i="1"/>
  <c r="Q368" i="1" s="1"/>
  <c r="P369" i="1"/>
  <c r="Q369" i="1" s="1"/>
  <c r="P370" i="1"/>
  <c r="Q370" i="1" s="1"/>
  <c r="P371" i="1"/>
  <c r="Q371" i="1" s="1"/>
  <c r="P372" i="1"/>
  <c r="Q372" i="1" s="1"/>
  <c r="P373" i="1"/>
  <c r="Q373" i="1" s="1"/>
  <c r="P374" i="1"/>
  <c r="Q374" i="1" s="1"/>
  <c r="P375" i="1"/>
  <c r="Q375" i="1" s="1"/>
  <c r="P376" i="1"/>
  <c r="Q376" i="1" s="1"/>
  <c r="P377" i="1"/>
  <c r="Q377" i="1" s="1"/>
  <c r="P378" i="1"/>
  <c r="Q378" i="1" s="1"/>
  <c r="P379" i="1"/>
  <c r="Q379" i="1" s="1"/>
  <c r="P380" i="1"/>
  <c r="Q380" i="1" s="1"/>
  <c r="P381" i="1"/>
  <c r="Q381" i="1" s="1"/>
  <c r="P382" i="1"/>
  <c r="Q382" i="1" s="1"/>
  <c r="P383" i="1"/>
  <c r="Q383" i="1" s="1"/>
  <c r="P384" i="1"/>
  <c r="Q384" i="1" s="1"/>
  <c r="P385" i="1"/>
  <c r="Q385" i="1" s="1"/>
  <c r="P386" i="1"/>
  <c r="Q386" i="1" s="1"/>
  <c r="P387" i="1"/>
  <c r="Q387" i="1" s="1"/>
  <c r="P388" i="1"/>
  <c r="Q388" i="1" s="1"/>
  <c r="P389" i="1"/>
  <c r="Q389" i="1" s="1"/>
  <c r="P390" i="1"/>
  <c r="Q390" i="1" s="1"/>
  <c r="P391" i="1"/>
  <c r="Q391" i="1" s="1"/>
  <c r="P392" i="1"/>
  <c r="Q392" i="1" s="1"/>
  <c r="P393" i="1"/>
  <c r="Q393" i="1" s="1"/>
  <c r="P394" i="1"/>
  <c r="Q394" i="1" s="1"/>
  <c r="P395" i="1"/>
  <c r="Q395" i="1" s="1"/>
  <c r="P396" i="1"/>
  <c r="Q396" i="1" s="1"/>
  <c r="P397" i="1"/>
  <c r="Q397" i="1" s="1"/>
  <c r="P398" i="1"/>
  <c r="Q398" i="1" s="1"/>
  <c r="P399" i="1"/>
  <c r="Q399" i="1" s="1"/>
  <c r="P400" i="1"/>
  <c r="Q400" i="1" s="1"/>
  <c r="P401" i="1"/>
  <c r="Q401" i="1" s="1"/>
  <c r="P402" i="1"/>
  <c r="Q402" i="1" s="1"/>
  <c r="P403" i="1"/>
  <c r="Q403" i="1" s="1"/>
  <c r="P404" i="1"/>
  <c r="Q404" i="1" s="1"/>
  <c r="P405" i="1"/>
  <c r="Q405" i="1" s="1"/>
  <c r="P406" i="1"/>
  <c r="Q406" i="1" s="1"/>
  <c r="P407" i="1"/>
  <c r="Q407" i="1" s="1"/>
  <c r="P408" i="1"/>
  <c r="Q408" i="1" s="1"/>
  <c r="P409" i="1"/>
  <c r="Q409" i="1" s="1"/>
  <c r="P410" i="1"/>
  <c r="Q410" i="1" s="1"/>
  <c r="P411" i="1"/>
  <c r="Q411" i="1" s="1"/>
  <c r="P412" i="1"/>
  <c r="Q412" i="1" s="1"/>
  <c r="P413" i="1"/>
  <c r="Q413" i="1" s="1"/>
  <c r="P414" i="1"/>
  <c r="Q414" i="1" s="1"/>
  <c r="P415" i="1"/>
  <c r="Q415" i="1" s="1"/>
  <c r="P416" i="1"/>
  <c r="Q416" i="1" s="1"/>
  <c r="P417" i="1"/>
  <c r="Q417" i="1" s="1"/>
  <c r="P418" i="1"/>
  <c r="Q418" i="1" s="1"/>
  <c r="P419" i="1"/>
  <c r="Q419" i="1" s="1"/>
  <c r="P420" i="1"/>
  <c r="Q420" i="1" s="1"/>
  <c r="P421" i="1"/>
  <c r="Q421" i="1" s="1"/>
  <c r="P422" i="1"/>
  <c r="Q422" i="1" s="1"/>
  <c r="P423" i="1"/>
  <c r="Q423" i="1" s="1"/>
  <c r="P424" i="1"/>
  <c r="Q424" i="1" s="1"/>
  <c r="P425" i="1"/>
  <c r="Q425" i="1" s="1"/>
  <c r="P426" i="1"/>
  <c r="Q426" i="1" s="1"/>
  <c r="P427" i="1"/>
  <c r="Q427" i="1" s="1"/>
  <c r="P428" i="1"/>
  <c r="Q428" i="1" s="1"/>
  <c r="P429" i="1"/>
  <c r="Q429" i="1" s="1"/>
  <c r="P430" i="1"/>
  <c r="Q430" i="1" s="1"/>
  <c r="P431" i="1"/>
  <c r="Q431" i="1" s="1"/>
  <c r="P432" i="1"/>
  <c r="Q432" i="1" s="1"/>
  <c r="P433" i="1"/>
  <c r="Q433" i="1" s="1"/>
  <c r="P434" i="1"/>
  <c r="Q434" i="1" s="1"/>
  <c r="P435" i="1"/>
  <c r="Q435" i="1" s="1"/>
  <c r="P436" i="1"/>
  <c r="Q436" i="1" s="1"/>
  <c r="P437" i="1"/>
  <c r="Q437" i="1" s="1"/>
  <c r="P438" i="1"/>
  <c r="Q438" i="1" s="1"/>
  <c r="P439" i="1"/>
  <c r="Q439" i="1" s="1"/>
  <c r="P440" i="1"/>
  <c r="Q440" i="1" s="1"/>
  <c r="P441" i="1"/>
  <c r="Q441" i="1" s="1"/>
  <c r="P442" i="1"/>
  <c r="Q442" i="1" s="1"/>
  <c r="P443" i="1"/>
  <c r="Q443" i="1" s="1"/>
  <c r="P444" i="1"/>
  <c r="Q444" i="1" s="1"/>
  <c r="P445" i="1"/>
  <c r="Q445" i="1" s="1"/>
  <c r="P446" i="1"/>
  <c r="Q446" i="1" s="1"/>
  <c r="P447" i="1"/>
  <c r="Q447" i="1" s="1"/>
  <c r="P448" i="1"/>
  <c r="Q448" i="1" s="1"/>
  <c r="P449" i="1"/>
  <c r="Q449" i="1" s="1"/>
  <c r="P450" i="1"/>
  <c r="Q450" i="1" s="1"/>
  <c r="P451" i="1"/>
  <c r="Q451" i="1" s="1"/>
  <c r="P452" i="1"/>
  <c r="Q452" i="1" s="1"/>
  <c r="P453" i="1"/>
  <c r="Q453" i="1" s="1"/>
  <c r="P454" i="1"/>
  <c r="Q454" i="1" s="1"/>
  <c r="P455" i="1"/>
  <c r="Q455" i="1" s="1"/>
  <c r="P456" i="1"/>
  <c r="Q456" i="1" s="1"/>
  <c r="P457" i="1"/>
  <c r="Q457" i="1" s="1"/>
  <c r="P458" i="1"/>
  <c r="Q458" i="1" s="1"/>
  <c r="P459" i="1"/>
  <c r="Q459" i="1" s="1"/>
  <c r="P460" i="1"/>
  <c r="Q460" i="1" s="1"/>
  <c r="P461" i="1"/>
  <c r="Q461" i="1" s="1"/>
  <c r="P462" i="1"/>
  <c r="Q462" i="1" s="1"/>
  <c r="P463" i="1"/>
  <c r="Q463" i="1" s="1"/>
  <c r="P464" i="1"/>
  <c r="Q464" i="1" s="1"/>
  <c r="P465" i="1"/>
  <c r="Q465" i="1" s="1"/>
  <c r="P466" i="1"/>
  <c r="Q466" i="1" s="1"/>
  <c r="P467" i="1"/>
  <c r="Q467" i="1" s="1"/>
  <c r="P468" i="1"/>
  <c r="Q468" i="1" s="1"/>
  <c r="P469" i="1"/>
  <c r="Q469" i="1" s="1"/>
  <c r="P470" i="1"/>
  <c r="Q470" i="1" s="1"/>
  <c r="P471" i="1"/>
  <c r="Q471" i="1" s="1"/>
  <c r="P472" i="1"/>
  <c r="Q472" i="1" s="1"/>
  <c r="P473" i="1"/>
  <c r="Q473" i="1" s="1"/>
  <c r="P474" i="1"/>
  <c r="Q474" i="1" s="1"/>
  <c r="P475" i="1"/>
  <c r="Q475" i="1" s="1"/>
  <c r="P476" i="1"/>
  <c r="Q476" i="1" s="1"/>
  <c r="P477" i="1"/>
  <c r="Q477" i="1" s="1"/>
  <c r="P478" i="1"/>
  <c r="Q478" i="1" s="1"/>
  <c r="P479" i="1"/>
  <c r="Q479" i="1" s="1"/>
  <c r="P480" i="1"/>
  <c r="Q480" i="1" s="1"/>
  <c r="P481" i="1"/>
  <c r="Q481" i="1" s="1"/>
  <c r="P482" i="1"/>
  <c r="Q482" i="1" s="1"/>
  <c r="P483" i="1"/>
  <c r="Q483" i="1" s="1"/>
  <c r="P484" i="1"/>
  <c r="Q484" i="1" s="1"/>
  <c r="P485" i="1"/>
  <c r="Q485" i="1" s="1"/>
  <c r="P486" i="1"/>
  <c r="Q486" i="1" s="1"/>
  <c r="P487" i="1"/>
  <c r="Q487" i="1" s="1"/>
  <c r="P488" i="1"/>
  <c r="Q488" i="1" s="1"/>
  <c r="P489" i="1"/>
  <c r="Q489" i="1" s="1"/>
  <c r="P490" i="1"/>
  <c r="Q490" i="1" s="1"/>
  <c r="P491" i="1"/>
  <c r="Q491" i="1" s="1"/>
  <c r="P492" i="1"/>
  <c r="Q492" i="1" s="1"/>
  <c r="P493" i="1"/>
  <c r="Q493" i="1" s="1"/>
  <c r="P494" i="1"/>
  <c r="Q494" i="1" s="1"/>
  <c r="P495" i="1"/>
  <c r="Q495" i="1" s="1"/>
  <c r="P496" i="1"/>
  <c r="Q496" i="1" s="1"/>
  <c r="P497" i="1"/>
  <c r="Q497" i="1" s="1"/>
  <c r="P498" i="1"/>
  <c r="Q498" i="1" s="1"/>
  <c r="P499" i="1"/>
  <c r="Q499" i="1" s="1"/>
  <c r="P500" i="1"/>
  <c r="Q500" i="1" s="1"/>
  <c r="P501" i="1"/>
  <c r="Q501" i="1" s="1"/>
  <c r="P502" i="1"/>
  <c r="Q502" i="1" s="1"/>
  <c r="P503" i="1"/>
  <c r="Q503" i="1" s="1"/>
  <c r="P504" i="1"/>
  <c r="Q504" i="1" s="1"/>
  <c r="P505" i="1"/>
  <c r="Q505" i="1" s="1"/>
  <c r="P506" i="1"/>
  <c r="Q506" i="1" s="1"/>
  <c r="P507" i="1"/>
  <c r="Q507" i="1" s="1"/>
  <c r="P508" i="1"/>
  <c r="Q508" i="1" s="1"/>
  <c r="P509" i="1"/>
  <c r="Q509" i="1" s="1"/>
  <c r="P510" i="1"/>
  <c r="Q510" i="1" s="1"/>
  <c r="P511" i="1"/>
  <c r="Q511" i="1" s="1"/>
  <c r="P512" i="1"/>
  <c r="Q512" i="1" s="1"/>
  <c r="P513" i="1"/>
  <c r="Q513" i="1" s="1"/>
  <c r="P514" i="1"/>
  <c r="Q514" i="1" s="1"/>
  <c r="P515" i="1"/>
  <c r="Q515" i="1" s="1"/>
  <c r="P516" i="1"/>
  <c r="Q516" i="1" s="1"/>
  <c r="P517" i="1"/>
  <c r="Q517" i="1" s="1"/>
  <c r="P518" i="1"/>
  <c r="Q518" i="1" s="1"/>
  <c r="P519" i="1"/>
  <c r="Q519" i="1" s="1"/>
  <c r="P520" i="1"/>
  <c r="Q520" i="1" s="1"/>
  <c r="P521" i="1"/>
  <c r="Q521" i="1" s="1"/>
  <c r="P522" i="1"/>
  <c r="Q522" i="1" s="1"/>
  <c r="P523" i="1"/>
  <c r="Q523" i="1" s="1"/>
  <c r="P524" i="1"/>
  <c r="Q524" i="1" s="1"/>
  <c r="P525" i="1"/>
  <c r="Q525" i="1" s="1"/>
  <c r="P526" i="1"/>
  <c r="Q526" i="1" s="1"/>
  <c r="P527" i="1"/>
  <c r="Q527" i="1" s="1"/>
  <c r="P528" i="1"/>
  <c r="Q528" i="1" s="1"/>
  <c r="P529" i="1"/>
  <c r="Q529" i="1" s="1"/>
  <c r="P530" i="1"/>
  <c r="Q530" i="1" s="1"/>
  <c r="P531" i="1"/>
  <c r="Q531" i="1" s="1"/>
  <c r="P532" i="1"/>
  <c r="Q532" i="1" s="1"/>
  <c r="P533" i="1"/>
  <c r="Q533" i="1" s="1"/>
  <c r="P534" i="1"/>
  <c r="Q534" i="1" s="1"/>
  <c r="P535" i="1"/>
  <c r="Q535" i="1" s="1"/>
  <c r="P536" i="1"/>
  <c r="Q536" i="1" s="1"/>
  <c r="P537" i="1"/>
  <c r="Q537" i="1" s="1"/>
  <c r="P538" i="1"/>
  <c r="Q538" i="1" s="1"/>
  <c r="P539" i="1"/>
  <c r="Q539" i="1" s="1"/>
  <c r="P540" i="1"/>
  <c r="Q540" i="1" s="1"/>
  <c r="P541" i="1"/>
  <c r="Q541" i="1" s="1"/>
  <c r="P542" i="1"/>
  <c r="Q542" i="1" s="1"/>
  <c r="P543" i="1"/>
  <c r="Q543" i="1" s="1"/>
  <c r="P544" i="1"/>
  <c r="Q544" i="1" s="1"/>
  <c r="P545" i="1"/>
  <c r="Q545" i="1" s="1"/>
  <c r="P546" i="1"/>
  <c r="Q546" i="1" s="1"/>
  <c r="P547" i="1"/>
  <c r="Q547" i="1" s="1"/>
  <c r="P548" i="1"/>
  <c r="Q548" i="1" s="1"/>
  <c r="P549" i="1"/>
  <c r="Q549" i="1" s="1"/>
  <c r="P550" i="1"/>
  <c r="Q550" i="1" s="1"/>
  <c r="P551" i="1"/>
  <c r="Q551" i="1" s="1"/>
  <c r="P552" i="1"/>
  <c r="Q552" i="1" s="1"/>
  <c r="P553" i="1"/>
  <c r="Q553" i="1" s="1"/>
  <c r="P554" i="1"/>
  <c r="Q554" i="1" s="1"/>
  <c r="P555" i="1"/>
  <c r="Q555" i="1" s="1"/>
  <c r="P556" i="1"/>
  <c r="Q556" i="1" s="1"/>
  <c r="P557" i="1"/>
  <c r="Q557" i="1" s="1"/>
  <c r="P558" i="1"/>
  <c r="Q558" i="1" s="1"/>
  <c r="P559" i="1"/>
  <c r="Q559" i="1" s="1"/>
  <c r="P560" i="1"/>
  <c r="Q560" i="1" s="1"/>
  <c r="P561" i="1"/>
  <c r="Q561" i="1" s="1"/>
  <c r="P562" i="1"/>
  <c r="Q562" i="1" s="1"/>
  <c r="P563" i="1"/>
  <c r="Q563" i="1" s="1"/>
  <c r="P564" i="1"/>
  <c r="Q564" i="1" s="1"/>
  <c r="P565" i="1"/>
  <c r="Q565" i="1" s="1"/>
  <c r="P566" i="1"/>
  <c r="Q566" i="1" s="1"/>
  <c r="P567" i="1"/>
  <c r="Q567" i="1" s="1"/>
  <c r="P568" i="1"/>
  <c r="Q568" i="1" s="1"/>
  <c r="P569" i="1"/>
  <c r="Q569" i="1" s="1"/>
  <c r="P570" i="1"/>
  <c r="Q570" i="1" s="1"/>
  <c r="P571" i="1"/>
  <c r="Q571" i="1" s="1"/>
  <c r="P572" i="1"/>
  <c r="Q572" i="1" s="1"/>
  <c r="P573" i="1"/>
  <c r="Q573" i="1" s="1"/>
  <c r="P574" i="1"/>
  <c r="Q574" i="1" s="1"/>
  <c r="P575" i="1"/>
  <c r="Q575" i="1" s="1"/>
  <c r="P576" i="1"/>
  <c r="Q576" i="1" s="1"/>
  <c r="P577" i="1"/>
  <c r="Q577" i="1" s="1"/>
  <c r="P578" i="1"/>
  <c r="Q578" i="1" s="1"/>
  <c r="P579" i="1"/>
  <c r="Q579" i="1" s="1"/>
  <c r="P580" i="1"/>
  <c r="Q580" i="1" s="1"/>
  <c r="P581" i="1"/>
  <c r="Q581" i="1" s="1"/>
  <c r="P582" i="1"/>
  <c r="Q582" i="1" s="1"/>
  <c r="P583" i="1"/>
  <c r="Q583" i="1" s="1"/>
  <c r="P584" i="1"/>
  <c r="Q584" i="1" s="1"/>
  <c r="P585" i="1"/>
  <c r="Q585" i="1" s="1"/>
  <c r="P586" i="1"/>
  <c r="Q586" i="1" s="1"/>
  <c r="P587" i="1"/>
  <c r="Q587" i="1" s="1"/>
  <c r="P588" i="1"/>
  <c r="Q588" i="1" s="1"/>
  <c r="P589" i="1"/>
  <c r="Q589" i="1" s="1"/>
  <c r="P590" i="1"/>
  <c r="Q590" i="1" s="1"/>
  <c r="P591" i="1"/>
  <c r="Q591" i="1" s="1"/>
  <c r="P592" i="1"/>
  <c r="Q592" i="1" s="1"/>
  <c r="P593" i="1"/>
  <c r="Q593" i="1" s="1"/>
  <c r="P594" i="1"/>
  <c r="Q594" i="1" s="1"/>
  <c r="P595" i="1"/>
  <c r="Q595" i="1" s="1"/>
  <c r="P596" i="1"/>
  <c r="Q596" i="1" s="1"/>
  <c r="P597" i="1"/>
  <c r="Q597" i="1" s="1"/>
  <c r="P598" i="1"/>
  <c r="Q598" i="1" s="1"/>
  <c r="P599" i="1"/>
  <c r="Q599" i="1" s="1"/>
  <c r="P600" i="1"/>
  <c r="Q600" i="1" s="1"/>
  <c r="P601" i="1"/>
  <c r="Q601" i="1" s="1"/>
  <c r="P602" i="1"/>
  <c r="Q602" i="1" s="1"/>
  <c r="P603" i="1"/>
  <c r="Q603" i="1" s="1"/>
  <c r="P604" i="1"/>
  <c r="Q604" i="1" s="1"/>
  <c r="P605" i="1"/>
  <c r="Q605" i="1" s="1"/>
  <c r="P606" i="1"/>
  <c r="Q606" i="1" s="1"/>
  <c r="P607" i="1"/>
  <c r="Q607" i="1" s="1"/>
  <c r="P608" i="1"/>
  <c r="Q608" i="1" s="1"/>
  <c r="P609" i="1"/>
  <c r="Q609" i="1" s="1"/>
  <c r="P610" i="1"/>
  <c r="Q610" i="1" s="1"/>
  <c r="P611" i="1"/>
  <c r="Q611" i="1" s="1"/>
  <c r="P612" i="1"/>
  <c r="Q612" i="1" s="1"/>
  <c r="P613" i="1"/>
  <c r="Q613" i="1" s="1"/>
  <c r="P614" i="1"/>
  <c r="Q614" i="1" s="1"/>
  <c r="P615" i="1"/>
  <c r="Q615" i="1" s="1"/>
  <c r="P616" i="1"/>
  <c r="Q616" i="1" s="1"/>
  <c r="P617" i="1"/>
  <c r="Q617" i="1" s="1"/>
  <c r="P618" i="1"/>
  <c r="Q618" i="1" s="1"/>
  <c r="P619" i="1"/>
  <c r="Q619" i="1" s="1"/>
  <c r="P620" i="1"/>
  <c r="Q620" i="1" s="1"/>
  <c r="P621" i="1"/>
  <c r="Q621" i="1" s="1"/>
  <c r="P622" i="1"/>
  <c r="Q622" i="1" s="1"/>
  <c r="P623" i="1"/>
  <c r="Q623" i="1" s="1"/>
  <c r="P624" i="1"/>
  <c r="Q624" i="1" s="1"/>
  <c r="P625" i="1"/>
  <c r="Q625" i="1" s="1"/>
  <c r="P626" i="1"/>
  <c r="Q626" i="1" s="1"/>
  <c r="P627" i="1"/>
  <c r="Q627" i="1" s="1"/>
  <c r="P628" i="1"/>
  <c r="Q628" i="1" s="1"/>
  <c r="P629" i="1"/>
  <c r="Q629" i="1" s="1"/>
  <c r="P630" i="1"/>
  <c r="Q630" i="1" s="1"/>
  <c r="P631" i="1"/>
  <c r="Q631" i="1" s="1"/>
  <c r="P632" i="1"/>
  <c r="Q632" i="1" s="1"/>
  <c r="P633" i="1"/>
  <c r="Q633" i="1" s="1"/>
  <c r="P634" i="1"/>
  <c r="Q634" i="1" s="1"/>
  <c r="P635" i="1"/>
  <c r="Q635" i="1" s="1"/>
  <c r="P636" i="1"/>
  <c r="Q636" i="1" s="1"/>
  <c r="P637" i="1"/>
  <c r="Q637" i="1" s="1"/>
  <c r="P638" i="1"/>
  <c r="Q638" i="1" s="1"/>
  <c r="P639" i="1"/>
  <c r="Q639" i="1" s="1"/>
  <c r="P640" i="1"/>
  <c r="Q640" i="1" s="1"/>
  <c r="P641" i="1"/>
  <c r="Q641" i="1" s="1"/>
  <c r="P642" i="1"/>
  <c r="Q642" i="1" s="1"/>
  <c r="P643" i="1"/>
  <c r="Q643" i="1" s="1"/>
  <c r="P644" i="1"/>
  <c r="Q644" i="1" s="1"/>
  <c r="P645" i="1"/>
  <c r="Q645" i="1" s="1"/>
  <c r="P646" i="1"/>
  <c r="Q646" i="1" s="1"/>
  <c r="P647" i="1"/>
  <c r="Q647" i="1" s="1"/>
  <c r="P648" i="1"/>
  <c r="Q648" i="1" s="1"/>
  <c r="P649" i="1"/>
  <c r="Q649" i="1" s="1"/>
  <c r="P650" i="1"/>
  <c r="Q650" i="1" s="1"/>
  <c r="P651" i="1"/>
  <c r="Q651" i="1" s="1"/>
  <c r="P652" i="1"/>
  <c r="Q652" i="1" s="1"/>
  <c r="P653" i="1"/>
  <c r="Q653" i="1" s="1"/>
  <c r="P654" i="1"/>
  <c r="Q654" i="1" s="1"/>
  <c r="P655" i="1"/>
  <c r="Q655" i="1" s="1"/>
  <c r="P656" i="1"/>
  <c r="Q656" i="1" s="1"/>
  <c r="P657" i="1"/>
  <c r="Q657" i="1" s="1"/>
  <c r="P658" i="1"/>
  <c r="Q658" i="1" s="1"/>
  <c r="P659" i="1"/>
  <c r="Q659" i="1" s="1"/>
  <c r="P660" i="1"/>
  <c r="Q660" i="1" s="1"/>
  <c r="P661" i="1"/>
  <c r="Q661" i="1" s="1"/>
  <c r="P662" i="1"/>
  <c r="Q662" i="1" s="1"/>
  <c r="P663" i="1"/>
  <c r="Q663" i="1" s="1"/>
  <c r="P664" i="1"/>
  <c r="Q664" i="1" s="1"/>
  <c r="P665" i="1"/>
  <c r="Q665" i="1" s="1"/>
  <c r="P666" i="1"/>
  <c r="Q666" i="1" s="1"/>
  <c r="P667" i="1"/>
  <c r="Q667" i="1" s="1"/>
  <c r="P668" i="1"/>
  <c r="Q668" i="1" s="1"/>
  <c r="P669" i="1"/>
  <c r="Q669" i="1" s="1"/>
  <c r="P670" i="1"/>
  <c r="Q670" i="1" s="1"/>
  <c r="P671" i="1"/>
  <c r="Q671" i="1" s="1"/>
  <c r="P672" i="1"/>
  <c r="Q672" i="1" s="1"/>
  <c r="P673" i="1"/>
  <c r="Q673" i="1" s="1"/>
  <c r="P674" i="1"/>
  <c r="Q674" i="1" s="1"/>
  <c r="P675" i="1"/>
  <c r="Q675" i="1" s="1"/>
  <c r="P676" i="1"/>
  <c r="Q676" i="1" s="1"/>
  <c r="P677" i="1"/>
  <c r="Q677" i="1" s="1"/>
  <c r="P678" i="1"/>
  <c r="Q678" i="1" s="1"/>
  <c r="P679" i="1"/>
  <c r="Q679" i="1" s="1"/>
  <c r="P680" i="1"/>
  <c r="Q680" i="1" s="1"/>
  <c r="P681" i="1"/>
  <c r="Q681" i="1" s="1"/>
  <c r="P682" i="1"/>
  <c r="Q682" i="1" s="1"/>
  <c r="P683" i="1"/>
  <c r="Q683" i="1" s="1"/>
  <c r="P684" i="1"/>
  <c r="Q684" i="1" s="1"/>
  <c r="P685" i="1"/>
  <c r="Q685" i="1" s="1"/>
  <c r="P686" i="1"/>
  <c r="Q686" i="1" s="1"/>
  <c r="P687" i="1"/>
  <c r="Q687" i="1" s="1"/>
  <c r="P688" i="1"/>
  <c r="Q688" i="1" s="1"/>
  <c r="P689" i="1"/>
  <c r="Q689" i="1" s="1"/>
  <c r="P690" i="1"/>
  <c r="Q690" i="1" s="1"/>
  <c r="P691" i="1"/>
  <c r="Q691" i="1" s="1"/>
  <c r="P692" i="1"/>
  <c r="Q692" i="1" s="1"/>
  <c r="P693" i="1"/>
  <c r="Q693" i="1" s="1"/>
  <c r="P694" i="1"/>
  <c r="Q694" i="1" s="1"/>
  <c r="P695" i="1"/>
  <c r="Q695" i="1" s="1"/>
  <c r="P696" i="1"/>
  <c r="Q696" i="1" s="1"/>
  <c r="P697" i="1"/>
  <c r="Q697" i="1" s="1"/>
  <c r="P698" i="1"/>
  <c r="Q698" i="1" s="1"/>
  <c r="P699" i="1"/>
  <c r="Q699" i="1" s="1"/>
  <c r="P700" i="1"/>
  <c r="Q700" i="1" s="1"/>
  <c r="P701" i="1"/>
  <c r="Q701" i="1" s="1"/>
  <c r="P702" i="1"/>
  <c r="Q702" i="1" s="1"/>
  <c r="P703" i="1"/>
  <c r="Q703" i="1" s="1"/>
  <c r="P704" i="1"/>
  <c r="Q704" i="1" s="1"/>
  <c r="P705" i="1"/>
  <c r="Q705" i="1" s="1"/>
  <c r="P706" i="1"/>
  <c r="Q706" i="1" s="1"/>
  <c r="P707" i="1"/>
  <c r="Q707" i="1" s="1"/>
  <c r="P708" i="1"/>
  <c r="Q708" i="1" s="1"/>
  <c r="P709" i="1"/>
  <c r="Q709" i="1" s="1"/>
  <c r="P710" i="1"/>
  <c r="Q710" i="1" s="1"/>
  <c r="P711" i="1"/>
  <c r="Q711" i="1" s="1"/>
  <c r="P712" i="1"/>
  <c r="Q712" i="1" s="1"/>
  <c r="P713" i="1"/>
  <c r="Q713" i="1" s="1"/>
  <c r="P714" i="1"/>
  <c r="Q714" i="1" s="1"/>
  <c r="P715" i="1"/>
  <c r="Q715" i="1" s="1"/>
  <c r="P716" i="1"/>
  <c r="Q716" i="1" s="1"/>
  <c r="P717" i="1"/>
  <c r="Q717" i="1" s="1"/>
  <c r="P718" i="1"/>
  <c r="Q718" i="1" s="1"/>
  <c r="P719" i="1"/>
  <c r="Q719" i="1" s="1"/>
  <c r="P720" i="1"/>
  <c r="Q720" i="1" s="1"/>
  <c r="P721" i="1"/>
  <c r="Q721" i="1" s="1"/>
  <c r="P722" i="1"/>
  <c r="Q722" i="1" s="1"/>
  <c r="P723" i="1"/>
  <c r="Q723" i="1" s="1"/>
  <c r="P724" i="1"/>
  <c r="Q724" i="1" s="1"/>
  <c r="P725" i="1"/>
  <c r="Q725" i="1" s="1"/>
  <c r="P726" i="1"/>
  <c r="Q726" i="1" s="1"/>
  <c r="P727" i="1"/>
  <c r="Q727" i="1" s="1"/>
  <c r="P728" i="1"/>
  <c r="Q728" i="1" s="1"/>
  <c r="P729" i="1"/>
  <c r="Q729" i="1" s="1"/>
  <c r="P730" i="1"/>
  <c r="Q730" i="1" s="1"/>
  <c r="P731" i="1"/>
  <c r="Q731" i="1" s="1"/>
  <c r="P732" i="1"/>
  <c r="Q732" i="1" s="1"/>
  <c r="P733" i="1"/>
  <c r="Q733" i="1" s="1"/>
  <c r="P734" i="1"/>
  <c r="Q734" i="1" s="1"/>
  <c r="P735" i="1"/>
  <c r="Q735" i="1" s="1"/>
  <c r="P736" i="1"/>
  <c r="Q736" i="1" s="1"/>
  <c r="P737" i="1"/>
  <c r="Q737" i="1" s="1"/>
  <c r="P738" i="1"/>
  <c r="Q738" i="1" s="1"/>
  <c r="P739" i="1"/>
  <c r="Q739" i="1" s="1"/>
  <c r="P740" i="1"/>
  <c r="Q740" i="1" s="1"/>
  <c r="P741" i="1"/>
  <c r="Q741" i="1" s="1"/>
  <c r="P742" i="1"/>
  <c r="Q742" i="1" s="1"/>
  <c r="P743" i="1"/>
  <c r="Q743" i="1" s="1"/>
  <c r="P744" i="1"/>
  <c r="Q744" i="1" s="1"/>
  <c r="P745" i="1"/>
  <c r="Q745" i="1" s="1"/>
  <c r="P746" i="1"/>
  <c r="Q746" i="1" s="1"/>
  <c r="P747" i="1"/>
  <c r="Q747" i="1" s="1"/>
  <c r="P748" i="1"/>
  <c r="Q748" i="1" s="1"/>
  <c r="P749" i="1"/>
  <c r="Q749" i="1" s="1"/>
  <c r="P750" i="1"/>
  <c r="Q750" i="1" s="1"/>
  <c r="P751" i="1"/>
  <c r="Q751" i="1" s="1"/>
  <c r="P752" i="1"/>
  <c r="Q752" i="1" s="1"/>
  <c r="P753" i="1"/>
  <c r="Q753" i="1" s="1"/>
  <c r="P754" i="1"/>
  <c r="Q754" i="1" s="1"/>
  <c r="P755" i="1"/>
  <c r="Q755" i="1" s="1"/>
  <c r="P756" i="1"/>
  <c r="Q756" i="1" s="1"/>
  <c r="P757" i="1"/>
  <c r="Q757" i="1" s="1"/>
  <c r="P758" i="1"/>
  <c r="Q758" i="1" s="1"/>
  <c r="P759" i="1"/>
  <c r="Q759" i="1" s="1"/>
  <c r="P760" i="1"/>
  <c r="Q760" i="1" s="1"/>
  <c r="P761" i="1"/>
  <c r="Q761" i="1" s="1"/>
  <c r="P762" i="1"/>
  <c r="Q762" i="1" s="1"/>
  <c r="P763" i="1"/>
  <c r="Q763" i="1" s="1"/>
  <c r="P764" i="1"/>
  <c r="Q764" i="1" s="1"/>
  <c r="P765" i="1"/>
  <c r="Q765" i="1" s="1"/>
  <c r="P766" i="1"/>
  <c r="Q766" i="1" s="1"/>
  <c r="P767" i="1"/>
  <c r="Q767" i="1" s="1"/>
  <c r="P768" i="1"/>
  <c r="Q768" i="1" s="1"/>
  <c r="P769" i="1"/>
  <c r="Q769" i="1" s="1"/>
  <c r="P770" i="1"/>
  <c r="Q770" i="1" s="1"/>
  <c r="P771" i="1"/>
  <c r="Q771" i="1" s="1"/>
  <c r="P772" i="1"/>
  <c r="Q772" i="1" s="1"/>
  <c r="P773" i="1"/>
  <c r="Q773" i="1" s="1"/>
  <c r="P774" i="1"/>
  <c r="Q774" i="1" s="1"/>
  <c r="P775" i="1"/>
  <c r="Q775" i="1" s="1"/>
  <c r="P776" i="1"/>
  <c r="Q776" i="1" s="1"/>
  <c r="P777" i="1"/>
  <c r="Q777" i="1" s="1"/>
  <c r="P778" i="1"/>
  <c r="Q778" i="1" s="1"/>
  <c r="P779" i="1"/>
  <c r="Q779" i="1" s="1"/>
  <c r="P780" i="1"/>
  <c r="Q780" i="1" s="1"/>
  <c r="P781" i="1"/>
  <c r="Q781" i="1" s="1"/>
  <c r="P782" i="1"/>
  <c r="Q782" i="1" s="1"/>
  <c r="P783" i="1"/>
  <c r="Q783" i="1" s="1"/>
  <c r="P784" i="1"/>
  <c r="Q784" i="1" s="1"/>
  <c r="P785" i="1"/>
  <c r="Q785" i="1" s="1"/>
  <c r="P786" i="1"/>
  <c r="Q786" i="1" s="1"/>
  <c r="P787" i="1"/>
  <c r="Q787" i="1" s="1"/>
  <c r="P788" i="1"/>
  <c r="Q788" i="1" s="1"/>
  <c r="P789" i="1"/>
  <c r="Q789" i="1" s="1"/>
  <c r="P790" i="1"/>
  <c r="Q790" i="1" s="1"/>
  <c r="P791" i="1"/>
  <c r="Q791" i="1" s="1"/>
  <c r="P792" i="1"/>
  <c r="Q792" i="1" s="1"/>
  <c r="P793" i="1"/>
  <c r="Q793" i="1" s="1"/>
  <c r="P794" i="1"/>
  <c r="Q794" i="1" s="1"/>
  <c r="P795" i="1"/>
  <c r="Q795" i="1" s="1"/>
  <c r="P796" i="1"/>
  <c r="Q796" i="1" s="1"/>
  <c r="P797" i="1"/>
  <c r="Q797" i="1" s="1"/>
  <c r="P798" i="1"/>
  <c r="Q798" i="1" s="1"/>
  <c r="P799" i="1"/>
  <c r="Q799" i="1" s="1"/>
  <c r="P800" i="1"/>
  <c r="Q800" i="1" s="1"/>
  <c r="P801" i="1"/>
  <c r="Q801" i="1" s="1"/>
  <c r="P802" i="1"/>
  <c r="Q802" i="1" s="1"/>
  <c r="P803" i="1"/>
  <c r="Q803" i="1" s="1"/>
  <c r="P804" i="1"/>
  <c r="Q804" i="1" s="1"/>
  <c r="P805" i="1"/>
  <c r="Q805" i="1" s="1"/>
  <c r="P806" i="1"/>
  <c r="Q806" i="1" s="1"/>
  <c r="P807" i="1"/>
  <c r="Q807" i="1" s="1"/>
  <c r="P808" i="1"/>
  <c r="Q808" i="1" s="1"/>
  <c r="P809" i="1"/>
  <c r="Q809" i="1" s="1"/>
  <c r="P810" i="1"/>
  <c r="Q810" i="1" s="1"/>
  <c r="P811" i="1"/>
  <c r="Q811" i="1" s="1"/>
  <c r="P812" i="1"/>
  <c r="Q812" i="1" s="1"/>
  <c r="P813" i="1"/>
  <c r="Q813" i="1" s="1"/>
  <c r="P814" i="1"/>
  <c r="Q814" i="1" s="1"/>
  <c r="P815" i="1"/>
  <c r="Q815" i="1" s="1"/>
  <c r="P816" i="1"/>
  <c r="Q816" i="1" s="1"/>
  <c r="P817" i="1"/>
  <c r="Q817" i="1" s="1"/>
  <c r="P818" i="1"/>
  <c r="Q818" i="1" s="1"/>
  <c r="P819" i="1"/>
  <c r="Q819" i="1" s="1"/>
  <c r="P820" i="1"/>
  <c r="Q820" i="1" s="1"/>
  <c r="P821" i="1"/>
  <c r="Q821" i="1" s="1"/>
  <c r="P822" i="1"/>
  <c r="Q822" i="1" s="1"/>
  <c r="P823" i="1"/>
  <c r="Q823" i="1" s="1"/>
  <c r="P824" i="1"/>
  <c r="Q824" i="1" s="1"/>
  <c r="P825" i="1"/>
  <c r="Q825" i="1" s="1"/>
  <c r="P826" i="1"/>
  <c r="Q826" i="1" s="1"/>
  <c r="P827" i="1"/>
  <c r="Q827" i="1" s="1"/>
  <c r="P828" i="1"/>
  <c r="Q828" i="1" s="1"/>
  <c r="P829" i="1"/>
  <c r="Q829" i="1" s="1"/>
  <c r="P830" i="1"/>
  <c r="Q830" i="1" s="1"/>
  <c r="P831" i="1"/>
  <c r="Q831" i="1" s="1"/>
  <c r="P832" i="1"/>
  <c r="Q832" i="1" s="1"/>
  <c r="P833" i="1"/>
  <c r="Q833" i="1" s="1"/>
  <c r="P834" i="1"/>
  <c r="Q834" i="1" s="1"/>
  <c r="P835" i="1"/>
  <c r="Q835" i="1" s="1"/>
  <c r="P836" i="1"/>
  <c r="Q836" i="1" s="1"/>
  <c r="P837" i="1"/>
  <c r="Q837" i="1" s="1"/>
  <c r="P838" i="1"/>
  <c r="Q838" i="1" s="1"/>
  <c r="P839" i="1"/>
  <c r="Q839" i="1" s="1"/>
  <c r="P840" i="1"/>
  <c r="Q840" i="1" s="1"/>
  <c r="P841" i="1"/>
  <c r="Q841" i="1" s="1"/>
  <c r="P842" i="1"/>
  <c r="Q842" i="1" s="1"/>
  <c r="P843" i="1"/>
  <c r="Q843" i="1" s="1"/>
  <c r="P844" i="1"/>
  <c r="Q844" i="1" s="1"/>
  <c r="P845" i="1"/>
  <c r="Q845" i="1" s="1"/>
  <c r="P846" i="1"/>
  <c r="Q846" i="1" s="1"/>
  <c r="P847" i="1"/>
  <c r="Q847" i="1" s="1"/>
  <c r="P848" i="1"/>
  <c r="Q848" i="1" s="1"/>
  <c r="P849" i="1"/>
  <c r="Q849" i="1" s="1"/>
  <c r="P850" i="1"/>
  <c r="Q850" i="1" s="1"/>
  <c r="P851" i="1"/>
  <c r="Q851" i="1" s="1"/>
  <c r="P852" i="1"/>
  <c r="Q852" i="1" s="1"/>
  <c r="P853" i="1"/>
  <c r="Q853" i="1" s="1"/>
  <c r="P854" i="1"/>
  <c r="Q854" i="1" s="1"/>
  <c r="P855" i="1"/>
  <c r="Q855" i="1" s="1"/>
  <c r="P856" i="1"/>
  <c r="Q856" i="1" s="1"/>
  <c r="P857" i="1"/>
  <c r="Q857" i="1" s="1"/>
  <c r="P858" i="1"/>
  <c r="Q858" i="1" s="1"/>
  <c r="P859" i="1"/>
  <c r="Q859" i="1" s="1"/>
  <c r="P860" i="1"/>
  <c r="Q860" i="1" s="1"/>
  <c r="P861" i="1"/>
  <c r="Q861" i="1" s="1"/>
  <c r="P862" i="1"/>
  <c r="Q862" i="1" s="1"/>
  <c r="P863" i="1"/>
  <c r="Q863" i="1" s="1"/>
  <c r="P864" i="1"/>
  <c r="Q864" i="1" s="1"/>
  <c r="P865" i="1"/>
  <c r="Q865" i="1" s="1"/>
  <c r="P866" i="1"/>
  <c r="Q866" i="1" s="1"/>
  <c r="P867" i="1"/>
  <c r="Q867" i="1" s="1"/>
  <c r="P868" i="1"/>
  <c r="Q868" i="1" s="1"/>
  <c r="P869" i="1"/>
  <c r="Q869" i="1" s="1"/>
  <c r="P870" i="1"/>
  <c r="Q870" i="1" s="1"/>
  <c r="P871" i="1"/>
  <c r="Q871" i="1" s="1"/>
  <c r="P872" i="1"/>
  <c r="Q872" i="1" s="1"/>
  <c r="P873" i="1"/>
  <c r="Q873" i="1" s="1"/>
  <c r="P874" i="1"/>
  <c r="Q874" i="1" s="1"/>
  <c r="P875" i="1"/>
  <c r="Q875" i="1" s="1"/>
  <c r="P876" i="1"/>
  <c r="Q876" i="1" s="1"/>
  <c r="P877" i="1"/>
  <c r="Q877" i="1" s="1"/>
  <c r="P878" i="1"/>
  <c r="Q878" i="1" s="1"/>
  <c r="P879" i="1"/>
  <c r="Q879" i="1" s="1"/>
  <c r="P880" i="1"/>
  <c r="Q880" i="1" s="1"/>
  <c r="P881" i="1"/>
  <c r="Q881" i="1" s="1"/>
  <c r="P882" i="1"/>
  <c r="Q882" i="1" s="1"/>
  <c r="P883" i="1"/>
  <c r="Q883" i="1" s="1"/>
  <c r="P884" i="1"/>
  <c r="Q884" i="1" s="1"/>
  <c r="P885" i="1"/>
  <c r="Q885" i="1" s="1"/>
  <c r="P886" i="1"/>
  <c r="Q886" i="1" s="1"/>
  <c r="P887" i="1"/>
  <c r="Q887" i="1" s="1"/>
  <c r="P888" i="1"/>
  <c r="Q888" i="1" s="1"/>
  <c r="P889" i="1"/>
  <c r="Q889" i="1" s="1"/>
  <c r="P890" i="1"/>
  <c r="Q890" i="1" s="1"/>
  <c r="P891" i="1"/>
  <c r="Q891" i="1" s="1"/>
  <c r="P892" i="1"/>
  <c r="Q892" i="1" s="1"/>
  <c r="P893" i="1"/>
  <c r="Q893" i="1" s="1"/>
  <c r="P894" i="1"/>
  <c r="Q894" i="1" s="1"/>
  <c r="P895" i="1"/>
  <c r="Q895" i="1" s="1"/>
  <c r="P896" i="1"/>
  <c r="Q896" i="1" s="1"/>
  <c r="P897" i="1"/>
  <c r="Q897" i="1" s="1"/>
  <c r="P898" i="1"/>
  <c r="Q898" i="1" s="1"/>
  <c r="P899" i="1"/>
  <c r="Q899" i="1" s="1"/>
  <c r="P900" i="1"/>
  <c r="Q900" i="1" s="1"/>
  <c r="P901" i="1"/>
  <c r="Q901" i="1" s="1"/>
  <c r="P902" i="1"/>
  <c r="Q902" i="1" s="1"/>
  <c r="P903" i="1"/>
  <c r="Q903" i="1" s="1"/>
  <c r="P904" i="1"/>
  <c r="Q904" i="1" s="1"/>
  <c r="P905" i="1"/>
  <c r="Q905" i="1" s="1"/>
  <c r="P906" i="1"/>
  <c r="Q906" i="1" s="1"/>
  <c r="P907" i="1"/>
  <c r="Q907" i="1" s="1"/>
  <c r="P908" i="1"/>
  <c r="Q908" i="1" s="1"/>
  <c r="P909" i="1"/>
  <c r="Q909" i="1" s="1"/>
  <c r="P910" i="1"/>
  <c r="Q910" i="1" s="1"/>
  <c r="P911" i="1"/>
  <c r="Q911" i="1" s="1"/>
  <c r="P912" i="1"/>
  <c r="Q912" i="1" s="1"/>
  <c r="P913" i="1"/>
  <c r="Q913" i="1" s="1"/>
  <c r="P914" i="1"/>
  <c r="Q914" i="1" s="1"/>
  <c r="P915" i="1"/>
  <c r="Q915" i="1" s="1"/>
  <c r="P916" i="1"/>
  <c r="Q916" i="1" s="1"/>
  <c r="P917" i="1"/>
  <c r="Q917" i="1" s="1"/>
  <c r="P918" i="1"/>
  <c r="Q918" i="1" s="1"/>
  <c r="P919" i="1"/>
  <c r="Q919" i="1" s="1"/>
  <c r="P920" i="1"/>
  <c r="Q920" i="1" s="1"/>
  <c r="P921" i="1"/>
  <c r="Q921" i="1" s="1"/>
  <c r="P922" i="1"/>
  <c r="Q922" i="1" s="1"/>
  <c r="P923" i="1"/>
  <c r="Q923" i="1" s="1"/>
  <c r="P924" i="1"/>
  <c r="Q924" i="1" s="1"/>
  <c r="P925" i="1"/>
  <c r="Q925" i="1" s="1"/>
  <c r="P926" i="1"/>
  <c r="Q926" i="1" s="1"/>
  <c r="P927" i="1"/>
  <c r="Q927" i="1" s="1"/>
  <c r="P928" i="1"/>
  <c r="Q928" i="1" s="1"/>
  <c r="P929" i="1"/>
  <c r="Q929" i="1" s="1"/>
  <c r="P930" i="1"/>
  <c r="Q930" i="1" s="1"/>
  <c r="P931" i="1"/>
  <c r="Q931" i="1" s="1"/>
  <c r="P932" i="1"/>
  <c r="Q932" i="1" s="1"/>
  <c r="P933" i="1"/>
  <c r="Q933" i="1" s="1"/>
  <c r="P934" i="1"/>
  <c r="Q934" i="1" s="1"/>
  <c r="P935" i="1"/>
  <c r="Q935" i="1" s="1"/>
  <c r="P936" i="1"/>
  <c r="Q936" i="1" s="1"/>
  <c r="P937" i="1"/>
  <c r="Q937" i="1" s="1"/>
  <c r="P938" i="1"/>
  <c r="Q938" i="1" s="1"/>
  <c r="P939" i="1"/>
  <c r="Q939" i="1" s="1"/>
  <c r="P940" i="1"/>
  <c r="Q940" i="1" s="1"/>
  <c r="P941" i="1"/>
  <c r="Q941" i="1" s="1"/>
  <c r="P942" i="1"/>
  <c r="Q942" i="1" s="1"/>
  <c r="P943" i="1"/>
  <c r="Q943" i="1" s="1"/>
  <c r="P944" i="1"/>
  <c r="Q944" i="1" s="1"/>
  <c r="P945" i="1"/>
  <c r="Q945" i="1" s="1"/>
  <c r="P946" i="1"/>
  <c r="Q946" i="1" s="1"/>
  <c r="P947" i="1"/>
  <c r="Q947" i="1" s="1"/>
  <c r="P948" i="1"/>
  <c r="Q948" i="1" s="1"/>
  <c r="P949" i="1"/>
  <c r="Q949" i="1" s="1"/>
  <c r="P950" i="1"/>
  <c r="Q950" i="1" s="1"/>
  <c r="P951" i="1"/>
  <c r="Q951" i="1" s="1"/>
  <c r="P952" i="1"/>
  <c r="Q952" i="1" s="1"/>
  <c r="P953" i="1"/>
  <c r="Q953" i="1" s="1"/>
  <c r="P954" i="1"/>
  <c r="Q954" i="1" s="1"/>
  <c r="P955" i="1"/>
  <c r="Q955" i="1" s="1"/>
  <c r="P956" i="1"/>
  <c r="Q956" i="1" s="1"/>
  <c r="P957" i="1"/>
  <c r="Q957" i="1" s="1"/>
  <c r="P958" i="1"/>
  <c r="Q958" i="1" s="1"/>
  <c r="P959" i="1"/>
  <c r="Q959" i="1" s="1"/>
  <c r="P960" i="1"/>
  <c r="Q960" i="1" s="1"/>
  <c r="P961" i="1"/>
  <c r="Q961" i="1" s="1"/>
  <c r="P962" i="1"/>
  <c r="Q962" i="1" s="1"/>
  <c r="P963" i="1"/>
  <c r="Q963" i="1" s="1"/>
  <c r="P964" i="1"/>
  <c r="Q964" i="1" s="1"/>
  <c r="P965" i="1"/>
  <c r="Q965" i="1" s="1"/>
  <c r="P966" i="1"/>
  <c r="Q966" i="1" s="1"/>
  <c r="P967" i="1"/>
  <c r="Q967" i="1" s="1"/>
  <c r="P968" i="1"/>
  <c r="Q968" i="1" s="1"/>
  <c r="P969" i="1"/>
  <c r="Q969" i="1" s="1"/>
  <c r="P970" i="1"/>
  <c r="Q970" i="1" s="1"/>
  <c r="P971" i="1"/>
  <c r="Q971" i="1" s="1"/>
  <c r="P972" i="1"/>
  <c r="Q972" i="1" s="1"/>
  <c r="P973" i="1"/>
  <c r="Q973" i="1" s="1"/>
  <c r="P974" i="1"/>
  <c r="Q974" i="1" s="1"/>
  <c r="P975" i="1"/>
  <c r="Q975" i="1" s="1"/>
  <c r="P976" i="1"/>
  <c r="Q976" i="1" s="1"/>
  <c r="P977" i="1"/>
  <c r="Q977" i="1" s="1"/>
  <c r="P978" i="1"/>
  <c r="Q978" i="1" s="1"/>
  <c r="P979" i="1"/>
  <c r="Q979" i="1" s="1"/>
  <c r="P980" i="1"/>
  <c r="Q980" i="1" s="1"/>
  <c r="P981" i="1"/>
  <c r="Q981" i="1" s="1"/>
  <c r="P982" i="1"/>
  <c r="Q982" i="1" s="1"/>
  <c r="P983" i="1"/>
  <c r="Q983" i="1" s="1"/>
  <c r="P984" i="1"/>
  <c r="Q984" i="1" s="1"/>
  <c r="P985" i="1"/>
  <c r="Q985" i="1" s="1"/>
  <c r="P986" i="1"/>
  <c r="Q986" i="1" s="1"/>
  <c r="P987" i="1"/>
  <c r="Q987" i="1" s="1"/>
  <c r="P988" i="1"/>
  <c r="Q988" i="1" s="1"/>
  <c r="P989" i="1"/>
  <c r="Q989" i="1" s="1"/>
  <c r="P990" i="1"/>
  <c r="Q990" i="1" s="1"/>
  <c r="P991" i="1"/>
  <c r="Q991" i="1" s="1"/>
  <c r="P992" i="1"/>
  <c r="Q992" i="1" s="1"/>
  <c r="P993" i="1"/>
  <c r="Q993" i="1" s="1"/>
  <c r="P994" i="1"/>
  <c r="Q994" i="1" s="1"/>
  <c r="P995" i="1"/>
  <c r="Q995" i="1" s="1"/>
  <c r="P996" i="1"/>
  <c r="Q996" i="1" s="1"/>
  <c r="P997" i="1"/>
  <c r="Q997" i="1" s="1"/>
  <c r="P998" i="1"/>
  <c r="Q998" i="1" s="1"/>
  <c r="P999" i="1"/>
  <c r="Q999" i="1" s="1"/>
  <c r="P1000" i="1"/>
  <c r="Q1000" i="1" s="1"/>
  <c r="P1001" i="1"/>
  <c r="Q1001" i="1" s="1"/>
  <c r="P1002" i="1"/>
  <c r="Q1002" i="1" s="1"/>
  <c r="P1003" i="1"/>
  <c r="Q1003" i="1" s="1"/>
  <c r="P1004" i="1"/>
  <c r="Q1004" i="1" s="1"/>
  <c r="P1005" i="1"/>
  <c r="Q1005" i="1" s="1"/>
  <c r="P1006" i="1"/>
  <c r="Q1006" i="1" s="1"/>
  <c r="P1007" i="1"/>
  <c r="Q1007" i="1" s="1"/>
  <c r="P1008" i="1"/>
  <c r="Q1008" i="1" s="1"/>
  <c r="P1009" i="1"/>
  <c r="Q1009" i="1" s="1"/>
  <c r="P1010" i="1"/>
  <c r="Q1010" i="1" s="1"/>
  <c r="P1011" i="1"/>
  <c r="Q1011" i="1" s="1"/>
  <c r="P1012" i="1"/>
  <c r="Q1012" i="1" s="1"/>
  <c r="P1013" i="1"/>
  <c r="Q1013" i="1" s="1"/>
  <c r="P1014" i="1"/>
  <c r="Q1014" i="1" s="1"/>
  <c r="P1015" i="1"/>
  <c r="Q1015" i="1" s="1"/>
  <c r="P1016" i="1"/>
  <c r="Q1016" i="1" s="1"/>
  <c r="P1017" i="1"/>
  <c r="Q1017" i="1" s="1"/>
  <c r="P1018" i="1"/>
  <c r="Q1018" i="1" s="1"/>
  <c r="P1019" i="1"/>
  <c r="Q1019" i="1" s="1"/>
  <c r="P1020" i="1"/>
  <c r="Q1020" i="1" s="1"/>
  <c r="P1021" i="1"/>
  <c r="Q1021" i="1" s="1"/>
  <c r="P1022" i="1"/>
  <c r="Q1022" i="1" s="1"/>
  <c r="P1023" i="1"/>
  <c r="Q1023" i="1" s="1"/>
  <c r="P1024" i="1"/>
  <c r="Q1024" i="1" s="1"/>
  <c r="P1025" i="1"/>
  <c r="Q1025" i="1" s="1"/>
  <c r="P1026" i="1"/>
  <c r="Q1026" i="1" s="1"/>
  <c r="P1027" i="1"/>
  <c r="Q1027" i="1" s="1"/>
  <c r="P1028" i="1"/>
  <c r="Q1028" i="1" s="1"/>
  <c r="P1029" i="1"/>
  <c r="Q1029" i="1" s="1"/>
  <c r="P1030" i="1"/>
  <c r="Q1030" i="1" s="1"/>
  <c r="P1031" i="1"/>
  <c r="Q1031" i="1" s="1"/>
  <c r="P1032" i="1"/>
  <c r="Q1032" i="1" s="1"/>
  <c r="P1033" i="1"/>
  <c r="Q1033" i="1" s="1"/>
  <c r="P1034" i="1"/>
  <c r="Q1034" i="1" s="1"/>
  <c r="P1035" i="1"/>
  <c r="Q1035" i="1" s="1"/>
  <c r="P1036" i="1"/>
  <c r="Q1036" i="1" s="1"/>
  <c r="P1037" i="1"/>
  <c r="Q1037" i="1" s="1"/>
  <c r="P1038" i="1"/>
  <c r="Q1038" i="1" s="1"/>
  <c r="P1039" i="1"/>
  <c r="Q1039" i="1" s="1"/>
  <c r="P1040" i="1"/>
  <c r="Q1040" i="1" s="1"/>
  <c r="P1041" i="1"/>
  <c r="Q1041" i="1" s="1"/>
  <c r="P1042" i="1"/>
  <c r="Q1042" i="1" s="1"/>
  <c r="P1043" i="1"/>
  <c r="Q1043" i="1" s="1"/>
  <c r="P1044" i="1"/>
  <c r="Q1044" i="1" s="1"/>
  <c r="P1045" i="1"/>
  <c r="Q1045" i="1" s="1"/>
  <c r="P1046" i="1"/>
  <c r="Q1046" i="1" s="1"/>
  <c r="P1047" i="1"/>
  <c r="Q1047" i="1" s="1"/>
  <c r="P1048" i="1"/>
  <c r="Q1048" i="1" s="1"/>
  <c r="P1049" i="1"/>
  <c r="Q1049" i="1" s="1"/>
  <c r="P1050" i="1"/>
  <c r="Q1050" i="1" s="1"/>
  <c r="P1051" i="1"/>
  <c r="Q1051" i="1" s="1"/>
  <c r="P1052" i="1"/>
  <c r="Q1052" i="1" s="1"/>
  <c r="P1053" i="1"/>
  <c r="Q1053" i="1" s="1"/>
  <c r="P1054" i="1"/>
  <c r="Q1054" i="1" s="1"/>
  <c r="P1055" i="1"/>
  <c r="Q1055" i="1" s="1"/>
  <c r="P1056" i="1"/>
  <c r="Q1056" i="1" s="1"/>
  <c r="P1057" i="1"/>
  <c r="Q1057" i="1" s="1"/>
  <c r="P1058" i="1"/>
  <c r="Q1058" i="1" s="1"/>
  <c r="P1059" i="1"/>
  <c r="Q1059" i="1" s="1"/>
  <c r="P1060" i="1"/>
  <c r="Q1060" i="1" s="1"/>
  <c r="P1061" i="1"/>
  <c r="Q1061" i="1" s="1"/>
  <c r="P1062" i="1"/>
  <c r="Q1062" i="1" s="1"/>
  <c r="P1063" i="1"/>
  <c r="Q1063" i="1" s="1"/>
  <c r="P1064" i="1"/>
  <c r="Q1064" i="1" s="1"/>
  <c r="P1065" i="1"/>
  <c r="Q1065" i="1" s="1"/>
  <c r="P1066" i="1"/>
  <c r="Q1066" i="1" s="1"/>
  <c r="P1067" i="1"/>
  <c r="Q1067" i="1" s="1"/>
  <c r="P1068" i="1"/>
  <c r="Q1068" i="1" s="1"/>
  <c r="P1069" i="1"/>
  <c r="Q1069" i="1" s="1"/>
  <c r="P1070" i="1"/>
  <c r="Q1070" i="1" s="1"/>
  <c r="P1071" i="1"/>
  <c r="Q1071" i="1" s="1"/>
  <c r="P1072" i="1"/>
  <c r="Q1072" i="1" s="1"/>
  <c r="P1073" i="1"/>
  <c r="Q1073" i="1" s="1"/>
  <c r="P1074" i="1"/>
  <c r="Q1074" i="1" s="1"/>
  <c r="P1075" i="1"/>
  <c r="Q1075" i="1" s="1"/>
  <c r="P1076" i="1"/>
  <c r="Q1076" i="1" s="1"/>
  <c r="P1077" i="1"/>
  <c r="Q1077" i="1" s="1"/>
  <c r="P1078" i="1"/>
  <c r="Q1078" i="1" s="1"/>
  <c r="P1079" i="1"/>
  <c r="Q1079" i="1" s="1"/>
  <c r="P1080" i="1"/>
  <c r="Q1080" i="1" s="1"/>
  <c r="P1081" i="1"/>
  <c r="Q1081" i="1" s="1"/>
  <c r="P1082" i="1"/>
  <c r="Q1082" i="1" s="1"/>
  <c r="P1083" i="1"/>
  <c r="Q1083" i="1" s="1"/>
  <c r="P1084" i="1"/>
  <c r="Q1084" i="1" s="1"/>
  <c r="P1085" i="1"/>
  <c r="Q1085" i="1" s="1"/>
  <c r="P1086" i="1"/>
  <c r="Q1086" i="1" s="1"/>
  <c r="P1087" i="1"/>
  <c r="Q1087" i="1" s="1"/>
  <c r="P1088" i="1"/>
  <c r="Q1088" i="1" s="1"/>
  <c r="P1089" i="1"/>
  <c r="Q1089" i="1" s="1"/>
  <c r="P1090" i="1"/>
  <c r="Q1090" i="1" s="1"/>
  <c r="P1091" i="1"/>
  <c r="Q1091" i="1" s="1"/>
  <c r="P1092" i="1"/>
  <c r="Q1092" i="1" s="1"/>
  <c r="P1093" i="1"/>
  <c r="Q1093" i="1" s="1"/>
  <c r="P1094" i="1"/>
  <c r="Q1094" i="1" s="1"/>
  <c r="P1095" i="1"/>
  <c r="Q1095" i="1" s="1"/>
  <c r="P1096" i="1"/>
  <c r="Q1096" i="1" s="1"/>
  <c r="P1097" i="1"/>
  <c r="Q1097" i="1" s="1"/>
  <c r="P1098" i="1"/>
  <c r="Q1098" i="1" s="1"/>
  <c r="P1099" i="1"/>
  <c r="Q1099" i="1" s="1"/>
  <c r="P1100" i="1"/>
  <c r="Q1100" i="1" s="1"/>
  <c r="P1101" i="1"/>
  <c r="Q1101" i="1" s="1"/>
  <c r="P1102" i="1"/>
  <c r="Q1102" i="1" s="1"/>
  <c r="P1103" i="1"/>
  <c r="Q1103" i="1" s="1"/>
  <c r="P1104" i="1"/>
  <c r="Q1104" i="1" s="1"/>
  <c r="P1105" i="1"/>
  <c r="Q1105" i="1" s="1"/>
  <c r="P1106" i="1"/>
  <c r="Q1106" i="1" s="1"/>
  <c r="P1107" i="1"/>
  <c r="Q1107" i="1" s="1"/>
  <c r="P1108" i="1"/>
  <c r="Q1108" i="1" s="1"/>
  <c r="P1109" i="1"/>
  <c r="Q1109" i="1" s="1"/>
  <c r="P1110" i="1"/>
  <c r="Q1110" i="1" s="1"/>
  <c r="P1111" i="1"/>
  <c r="Q1111" i="1" s="1"/>
  <c r="P1112" i="1"/>
  <c r="Q1112" i="1" s="1"/>
  <c r="P1113" i="1"/>
  <c r="Q1113" i="1" s="1"/>
  <c r="P1114" i="1"/>
  <c r="Q1114" i="1" s="1"/>
  <c r="P1115" i="1"/>
  <c r="Q1115" i="1" s="1"/>
  <c r="P1116" i="1"/>
  <c r="Q1116" i="1" s="1"/>
  <c r="P1117" i="1"/>
  <c r="Q1117" i="1" s="1"/>
  <c r="P1118" i="1"/>
  <c r="Q1118" i="1" s="1"/>
  <c r="P1119" i="1"/>
  <c r="Q1119" i="1" s="1"/>
  <c r="P1120" i="1"/>
  <c r="Q1120" i="1" s="1"/>
  <c r="P1121" i="1"/>
  <c r="Q1121" i="1" s="1"/>
  <c r="P1122" i="1"/>
  <c r="Q1122" i="1" s="1"/>
  <c r="P1123" i="1"/>
  <c r="Q1123" i="1" s="1"/>
  <c r="P1124" i="1"/>
  <c r="Q1124" i="1" s="1"/>
  <c r="P1125" i="1"/>
  <c r="Q1125" i="1" s="1"/>
  <c r="P1126" i="1"/>
  <c r="Q1126" i="1" s="1"/>
  <c r="P1127" i="1"/>
  <c r="Q1127" i="1" s="1"/>
  <c r="P1128" i="1"/>
  <c r="Q1128" i="1" s="1"/>
  <c r="P1129" i="1"/>
  <c r="Q1129" i="1" s="1"/>
  <c r="P1130" i="1"/>
  <c r="Q1130" i="1" s="1"/>
  <c r="P1131" i="1"/>
  <c r="Q1131" i="1" s="1"/>
  <c r="P1132" i="1"/>
  <c r="Q1132" i="1" s="1"/>
  <c r="P1133" i="1"/>
  <c r="Q1133" i="1" s="1"/>
  <c r="P1134" i="1"/>
  <c r="Q1134" i="1" s="1"/>
  <c r="P1135" i="1"/>
  <c r="Q1135" i="1" s="1"/>
  <c r="P1136" i="1"/>
  <c r="Q1136" i="1" s="1"/>
  <c r="P1137" i="1"/>
  <c r="Q1137" i="1" s="1"/>
  <c r="P1138" i="1"/>
  <c r="Q1138" i="1" s="1"/>
  <c r="P1139" i="1"/>
  <c r="Q1139" i="1" s="1"/>
  <c r="P1140" i="1"/>
  <c r="Q1140" i="1" s="1"/>
  <c r="P1141" i="1"/>
  <c r="Q1141" i="1" s="1"/>
  <c r="P1142" i="1"/>
  <c r="Q1142" i="1" s="1"/>
  <c r="P1143" i="1"/>
  <c r="Q1143" i="1" s="1"/>
  <c r="P1144" i="1"/>
  <c r="Q1144" i="1" s="1"/>
  <c r="P1145" i="1"/>
  <c r="Q1145" i="1" s="1"/>
  <c r="P1146" i="1"/>
  <c r="Q1146" i="1" s="1"/>
  <c r="P1147" i="1"/>
  <c r="Q1147" i="1" s="1"/>
  <c r="P1148" i="1"/>
  <c r="Q1148" i="1" s="1"/>
  <c r="P1149" i="1"/>
  <c r="Q1149" i="1" s="1"/>
  <c r="P1150" i="1"/>
  <c r="Q1150" i="1" s="1"/>
  <c r="P1151" i="1"/>
  <c r="Q1151" i="1" s="1"/>
  <c r="P1152" i="1"/>
  <c r="Q1152" i="1" s="1"/>
  <c r="P1153" i="1"/>
  <c r="Q1153" i="1" s="1"/>
  <c r="P1154" i="1"/>
  <c r="Q1154" i="1" s="1"/>
  <c r="P1155" i="1"/>
  <c r="Q1155" i="1" s="1"/>
  <c r="P1156" i="1"/>
  <c r="Q1156" i="1" s="1"/>
  <c r="P1157" i="1"/>
  <c r="Q1157" i="1" s="1"/>
  <c r="P1158" i="1"/>
  <c r="Q1158" i="1" s="1"/>
  <c r="P1159" i="1"/>
  <c r="Q1159" i="1" s="1"/>
  <c r="P1160" i="1"/>
  <c r="Q1160" i="1" s="1"/>
  <c r="P1161" i="1"/>
  <c r="Q1161" i="1" s="1"/>
  <c r="P1162" i="1"/>
  <c r="Q1162" i="1" s="1"/>
  <c r="P1163" i="1"/>
  <c r="Q1163" i="1" s="1"/>
  <c r="P1164" i="1"/>
  <c r="Q1164" i="1" s="1"/>
  <c r="P1165" i="1"/>
  <c r="Q1165" i="1" s="1"/>
  <c r="P1166" i="1"/>
  <c r="Q1166" i="1" s="1"/>
  <c r="P1167" i="1"/>
  <c r="Q1167" i="1" s="1"/>
  <c r="P1168" i="1"/>
  <c r="Q1168" i="1" s="1"/>
  <c r="P1169" i="1"/>
  <c r="Q1169" i="1" s="1"/>
  <c r="P1170" i="1"/>
  <c r="Q1170" i="1" s="1"/>
  <c r="P1171" i="1"/>
  <c r="Q1171" i="1" s="1"/>
  <c r="P1172" i="1"/>
  <c r="Q1172" i="1" s="1"/>
  <c r="P1173" i="1"/>
  <c r="Q1173" i="1" s="1"/>
  <c r="P1174" i="1"/>
  <c r="Q1174" i="1" s="1"/>
  <c r="P1175" i="1"/>
  <c r="Q1175" i="1" s="1"/>
  <c r="P1176" i="1"/>
  <c r="Q1176" i="1" s="1"/>
  <c r="P1177" i="1"/>
  <c r="Q1177" i="1" s="1"/>
  <c r="P1178" i="1"/>
  <c r="Q1178" i="1" s="1"/>
  <c r="P1179" i="1"/>
  <c r="Q1179" i="1" s="1"/>
  <c r="P1180" i="1"/>
  <c r="Q1180" i="1" s="1"/>
  <c r="P1181" i="1"/>
  <c r="Q1181" i="1" s="1"/>
  <c r="P1182" i="1"/>
  <c r="Q1182" i="1" s="1"/>
  <c r="P1183" i="1"/>
  <c r="Q1183" i="1" s="1"/>
  <c r="P1184" i="1"/>
  <c r="Q1184" i="1" s="1"/>
  <c r="P1185" i="1"/>
  <c r="Q1185" i="1" s="1"/>
  <c r="P1186" i="1"/>
  <c r="Q1186" i="1" s="1"/>
  <c r="P1187" i="1"/>
  <c r="Q1187" i="1" s="1"/>
  <c r="P1188" i="1"/>
  <c r="Q1188" i="1" s="1"/>
  <c r="P1189" i="1"/>
  <c r="Q1189" i="1" s="1"/>
  <c r="P1190" i="1"/>
  <c r="Q1190" i="1" s="1"/>
  <c r="P1191" i="1"/>
  <c r="Q1191" i="1" s="1"/>
  <c r="P1192" i="1"/>
  <c r="Q1192" i="1" s="1"/>
  <c r="P1193" i="1"/>
  <c r="Q1193" i="1" s="1"/>
  <c r="P1194" i="1"/>
  <c r="Q1194" i="1" s="1"/>
  <c r="P1195" i="1"/>
  <c r="Q1195" i="1" s="1"/>
  <c r="P1196" i="1"/>
  <c r="Q1196" i="1" s="1"/>
  <c r="P1197" i="1"/>
  <c r="Q1197" i="1" s="1"/>
  <c r="P1198" i="1"/>
  <c r="Q1198" i="1" s="1"/>
  <c r="P1199" i="1"/>
  <c r="Q1199" i="1" s="1"/>
  <c r="P1200" i="1"/>
  <c r="Q1200" i="1" s="1"/>
  <c r="P1201" i="1"/>
  <c r="Q1201" i="1" s="1"/>
  <c r="P1202" i="1"/>
  <c r="Q1202" i="1" s="1"/>
  <c r="P1203" i="1"/>
  <c r="Q1203" i="1" s="1"/>
  <c r="P1204" i="1"/>
  <c r="Q1204" i="1" s="1"/>
  <c r="P1205" i="1"/>
  <c r="Q1205" i="1" s="1"/>
  <c r="P1206" i="1"/>
  <c r="Q1206" i="1" s="1"/>
  <c r="P1207" i="1"/>
  <c r="Q1207" i="1" s="1"/>
  <c r="P1208" i="1"/>
  <c r="Q1208" i="1" s="1"/>
  <c r="P1209" i="1"/>
  <c r="Q1209" i="1" s="1"/>
  <c r="P1210" i="1"/>
  <c r="Q1210" i="1" s="1"/>
  <c r="P1211" i="1"/>
  <c r="Q1211" i="1" s="1"/>
  <c r="P1212" i="1"/>
  <c r="Q1212" i="1" s="1"/>
  <c r="P1213" i="1"/>
  <c r="Q1213" i="1" s="1"/>
  <c r="P1214" i="1"/>
  <c r="Q1214" i="1" s="1"/>
  <c r="P1215" i="1"/>
  <c r="Q1215" i="1" s="1"/>
  <c r="P1216" i="1"/>
  <c r="Q1216" i="1" s="1"/>
  <c r="P1217" i="1"/>
  <c r="Q1217" i="1" s="1"/>
  <c r="P1218" i="1"/>
  <c r="Q1218" i="1" s="1"/>
  <c r="P1219" i="1"/>
  <c r="Q1219" i="1" s="1"/>
  <c r="P1220" i="1"/>
  <c r="Q1220" i="1" s="1"/>
  <c r="P1221" i="1"/>
  <c r="Q1221" i="1" s="1"/>
  <c r="P1222" i="1"/>
  <c r="Q1222" i="1" s="1"/>
  <c r="P1223" i="1"/>
  <c r="Q1223" i="1" s="1"/>
  <c r="P1224" i="1"/>
  <c r="Q1224" i="1" s="1"/>
  <c r="P1225" i="1"/>
  <c r="Q1225" i="1" s="1"/>
  <c r="P1226" i="1"/>
  <c r="Q1226" i="1" s="1"/>
  <c r="P1227" i="1"/>
  <c r="Q1227" i="1" s="1"/>
  <c r="P1228" i="1"/>
  <c r="Q1228" i="1" s="1"/>
  <c r="P1229" i="1"/>
  <c r="Q1229" i="1" s="1"/>
  <c r="P1230" i="1"/>
  <c r="Q1230" i="1" s="1"/>
  <c r="P1231" i="1"/>
  <c r="Q1231" i="1" s="1"/>
  <c r="P1232" i="1"/>
  <c r="Q1232" i="1" s="1"/>
  <c r="P1233" i="1"/>
  <c r="Q1233" i="1" s="1"/>
  <c r="P1234" i="1"/>
  <c r="Q1234" i="1" s="1"/>
  <c r="P1235" i="1"/>
  <c r="Q1235" i="1" s="1"/>
  <c r="P1236" i="1"/>
  <c r="Q1236" i="1" s="1"/>
  <c r="P1237" i="1"/>
  <c r="Q1237" i="1" s="1"/>
  <c r="P1238" i="1"/>
  <c r="Q1238" i="1" s="1"/>
  <c r="P1239" i="1"/>
  <c r="Q1239" i="1" s="1"/>
  <c r="P1240" i="1"/>
  <c r="Q1240" i="1" s="1"/>
  <c r="P1241" i="1"/>
  <c r="Q1241" i="1" s="1"/>
  <c r="P1242" i="1"/>
  <c r="Q1242" i="1" s="1"/>
  <c r="P1243" i="1"/>
  <c r="Q1243" i="1" s="1"/>
  <c r="P1244" i="1"/>
  <c r="Q1244" i="1" s="1"/>
  <c r="P1245" i="1"/>
  <c r="Q1245" i="1" s="1"/>
  <c r="P1246" i="1"/>
  <c r="Q1246" i="1" s="1"/>
  <c r="P1247" i="1"/>
  <c r="Q1247" i="1" s="1"/>
  <c r="P1248" i="1"/>
  <c r="Q1248" i="1" s="1"/>
  <c r="P1249" i="1"/>
  <c r="Q1249" i="1" s="1"/>
  <c r="P1250" i="1"/>
  <c r="Q1250" i="1" s="1"/>
  <c r="P1251" i="1"/>
  <c r="Q1251" i="1" s="1"/>
  <c r="P1252" i="1"/>
  <c r="Q1252" i="1" s="1"/>
  <c r="P1253" i="1"/>
  <c r="Q1253" i="1" s="1"/>
  <c r="P1254" i="1"/>
  <c r="Q1254" i="1" s="1"/>
  <c r="P1255" i="1"/>
  <c r="Q1255" i="1" s="1"/>
  <c r="P1256" i="1"/>
  <c r="Q1256" i="1" s="1"/>
  <c r="P1257" i="1"/>
  <c r="Q1257" i="1" s="1"/>
  <c r="P1258" i="1"/>
  <c r="Q1258" i="1" s="1"/>
  <c r="P1259" i="1"/>
  <c r="Q1259" i="1" s="1"/>
  <c r="P1260" i="1"/>
  <c r="Q1260" i="1" s="1"/>
  <c r="P1261" i="1"/>
  <c r="Q1261" i="1" s="1"/>
  <c r="P1262" i="1"/>
  <c r="Q1262" i="1" s="1"/>
  <c r="P1263" i="1"/>
  <c r="Q1263" i="1" s="1"/>
  <c r="P1264" i="1"/>
  <c r="Q1264" i="1" s="1"/>
  <c r="P1265" i="1"/>
  <c r="Q1265" i="1" s="1"/>
  <c r="P1266" i="1"/>
  <c r="Q1266" i="1" s="1"/>
  <c r="P1267" i="1"/>
  <c r="Q1267" i="1" s="1"/>
  <c r="P1268" i="1"/>
  <c r="Q1268" i="1" s="1"/>
  <c r="P1269" i="1"/>
  <c r="Q1269" i="1" s="1"/>
  <c r="P1270" i="1"/>
  <c r="Q1270" i="1" s="1"/>
  <c r="P1271" i="1"/>
  <c r="Q1271" i="1" s="1"/>
  <c r="P1272" i="1"/>
  <c r="Q1272" i="1" s="1"/>
  <c r="P1273" i="1"/>
  <c r="Q1273" i="1" s="1"/>
  <c r="P1274" i="1"/>
  <c r="Q1274" i="1" s="1"/>
  <c r="P1275" i="1"/>
  <c r="Q1275" i="1" s="1"/>
  <c r="P1276" i="1"/>
  <c r="Q1276" i="1" s="1"/>
  <c r="P1277" i="1"/>
  <c r="Q1277" i="1" s="1"/>
  <c r="P1278" i="1"/>
  <c r="Q1278" i="1" s="1"/>
  <c r="P1279" i="1"/>
  <c r="Q1279" i="1" s="1"/>
  <c r="P1280" i="1"/>
  <c r="Q1280" i="1" s="1"/>
  <c r="P1281" i="1"/>
  <c r="Q1281" i="1" s="1"/>
  <c r="P1282" i="1"/>
  <c r="Q1282" i="1" s="1"/>
  <c r="P1283" i="1"/>
  <c r="Q1283" i="1" s="1"/>
  <c r="P1284" i="1"/>
  <c r="Q1284" i="1" s="1"/>
  <c r="P1285" i="1"/>
  <c r="Q1285" i="1" s="1"/>
  <c r="P1286" i="1"/>
  <c r="Q1286" i="1" s="1"/>
  <c r="P1287" i="1"/>
  <c r="Q1287" i="1" s="1"/>
  <c r="P1288" i="1"/>
  <c r="Q1288" i="1" s="1"/>
  <c r="P1289" i="1"/>
  <c r="Q1289" i="1" s="1"/>
  <c r="P1290" i="1"/>
  <c r="Q1290" i="1" s="1"/>
  <c r="P1291" i="1"/>
  <c r="Q1291" i="1" s="1"/>
  <c r="P1292" i="1"/>
  <c r="Q1292" i="1" s="1"/>
  <c r="P1293" i="1"/>
  <c r="Q1293" i="1" s="1"/>
  <c r="P1294" i="1"/>
  <c r="Q1294" i="1" s="1"/>
  <c r="P1295" i="1"/>
  <c r="Q1295" i="1" s="1"/>
  <c r="P1296" i="1"/>
  <c r="Q1296" i="1" s="1"/>
  <c r="P1297" i="1"/>
  <c r="Q1297" i="1" s="1"/>
  <c r="P1298" i="1"/>
  <c r="Q1298" i="1" s="1"/>
  <c r="P1299" i="1"/>
  <c r="Q1299" i="1" s="1"/>
  <c r="P1300" i="1"/>
  <c r="Q1300" i="1" s="1"/>
  <c r="P1301" i="1"/>
  <c r="Q1301" i="1" s="1"/>
  <c r="P1302" i="1"/>
  <c r="Q1302" i="1" s="1"/>
  <c r="P1303" i="1"/>
  <c r="Q1303" i="1" s="1"/>
  <c r="P1304" i="1"/>
  <c r="Q1304" i="1" s="1"/>
  <c r="P1305" i="1"/>
  <c r="Q1305" i="1" s="1"/>
  <c r="P1306" i="1"/>
  <c r="Q1306" i="1" s="1"/>
  <c r="P1307" i="1"/>
  <c r="Q1307" i="1" s="1"/>
  <c r="P1308" i="1"/>
  <c r="Q1308" i="1" s="1"/>
  <c r="P1309" i="1"/>
  <c r="Q1309" i="1" s="1"/>
  <c r="P1310" i="1"/>
  <c r="Q1310" i="1" s="1"/>
  <c r="P1311" i="1"/>
  <c r="Q1311" i="1" s="1"/>
  <c r="P1312" i="1"/>
  <c r="Q1312" i="1" s="1"/>
  <c r="P1313" i="1"/>
  <c r="Q1313" i="1" s="1"/>
  <c r="P1314" i="1"/>
  <c r="Q1314" i="1" s="1"/>
  <c r="P1315" i="1"/>
  <c r="Q1315" i="1" s="1"/>
  <c r="P1316" i="1"/>
  <c r="Q1316" i="1" s="1"/>
  <c r="P1317" i="1"/>
  <c r="Q1317" i="1" s="1"/>
  <c r="P1318" i="1"/>
  <c r="Q1318" i="1" s="1"/>
  <c r="P1319" i="1"/>
  <c r="Q1319" i="1" s="1"/>
  <c r="P1320" i="1"/>
  <c r="Q1320" i="1" s="1"/>
  <c r="P1321" i="1"/>
  <c r="Q1321" i="1" s="1"/>
  <c r="P1322" i="1"/>
  <c r="Q1322" i="1" s="1"/>
  <c r="P1323" i="1"/>
  <c r="Q1323" i="1" s="1"/>
  <c r="P1324" i="1"/>
  <c r="Q1324" i="1" s="1"/>
  <c r="P1325" i="1"/>
  <c r="Q1325" i="1" s="1"/>
  <c r="P1326" i="1"/>
  <c r="Q1326" i="1" s="1"/>
  <c r="P1327" i="1"/>
  <c r="Q1327" i="1" s="1"/>
  <c r="P1328" i="1"/>
  <c r="Q1328" i="1" s="1"/>
  <c r="P1329" i="1"/>
  <c r="Q1329" i="1" s="1"/>
  <c r="P1330" i="1"/>
  <c r="Q1330" i="1" s="1"/>
  <c r="P1331" i="1"/>
  <c r="Q1331" i="1" s="1"/>
  <c r="P1332" i="1"/>
  <c r="Q1332" i="1" s="1"/>
  <c r="P1333" i="1"/>
  <c r="Q1333" i="1" s="1"/>
  <c r="P1334" i="1"/>
  <c r="Q1334" i="1" s="1"/>
  <c r="P1335" i="1"/>
  <c r="Q1335" i="1" s="1"/>
  <c r="P1336" i="1"/>
  <c r="Q1336" i="1" s="1"/>
  <c r="P1337" i="1"/>
  <c r="Q1337" i="1" s="1"/>
  <c r="P1338" i="1"/>
  <c r="Q1338" i="1" s="1"/>
  <c r="P1339" i="1"/>
  <c r="Q1339" i="1" s="1"/>
  <c r="P1340" i="1"/>
  <c r="Q1340" i="1" s="1"/>
  <c r="P1341" i="1"/>
  <c r="Q1341" i="1" s="1"/>
  <c r="P1342" i="1"/>
  <c r="Q1342" i="1" s="1"/>
  <c r="P1343" i="1"/>
  <c r="Q1343" i="1" s="1"/>
  <c r="P1344" i="1"/>
  <c r="Q1344" i="1" s="1"/>
  <c r="P1345" i="1"/>
  <c r="Q1345" i="1" s="1"/>
  <c r="P1346" i="1"/>
  <c r="Q1346" i="1" s="1"/>
  <c r="P1347" i="1"/>
  <c r="Q1347" i="1" s="1"/>
  <c r="P1348" i="1"/>
  <c r="Q1348" i="1" s="1"/>
  <c r="P1349" i="1"/>
  <c r="Q1349" i="1" s="1"/>
  <c r="P1350" i="1"/>
  <c r="Q1350" i="1" s="1"/>
  <c r="P1351" i="1"/>
  <c r="Q1351" i="1" s="1"/>
  <c r="P1352" i="1"/>
  <c r="Q1352" i="1" s="1"/>
  <c r="P1353" i="1"/>
  <c r="Q1353" i="1" s="1"/>
  <c r="P1354" i="1"/>
  <c r="Q1354" i="1" s="1"/>
  <c r="P1355" i="1"/>
  <c r="Q1355" i="1" s="1"/>
  <c r="P1356" i="1"/>
  <c r="Q1356" i="1" s="1"/>
  <c r="P1357" i="1"/>
  <c r="Q1357" i="1" s="1"/>
  <c r="P1358" i="1"/>
  <c r="Q1358" i="1" s="1"/>
  <c r="P1359" i="1"/>
  <c r="Q1359" i="1" s="1"/>
  <c r="P1360" i="1"/>
  <c r="Q1360" i="1" s="1"/>
  <c r="P1361" i="1"/>
  <c r="Q1361" i="1" s="1"/>
  <c r="P1362" i="1"/>
  <c r="Q1362" i="1" s="1"/>
  <c r="P1363" i="1"/>
  <c r="Q1363" i="1" s="1"/>
  <c r="P1364" i="1"/>
  <c r="Q1364" i="1" s="1"/>
  <c r="P1365" i="1"/>
  <c r="Q1365" i="1" s="1"/>
  <c r="P1366" i="1"/>
  <c r="Q1366" i="1" s="1"/>
  <c r="P1367" i="1"/>
  <c r="Q1367" i="1" s="1"/>
  <c r="P1368" i="1"/>
  <c r="Q1368" i="1" s="1"/>
  <c r="P1369" i="1"/>
  <c r="Q1369" i="1" s="1"/>
  <c r="P1370" i="1"/>
  <c r="Q1370" i="1" s="1"/>
  <c r="P1371" i="1"/>
  <c r="Q1371" i="1" s="1"/>
  <c r="P1372" i="1"/>
  <c r="Q1372" i="1" s="1"/>
  <c r="P1373" i="1"/>
  <c r="Q1373" i="1" s="1"/>
  <c r="P1374" i="1"/>
  <c r="Q1374" i="1" s="1"/>
  <c r="P1375" i="1"/>
  <c r="Q1375" i="1" s="1"/>
  <c r="P1376" i="1"/>
  <c r="Q1376" i="1" s="1"/>
  <c r="P1377" i="1"/>
  <c r="Q1377" i="1" s="1"/>
  <c r="P1378" i="1"/>
  <c r="Q1378" i="1" s="1"/>
  <c r="P1379" i="1"/>
  <c r="Q1379" i="1" s="1"/>
  <c r="P1380" i="1"/>
  <c r="Q1380" i="1" s="1"/>
  <c r="P1381" i="1"/>
  <c r="Q1381" i="1" s="1"/>
  <c r="P1382" i="1"/>
  <c r="Q1382" i="1" s="1"/>
  <c r="P1383" i="1"/>
  <c r="Q1383" i="1" s="1"/>
  <c r="P1384" i="1"/>
  <c r="Q1384" i="1" s="1"/>
  <c r="P1385" i="1"/>
  <c r="Q1385" i="1" s="1"/>
  <c r="P1386" i="1"/>
  <c r="Q1386" i="1" s="1"/>
  <c r="P1387" i="1"/>
  <c r="Q1387" i="1" s="1"/>
  <c r="P1388" i="1"/>
  <c r="Q1388" i="1" s="1"/>
  <c r="P1389" i="1"/>
  <c r="Q1389" i="1" s="1"/>
  <c r="P1390" i="1"/>
  <c r="Q1390" i="1" s="1"/>
  <c r="P1391" i="1"/>
  <c r="Q1391" i="1" s="1"/>
  <c r="P1392" i="1"/>
  <c r="Q1392" i="1" s="1"/>
  <c r="P1393" i="1"/>
  <c r="Q1393" i="1" s="1"/>
  <c r="P1394" i="1"/>
  <c r="Q1394" i="1" s="1"/>
  <c r="P1395" i="1"/>
  <c r="Q1395" i="1" s="1"/>
  <c r="P1396" i="1"/>
  <c r="Q1396" i="1" s="1"/>
  <c r="P1397" i="1"/>
  <c r="Q1397" i="1" s="1"/>
  <c r="P1398" i="1"/>
  <c r="Q1398" i="1" s="1"/>
  <c r="P1399" i="1"/>
  <c r="Q1399" i="1" s="1"/>
  <c r="P1400" i="1"/>
  <c r="Q1400" i="1" s="1"/>
  <c r="P1401" i="1"/>
  <c r="Q1401" i="1" s="1"/>
  <c r="P1402" i="1"/>
  <c r="Q1402" i="1" s="1"/>
  <c r="P1403" i="1"/>
  <c r="Q1403" i="1" s="1"/>
  <c r="P1404" i="1"/>
  <c r="Q1404" i="1" s="1"/>
  <c r="P1405" i="1"/>
  <c r="Q1405" i="1" s="1"/>
  <c r="P1406" i="1"/>
  <c r="Q1406" i="1" s="1"/>
  <c r="P1407" i="1"/>
  <c r="Q1407" i="1" s="1"/>
  <c r="P1408" i="1"/>
  <c r="Q1408" i="1" s="1"/>
  <c r="P1409" i="1"/>
  <c r="Q1409" i="1" s="1"/>
  <c r="P1410" i="1"/>
  <c r="Q1410" i="1" s="1"/>
  <c r="P1411" i="1"/>
  <c r="Q1411" i="1" s="1"/>
  <c r="P1412" i="1"/>
  <c r="Q1412" i="1" s="1"/>
  <c r="P1413" i="1"/>
  <c r="Q1413" i="1" s="1"/>
  <c r="P1414" i="1"/>
  <c r="Q1414" i="1" s="1"/>
  <c r="P1415" i="1"/>
  <c r="Q1415" i="1" s="1"/>
  <c r="P1416" i="1"/>
  <c r="Q1416" i="1" s="1"/>
  <c r="P1417" i="1"/>
  <c r="Q1417" i="1" s="1"/>
  <c r="P1418" i="1"/>
  <c r="Q1418" i="1" s="1"/>
  <c r="P1419" i="1"/>
  <c r="Q1419" i="1" s="1"/>
  <c r="P1420" i="1"/>
  <c r="Q1420" i="1" s="1"/>
  <c r="P1421" i="1"/>
  <c r="Q1421" i="1" s="1"/>
  <c r="P1422" i="1"/>
  <c r="Q1422" i="1" s="1"/>
  <c r="P1423" i="1"/>
  <c r="Q1423" i="1" s="1"/>
  <c r="P1424" i="1"/>
  <c r="Q1424" i="1" s="1"/>
  <c r="P1425" i="1"/>
  <c r="Q1425" i="1" s="1"/>
  <c r="P1426" i="1"/>
  <c r="Q1426" i="1" s="1"/>
  <c r="P1427" i="1"/>
  <c r="Q1427" i="1" s="1"/>
  <c r="P1428" i="1"/>
  <c r="Q1428" i="1" s="1"/>
  <c r="P1429" i="1"/>
  <c r="Q1429" i="1" s="1"/>
  <c r="P1430" i="1"/>
  <c r="Q1430" i="1" s="1"/>
  <c r="P1431" i="1"/>
  <c r="Q1431" i="1" s="1"/>
  <c r="P1432" i="1"/>
  <c r="Q1432" i="1" s="1"/>
  <c r="P1433" i="1"/>
  <c r="Q1433" i="1" s="1"/>
  <c r="P1434" i="1"/>
  <c r="Q1434" i="1" s="1"/>
  <c r="P1435" i="1"/>
  <c r="Q1435" i="1" s="1"/>
  <c r="P1436" i="1"/>
  <c r="Q1436" i="1" s="1"/>
  <c r="P1437" i="1"/>
  <c r="Q1437" i="1" s="1"/>
  <c r="P1438" i="1"/>
  <c r="Q1438" i="1" s="1"/>
  <c r="P1439" i="1"/>
  <c r="Q1439" i="1" s="1"/>
  <c r="P1440" i="1"/>
  <c r="Q1440" i="1" s="1"/>
  <c r="P1441" i="1"/>
  <c r="Q1441" i="1" s="1"/>
  <c r="P1442" i="1"/>
  <c r="Q1442" i="1" s="1"/>
  <c r="P1443" i="1"/>
  <c r="Q1443" i="1" s="1"/>
  <c r="P1444" i="1"/>
  <c r="Q1444" i="1" s="1"/>
  <c r="P1445" i="1"/>
  <c r="Q1445" i="1" s="1"/>
  <c r="P1446" i="1"/>
  <c r="Q1446" i="1" s="1"/>
  <c r="P1447" i="1"/>
  <c r="Q1447" i="1" s="1"/>
  <c r="P1448" i="1"/>
  <c r="Q1448" i="1" s="1"/>
  <c r="P1449" i="1"/>
  <c r="Q1449" i="1" s="1"/>
  <c r="P1450" i="1"/>
  <c r="Q1450" i="1" s="1"/>
  <c r="P1451" i="1"/>
  <c r="Q1451" i="1" s="1"/>
  <c r="P1452" i="1"/>
  <c r="Q1452" i="1" s="1"/>
  <c r="P1453" i="1"/>
  <c r="Q1453" i="1" s="1"/>
  <c r="P1454" i="1"/>
  <c r="Q1454" i="1" s="1"/>
  <c r="P1455" i="1"/>
  <c r="Q1455" i="1" s="1"/>
  <c r="P1456" i="1"/>
  <c r="Q1456" i="1" s="1"/>
  <c r="P1457" i="1"/>
  <c r="Q1457" i="1" s="1"/>
  <c r="P1458" i="1"/>
  <c r="Q1458" i="1" s="1"/>
  <c r="P1459" i="1"/>
  <c r="Q1459" i="1" s="1"/>
  <c r="P1460" i="1"/>
  <c r="Q1460" i="1" s="1"/>
  <c r="P1461" i="1"/>
  <c r="Q1461" i="1" s="1"/>
  <c r="P1462" i="1"/>
  <c r="Q1462" i="1" s="1"/>
  <c r="P1463" i="1"/>
  <c r="Q1463" i="1" s="1"/>
  <c r="P1464" i="1"/>
  <c r="Q1464" i="1" s="1"/>
  <c r="P1465" i="1"/>
  <c r="Q1465" i="1" s="1"/>
  <c r="P1466" i="1"/>
  <c r="Q1466" i="1" s="1"/>
  <c r="P1467" i="1"/>
  <c r="Q1467" i="1" s="1"/>
  <c r="P1468" i="1"/>
  <c r="Q1468" i="1" s="1"/>
  <c r="P1469" i="1"/>
  <c r="Q1469" i="1" s="1"/>
  <c r="P1470" i="1"/>
  <c r="Q1470" i="1" s="1"/>
  <c r="P1471" i="1"/>
  <c r="Q1471" i="1" s="1"/>
  <c r="P1472" i="1"/>
  <c r="Q1472" i="1" s="1"/>
  <c r="P1473" i="1"/>
  <c r="Q1473" i="1" s="1"/>
  <c r="P1474" i="1"/>
  <c r="Q1474" i="1" s="1"/>
  <c r="P1475" i="1"/>
  <c r="Q1475" i="1" s="1"/>
  <c r="P1476" i="1"/>
  <c r="Q1476" i="1" s="1"/>
  <c r="P1477" i="1"/>
  <c r="Q1477" i="1" s="1"/>
  <c r="P1478" i="1"/>
  <c r="Q1478" i="1" s="1"/>
  <c r="P1479" i="1"/>
  <c r="Q1479" i="1" s="1"/>
  <c r="P1480" i="1"/>
  <c r="Q1480" i="1" s="1"/>
  <c r="P1481" i="1"/>
  <c r="Q1481" i="1" s="1"/>
  <c r="P1482" i="1"/>
  <c r="Q1482" i="1" s="1"/>
  <c r="P1483" i="1"/>
  <c r="Q1483" i="1" s="1"/>
  <c r="P1484" i="1"/>
  <c r="Q1484" i="1" s="1"/>
  <c r="P1485" i="1"/>
  <c r="Q1485" i="1" s="1"/>
  <c r="P1486" i="1"/>
  <c r="Q1486" i="1" s="1"/>
  <c r="P1487" i="1"/>
  <c r="Q1487" i="1" s="1"/>
  <c r="P1488" i="1"/>
  <c r="Q1488" i="1" s="1"/>
  <c r="P1489" i="1"/>
  <c r="Q1489" i="1" s="1"/>
  <c r="P1490" i="1"/>
  <c r="Q1490" i="1" s="1"/>
  <c r="P1491" i="1"/>
  <c r="Q1491" i="1" s="1"/>
  <c r="P1492" i="1"/>
  <c r="Q1492" i="1" s="1"/>
  <c r="P1493" i="1"/>
  <c r="Q1493" i="1" s="1"/>
  <c r="P1494" i="1"/>
  <c r="Q1494" i="1" s="1"/>
  <c r="P1495" i="1"/>
  <c r="Q1495" i="1" s="1"/>
  <c r="P1496" i="1"/>
  <c r="Q1496" i="1" s="1"/>
  <c r="P1497" i="1"/>
  <c r="Q1497" i="1" s="1"/>
  <c r="P1498" i="1"/>
  <c r="Q1498" i="1" s="1"/>
  <c r="P1499" i="1"/>
  <c r="Q1499" i="1" s="1"/>
  <c r="P1500" i="1"/>
  <c r="Q1500" i="1" s="1"/>
  <c r="P1501" i="1"/>
  <c r="Q1501" i="1" s="1"/>
  <c r="P1502" i="1"/>
  <c r="Q1502" i="1" s="1"/>
  <c r="P1503" i="1"/>
  <c r="Q1503" i="1" s="1"/>
  <c r="P1504" i="1"/>
  <c r="Q1504" i="1" s="1"/>
  <c r="P1505" i="1"/>
  <c r="Q1505" i="1" s="1"/>
  <c r="P1506" i="1"/>
  <c r="Q1506" i="1" s="1"/>
  <c r="P1507" i="1"/>
  <c r="Q1507" i="1" s="1"/>
  <c r="P1508" i="1"/>
  <c r="Q1508" i="1" s="1"/>
  <c r="P1509" i="1"/>
  <c r="Q1509" i="1" s="1"/>
  <c r="P1510" i="1"/>
  <c r="Q1510" i="1" s="1"/>
  <c r="P1511" i="1"/>
  <c r="Q1511" i="1" s="1"/>
  <c r="P1512" i="1"/>
  <c r="Q1512" i="1" s="1"/>
  <c r="P1513" i="1"/>
  <c r="Q1513" i="1" s="1"/>
  <c r="P1514" i="1"/>
  <c r="Q1514" i="1" s="1"/>
  <c r="P1515" i="1"/>
  <c r="Q1515" i="1" s="1"/>
  <c r="P1516" i="1"/>
  <c r="Q1516" i="1" s="1"/>
  <c r="P1517" i="1"/>
  <c r="Q1517" i="1" s="1"/>
  <c r="P1518" i="1"/>
  <c r="Q1518" i="1" s="1"/>
  <c r="P1519" i="1"/>
  <c r="Q1519" i="1" s="1"/>
  <c r="P1520" i="1"/>
  <c r="Q1520" i="1" s="1"/>
  <c r="P1521" i="1"/>
  <c r="Q1521" i="1" s="1"/>
  <c r="P1522" i="1"/>
  <c r="Q1522" i="1" s="1"/>
  <c r="P1523" i="1"/>
  <c r="Q1523" i="1" s="1"/>
  <c r="P1524" i="1"/>
  <c r="Q1524" i="1" s="1"/>
  <c r="P1525" i="1"/>
  <c r="Q1525" i="1" s="1"/>
  <c r="P1526" i="1"/>
  <c r="Q1526" i="1" s="1"/>
  <c r="P1527" i="1"/>
  <c r="Q1527" i="1" s="1"/>
  <c r="P1528" i="1"/>
  <c r="Q1528" i="1" s="1"/>
  <c r="P1529" i="1"/>
  <c r="Q1529" i="1" s="1"/>
  <c r="P1530" i="1"/>
  <c r="Q1530" i="1" s="1"/>
  <c r="P1531" i="1"/>
  <c r="Q1531" i="1" s="1"/>
  <c r="P1532" i="1"/>
  <c r="Q1532" i="1" s="1"/>
  <c r="P1533" i="1"/>
  <c r="Q1533" i="1" s="1"/>
  <c r="P1534" i="1"/>
  <c r="Q1534" i="1" s="1"/>
  <c r="P1535" i="1"/>
  <c r="Q1535" i="1" s="1"/>
  <c r="P1536" i="1"/>
  <c r="Q1536" i="1" s="1"/>
  <c r="P1537" i="1"/>
  <c r="Q1537" i="1" s="1"/>
  <c r="P1538" i="1"/>
  <c r="Q1538" i="1" s="1"/>
  <c r="P1539" i="1"/>
  <c r="Q1539" i="1" s="1"/>
  <c r="P1540" i="1"/>
  <c r="Q1540" i="1" s="1"/>
  <c r="P1541" i="1"/>
  <c r="Q1541" i="1" s="1"/>
  <c r="P1542" i="1"/>
  <c r="Q1542" i="1" s="1"/>
  <c r="P1543" i="1"/>
  <c r="Q1543" i="1" s="1"/>
  <c r="P1544" i="1"/>
  <c r="Q1544" i="1" s="1"/>
  <c r="P1545" i="1"/>
  <c r="Q1545" i="1" s="1"/>
  <c r="P1546" i="1"/>
  <c r="Q1546" i="1" s="1"/>
  <c r="P1547" i="1"/>
  <c r="Q1547" i="1" s="1"/>
  <c r="P1548" i="1"/>
  <c r="Q1548" i="1" s="1"/>
  <c r="P1549" i="1"/>
  <c r="Q1549" i="1" s="1"/>
  <c r="P1550" i="1"/>
  <c r="Q1550" i="1" s="1"/>
  <c r="P1551" i="1"/>
  <c r="Q1551" i="1" s="1"/>
  <c r="P1552" i="1"/>
  <c r="Q1552" i="1" s="1"/>
  <c r="P1553" i="1"/>
  <c r="Q1553" i="1" s="1"/>
  <c r="P1554" i="1"/>
  <c r="Q1554" i="1" s="1"/>
  <c r="P1555" i="1"/>
  <c r="Q1555" i="1" s="1"/>
  <c r="P1556" i="1"/>
  <c r="Q1556" i="1" s="1"/>
  <c r="P1557" i="1"/>
  <c r="Q1557" i="1" s="1"/>
  <c r="P1558" i="1"/>
  <c r="Q1558" i="1" s="1"/>
  <c r="P1559" i="1"/>
  <c r="Q1559" i="1" s="1"/>
  <c r="P1560" i="1"/>
  <c r="Q1560" i="1" s="1"/>
  <c r="P1561" i="1"/>
  <c r="Q1561" i="1" s="1"/>
  <c r="P1562" i="1"/>
  <c r="Q1562" i="1" s="1"/>
  <c r="P1563" i="1"/>
  <c r="Q1563" i="1" s="1"/>
  <c r="P1564" i="1"/>
  <c r="Q1564" i="1" s="1"/>
  <c r="P1565" i="1"/>
  <c r="Q1565" i="1" s="1"/>
  <c r="P1566" i="1"/>
  <c r="Q1566" i="1" s="1"/>
  <c r="P1567" i="1"/>
  <c r="Q1567" i="1" s="1"/>
  <c r="P1568" i="1"/>
  <c r="Q1568" i="1" s="1"/>
  <c r="P1569" i="1"/>
  <c r="Q1569" i="1" s="1"/>
  <c r="P1570" i="1"/>
  <c r="Q1570" i="1" s="1"/>
  <c r="P1571" i="1"/>
  <c r="Q1571" i="1" s="1"/>
  <c r="P1572" i="1"/>
  <c r="Q1572" i="1" s="1"/>
  <c r="P1573" i="1"/>
  <c r="Q1573" i="1" s="1"/>
  <c r="P1574" i="1"/>
  <c r="Q1574" i="1" s="1"/>
  <c r="P1575" i="1"/>
  <c r="Q1575" i="1" s="1"/>
  <c r="P1576" i="1"/>
  <c r="Q1576" i="1" s="1"/>
  <c r="P1577" i="1"/>
  <c r="Q1577" i="1" s="1"/>
  <c r="P1578" i="1"/>
  <c r="Q1578" i="1" s="1"/>
  <c r="P1579" i="1"/>
  <c r="Q1579" i="1" s="1"/>
  <c r="P1580" i="1"/>
  <c r="Q1580" i="1" s="1"/>
  <c r="P1581" i="1"/>
  <c r="Q1581" i="1" s="1"/>
  <c r="P1582" i="1"/>
  <c r="Q1582" i="1" s="1"/>
  <c r="P1583" i="1"/>
  <c r="Q1583" i="1" s="1"/>
  <c r="P1584" i="1"/>
  <c r="Q1584" i="1" s="1"/>
  <c r="P1585" i="1"/>
  <c r="Q1585" i="1" s="1"/>
  <c r="P1586" i="1"/>
  <c r="Q1586" i="1" s="1"/>
  <c r="P1587" i="1"/>
  <c r="Q1587" i="1" s="1"/>
  <c r="P1588" i="1"/>
  <c r="Q1588" i="1" s="1"/>
  <c r="P1589" i="1"/>
  <c r="Q1589" i="1" s="1"/>
  <c r="P1590" i="1"/>
  <c r="Q1590" i="1" s="1"/>
  <c r="P1591" i="1"/>
  <c r="Q1591" i="1" s="1"/>
  <c r="P1592" i="1"/>
  <c r="Q1592" i="1" s="1"/>
  <c r="P1593" i="1"/>
  <c r="Q1593" i="1" s="1"/>
  <c r="P1594" i="1"/>
  <c r="Q1594" i="1" s="1"/>
  <c r="P1595" i="1"/>
  <c r="Q1595" i="1" s="1"/>
  <c r="P1596" i="1"/>
  <c r="Q1596" i="1" s="1"/>
  <c r="P1597" i="1"/>
  <c r="Q1597" i="1" s="1"/>
  <c r="P1598" i="1"/>
  <c r="Q1598" i="1" s="1"/>
  <c r="P1599" i="1"/>
  <c r="Q1599" i="1" s="1"/>
  <c r="P1600" i="1"/>
  <c r="Q1600" i="1" s="1"/>
  <c r="P1601" i="1"/>
  <c r="Q1601" i="1" s="1"/>
  <c r="P1602" i="1"/>
  <c r="Q1602" i="1" s="1"/>
  <c r="P1603" i="1"/>
  <c r="Q1603" i="1" s="1"/>
  <c r="P1604" i="1"/>
  <c r="Q1604" i="1" s="1"/>
  <c r="P1605" i="1"/>
  <c r="Q1605" i="1" s="1"/>
  <c r="P1606" i="1"/>
  <c r="Q1606" i="1" s="1"/>
  <c r="P1607" i="1"/>
  <c r="Q1607" i="1" s="1"/>
  <c r="P1608" i="1"/>
  <c r="Q1608" i="1" s="1"/>
  <c r="P1609" i="1"/>
  <c r="Q1609" i="1" s="1"/>
  <c r="P1610" i="1"/>
  <c r="Q1610" i="1" s="1"/>
  <c r="P1611" i="1"/>
  <c r="Q1611" i="1" s="1"/>
  <c r="P1612" i="1"/>
  <c r="Q1612" i="1" s="1"/>
  <c r="P1613" i="1"/>
  <c r="Q1613" i="1" s="1"/>
  <c r="P1614" i="1"/>
  <c r="Q1614" i="1" s="1"/>
  <c r="P1615" i="1"/>
  <c r="Q1615" i="1" s="1"/>
  <c r="P1616" i="1"/>
  <c r="Q1616" i="1" s="1"/>
  <c r="P1617" i="1"/>
  <c r="Q1617" i="1" s="1"/>
  <c r="P1618" i="1"/>
  <c r="Q1618" i="1" s="1"/>
  <c r="P1619" i="1"/>
  <c r="Q1619" i="1" s="1"/>
  <c r="P1620" i="1"/>
  <c r="Q1620" i="1" s="1"/>
  <c r="P1621" i="1"/>
  <c r="Q1621" i="1" s="1"/>
  <c r="P1622" i="1"/>
  <c r="Q1622" i="1" s="1"/>
  <c r="P1623" i="1"/>
  <c r="Q1623" i="1" s="1"/>
  <c r="P1624" i="1"/>
  <c r="Q1624" i="1" s="1"/>
  <c r="P1625" i="1"/>
  <c r="Q1625" i="1" s="1"/>
  <c r="P1626" i="1"/>
  <c r="Q1626" i="1" s="1"/>
  <c r="P1627" i="1"/>
  <c r="Q1627" i="1" s="1"/>
  <c r="P1628" i="1"/>
  <c r="Q1628" i="1" s="1"/>
  <c r="P1629" i="1"/>
  <c r="Q1629" i="1" s="1"/>
  <c r="P1630" i="1"/>
  <c r="Q1630" i="1" s="1"/>
  <c r="P1631" i="1"/>
  <c r="Q1631" i="1" s="1"/>
  <c r="P1632" i="1"/>
  <c r="Q1632" i="1" s="1"/>
  <c r="P1633" i="1"/>
  <c r="Q1633" i="1" s="1"/>
  <c r="P1634" i="1"/>
  <c r="Q1634" i="1" s="1"/>
  <c r="P1635" i="1"/>
  <c r="Q1635" i="1" s="1"/>
  <c r="P1636" i="1"/>
  <c r="Q1636" i="1" s="1"/>
  <c r="P1637" i="1"/>
  <c r="Q1637" i="1" s="1"/>
  <c r="P1638" i="1"/>
  <c r="Q1638" i="1" s="1"/>
  <c r="P1639" i="1"/>
  <c r="Q1639" i="1" s="1"/>
  <c r="P1640" i="1"/>
  <c r="Q1640" i="1" s="1"/>
  <c r="P1641" i="1"/>
  <c r="Q1641" i="1" s="1"/>
  <c r="P1642" i="1"/>
  <c r="Q1642" i="1" s="1"/>
  <c r="P1643" i="1"/>
  <c r="Q1643" i="1" s="1"/>
  <c r="P1644" i="1"/>
  <c r="Q1644" i="1" s="1"/>
  <c r="P1645" i="1"/>
  <c r="Q1645" i="1" s="1"/>
  <c r="P1646" i="1"/>
  <c r="Q1646" i="1" s="1"/>
  <c r="P1647" i="1"/>
  <c r="Q1647" i="1" s="1"/>
  <c r="P1648" i="1"/>
  <c r="Q1648" i="1" s="1"/>
  <c r="P1649" i="1"/>
  <c r="Q1649" i="1" s="1"/>
  <c r="P1650" i="1"/>
  <c r="Q1650" i="1" s="1"/>
  <c r="P1651" i="1"/>
  <c r="Q1651" i="1" s="1"/>
  <c r="P1652" i="1"/>
  <c r="Q1652" i="1" s="1"/>
  <c r="P1653" i="1"/>
  <c r="Q1653" i="1" s="1"/>
  <c r="P1654" i="1"/>
  <c r="Q1654" i="1" s="1"/>
  <c r="P1655" i="1"/>
  <c r="Q1655" i="1" s="1"/>
  <c r="P1656" i="1"/>
  <c r="Q1656" i="1" s="1"/>
  <c r="P1657" i="1"/>
  <c r="Q1657" i="1" s="1"/>
  <c r="P1658" i="1"/>
  <c r="Q1658" i="1" s="1"/>
  <c r="P1659" i="1"/>
  <c r="Q1659" i="1" s="1"/>
  <c r="P1660" i="1"/>
  <c r="Q1660" i="1" s="1"/>
  <c r="P1661" i="1"/>
  <c r="Q1661" i="1" s="1"/>
  <c r="P1662" i="1"/>
  <c r="Q1662" i="1" s="1"/>
  <c r="P1663" i="1"/>
  <c r="Q1663" i="1" s="1"/>
  <c r="P1664" i="1"/>
  <c r="Q1664" i="1" s="1"/>
  <c r="P1665" i="1"/>
  <c r="Q1665" i="1" s="1"/>
  <c r="P1666" i="1"/>
  <c r="Q1666" i="1" s="1"/>
  <c r="P1667" i="1"/>
  <c r="Q1667" i="1" s="1"/>
  <c r="P1668" i="1"/>
  <c r="Q1668" i="1" s="1"/>
  <c r="P1669" i="1"/>
  <c r="Q1669" i="1" s="1"/>
  <c r="P1670" i="1"/>
  <c r="Q1670" i="1" s="1"/>
  <c r="P1671" i="1"/>
  <c r="Q1671" i="1" s="1"/>
  <c r="P1672" i="1"/>
  <c r="Q1672" i="1" s="1"/>
  <c r="P1673" i="1"/>
  <c r="Q1673" i="1" s="1"/>
  <c r="P1674" i="1"/>
  <c r="Q1674" i="1" s="1"/>
  <c r="P1675" i="1"/>
  <c r="Q1675" i="1" s="1"/>
  <c r="P1676" i="1"/>
  <c r="Q1676" i="1" s="1"/>
  <c r="P1677" i="1"/>
  <c r="Q1677" i="1" s="1"/>
  <c r="P1678" i="1"/>
  <c r="Q1678" i="1" s="1"/>
  <c r="P1679" i="1"/>
  <c r="Q1679" i="1" s="1"/>
  <c r="P1680" i="1"/>
  <c r="Q1680" i="1" s="1"/>
  <c r="P1681" i="1"/>
  <c r="Q1681" i="1" s="1"/>
  <c r="P1682" i="1"/>
  <c r="Q1682" i="1" s="1"/>
  <c r="P1683" i="1"/>
  <c r="Q1683" i="1" s="1"/>
  <c r="P1684" i="1"/>
  <c r="Q1684" i="1" s="1"/>
  <c r="P1685" i="1"/>
  <c r="Q1685" i="1" s="1"/>
  <c r="P1686" i="1"/>
  <c r="Q1686" i="1" s="1"/>
  <c r="P1687" i="1"/>
  <c r="Q1687" i="1" s="1"/>
  <c r="P1688" i="1"/>
  <c r="Q1688" i="1" s="1"/>
  <c r="P1689" i="1"/>
  <c r="Q1689" i="1" s="1"/>
  <c r="P1690" i="1"/>
  <c r="Q1690" i="1" s="1"/>
  <c r="P1691" i="1"/>
  <c r="Q1691" i="1" s="1"/>
  <c r="P1692" i="1"/>
  <c r="Q1692" i="1" s="1"/>
  <c r="P1693" i="1"/>
  <c r="Q1693" i="1" s="1"/>
  <c r="P1694" i="1"/>
  <c r="Q1694" i="1" s="1"/>
  <c r="P1695" i="1"/>
  <c r="Q1695" i="1" s="1"/>
  <c r="P1696" i="1"/>
  <c r="Q1696" i="1" s="1"/>
  <c r="P1697" i="1"/>
  <c r="Q1697" i="1" s="1"/>
  <c r="P1698" i="1"/>
  <c r="Q1698" i="1" s="1"/>
  <c r="P1699" i="1"/>
  <c r="Q1699" i="1" s="1"/>
  <c r="P1700" i="1"/>
  <c r="Q1700" i="1" s="1"/>
  <c r="P1701" i="1"/>
  <c r="Q1701" i="1" s="1"/>
  <c r="P1702" i="1"/>
  <c r="Q1702" i="1" s="1"/>
  <c r="P1703" i="1"/>
  <c r="Q1703" i="1" s="1"/>
  <c r="P1704" i="1"/>
  <c r="Q1704" i="1" s="1"/>
  <c r="P1705" i="1"/>
  <c r="Q1705" i="1" s="1"/>
  <c r="P1706" i="1"/>
  <c r="Q1706" i="1" s="1"/>
  <c r="P1707" i="1"/>
  <c r="Q1707" i="1" s="1"/>
  <c r="P1708" i="1"/>
  <c r="Q1708" i="1" s="1"/>
  <c r="P1709" i="1"/>
  <c r="Q1709" i="1" s="1"/>
  <c r="P1710" i="1"/>
  <c r="Q1710" i="1" s="1"/>
  <c r="P1711" i="1"/>
  <c r="Q1711" i="1" s="1"/>
  <c r="P1712" i="1"/>
  <c r="Q1712" i="1" s="1"/>
  <c r="P1713" i="1"/>
  <c r="Q1713" i="1" s="1"/>
  <c r="P1714" i="1"/>
  <c r="Q1714" i="1" s="1"/>
  <c r="P1715" i="1"/>
  <c r="Q1715" i="1" s="1"/>
  <c r="P1716" i="1"/>
  <c r="Q1716" i="1" s="1"/>
  <c r="P1717" i="1"/>
  <c r="Q1717" i="1" s="1"/>
  <c r="P1718" i="1"/>
  <c r="Q1718" i="1" s="1"/>
  <c r="P1719" i="1"/>
  <c r="Q1719" i="1" s="1"/>
  <c r="P1720" i="1"/>
  <c r="Q1720" i="1" s="1"/>
  <c r="P1721" i="1"/>
  <c r="Q1721" i="1" s="1"/>
  <c r="P1722" i="1"/>
  <c r="Q1722" i="1" s="1"/>
  <c r="P1723" i="1"/>
  <c r="Q1723" i="1" s="1"/>
  <c r="P1724" i="1"/>
  <c r="Q1724" i="1" s="1"/>
  <c r="P1725" i="1"/>
  <c r="Q1725" i="1" s="1"/>
  <c r="P1726" i="1"/>
  <c r="Q1726" i="1" s="1"/>
  <c r="P1727" i="1"/>
  <c r="Q1727" i="1" s="1"/>
  <c r="P1728" i="1"/>
  <c r="Q1728" i="1" s="1"/>
  <c r="P1729" i="1"/>
  <c r="Q1729" i="1" s="1"/>
  <c r="P1730" i="1"/>
  <c r="Q1730" i="1" s="1"/>
  <c r="P1731" i="1"/>
  <c r="Q1731" i="1" s="1"/>
  <c r="P1732" i="1"/>
  <c r="Q1732" i="1" s="1"/>
  <c r="P1733" i="1"/>
  <c r="Q1733" i="1" s="1"/>
  <c r="P1734" i="1"/>
  <c r="Q1734" i="1" s="1"/>
  <c r="P1735" i="1"/>
  <c r="Q1735" i="1" s="1"/>
  <c r="P1736" i="1"/>
  <c r="Q1736" i="1" s="1"/>
  <c r="P1737" i="1"/>
  <c r="Q1737" i="1" s="1"/>
  <c r="P1738" i="1"/>
  <c r="Q1738" i="1" s="1"/>
  <c r="P1739" i="1"/>
  <c r="Q1739" i="1" s="1"/>
  <c r="P1740" i="1"/>
  <c r="Q1740" i="1" s="1"/>
  <c r="P1741" i="1"/>
  <c r="Q1741" i="1" s="1"/>
  <c r="P1742" i="1"/>
  <c r="Q1742" i="1" s="1"/>
  <c r="P1743" i="1"/>
  <c r="Q1743" i="1" s="1"/>
  <c r="P1744" i="1"/>
  <c r="Q1744" i="1" s="1"/>
  <c r="P1745" i="1"/>
  <c r="Q1745" i="1" s="1"/>
  <c r="P1746" i="1"/>
  <c r="Q1746" i="1" s="1"/>
  <c r="P1747" i="1"/>
  <c r="Q1747" i="1" s="1"/>
  <c r="P1748" i="1"/>
  <c r="Q1748" i="1" s="1"/>
  <c r="P1749" i="1"/>
  <c r="Q1749" i="1" s="1"/>
  <c r="P1750" i="1"/>
  <c r="Q1750" i="1" s="1"/>
  <c r="P1751" i="1"/>
  <c r="Q1751" i="1" s="1"/>
  <c r="P1752" i="1"/>
  <c r="Q1752" i="1" s="1"/>
  <c r="P1753" i="1"/>
  <c r="Q1753" i="1" s="1"/>
  <c r="P1754" i="1"/>
  <c r="Q1754" i="1" s="1"/>
  <c r="P1755" i="1"/>
  <c r="Q1755" i="1" s="1"/>
  <c r="P1756" i="1"/>
  <c r="Q1756" i="1" s="1"/>
  <c r="P1757" i="1"/>
  <c r="Q1757" i="1" s="1"/>
  <c r="P1758" i="1"/>
  <c r="Q1758" i="1" s="1"/>
  <c r="P1759" i="1"/>
  <c r="Q1759" i="1" s="1"/>
  <c r="P1760" i="1"/>
  <c r="Q1760" i="1" s="1"/>
  <c r="P1761" i="1"/>
  <c r="Q1761" i="1" s="1"/>
  <c r="P1762" i="1"/>
  <c r="Q1762" i="1" s="1"/>
  <c r="P1763" i="1"/>
  <c r="Q1763" i="1" s="1"/>
  <c r="P1764" i="1"/>
  <c r="Q1764" i="1" s="1"/>
  <c r="P1765" i="1"/>
  <c r="Q1765" i="1" s="1"/>
  <c r="P1766" i="1"/>
  <c r="Q1766" i="1" s="1"/>
  <c r="P1767" i="1"/>
  <c r="Q1767" i="1" s="1"/>
  <c r="P1768" i="1"/>
  <c r="Q1768" i="1" s="1"/>
  <c r="P1769" i="1"/>
  <c r="Q1769" i="1" s="1"/>
  <c r="P1770" i="1"/>
  <c r="Q1770" i="1" s="1"/>
  <c r="P1771" i="1"/>
  <c r="Q1771" i="1" s="1"/>
  <c r="P1772" i="1"/>
  <c r="Q1772" i="1" s="1"/>
  <c r="P1773" i="1"/>
  <c r="Q1773" i="1" s="1"/>
  <c r="P1774" i="1"/>
  <c r="Q1774" i="1" s="1"/>
  <c r="P1775" i="1"/>
  <c r="Q1775" i="1" s="1"/>
  <c r="P1776" i="1"/>
  <c r="Q1776" i="1" s="1"/>
  <c r="P1777" i="1"/>
  <c r="Q1777" i="1" s="1"/>
  <c r="P1778" i="1"/>
  <c r="Q1778" i="1" s="1"/>
  <c r="P1779" i="1"/>
  <c r="Q1779" i="1" s="1"/>
  <c r="P1780" i="1"/>
  <c r="Q1780" i="1" s="1"/>
  <c r="P1781" i="1"/>
  <c r="Q1781" i="1" s="1"/>
  <c r="P1782" i="1"/>
  <c r="Q1782" i="1" s="1"/>
  <c r="P1783" i="1"/>
  <c r="Q1783" i="1" s="1"/>
  <c r="P1784" i="1"/>
  <c r="Q1784" i="1" s="1"/>
  <c r="P1785" i="1"/>
  <c r="Q1785" i="1" s="1"/>
  <c r="P1786" i="1"/>
  <c r="Q1786" i="1" s="1"/>
  <c r="P1787" i="1"/>
  <c r="Q1787" i="1" s="1"/>
  <c r="P1788" i="1"/>
  <c r="Q1788" i="1" s="1"/>
  <c r="P1789" i="1"/>
  <c r="Q1789" i="1" s="1"/>
  <c r="P1790" i="1"/>
  <c r="Q1790" i="1" s="1"/>
  <c r="P1791" i="1"/>
  <c r="Q1791" i="1" s="1"/>
  <c r="P1792" i="1"/>
  <c r="Q1792" i="1" s="1"/>
  <c r="P2" i="1"/>
  <c r="Q2" i="1" s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2" i="1"/>
  <c r="U2" i="1" s="1"/>
  <c r="X1623" i="1" l="1"/>
  <c r="X1383" i="1"/>
  <c r="X1035" i="1"/>
  <c r="X987" i="1"/>
  <c r="X723" i="1"/>
  <c r="X423" i="1"/>
  <c r="X327" i="1"/>
  <c r="X267" i="1"/>
  <c r="X63" i="1"/>
  <c r="X1779" i="1"/>
  <c r="X1563" i="1"/>
  <c r="X1359" i="1"/>
  <c r="X1227" i="1"/>
  <c r="X1023" i="1"/>
  <c r="X867" i="1"/>
  <c r="X843" i="1"/>
  <c r="X819" i="1"/>
  <c r="X675" i="1"/>
  <c r="X471" i="1"/>
  <c r="X435" i="1"/>
  <c r="X375" i="1"/>
  <c r="X315" i="1"/>
  <c r="X303" i="1"/>
  <c r="X255" i="1"/>
  <c r="X231" i="1"/>
  <c r="X159" i="1"/>
  <c r="X111" i="1"/>
  <c r="X15" i="1"/>
  <c r="X1778" i="1"/>
  <c r="X1766" i="1"/>
  <c r="X1730" i="1"/>
  <c r="X1706" i="1"/>
  <c r="X1694" i="1"/>
  <c r="X1310" i="1"/>
  <c r="X1202" i="1"/>
  <c r="X1166" i="1"/>
  <c r="X1142" i="1"/>
  <c r="X938" i="1"/>
  <c r="X914" i="1"/>
  <c r="X878" i="1"/>
  <c r="X770" i="1"/>
  <c r="X374" i="1"/>
  <c r="X302" i="1"/>
  <c r="X278" i="1"/>
  <c r="X254" i="1"/>
  <c r="X230" i="1"/>
  <c r="X158" i="1"/>
  <c r="X110" i="1"/>
  <c r="X14" i="1"/>
  <c r="W1138" i="1"/>
  <c r="W1090" i="1"/>
  <c r="W1042" i="1"/>
  <c r="W1006" i="1"/>
  <c r="W946" i="1"/>
  <c r="W910" i="1"/>
  <c r="W898" i="1"/>
  <c r="W850" i="1"/>
  <c r="W802" i="1"/>
  <c r="W754" i="1"/>
  <c r="W718" i="1"/>
  <c r="W670" i="1"/>
  <c r="W598" i="1"/>
  <c r="W550" i="1"/>
  <c r="W466" i="1"/>
  <c r="W429" i="1"/>
  <c r="W357" i="1"/>
  <c r="W189" i="1"/>
  <c r="W162" i="1"/>
  <c r="W150" i="1"/>
  <c r="W114" i="1"/>
  <c r="X207" i="1"/>
  <c r="W1685" i="1"/>
  <c r="W1637" i="1"/>
  <c r="W1613" i="1"/>
  <c r="W1553" i="1"/>
  <c r="W1505" i="1"/>
  <c r="W1493" i="1"/>
  <c r="X1469" i="1"/>
  <c r="W1397" i="1"/>
  <c r="W1361" i="1"/>
  <c r="W1337" i="1"/>
  <c r="W1277" i="1"/>
  <c r="W1229" i="1"/>
  <c r="W1169" i="1"/>
  <c r="W1133" i="1"/>
  <c r="W1085" i="1"/>
  <c r="W1037" i="1"/>
  <c r="W989" i="1"/>
  <c r="W941" i="1"/>
  <c r="W893" i="1"/>
  <c r="X845" i="1"/>
  <c r="W785" i="1"/>
  <c r="W737" i="1"/>
  <c r="W701" i="1"/>
  <c r="W653" i="1"/>
  <c r="W641" i="1"/>
  <c r="W605" i="1"/>
  <c r="W545" i="1"/>
  <c r="X533" i="1"/>
  <c r="W497" i="1"/>
  <c r="W449" i="1"/>
  <c r="W413" i="1"/>
  <c r="X281" i="1"/>
  <c r="W161" i="1"/>
  <c r="W137" i="1"/>
  <c r="W29" i="1"/>
  <c r="W1102" i="1"/>
  <c r="W1054" i="1"/>
  <c r="W994" i="1"/>
  <c r="W958" i="1"/>
  <c r="W862" i="1"/>
  <c r="W814" i="1"/>
  <c r="W766" i="1"/>
  <c r="W706" i="1"/>
  <c r="W658" i="1"/>
  <c r="W586" i="1"/>
  <c r="W562" i="1"/>
  <c r="W502" i="1"/>
  <c r="W430" i="1"/>
  <c r="W358" i="1"/>
  <c r="W334" i="1"/>
  <c r="W501" i="1"/>
  <c r="W441" i="1"/>
  <c r="W405" i="1"/>
  <c r="W201" i="1"/>
  <c r="W57" i="1"/>
  <c r="W1697" i="1"/>
  <c r="W1649" i="1"/>
  <c r="W1625" i="1"/>
  <c r="W1601" i="1"/>
  <c r="W1541" i="1"/>
  <c r="W1481" i="1"/>
  <c r="W1457" i="1"/>
  <c r="W1409" i="1"/>
  <c r="W1349" i="1"/>
  <c r="W1301" i="1"/>
  <c r="W1265" i="1"/>
  <c r="W1217" i="1"/>
  <c r="W1181" i="1"/>
  <c r="W1121" i="1"/>
  <c r="W1073" i="1"/>
  <c r="W1025" i="1"/>
  <c r="W977" i="1"/>
  <c r="W929" i="1"/>
  <c r="W881" i="1"/>
  <c r="W833" i="1"/>
  <c r="W797" i="1"/>
  <c r="W749" i="1"/>
  <c r="W509" i="1"/>
  <c r="X1780" i="1"/>
  <c r="X1432" i="1"/>
  <c r="X1588" i="1"/>
  <c r="X1468" i="1"/>
  <c r="X1144" i="1"/>
  <c r="X796" i="1"/>
  <c r="X927" i="1"/>
  <c r="X891" i="1"/>
  <c r="X1226" i="1"/>
  <c r="X1034" i="1"/>
  <c r="X1022" i="1"/>
  <c r="X974" i="1"/>
  <c r="X1732" i="1"/>
  <c r="X1600" i="1"/>
  <c r="X1504" i="1"/>
  <c r="X1492" i="1"/>
  <c r="X1336" i="1"/>
  <c r="X1252" i="1"/>
  <c r="X964" i="1"/>
  <c r="X986" i="1"/>
  <c r="W467" i="1"/>
  <c r="W431" i="1"/>
  <c r="W395" i="1"/>
  <c r="W359" i="1"/>
  <c r="W347" i="1"/>
  <c r="W215" i="1"/>
  <c r="W83" i="1"/>
  <c r="W59" i="1"/>
  <c r="W621" i="1"/>
  <c r="W585" i="1"/>
  <c r="W573" i="1"/>
  <c r="W549" i="1"/>
  <c r="W537" i="1"/>
  <c r="W1784" i="1"/>
  <c r="X1784" i="1"/>
  <c r="W1772" i="1"/>
  <c r="X1772" i="1"/>
  <c r="W1760" i="1"/>
  <c r="X1760" i="1"/>
  <c r="W1748" i="1"/>
  <c r="X1748" i="1"/>
  <c r="W1736" i="1"/>
  <c r="X1736" i="1"/>
  <c r="W1724" i="1"/>
  <c r="X1724" i="1"/>
  <c r="W1712" i="1"/>
  <c r="X1712" i="1"/>
  <c r="W1700" i="1"/>
  <c r="X1700" i="1"/>
  <c r="W1688" i="1"/>
  <c r="X1688" i="1"/>
  <c r="W1676" i="1"/>
  <c r="X1676" i="1"/>
  <c r="W1664" i="1"/>
  <c r="X1664" i="1"/>
  <c r="W1652" i="1"/>
  <c r="X1652" i="1"/>
  <c r="W1640" i="1"/>
  <c r="X1640" i="1"/>
  <c r="W1628" i="1"/>
  <c r="X1628" i="1"/>
  <c r="W1616" i="1"/>
  <c r="X1616" i="1"/>
  <c r="W1604" i="1"/>
  <c r="X1604" i="1"/>
  <c r="W1592" i="1"/>
  <c r="X1592" i="1"/>
  <c r="W1580" i="1"/>
  <c r="X1580" i="1"/>
  <c r="W1568" i="1"/>
  <c r="X1568" i="1"/>
  <c r="W1556" i="1"/>
  <c r="X1556" i="1"/>
  <c r="W1544" i="1"/>
  <c r="X1544" i="1"/>
  <c r="W1532" i="1"/>
  <c r="X1532" i="1"/>
  <c r="W1520" i="1"/>
  <c r="X1520" i="1"/>
  <c r="W1508" i="1"/>
  <c r="X1508" i="1"/>
  <c r="W1496" i="1"/>
  <c r="X1496" i="1"/>
  <c r="W1484" i="1"/>
  <c r="X1484" i="1"/>
  <c r="W1472" i="1"/>
  <c r="X1472" i="1"/>
  <c r="W1460" i="1"/>
  <c r="X1460" i="1"/>
  <c r="W1448" i="1"/>
  <c r="X1448" i="1"/>
  <c r="W1436" i="1"/>
  <c r="X1436" i="1"/>
  <c r="W1424" i="1"/>
  <c r="X1424" i="1"/>
  <c r="W1412" i="1"/>
  <c r="X1412" i="1"/>
  <c r="W1400" i="1"/>
  <c r="X1400" i="1"/>
  <c r="W1388" i="1"/>
  <c r="X1388" i="1"/>
  <c r="W1376" i="1"/>
  <c r="X1376" i="1"/>
  <c r="W1364" i="1"/>
  <c r="X1364" i="1"/>
  <c r="W1352" i="1"/>
  <c r="X1352" i="1"/>
  <c r="W1340" i="1"/>
  <c r="X1340" i="1"/>
  <c r="W1328" i="1"/>
  <c r="X1328" i="1"/>
  <c r="W1316" i="1"/>
  <c r="X1316" i="1"/>
  <c r="W1304" i="1"/>
  <c r="X1304" i="1"/>
  <c r="W1292" i="1"/>
  <c r="X1292" i="1"/>
  <c r="W1280" i="1"/>
  <c r="X1280" i="1"/>
  <c r="W1268" i="1"/>
  <c r="X1268" i="1"/>
  <c r="W1256" i="1"/>
  <c r="X1256" i="1"/>
  <c r="W1244" i="1"/>
  <c r="X1244" i="1"/>
  <c r="W1232" i="1"/>
  <c r="X1232" i="1"/>
  <c r="W1220" i="1"/>
  <c r="X1220" i="1"/>
  <c r="W1208" i="1"/>
  <c r="X1208" i="1"/>
  <c r="W1196" i="1"/>
  <c r="X1196" i="1"/>
  <c r="W1184" i="1"/>
  <c r="X1184" i="1"/>
  <c r="W1172" i="1"/>
  <c r="X1172" i="1"/>
  <c r="W1160" i="1"/>
  <c r="X1160" i="1"/>
  <c r="W1148" i="1"/>
  <c r="X1148" i="1"/>
  <c r="W1136" i="1"/>
  <c r="X1136" i="1"/>
  <c r="W1124" i="1"/>
  <c r="X1124" i="1"/>
  <c r="W1112" i="1"/>
  <c r="X1112" i="1"/>
  <c r="W1100" i="1"/>
  <c r="X1100" i="1"/>
  <c r="W1088" i="1"/>
  <c r="X1088" i="1"/>
  <c r="W1076" i="1"/>
  <c r="X1076" i="1"/>
  <c r="W1064" i="1"/>
  <c r="X1064" i="1"/>
  <c r="W1052" i="1"/>
  <c r="X1052" i="1"/>
  <c r="W1040" i="1"/>
  <c r="X1040" i="1"/>
  <c r="W1028" i="1"/>
  <c r="X1028" i="1"/>
  <c r="W1016" i="1"/>
  <c r="X1016" i="1"/>
  <c r="W1004" i="1"/>
  <c r="X1004" i="1"/>
  <c r="W992" i="1"/>
  <c r="X992" i="1"/>
  <c r="W980" i="1"/>
  <c r="X980" i="1"/>
  <c r="W968" i="1"/>
  <c r="X968" i="1"/>
  <c r="W956" i="1"/>
  <c r="X956" i="1"/>
  <c r="W944" i="1"/>
  <c r="X944" i="1"/>
  <c r="W932" i="1"/>
  <c r="X932" i="1"/>
  <c r="W920" i="1"/>
  <c r="X920" i="1"/>
  <c r="W908" i="1"/>
  <c r="X908" i="1"/>
  <c r="W896" i="1"/>
  <c r="X896" i="1"/>
  <c r="W884" i="1"/>
  <c r="X884" i="1"/>
  <c r="W872" i="1"/>
  <c r="X872" i="1"/>
  <c r="W860" i="1"/>
  <c r="X860" i="1"/>
  <c r="W848" i="1"/>
  <c r="X848" i="1"/>
  <c r="W836" i="1"/>
  <c r="X836" i="1"/>
  <c r="W824" i="1"/>
  <c r="X824" i="1"/>
  <c r="W812" i="1"/>
  <c r="X812" i="1"/>
  <c r="W800" i="1"/>
  <c r="X800" i="1"/>
  <c r="W788" i="1"/>
  <c r="X788" i="1"/>
  <c r="W776" i="1"/>
  <c r="X776" i="1"/>
  <c r="W764" i="1"/>
  <c r="X764" i="1"/>
  <c r="W752" i="1"/>
  <c r="X752" i="1"/>
  <c r="W740" i="1"/>
  <c r="X740" i="1"/>
  <c r="W728" i="1"/>
  <c r="X728" i="1"/>
  <c r="W716" i="1"/>
  <c r="X716" i="1"/>
  <c r="W704" i="1"/>
  <c r="X704" i="1"/>
  <c r="W692" i="1"/>
  <c r="X692" i="1"/>
  <c r="W680" i="1"/>
  <c r="X680" i="1"/>
  <c r="W668" i="1"/>
  <c r="X668" i="1"/>
  <c r="W656" i="1"/>
  <c r="X656" i="1"/>
  <c r="W644" i="1"/>
  <c r="X644" i="1"/>
  <c r="W632" i="1"/>
  <c r="X632" i="1"/>
  <c r="W620" i="1"/>
  <c r="X620" i="1"/>
  <c r="W608" i="1"/>
  <c r="X608" i="1"/>
  <c r="W596" i="1"/>
  <c r="X596" i="1"/>
  <c r="W584" i="1"/>
  <c r="X584" i="1"/>
  <c r="W572" i="1"/>
  <c r="X572" i="1"/>
  <c r="W560" i="1"/>
  <c r="X560" i="1"/>
  <c r="W548" i="1"/>
  <c r="X548" i="1"/>
  <c r="W536" i="1"/>
  <c r="X536" i="1"/>
  <c r="W524" i="1"/>
  <c r="X524" i="1"/>
  <c r="W512" i="1"/>
  <c r="X512" i="1"/>
  <c r="W500" i="1"/>
  <c r="X500" i="1"/>
  <c r="W488" i="1"/>
  <c r="X488" i="1"/>
  <c r="W476" i="1"/>
  <c r="X476" i="1"/>
  <c r="W464" i="1"/>
  <c r="X464" i="1"/>
  <c r="W452" i="1"/>
  <c r="X452" i="1"/>
  <c r="W440" i="1"/>
  <c r="X440" i="1"/>
  <c r="W428" i="1"/>
  <c r="X428" i="1"/>
  <c r="W416" i="1"/>
  <c r="X416" i="1"/>
  <c r="W404" i="1"/>
  <c r="X404" i="1"/>
  <c r="W392" i="1"/>
  <c r="X392" i="1"/>
  <c r="W380" i="1"/>
  <c r="X380" i="1"/>
  <c r="W368" i="1"/>
  <c r="X368" i="1"/>
  <c r="W356" i="1"/>
  <c r="X356" i="1"/>
  <c r="W344" i="1"/>
  <c r="X344" i="1"/>
  <c r="W332" i="1"/>
  <c r="X332" i="1"/>
  <c r="W320" i="1"/>
  <c r="X320" i="1"/>
  <c r="W308" i="1"/>
  <c r="X308" i="1"/>
  <c r="W296" i="1"/>
  <c r="X296" i="1"/>
  <c r="W284" i="1"/>
  <c r="X284" i="1"/>
  <c r="W272" i="1"/>
  <c r="X272" i="1"/>
  <c r="W260" i="1"/>
  <c r="X260" i="1"/>
  <c r="W248" i="1"/>
  <c r="X248" i="1"/>
  <c r="W236" i="1"/>
  <c r="X236" i="1"/>
  <c r="W224" i="1"/>
  <c r="X224" i="1"/>
  <c r="W212" i="1"/>
  <c r="X212" i="1"/>
  <c r="W200" i="1"/>
  <c r="X200" i="1"/>
  <c r="W188" i="1"/>
  <c r="X188" i="1"/>
  <c r="W176" i="1"/>
  <c r="X176" i="1"/>
  <c r="W164" i="1"/>
  <c r="X164" i="1"/>
  <c r="W152" i="1"/>
  <c r="X152" i="1"/>
  <c r="W140" i="1"/>
  <c r="X140" i="1"/>
  <c r="W128" i="1"/>
  <c r="X128" i="1"/>
  <c r="W116" i="1"/>
  <c r="X116" i="1"/>
  <c r="W104" i="1"/>
  <c r="X104" i="1"/>
  <c r="W92" i="1"/>
  <c r="X92" i="1"/>
  <c r="W80" i="1"/>
  <c r="X80" i="1"/>
  <c r="W68" i="1"/>
  <c r="X68" i="1"/>
  <c r="W56" i="1"/>
  <c r="X56" i="1"/>
  <c r="W44" i="1"/>
  <c r="X44" i="1"/>
  <c r="W32" i="1"/>
  <c r="X32" i="1"/>
  <c r="W20" i="1"/>
  <c r="X20" i="1"/>
  <c r="W8" i="1"/>
  <c r="X8" i="1"/>
  <c r="W1783" i="1"/>
  <c r="X1783" i="1"/>
  <c r="W1771" i="1"/>
  <c r="X1771" i="1"/>
  <c r="W1759" i="1"/>
  <c r="X1759" i="1"/>
  <c r="W1747" i="1"/>
  <c r="X1747" i="1"/>
  <c r="W1735" i="1"/>
  <c r="X1735" i="1"/>
  <c r="W1723" i="1"/>
  <c r="X1723" i="1"/>
  <c r="W1711" i="1"/>
  <c r="X1711" i="1"/>
  <c r="W1699" i="1"/>
  <c r="X1699" i="1"/>
  <c r="W1687" i="1"/>
  <c r="X1687" i="1"/>
  <c r="W1675" i="1"/>
  <c r="X1675" i="1"/>
  <c r="W1663" i="1"/>
  <c r="X1663" i="1"/>
  <c r="W1651" i="1"/>
  <c r="X1651" i="1"/>
  <c r="W1639" i="1"/>
  <c r="X1639" i="1"/>
  <c r="W1627" i="1"/>
  <c r="X1627" i="1"/>
  <c r="W1615" i="1"/>
  <c r="X1615" i="1"/>
  <c r="W1603" i="1"/>
  <c r="X1603" i="1"/>
  <c r="W1591" i="1"/>
  <c r="X1591" i="1"/>
  <c r="W1579" i="1"/>
  <c r="X1579" i="1"/>
  <c r="W1567" i="1"/>
  <c r="X1567" i="1"/>
  <c r="W1555" i="1"/>
  <c r="X1555" i="1"/>
  <c r="W1543" i="1"/>
  <c r="X1543" i="1"/>
  <c r="W1531" i="1"/>
  <c r="X1531" i="1"/>
  <c r="W1519" i="1"/>
  <c r="X1519" i="1"/>
  <c r="W1507" i="1"/>
  <c r="X1507" i="1"/>
  <c r="W1495" i="1"/>
  <c r="X1495" i="1"/>
  <c r="W1483" i="1"/>
  <c r="X1483" i="1"/>
  <c r="W1471" i="1"/>
  <c r="X1471" i="1"/>
  <c r="W1459" i="1"/>
  <c r="X1459" i="1"/>
  <c r="W1447" i="1"/>
  <c r="X1447" i="1"/>
  <c r="W1435" i="1"/>
  <c r="X1435" i="1"/>
  <c r="W1423" i="1"/>
  <c r="X1423" i="1"/>
  <c r="W1411" i="1"/>
  <c r="X1411" i="1"/>
  <c r="W1399" i="1"/>
  <c r="X1399" i="1"/>
  <c r="W1387" i="1"/>
  <c r="X1387" i="1"/>
  <c r="W1375" i="1"/>
  <c r="X1375" i="1"/>
  <c r="W1363" i="1"/>
  <c r="X1363" i="1"/>
  <c r="W1351" i="1"/>
  <c r="X1351" i="1"/>
  <c r="W1339" i="1"/>
  <c r="X1339" i="1"/>
  <c r="W1327" i="1"/>
  <c r="X1327" i="1"/>
  <c r="W1315" i="1"/>
  <c r="X1315" i="1"/>
  <c r="W1303" i="1"/>
  <c r="X1303" i="1"/>
  <c r="W1291" i="1"/>
  <c r="X1291" i="1"/>
  <c r="W1279" i="1"/>
  <c r="X1279" i="1"/>
  <c r="W1267" i="1"/>
  <c r="X1267" i="1"/>
  <c r="W1255" i="1"/>
  <c r="X1255" i="1"/>
  <c r="W1243" i="1"/>
  <c r="X1243" i="1"/>
  <c r="W1231" i="1"/>
  <c r="X1231" i="1"/>
  <c r="W1219" i="1"/>
  <c r="X1219" i="1"/>
  <c r="W1207" i="1"/>
  <c r="X1207" i="1"/>
  <c r="W1195" i="1"/>
  <c r="X1195" i="1"/>
  <c r="W1183" i="1"/>
  <c r="X1183" i="1"/>
  <c r="W1171" i="1"/>
  <c r="X1171" i="1"/>
  <c r="W1159" i="1"/>
  <c r="X1159" i="1"/>
  <c r="W1147" i="1"/>
  <c r="X1147" i="1"/>
  <c r="W1135" i="1"/>
  <c r="X1135" i="1"/>
  <c r="W1123" i="1"/>
  <c r="X1123" i="1"/>
  <c r="W1111" i="1"/>
  <c r="X1111" i="1"/>
  <c r="W1099" i="1"/>
  <c r="X1099" i="1"/>
  <c r="W1087" i="1"/>
  <c r="X1087" i="1"/>
  <c r="W1075" i="1"/>
  <c r="X1075" i="1"/>
  <c r="W1063" i="1"/>
  <c r="X1063" i="1"/>
  <c r="W1051" i="1"/>
  <c r="X1051" i="1"/>
  <c r="W1039" i="1"/>
  <c r="X1039" i="1"/>
  <c r="W1027" i="1"/>
  <c r="X1027" i="1"/>
  <c r="W1015" i="1"/>
  <c r="X1015" i="1"/>
  <c r="W1003" i="1"/>
  <c r="X1003" i="1"/>
  <c r="W991" i="1"/>
  <c r="X991" i="1"/>
  <c r="W979" i="1"/>
  <c r="X979" i="1"/>
  <c r="W967" i="1"/>
  <c r="X967" i="1"/>
  <c r="W955" i="1"/>
  <c r="X955" i="1"/>
  <c r="W943" i="1"/>
  <c r="X943" i="1"/>
  <c r="W931" i="1"/>
  <c r="X931" i="1"/>
  <c r="W919" i="1"/>
  <c r="X919" i="1"/>
  <c r="W907" i="1"/>
  <c r="X907" i="1"/>
  <c r="W895" i="1"/>
  <c r="X895" i="1"/>
  <c r="W883" i="1"/>
  <c r="X883" i="1"/>
  <c r="W871" i="1"/>
  <c r="X871" i="1"/>
  <c r="W859" i="1"/>
  <c r="X859" i="1"/>
  <c r="W847" i="1"/>
  <c r="X847" i="1"/>
  <c r="W835" i="1"/>
  <c r="X835" i="1"/>
  <c r="W823" i="1"/>
  <c r="X823" i="1"/>
  <c r="W811" i="1"/>
  <c r="X811" i="1"/>
  <c r="W799" i="1"/>
  <c r="X799" i="1"/>
  <c r="W787" i="1"/>
  <c r="X787" i="1"/>
  <c r="W775" i="1"/>
  <c r="X775" i="1"/>
  <c r="W763" i="1"/>
  <c r="X763" i="1"/>
  <c r="W751" i="1"/>
  <c r="X751" i="1"/>
  <c r="W739" i="1"/>
  <c r="X739" i="1"/>
  <c r="W727" i="1"/>
  <c r="X727" i="1"/>
  <c r="W715" i="1"/>
  <c r="X715" i="1"/>
  <c r="W703" i="1"/>
  <c r="X703" i="1"/>
  <c r="W691" i="1"/>
  <c r="X691" i="1"/>
  <c r="W679" i="1"/>
  <c r="X679" i="1"/>
  <c r="W667" i="1"/>
  <c r="X667" i="1"/>
  <c r="W655" i="1"/>
  <c r="X655" i="1"/>
  <c r="W643" i="1"/>
  <c r="X643" i="1"/>
  <c r="W631" i="1"/>
  <c r="X631" i="1"/>
  <c r="W619" i="1"/>
  <c r="X619" i="1"/>
  <c r="W607" i="1"/>
  <c r="X607" i="1"/>
  <c r="W595" i="1"/>
  <c r="X595" i="1"/>
  <c r="W583" i="1"/>
  <c r="X583" i="1"/>
  <c r="W571" i="1"/>
  <c r="X571" i="1"/>
  <c r="W559" i="1"/>
  <c r="X559" i="1"/>
  <c r="W547" i="1"/>
  <c r="X547" i="1"/>
  <c r="W535" i="1"/>
  <c r="X535" i="1"/>
  <c r="W523" i="1"/>
  <c r="X523" i="1"/>
  <c r="W511" i="1"/>
  <c r="X511" i="1"/>
  <c r="W499" i="1"/>
  <c r="X499" i="1"/>
  <c r="W487" i="1"/>
  <c r="X487" i="1"/>
  <c r="W475" i="1"/>
  <c r="X475" i="1"/>
  <c r="W463" i="1"/>
  <c r="X463" i="1"/>
  <c r="W451" i="1"/>
  <c r="X451" i="1"/>
  <c r="W439" i="1"/>
  <c r="X439" i="1"/>
  <c r="W427" i="1"/>
  <c r="X427" i="1"/>
  <c r="W415" i="1"/>
  <c r="X415" i="1"/>
  <c r="W403" i="1"/>
  <c r="X403" i="1"/>
  <c r="W391" i="1"/>
  <c r="X391" i="1"/>
  <c r="W379" i="1"/>
  <c r="X379" i="1"/>
  <c r="W367" i="1"/>
  <c r="X367" i="1"/>
  <c r="W355" i="1"/>
  <c r="X355" i="1"/>
  <c r="W343" i="1"/>
  <c r="X343" i="1"/>
  <c r="W331" i="1"/>
  <c r="X331" i="1"/>
  <c r="W319" i="1"/>
  <c r="X319" i="1"/>
  <c r="W307" i="1"/>
  <c r="X307" i="1"/>
  <c r="W295" i="1"/>
  <c r="X295" i="1"/>
  <c r="W283" i="1"/>
  <c r="X283" i="1"/>
  <c r="W271" i="1"/>
  <c r="X271" i="1"/>
  <c r="W259" i="1"/>
  <c r="X259" i="1"/>
  <c r="W247" i="1"/>
  <c r="X247" i="1"/>
  <c r="W235" i="1"/>
  <c r="X235" i="1"/>
  <c r="W223" i="1"/>
  <c r="X223" i="1"/>
  <c r="W211" i="1"/>
  <c r="X211" i="1"/>
  <c r="W199" i="1"/>
  <c r="X199" i="1"/>
  <c r="W187" i="1"/>
  <c r="X187" i="1"/>
  <c r="W175" i="1"/>
  <c r="X175" i="1"/>
  <c r="W163" i="1"/>
  <c r="X163" i="1"/>
  <c r="W151" i="1"/>
  <c r="X151" i="1"/>
  <c r="W139" i="1"/>
  <c r="X139" i="1"/>
  <c r="W127" i="1"/>
  <c r="X127" i="1"/>
  <c r="W115" i="1"/>
  <c r="X115" i="1"/>
  <c r="W103" i="1"/>
  <c r="X103" i="1"/>
  <c r="W91" i="1"/>
  <c r="X91" i="1"/>
  <c r="W79" i="1"/>
  <c r="X79" i="1"/>
  <c r="W67" i="1"/>
  <c r="X67" i="1"/>
  <c r="W55" i="1"/>
  <c r="X55" i="1"/>
  <c r="W43" i="1"/>
  <c r="X43" i="1"/>
  <c r="W31" i="1"/>
  <c r="X31" i="1"/>
  <c r="W19" i="1"/>
  <c r="X19" i="1"/>
  <c r="W7" i="1"/>
  <c r="X7" i="1"/>
  <c r="W1782" i="1"/>
  <c r="X1782" i="1"/>
  <c r="W1770" i="1"/>
  <c r="X1770" i="1"/>
  <c r="W1758" i="1"/>
  <c r="X1758" i="1"/>
  <c r="W1746" i="1"/>
  <c r="X1746" i="1"/>
  <c r="W1734" i="1"/>
  <c r="X1734" i="1"/>
  <c r="W1722" i="1"/>
  <c r="X1722" i="1"/>
  <c r="W1710" i="1"/>
  <c r="X1710" i="1"/>
  <c r="W1698" i="1"/>
  <c r="X1698" i="1"/>
  <c r="W1686" i="1"/>
  <c r="X1686" i="1"/>
  <c r="W1674" i="1"/>
  <c r="X1674" i="1"/>
  <c r="W1662" i="1"/>
  <c r="X1662" i="1"/>
  <c r="W1650" i="1"/>
  <c r="X1650" i="1"/>
  <c r="W1638" i="1"/>
  <c r="X1638" i="1"/>
  <c r="W1626" i="1"/>
  <c r="X1626" i="1"/>
  <c r="W1614" i="1"/>
  <c r="X1614" i="1"/>
  <c r="W1602" i="1"/>
  <c r="X1602" i="1"/>
  <c r="W1590" i="1"/>
  <c r="X1590" i="1"/>
  <c r="W1578" i="1"/>
  <c r="X1578" i="1"/>
  <c r="W1566" i="1"/>
  <c r="X1566" i="1"/>
  <c r="W1554" i="1"/>
  <c r="X1554" i="1"/>
  <c r="W1542" i="1"/>
  <c r="X1542" i="1"/>
  <c r="W1530" i="1"/>
  <c r="X1530" i="1"/>
  <c r="W1518" i="1"/>
  <c r="X1518" i="1"/>
  <c r="W1506" i="1"/>
  <c r="X1506" i="1"/>
  <c r="W1494" i="1"/>
  <c r="X1494" i="1"/>
  <c r="W1482" i="1"/>
  <c r="X1482" i="1"/>
  <c r="W1470" i="1"/>
  <c r="X1470" i="1"/>
  <c r="W1458" i="1"/>
  <c r="X1458" i="1"/>
  <c r="W1446" i="1"/>
  <c r="X1446" i="1"/>
  <c r="W1434" i="1"/>
  <c r="X1434" i="1"/>
  <c r="W1422" i="1"/>
  <c r="X1422" i="1"/>
  <c r="W1410" i="1"/>
  <c r="X1410" i="1"/>
  <c r="W1398" i="1"/>
  <c r="X1398" i="1"/>
  <c r="W1386" i="1"/>
  <c r="X1386" i="1"/>
  <c r="W1374" i="1"/>
  <c r="X1374" i="1"/>
  <c r="W1362" i="1"/>
  <c r="X1362" i="1"/>
  <c r="W1350" i="1"/>
  <c r="X1350" i="1"/>
  <c r="W1338" i="1"/>
  <c r="X1338" i="1"/>
  <c r="W1326" i="1"/>
  <c r="X1326" i="1"/>
  <c r="W1314" i="1"/>
  <c r="X1314" i="1"/>
  <c r="W1302" i="1"/>
  <c r="X1302" i="1"/>
  <c r="W1290" i="1"/>
  <c r="X1290" i="1"/>
  <c r="W1278" i="1"/>
  <c r="X1278" i="1"/>
  <c r="W1266" i="1"/>
  <c r="X1266" i="1"/>
  <c r="W1254" i="1"/>
  <c r="X1254" i="1"/>
  <c r="W1242" i="1"/>
  <c r="X1242" i="1"/>
  <c r="W1230" i="1"/>
  <c r="X1230" i="1"/>
  <c r="W1218" i="1"/>
  <c r="X1218" i="1"/>
  <c r="W1206" i="1"/>
  <c r="X1206" i="1"/>
  <c r="W1194" i="1"/>
  <c r="X1194" i="1"/>
  <c r="W1182" i="1"/>
  <c r="X1182" i="1"/>
  <c r="W1170" i="1"/>
  <c r="X1170" i="1"/>
  <c r="W1158" i="1"/>
  <c r="X1158" i="1"/>
  <c r="W1146" i="1"/>
  <c r="X1146" i="1"/>
  <c r="W1134" i="1"/>
  <c r="X1134" i="1"/>
  <c r="W1122" i="1"/>
  <c r="X1122" i="1"/>
  <c r="W1110" i="1"/>
  <c r="X1110" i="1"/>
  <c r="W1098" i="1"/>
  <c r="X1098" i="1"/>
  <c r="W1086" i="1"/>
  <c r="X1086" i="1"/>
  <c r="W1074" i="1"/>
  <c r="X1074" i="1"/>
  <c r="W1062" i="1"/>
  <c r="X1062" i="1"/>
  <c r="W1050" i="1"/>
  <c r="X1050" i="1"/>
  <c r="W1038" i="1"/>
  <c r="X1038" i="1"/>
  <c r="W1026" i="1"/>
  <c r="X1026" i="1"/>
  <c r="W1014" i="1"/>
  <c r="X1014" i="1"/>
  <c r="W1002" i="1"/>
  <c r="X1002" i="1"/>
  <c r="W990" i="1"/>
  <c r="X990" i="1"/>
  <c r="W978" i="1"/>
  <c r="X978" i="1"/>
  <c r="W966" i="1"/>
  <c r="X966" i="1"/>
  <c r="W954" i="1"/>
  <c r="X954" i="1"/>
  <c r="W942" i="1"/>
  <c r="X942" i="1"/>
  <c r="W930" i="1"/>
  <c r="X930" i="1"/>
  <c r="W918" i="1"/>
  <c r="X918" i="1"/>
  <c r="W906" i="1"/>
  <c r="X906" i="1"/>
  <c r="W894" i="1"/>
  <c r="X894" i="1"/>
  <c r="W1792" i="1"/>
  <c r="X1792" i="1"/>
  <c r="W1768" i="1"/>
  <c r="X1768" i="1"/>
  <c r="W1756" i="1"/>
  <c r="X1756" i="1"/>
  <c r="W1744" i="1"/>
  <c r="X1744" i="1"/>
  <c r="W1720" i="1"/>
  <c r="X1720" i="1"/>
  <c r="W1708" i="1"/>
  <c r="X1708" i="1"/>
  <c r="W1696" i="1"/>
  <c r="X1696" i="1"/>
  <c r="W1684" i="1"/>
  <c r="X1684" i="1"/>
  <c r="W1672" i="1"/>
  <c r="X1672" i="1"/>
  <c r="W1660" i="1"/>
  <c r="X1660" i="1"/>
  <c r="W1648" i="1"/>
  <c r="X1648" i="1"/>
  <c r="W1636" i="1"/>
  <c r="X1636" i="1"/>
  <c r="W1624" i="1"/>
  <c r="X1624" i="1"/>
  <c r="W1612" i="1"/>
  <c r="X1612" i="1"/>
  <c r="W1576" i="1"/>
  <c r="X1576" i="1"/>
  <c r="W1564" i="1"/>
  <c r="X1564" i="1"/>
  <c r="W1552" i="1"/>
  <c r="X1552" i="1"/>
  <c r="W1540" i="1"/>
  <c r="X1540" i="1"/>
  <c r="W1528" i="1"/>
  <c r="X1528" i="1"/>
  <c r="W1516" i="1"/>
  <c r="X1516" i="1"/>
  <c r="W1480" i="1"/>
  <c r="X1480" i="1"/>
  <c r="W1456" i="1"/>
  <c r="X1456" i="1"/>
  <c r="W1444" i="1"/>
  <c r="X1444" i="1"/>
  <c r="W1420" i="1"/>
  <c r="X1420" i="1"/>
  <c r="W1408" i="1"/>
  <c r="X1408" i="1"/>
  <c r="W1396" i="1"/>
  <c r="X1396" i="1"/>
  <c r="W1384" i="1"/>
  <c r="X1384" i="1"/>
  <c r="W1372" i="1"/>
  <c r="X1372" i="1"/>
  <c r="W1360" i="1"/>
  <c r="X1360" i="1"/>
  <c r="W1348" i="1"/>
  <c r="X1348" i="1"/>
  <c r="W1324" i="1"/>
  <c r="X1324" i="1"/>
  <c r="W1312" i="1"/>
  <c r="X1312" i="1"/>
  <c r="W1300" i="1"/>
  <c r="X1300" i="1"/>
  <c r="W1288" i="1"/>
  <c r="X1288" i="1"/>
  <c r="W1276" i="1"/>
  <c r="X1276" i="1"/>
  <c r="W1264" i="1"/>
  <c r="X1264" i="1"/>
  <c r="W1240" i="1"/>
  <c r="X1240" i="1"/>
  <c r="W1228" i="1"/>
  <c r="X1228" i="1"/>
  <c r="W1216" i="1"/>
  <c r="X1216" i="1"/>
  <c r="W1204" i="1"/>
  <c r="X1204" i="1"/>
  <c r="W1192" i="1"/>
  <c r="X1192" i="1"/>
  <c r="W1180" i="1"/>
  <c r="X1180" i="1"/>
  <c r="W1168" i="1"/>
  <c r="X1168" i="1"/>
  <c r="W1156" i="1"/>
  <c r="X1156" i="1"/>
  <c r="W1132" i="1"/>
  <c r="X1132" i="1"/>
  <c r="W1120" i="1"/>
  <c r="X1120" i="1"/>
  <c r="W1108" i="1"/>
  <c r="X1108" i="1"/>
  <c r="W1096" i="1"/>
  <c r="X1096" i="1"/>
  <c r="W1084" i="1"/>
  <c r="X1084" i="1"/>
  <c r="W1072" i="1"/>
  <c r="X1072" i="1"/>
  <c r="W1060" i="1"/>
  <c r="X1060" i="1"/>
  <c r="W1048" i="1"/>
  <c r="X1048" i="1"/>
  <c r="W1036" i="1"/>
  <c r="X1036" i="1"/>
  <c r="W1024" i="1"/>
  <c r="X1024" i="1"/>
  <c r="W1012" i="1"/>
  <c r="X1012" i="1"/>
  <c r="W1000" i="1"/>
  <c r="X1000" i="1"/>
  <c r="W988" i="1"/>
  <c r="X988" i="1"/>
  <c r="W976" i="1"/>
  <c r="X976" i="1"/>
  <c r="W952" i="1"/>
  <c r="X952" i="1"/>
  <c r="W940" i="1"/>
  <c r="X940" i="1"/>
  <c r="W928" i="1"/>
  <c r="X928" i="1"/>
  <c r="W916" i="1"/>
  <c r="X916" i="1"/>
  <c r="W904" i="1"/>
  <c r="X904" i="1"/>
  <c r="W892" i="1"/>
  <c r="X892" i="1"/>
  <c r="W880" i="1"/>
  <c r="X880" i="1"/>
  <c r="W868" i="1"/>
  <c r="X868" i="1"/>
  <c r="W856" i="1"/>
  <c r="X856" i="1"/>
  <c r="W844" i="1"/>
  <c r="X844" i="1"/>
  <c r="W832" i="1"/>
  <c r="X832" i="1"/>
  <c r="W820" i="1"/>
  <c r="X820" i="1"/>
  <c r="W808" i="1"/>
  <c r="X808" i="1"/>
  <c r="W784" i="1"/>
  <c r="X784" i="1"/>
  <c r="W772" i="1"/>
  <c r="X772" i="1"/>
  <c r="W760" i="1"/>
  <c r="X760" i="1"/>
  <c r="W748" i="1"/>
  <c r="X748" i="1"/>
  <c r="W736" i="1"/>
  <c r="X736" i="1"/>
  <c r="W724" i="1"/>
  <c r="X724" i="1"/>
  <c r="W712" i="1"/>
  <c r="X712" i="1"/>
  <c r="W700" i="1"/>
  <c r="X700" i="1"/>
  <c r="W688" i="1"/>
  <c r="X688" i="1"/>
  <c r="W676" i="1"/>
  <c r="X676" i="1"/>
  <c r="W664" i="1"/>
  <c r="X664" i="1"/>
  <c r="W652" i="1"/>
  <c r="X652" i="1"/>
  <c r="W640" i="1"/>
  <c r="X640" i="1"/>
  <c r="W628" i="1"/>
  <c r="X628" i="1"/>
  <c r="W616" i="1"/>
  <c r="X616" i="1"/>
  <c r="W604" i="1"/>
  <c r="X604" i="1"/>
  <c r="W592" i="1"/>
  <c r="X592" i="1"/>
  <c r="W580" i="1"/>
  <c r="X580" i="1"/>
  <c r="W568" i="1"/>
  <c r="X568" i="1"/>
  <c r="W556" i="1"/>
  <c r="X556" i="1"/>
  <c r="W544" i="1"/>
  <c r="X544" i="1"/>
  <c r="W532" i="1"/>
  <c r="X532" i="1"/>
  <c r="W520" i="1"/>
  <c r="X520" i="1"/>
  <c r="W508" i="1"/>
  <c r="X508" i="1"/>
  <c r="W496" i="1"/>
  <c r="X496" i="1"/>
  <c r="W484" i="1"/>
  <c r="X484" i="1"/>
  <c r="W472" i="1"/>
  <c r="X472" i="1"/>
  <c r="W460" i="1"/>
  <c r="X460" i="1"/>
  <c r="W448" i="1"/>
  <c r="X448" i="1"/>
  <c r="W436" i="1"/>
  <c r="X436" i="1"/>
  <c r="W424" i="1"/>
  <c r="X424" i="1"/>
  <c r="W412" i="1"/>
  <c r="X412" i="1"/>
  <c r="W400" i="1"/>
  <c r="X400" i="1"/>
  <c r="W388" i="1"/>
  <c r="X388" i="1"/>
  <c r="W376" i="1"/>
  <c r="X376" i="1"/>
  <c r="W364" i="1"/>
  <c r="X364" i="1"/>
  <c r="W352" i="1"/>
  <c r="X352" i="1"/>
  <c r="W340" i="1"/>
  <c r="X340" i="1"/>
  <c r="W328" i="1"/>
  <c r="X328" i="1"/>
  <c r="W316" i="1"/>
  <c r="X316" i="1"/>
  <c r="W304" i="1"/>
  <c r="X304" i="1"/>
  <c r="W292" i="1"/>
  <c r="X292" i="1"/>
  <c r="W280" i="1"/>
  <c r="X280" i="1"/>
  <c r="W268" i="1"/>
  <c r="X268" i="1"/>
  <c r="W256" i="1"/>
  <c r="X256" i="1"/>
  <c r="W244" i="1"/>
  <c r="X244" i="1"/>
  <c r="W232" i="1"/>
  <c r="X232" i="1"/>
  <c r="W220" i="1"/>
  <c r="X220" i="1"/>
  <c r="W208" i="1"/>
  <c r="X208" i="1"/>
  <c r="W196" i="1"/>
  <c r="X196" i="1"/>
  <c r="W184" i="1"/>
  <c r="X184" i="1"/>
  <c r="W172" i="1"/>
  <c r="X172" i="1"/>
  <c r="W160" i="1"/>
  <c r="X160" i="1"/>
  <c r="W148" i="1"/>
  <c r="X148" i="1"/>
  <c r="W136" i="1"/>
  <c r="X136" i="1"/>
  <c r="W124" i="1"/>
  <c r="X124" i="1"/>
  <c r="W112" i="1"/>
  <c r="X112" i="1"/>
  <c r="W100" i="1"/>
  <c r="X100" i="1"/>
  <c r="W88" i="1"/>
  <c r="X88" i="1"/>
  <c r="W76" i="1"/>
  <c r="X76" i="1"/>
  <c r="W64" i="1"/>
  <c r="X64" i="1"/>
  <c r="W52" i="1"/>
  <c r="X52" i="1"/>
  <c r="W40" i="1"/>
  <c r="X40" i="1"/>
  <c r="W28" i="1"/>
  <c r="X28" i="1"/>
  <c r="W16" i="1"/>
  <c r="X16" i="1"/>
  <c r="W4" i="1"/>
  <c r="X4" i="1"/>
  <c r="W1791" i="1"/>
  <c r="X1791" i="1"/>
  <c r="W1767" i="1"/>
  <c r="X1767" i="1"/>
  <c r="W1755" i="1"/>
  <c r="X1755" i="1"/>
  <c r="W1743" i="1"/>
  <c r="X1743" i="1"/>
  <c r="W1731" i="1"/>
  <c r="X1731" i="1"/>
  <c r="W1719" i="1"/>
  <c r="X1719" i="1"/>
  <c r="W1707" i="1"/>
  <c r="X1707" i="1"/>
  <c r="W1695" i="1"/>
  <c r="X1695" i="1"/>
  <c r="W1683" i="1"/>
  <c r="X1683" i="1"/>
  <c r="W1671" i="1"/>
  <c r="X1671" i="1"/>
  <c r="W1659" i="1"/>
  <c r="X1659" i="1"/>
  <c r="W1647" i="1"/>
  <c r="X1647" i="1"/>
  <c r="W1635" i="1"/>
  <c r="X1635" i="1"/>
  <c r="W1611" i="1"/>
  <c r="X1611" i="1"/>
  <c r="W1599" i="1"/>
  <c r="X1599" i="1"/>
  <c r="W1587" i="1"/>
  <c r="X1587" i="1"/>
  <c r="W1575" i="1"/>
  <c r="X1575" i="1"/>
  <c r="W1551" i="1"/>
  <c r="X1551" i="1"/>
  <c r="W1539" i="1"/>
  <c r="X1539" i="1"/>
  <c r="W1527" i="1"/>
  <c r="X1527" i="1"/>
  <c r="W1515" i="1"/>
  <c r="X1515" i="1"/>
  <c r="W1503" i="1"/>
  <c r="X1503" i="1"/>
  <c r="W1491" i="1"/>
  <c r="X1491" i="1"/>
  <c r="W1479" i="1"/>
  <c r="X1479" i="1"/>
  <c r="W1467" i="1"/>
  <c r="X1467" i="1"/>
  <c r="W1455" i="1"/>
  <c r="X1455" i="1"/>
  <c r="W1443" i="1"/>
  <c r="X1443" i="1"/>
  <c r="W1431" i="1"/>
  <c r="X1431" i="1"/>
  <c r="W1419" i="1"/>
  <c r="X1419" i="1"/>
  <c r="W1407" i="1"/>
  <c r="X1407" i="1"/>
  <c r="W1395" i="1"/>
  <c r="X1395" i="1"/>
  <c r="W1371" i="1"/>
  <c r="X1371" i="1"/>
  <c r="W1347" i="1"/>
  <c r="X1347" i="1"/>
  <c r="W1335" i="1"/>
  <c r="X1335" i="1"/>
  <c r="W1323" i="1"/>
  <c r="X1323" i="1"/>
  <c r="W1311" i="1"/>
  <c r="X1311" i="1"/>
  <c r="W1299" i="1"/>
  <c r="X1299" i="1"/>
  <c r="W1287" i="1"/>
  <c r="X1287" i="1"/>
  <c r="W1275" i="1"/>
  <c r="X1275" i="1"/>
  <c r="W1263" i="1"/>
  <c r="X1263" i="1"/>
  <c r="W1251" i="1"/>
  <c r="X1251" i="1"/>
  <c r="W1239" i="1"/>
  <c r="X1239" i="1"/>
  <c r="W1215" i="1"/>
  <c r="X1215" i="1"/>
  <c r="W1203" i="1"/>
  <c r="X1203" i="1"/>
  <c r="W1191" i="1"/>
  <c r="X1191" i="1"/>
  <c r="W1179" i="1"/>
  <c r="X1179" i="1"/>
  <c r="W1167" i="1"/>
  <c r="X1167" i="1"/>
  <c r="W1155" i="1"/>
  <c r="X1155" i="1"/>
  <c r="W1143" i="1"/>
  <c r="X1143" i="1"/>
  <c r="W1131" i="1"/>
  <c r="X1131" i="1"/>
  <c r="W1119" i="1"/>
  <c r="X1119" i="1"/>
  <c r="W1107" i="1"/>
  <c r="X1107" i="1"/>
  <c r="W1095" i="1"/>
  <c r="X1095" i="1"/>
  <c r="W1083" i="1"/>
  <c r="X1083" i="1"/>
  <c r="W1071" i="1"/>
  <c r="X1071" i="1"/>
  <c r="W1059" i="1"/>
  <c r="X1059" i="1"/>
  <c r="W1047" i="1"/>
  <c r="X1047" i="1"/>
  <c r="W1011" i="1"/>
  <c r="X1011" i="1"/>
  <c r="W999" i="1"/>
  <c r="X999" i="1"/>
  <c r="W975" i="1"/>
  <c r="X975" i="1"/>
  <c r="W963" i="1"/>
  <c r="X963" i="1"/>
  <c r="W951" i="1"/>
  <c r="X951" i="1"/>
  <c r="W939" i="1"/>
  <c r="X939" i="1"/>
  <c r="W915" i="1"/>
  <c r="X915" i="1"/>
  <c r="W903" i="1"/>
  <c r="X903" i="1"/>
  <c r="W879" i="1"/>
  <c r="X879" i="1"/>
  <c r="W855" i="1"/>
  <c r="X855" i="1"/>
  <c r="W831" i="1"/>
  <c r="X831" i="1"/>
  <c r="W807" i="1"/>
  <c r="X807" i="1"/>
  <c r="W795" i="1"/>
  <c r="X795" i="1"/>
  <c r="W783" i="1"/>
  <c r="X783" i="1"/>
  <c r="W771" i="1"/>
  <c r="X771" i="1"/>
  <c r="W759" i="1"/>
  <c r="X759" i="1"/>
  <c r="W747" i="1"/>
  <c r="X747" i="1"/>
  <c r="W735" i="1"/>
  <c r="X735" i="1"/>
  <c r="W711" i="1"/>
  <c r="X711" i="1"/>
  <c r="W699" i="1"/>
  <c r="X699" i="1"/>
  <c r="W687" i="1"/>
  <c r="X687" i="1"/>
  <c r="W663" i="1"/>
  <c r="X663" i="1"/>
  <c r="W651" i="1"/>
  <c r="X651" i="1"/>
  <c r="W639" i="1"/>
  <c r="X639" i="1"/>
  <c r="W627" i="1"/>
  <c r="X627" i="1"/>
  <c r="W615" i="1"/>
  <c r="X615" i="1"/>
  <c r="W603" i="1"/>
  <c r="X603" i="1"/>
  <c r="W591" i="1"/>
  <c r="X591" i="1"/>
  <c r="W579" i="1"/>
  <c r="X579" i="1"/>
  <c r="W567" i="1"/>
  <c r="X567" i="1"/>
  <c r="W555" i="1"/>
  <c r="X555" i="1"/>
  <c r="W543" i="1"/>
  <c r="X543" i="1"/>
  <c r="W531" i="1"/>
  <c r="X531" i="1"/>
  <c r="W519" i="1"/>
  <c r="X519" i="1"/>
  <c r="W507" i="1"/>
  <c r="X507" i="1"/>
  <c r="W495" i="1"/>
  <c r="X495" i="1"/>
  <c r="W483" i="1"/>
  <c r="X483" i="1"/>
  <c r="W459" i="1"/>
  <c r="X459" i="1"/>
  <c r="W447" i="1"/>
  <c r="X447" i="1"/>
  <c r="W411" i="1"/>
  <c r="X411" i="1"/>
  <c r="W399" i="1"/>
  <c r="X399" i="1"/>
  <c r="W387" i="1"/>
  <c r="X387" i="1"/>
  <c r="W363" i="1"/>
  <c r="X363" i="1"/>
  <c r="W351" i="1"/>
  <c r="X351" i="1"/>
  <c r="W339" i="1"/>
  <c r="X339" i="1"/>
  <c r="W291" i="1"/>
  <c r="X291" i="1"/>
  <c r="W279" i="1"/>
  <c r="X279" i="1"/>
  <c r="W243" i="1"/>
  <c r="X243" i="1"/>
  <c r="W219" i="1"/>
  <c r="X219" i="1"/>
  <c r="W195" i="1"/>
  <c r="X195" i="1"/>
  <c r="W183" i="1"/>
  <c r="X183" i="1"/>
  <c r="W171" i="1"/>
  <c r="X171" i="1"/>
  <c r="W147" i="1"/>
  <c r="X147" i="1"/>
  <c r="W135" i="1"/>
  <c r="X135" i="1"/>
  <c r="W123" i="1"/>
  <c r="X123" i="1"/>
  <c r="W99" i="1"/>
  <c r="X99" i="1"/>
  <c r="W87" i="1"/>
  <c r="X87" i="1"/>
  <c r="W75" i="1"/>
  <c r="X75" i="1"/>
  <c r="W51" i="1"/>
  <c r="X51" i="1"/>
  <c r="W39" i="1"/>
  <c r="X39" i="1"/>
  <c r="W27" i="1"/>
  <c r="X27" i="1"/>
  <c r="W3" i="1"/>
  <c r="X3" i="1"/>
  <c r="W1790" i="1"/>
  <c r="X1790" i="1"/>
  <c r="W1754" i="1"/>
  <c r="X1754" i="1"/>
  <c r="W1742" i="1"/>
  <c r="X1742" i="1"/>
  <c r="W1718" i="1"/>
  <c r="X1718" i="1"/>
  <c r="W1682" i="1"/>
  <c r="X1682" i="1"/>
  <c r="W1670" i="1"/>
  <c r="X1670" i="1"/>
  <c r="W1658" i="1"/>
  <c r="X1658" i="1"/>
  <c r="W1646" i="1"/>
  <c r="X1646" i="1"/>
  <c r="W1634" i="1"/>
  <c r="X1634" i="1"/>
  <c r="W1622" i="1"/>
  <c r="X1622" i="1"/>
  <c r="W1610" i="1"/>
  <c r="X1610" i="1"/>
  <c r="W1598" i="1"/>
  <c r="X1598" i="1"/>
  <c r="W1586" i="1"/>
  <c r="X1586" i="1"/>
  <c r="W1574" i="1"/>
  <c r="X1574" i="1"/>
  <c r="W1562" i="1"/>
  <c r="X1562" i="1"/>
  <c r="W1550" i="1"/>
  <c r="X1550" i="1"/>
  <c r="W1538" i="1"/>
  <c r="X1538" i="1"/>
  <c r="W1526" i="1"/>
  <c r="X1526" i="1"/>
  <c r="W1514" i="1"/>
  <c r="X1514" i="1"/>
  <c r="W1502" i="1"/>
  <c r="X1502" i="1"/>
  <c r="W1490" i="1"/>
  <c r="X1490" i="1"/>
  <c r="W1478" i="1"/>
  <c r="X1478" i="1"/>
  <c r="W1466" i="1"/>
  <c r="X1466" i="1"/>
  <c r="W1454" i="1"/>
  <c r="X1454" i="1"/>
  <c r="W1442" i="1"/>
  <c r="X1442" i="1"/>
  <c r="W1430" i="1"/>
  <c r="X1430" i="1"/>
  <c r="W1418" i="1"/>
  <c r="X1418" i="1"/>
  <c r="W1406" i="1"/>
  <c r="X1406" i="1"/>
  <c r="W1394" i="1"/>
  <c r="X1394" i="1"/>
  <c r="W1382" i="1"/>
  <c r="X1382" i="1"/>
  <c r="W1370" i="1"/>
  <c r="X1370" i="1"/>
  <c r="W1358" i="1"/>
  <c r="X1358" i="1"/>
  <c r="W1346" i="1"/>
  <c r="X1346" i="1"/>
  <c r="W1334" i="1"/>
  <c r="X1334" i="1"/>
  <c r="W1322" i="1"/>
  <c r="X1322" i="1"/>
  <c r="W1298" i="1"/>
  <c r="X1298" i="1"/>
  <c r="W1286" i="1"/>
  <c r="X1286" i="1"/>
  <c r="W1274" i="1"/>
  <c r="X1274" i="1"/>
  <c r="W1262" i="1"/>
  <c r="X1262" i="1"/>
  <c r="W1250" i="1"/>
  <c r="X1250" i="1"/>
  <c r="W1238" i="1"/>
  <c r="X1238" i="1"/>
  <c r="W1214" i="1"/>
  <c r="X1214" i="1"/>
  <c r="W1190" i="1"/>
  <c r="X1190" i="1"/>
  <c r="W1178" i="1"/>
  <c r="X1178" i="1"/>
  <c r="W1154" i="1"/>
  <c r="X1154" i="1"/>
  <c r="W1130" i="1"/>
  <c r="X1130" i="1"/>
  <c r="W1118" i="1"/>
  <c r="X1118" i="1"/>
  <c r="W1106" i="1"/>
  <c r="X1106" i="1"/>
  <c r="W1094" i="1"/>
  <c r="X1094" i="1"/>
  <c r="W1082" i="1"/>
  <c r="X1082" i="1"/>
  <c r="W1070" i="1"/>
  <c r="X1070" i="1"/>
  <c r="W1058" i="1"/>
  <c r="X1058" i="1"/>
  <c r="W1046" i="1"/>
  <c r="X1046" i="1"/>
  <c r="W1010" i="1"/>
  <c r="X1010" i="1"/>
  <c r="W998" i="1"/>
  <c r="X998" i="1"/>
  <c r="W962" i="1"/>
  <c r="X962" i="1"/>
  <c r="W950" i="1"/>
  <c r="X950" i="1"/>
  <c r="W926" i="1"/>
  <c r="X926" i="1"/>
  <c r="W902" i="1"/>
  <c r="X902" i="1"/>
  <c r="W890" i="1"/>
  <c r="X890" i="1"/>
  <c r="W866" i="1"/>
  <c r="X866" i="1"/>
  <c r="W854" i="1"/>
  <c r="X854" i="1"/>
  <c r="W842" i="1"/>
  <c r="X842" i="1"/>
  <c r="W830" i="1"/>
  <c r="X830" i="1"/>
  <c r="W818" i="1"/>
  <c r="X818" i="1"/>
  <c r="W806" i="1"/>
  <c r="X806" i="1"/>
  <c r="W794" i="1"/>
  <c r="X794" i="1"/>
  <c r="W782" i="1"/>
  <c r="X782" i="1"/>
  <c r="W758" i="1"/>
  <c r="X758" i="1"/>
  <c r="W746" i="1"/>
  <c r="X746" i="1"/>
  <c r="W734" i="1"/>
  <c r="X734" i="1"/>
  <c r="W722" i="1"/>
  <c r="X722" i="1"/>
  <c r="W710" i="1"/>
  <c r="X710" i="1"/>
  <c r="W698" i="1"/>
  <c r="X698" i="1"/>
  <c r="W686" i="1"/>
  <c r="X686" i="1"/>
  <c r="W674" i="1"/>
  <c r="X674" i="1"/>
  <c r="W662" i="1"/>
  <c r="X662" i="1"/>
  <c r="W650" i="1"/>
  <c r="X650" i="1"/>
  <c r="W638" i="1"/>
  <c r="X638" i="1"/>
  <c r="W626" i="1"/>
  <c r="X626" i="1"/>
  <c r="W614" i="1"/>
  <c r="X614" i="1"/>
  <c r="W602" i="1"/>
  <c r="X602" i="1"/>
  <c r="W590" i="1"/>
  <c r="X590" i="1"/>
  <c r="W578" i="1"/>
  <c r="X578" i="1"/>
  <c r="W566" i="1"/>
  <c r="X566" i="1"/>
  <c r="W554" i="1"/>
  <c r="X554" i="1"/>
  <c r="W542" i="1"/>
  <c r="X542" i="1"/>
  <c r="W530" i="1"/>
  <c r="X530" i="1"/>
  <c r="W518" i="1"/>
  <c r="X518" i="1"/>
  <c r="W506" i="1"/>
  <c r="X506" i="1"/>
  <c r="W494" i="1"/>
  <c r="X494" i="1"/>
  <c r="W482" i="1"/>
  <c r="X482" i="1"/>
  <c r="W470" i="1"/>
  <c r="X470" i="1"/>
  <c r="W458" i="1"/>
  <c r="X458" i="1"/>
  <c r="W446" i="1"/>
  <c r="X446" i="1"/>
  <c r="W434" i="1"/>
  <c r="X434" i="1"/>
  <c r="W422" i="1"/>
  <c r="X422" i="1"/>
  <c r="W410" i="1"/>
  <c r="X410" i="1"/>
  <c r="W398" i="1"/>
  <c r="X398" i="1"/>
  <c r="W386" i="1"/>
  <c r="X386" i="1"/>
  <c r="W362" i="1"/>
  <c r="X362" i="1"/>
  <c r="W350" i="1"/>
  <c r="X350" i="1"/>
  <c r="W338" i="1"/>
  <c r="X338" i="1"/>
  <c r="W326" i="1"/>
  <c r="X326" i="1"/>
  <c r="W314" i="1"/>
  <c r="X314" i="1"/>
  <c r="W290" i="1"/>
  <c r="X290" i="1"/>
  <c r="W266" i="1"/>
  <c r="X266" i="1"/>
  <c r="W242" i="1"/>
  <c r="X242" i="1"/>
  <c r="W218" i="1"/>
  <c r="X218" i="1"/>
  <c r="W206" i="1"/>
  <c r="X206" i="1"/>
  <c r="W194" i="1"/>
  <c r="X194" i="1"/>
  <c r="W182" i="1"/>
  <c r="X182" i="1"/>
  <c r="W170" i="1"/>
  <c r="X170" i="1"/>
  <c r="W146" i="1"/>
  <c r="X146" i="1"/>
  <c r="W134" i="1"/>
  <c r="X134" i="1"/>
  <c r="W122" i="1"/>
  <c r="X122" i="1"/>
  <c r="W98" i="1"/>
  <c r="X98" i="1"/>
  <c r="W86" i="1"/>
  <c r="X86" i="1"/>
  <c r="W74" i="1"/>
  <c r="X74" i="1"/>
  <c r="W62" i="1"/>
  <c r="X62" i="1"/>
  <c r="W50" i="1"/>
  <c r="X50" i="1"/>
  <c r="W38" i="1"/>
  <c r="X38" i="1"/>
  <c r="W26" i="1"/>
  <c r="X26" i="1"/>
  <c r="W1789" i="1"/>
  <c r="X1789" i="1"/>
  <c r="W1777" i="1"/>
  <c r="X1777" i="1"/>
  <c r="W1765" i="1"/>
  <c r="X1765" i="1"/>
  <c r="W1753" i="1"/>
  <c r="X1753" i="1"/>
  <c r="W1741" i="1"/>
  <c r="X1741" i="1"/>
  <c r="W1729" i="1"/>
  <c r="X1729" i="1"/>
  <c r="W1717" i="1"/>
  <c r="X1717" i="1"/>
  <c r="W1705" i="1"/>
  <c r="X1705" i="1"/>
  <c r="W1693" i="1"/>
  <c r="X1693" i="1"/>
  <c r="W1681" i="1"/>
  <c r="X1681" i="1"/>
  <c r="W1669" i="1"/>
  <c r="X1669" i="1"/>
  <c r="W1657" i="1"/>
  <c r="X1657" i="1"/>
  <c r="W1645" i="1"/>
  <c r="X1645" i="1"/>
  <c r="W1633" i="1"/>
  <c r="X1633" i="1"/>
  <c r="W1621" i="1"/>
  <c r="X1621" i="1"/>
  <c r="W1609" i="1"/>
  <c r="X1609" i="1"/>
  <c r="W1597" i="1"/>
  <c r="X1597" i="1"/>
  <c r="W1585" i="1"/>
  <c r="X1585" i="1"/>
  <c r="W1573" i="1"/>
  <c r="X1573" i="1"/>
  <c r="W1561" i="1"/>
  <c r="X1561" i="1"/>
  <c r="W1549" i="1"/>
  <c r="X1549" i="1"/>
  <c r="W1537" i="1"/>
  <c r="X1537" i="1"/>
  <c r="W1525" i="1"/>
  <c r="X1525" i="1"/>
  <c r="W1513" i="1"/>
  <c r="X1513" i="1"/>
  <c r="W1501" i="1"/>
  <c r="X1501" i="1"/>
  <c r="W1489" i="1"/>
  <c r="X1489" i="1"/>
  <c r="W1477" i="1"/>
  <c r="X1477" i="1"/>
  <c r="W1465" i="1"/>
  <c r="X1465" i="1"/>
  <c r="W1453" i="1"/>
  <c r="X1453" i="1"/>
  <c r="W1441" i="1"/>
  <c r="X1441" i="1"/>
  <c r="W1429" i="1"/>
  <c r="X1429" i="1"/>
  <c r="W1417" i="1"/>
  <c r="X1417" i="1"/>
  <c r="W1405" i="1"/>
  <c r="X1405" i="1"/>
  <c r="W1393" i="1"/>
  <c r="X1393" i="1"/>
  <c r="W1381" i="1"/>
  <c r="X1381" i="1"/>
  <c r="W1369" i="1"/>
  <c r="X1369" i="1"/>
  <c r="W1357" i="1"/>
  <c r="X1357" i="1"/>
  <c r="W1345" i="1"/>
  <c r="X1345" i="1"/>
  <c r="W1333" i="1"/>
  <c r="X1333" i="1"/>
  <c r="W1321" i="1"/>
  <c r="X1321" i="1"/>
  <c r="W1309" i="1"/>
  <c r="X1309" i="1"/>
  <c r="W1297" i="1"/>
  <c r="X1297" i="1"/>
  <c r="W1285" i="1"/>
  <c r="X1285" i="1"/>
  <c r="W1273" i="1"/>
  <c r="X1273" i="1"/>
  <c r="W1261" i="1"/>
  <c r="X1261" i="1"/>
  <c r="W1249" i="1"/>
  <c r="X1249" i="1"/>
  <c r="W1237" i="1"/>
  <c r="X1237" i="1"/>
  <c r="W1225" i="1"/>
  <c r="X1225" i="1"/>
  <c r="W1213" i="1"/>
  <c r="X1213" i="1"/>
  <c r="W1201" i="1"/>
  <c r="X1201" i="1"/>
  <c r="W1189" i="1"/>
  <c r="X1189" i="1"/>
  <c r="W1177" i="1"/>
  <c r="X1177" i="1"/>
  <c r="W1165" i="1"/>
  <c r="X1165" i="1"/>
  <c r="W1153" i="1"/>
  <c r="X1153" i="1"/>
  <c r="W1141" i="1"/>
  <c r="X1141" i="1"/>
  <c r="W1129" i="1"/>
  <c r="X1129" i="1"/>
  <c r="W1117" i="1"/>
  <c r="X1117" i="1"/>
  <c r="W1105" i="1"/>
  <c r="X1105" i="1"/>
  <c r="W1093" i="1"/>
  <c r="X1093" i="1"/>
  <c r="W1081" i="1"/>
  <c r="X1081" i="1"/>
  <c r="W1069" i="1"/>
  <c r="X1069" i="1"/>
  <c r="W1057" i="1"/>
  <c r="X1057" i="1"/>
  <c r="W1045" i="1"/>
  <c r="X1045" i="1"/>
  <c r="W1033" i="1"/>
  <c r="X1033" i="1"/>
  <c r="W1021" i="1"/>
  <c r="X1021" i="1"/>
  <c r="W1009" i="1"/>
  <c r="X1009" i="1"/>
  <c r="W997" i="1"/>
  <c r="X997" i="1"/>
  <c r="W985" i="1"/>
  <c r="X985" i="1"/>
  <c r="W973" i="1"/>
  <c r="X973" i="1"/>
  <c r="W961" i="1"/>
  <c r="X961" i="1"/>
  <c r="W949" i="1"/>
  <c r="X949" i="1"/>
  <c r="W937" i="1"/>
  <c r="X937" i="1"/>
  <c r="W925" i="1"/>
  <c r="X925" i="1"/>
  <c r="W913" i="1"/>
  <c r="X913" i="1"/>
  <c r="W901" i="1"/>
  <c r="X901" i="1"/>
  <c r="W889" i="1"/>
  <c r="X889" i="1"/>
  <c r="W877" i="1"/>
  <c r="X877" i="1"/>
  <c r="W865" i="1"/>
  <c r="X865" i="1"/>
  <c r="W853" i="1"/>
  <c r="X853" i="1"/>
  <c r="W841" i="1"/>
  <c r="X841" i="1"/>
  <c r="W829" i="1"/>
  <c r="X829" i="1"/>
  <c r="W817" i="1"/>
  <c r="X817" i="1"/>
  <c r="W805" i="1"/>
  <c r="X805" i="1"/>
  <c r="W793" i="1"/>
  <c r="X793" i="1"/>
  <c r="W781" i="1"/>
  <c r="X781" i="1"/>
  <c r="W769" i="1"/>
  <c r="X769" i="1"/>
  <c r="W757" i="1"/>
  <c r="X757" i="1"/>
  <c r="W745" i="1"/>
  <c r="X745" i="1"/>
  <c r="W733" i="1"/>
  <c r="X733" i="1"/>
  <c r="W721" i="1"/>
  <c r="X721" i="1"/>
  <c r="W709" i="1"/>
  <c r="X709" i="1"/>
  <c r="W697" i="1"/>
  <c r="X697" i="1"/>
  <c r="W685" i="1"/>
  <c r="X685" i="1"/>
  <c r="W673" i="1"/>
  <c r="X673" i="1"/>
  <c r="W661" i="1"/>
  <c r="X661" i="1"/>
  <c r="W649" i="1"/>
  <c r="X649" i="1"/>
  <c r="W637" i="1"/>
  <c r="X637" i="1"/>
  <c r="W625" i="1"/>
  <c r="X625" i="1"/>
  <c r="W613" i="1"/>
  <c r="X613" i="1"/>
  <c r="W601" i="1"/>
  <c r="X601" i="1"/>
  <c r="W589" i="1"/>
  <c r="X589" i="1"/>
  <c r="W577" i="1"/>
  <c r="X577" i="1"/>
  <c r="W565" i="1"/>
  <c r="X565" i="1"/>
  <c r="W553" i="1"/>
  <c r="X553" i="1"/>
  <c r="W541" i="1"/>
  <c r="X541" i="1"/>
  <c r="W529" i="1"/>
  <c r="X529" i="1"/>
  <c r="W517" i="1"/>
  <c r="X517" i="1"/>
  <c r="W505" i="1"/>
  <c r="X505" i="1"/>
  <c r="W493" i="1"/>
  <c r="X493" i="1"/>
  <c r="W481" i="1"/>
  <c r="X481" i="1"/>
  <c r="W469" i="1"/>
  <c r="X469" i="1"/>
  <c r="W457" i="1"/>
  <c r="X457" i="1"/>
  <c r="W445" i="1"/>
  <c r="X445" i="1"/>
  <c r="W433" i="1"/>
  <c r="X433" i="1"/>
  <c r="W421" i="1"/>
  <c r="X421" i="1"/>
  <c r="W409" i="1"/>
  <c r="X409" i="1"/>
  <c r="W397" i="1"/>
  <c r="X397" i="1"/>
  <c r="W385" i="1"/>
  <c r="X385" i="1"/>
  <c r="W373" i="1"/>
  <c r="X373" i="1"/>
  <c r="W361" i="1"/>
  <c r="X361" i="1"/>
  <c r="W349" i="1"/>
  <c r="X349" i="1"/>
  <c r="W337" i="1"/>
  <c r="X337" i="1"/>
  <c r="W325" i="1"/>
  <c r="X325" i="1"/>
  <c r="W313" i="1"/>
  <c r="X313" i="1"/>
  <c r="W301" i="1"/>
  <c r="X301" i="1"/>
  <c r="W289" i="1"/>
  <c r="X289" i="1"/>
  <c r="W277" i="1"/>
  <c r="X277" i="1"/>
  <c r="W265" i="1"/>
  <c r="X265" i="1"/>
  <c r="W253" i="1"/>
  <c r="X253" i="1"/>
  <c r="W241" i="1"/>
  <c r="X241" i="1"/>
  <c r="W229" i="1"/>
  <c r="X229" i="1"/>
  <c r="W217" i="1"/>
  <c r="X217" i="1"/>
  <c r="W205" i="1"/>
  <c r="X205" i="1"/>
  <c r="W193" i="1"/>
  <c r="X193" i="1"/>
  <c r="W181" i="1"/>
  <c r="X181" i="1"/>
  <c r="W169" i="1"/>
  <c r="X169" i="1"/>
  <c r="W157" i="1"/>
  <c r="X157" i="1"/>
  <c r="W145" i="1"/>
  <c r="X145" i="1"/>
  <c r="W133" i="1"/>
  <c r="X133" i="1"/>
  <c r="W121" i="1"/>
  <c r="X121" i="1"/>
  <c r="W109" i="1"/>
  <c r="X109" i="1"/>
  <c r="W97" i="1"/>
  <c r="X97" i="1"/>
  <c r="W85" i="1"/>
  <c r="X85" i="1"/>
  <c r="W73" i="1"/>
  <c r="X73" i="1"/>
  <c r="W61" i="1"/>
  <c r="X61" i="1"/>
  <c r="W49" i="1"/>
  <c r="X49" i="1"/>
  <c r="W37" i="1"/>
  <c r="X37" i="1"/>
  <c r="W25" i="1"/>
  <c r="X25" i="1"/>
  <c r="W13" i="1"/>
  <c r="X13" i="1"/>
  <c r="W1788" i="1"/>
  <c r="X1788" i="1"/>
  <c r="W1776" i="1"/>
  <c r="X1776" i="1"/>
  <c r="W1764" i="1"/>
  <c r="X1764" i="1"/>
  <c r="W1752" i="1"/>
  <c r="X1752" i="1"/>
  <c r="W1740" i="1"/>
  <c r="X1740" i="1"/>
  <c r="W1728" i="1"/>
  <c r="X1728" i="1"/>
  <c r="W1716" i="1"/>
  <c r="X1716" i="1"/>
  <c r="W1704" i="1"/>
  <c r="X1704" i="1"/>
  <c r="W1692" i="1"/>
  <c r="X1692" i="1"/>
  <c r="W1680" i="1"/>
  <c r="X1680" i="1"/>
  <c r="W1668" i="1"/>
  <c r="X1668" i="1"/>
  <c r="W1656" i="1"/>
  <c r="X1656" i="1"/>
  <c r="W1644" i="1"/>
  <c r="X1644" i="1"/>
  <c r="W1632" i="1"/>
  <c r="X1632" i="1"/>
  <c r="W1620" i="1"/>
  <c r="X1620" i="1"/>
  <c r="W1608" i="1"/>
  <c r="X1608" i="1"/>
  <c r="W1596" i="1"/>
  <c r="X1596" i="1"/>
  <c r="W1584" i="1"/>
  <c r="X1584" i="1"/>
  <c r="W1572" i="1"/>
  <c r="X1572" i="1"/>
  <c r="W1560" i="1"/>
  <c r="X1560" i="1"/>
  <c r="W1548" i="1"/>
  <c r="X1548" i="1"/>
  <c r="W1536" i="1"/>
  <c r="X1536" i="1"/>
  <c r="W1524" i="1"/>
  <c r="X1524" i="1"/>
  <c r="W1512" i="1"/>
  <c r="X1512" i="1"/>
  <c r="W1500" i="1"/>
  <c r="X1500" i="1"/>
  <c r="W1488" i="1"/>
  <c r="X1488" i="1"/>
  <c r="W1476" i="1"/>
  <c r="X1476" i="1"/>
  <c r="W1464" i="1"/>
  <c r="X1464" i="1"/>
  <c r="W1452" i="1"/>
  <c r="X1452" i="1"/>
  <c r="W1440" i="1"/>
  <c r="X1440" i="1"/>
  <c r="W1428" i="1"/>
  <c r="X1428" i="1"/>
  <c r="W1416" i="1"/>
  <c r="X1416" i="1"/>
  <c r="W1404" i="1"/>
  <c r="X1404" i="1"/>
  <c r="W1392" i="1"/>
  <c r="X1392" i="1"/>
  <c r="W1380" i="1"/>
  <c r="X1380" i="1"/>
  <c r="W1368" i="1"/>
  <c r="X1368" i="1"/>
  <c r="W1356" i="1"/>
  <c r="X1356" i="1"/>
  <c r="W1344" i="1"/>
  <c r="X1344" i="1"/>
  <c r="W1332" i="1"/>
  <c r="X1332" i="1"/>
  <c r="W1320" i="1"/>
  <c r="X1320" i="1"/>
  <c r="W1308" i="1"/>
  <c r="X1308" i="1"/>
  <c r="W1296" i="1"/>
  <c r="X1296" i="1"/>
  <c r="W1284" i="1"/>
  <c r="X1284" i="1"/>
  <c r="W1272" i="1"/>
  <c r="X1272" i="1"/>
  <c r="W1260" i="1"/>
  <c r="X1260" i="1"/>
  <c r="W1248" i="1"/>
  <c r="X1248" i="1"/>
  <c r="W1236" i="1"/>
  <c r="X1236" i="1"/>
  <c r="W1224" i="1"/>
  <c r="X1224" i="1"/>
  <c r="W1212" i="1"/>
  <c r="X1212" i="1"/>
  <c r="W1200" i="1"/>
  <c r="X1200" i="1"/>
  <c r="W1188" i="1"/>
  <c r="X1188" i="1"/>
  <c r="W1176" i="1"/>
  <c r="X1176" i="1"/>
  <c r="W1164" i="1"/>
  <c r="X1164" i="1"/>
  <c r="W1152" i="1"/>
  <c r="X1152" i="1"/>
  <c r="W1140" i="1"/>
  <c r="X1140" i="1"/>
  <c r="W1128" i="1"/>
  <c r="X1128" i="1"/>
  <c r="W1116" i="1"/>
  <c r="X1116" i="1"/>
  <c r="W1104" i="1"/>
  <c r="X1104" i="1"/>
  <c r="W1092" i="1"/>
  <c r="X1092" i="1"/>
  <c r="W1080" i="1"/>
  <c r="X1080" i="1"/>
  <c r="W1068" i="1"/>
  <c r="X1068" i="1"/>
  <c r="W1056" i="1"/>
  <c r="X1056" i="1"/>
  <c r="W1044" i="1"/>
  <c r="X1044" i="1"/>
  <c r="W1032" i="1"/>
  <c r="X1032" i="1"/>
  <c r="W1020" i="1"/>
  <c r="X1020" i="1"/>
  <c r="W1008" i="1"/>
  <c r="X1008" i="1"/>
  <c r="W996" i="1"/>
  <c r="X996" i="1"/>
  <c r="W984" i="1"/>
  <c r="X984" i="1"/>
  <c r="W972" i="1"/>
  <c r="X972" i="1"/>
  <c r="W960" i="1"/>
  <c r="X960" i="1"/>
  <c r="W948" i="1"/>
  <c r="X948" i="1"/>
  <c r="W936" i="1"/>
  <c r="X936" i="1"/>
  <c r="W924" i="1"/>
  <c r="X924" i="1"/>
  <c r="W912" i="1"/>
  <c r="X912" i="1"/>
  <c r="W900" i="1"/>
  <c r="X900" i="1"/>
  <c r="W888" i="1"/>
  <c r="X888" i="1"/>
  <c r="W876" i="1"/>
  <c r="X876" i="1"/>
  <c r="W864" i="1"/>
  <c r="X864" i="1"/>
  <c r="W852" i="1"/>
  <c r="X852" i="1"/>
  <c r="W840" i="1"/>
  <c r="X840" i="1"/>
  <c r="W828" i="1"/>
  <c r="X828" i="1"/>
  <c r="W816" i="1"/>
  <c r="X816" i="1"/>
  <c r="W804" i="1"/>
  <c r="X804" i="1"/>
  <c r="W792" i="1"/>
  <c r="X792" i="1"/>
  <c r="W780" i="1"/>
  <c r="X780" i="1"/>
  <c r="W768" i="1"/>
  <c r="X768" i="1"/>
  <c r="W756" i="1"/>
  <c r="X756" i="1"/>
  <c r="W744" i="1"/>
  <c r="X744" i="1"/>
  <c r="W732" i="1"/>
  <c r="X732" i="1"/>
  <c r="W720" i="1"/>
  <c r="X720" i="1"/>
  <c r="W708" i="1"/>
  <c r="X708" i="1"/>
  <c r="W696" i="1"/>
  <c r="X696" i="1"/>
  <c r="W684" i="1"/>
  <c r="X684" i="1"/>
  <c r="W672" i="1"/>
  <c r="X672" i="1"/>
  <c r="W660" i="1"/>
  <c r="X660" i="1"/>
  <c r="W648" i="1"/>
  <c r="X648" i="1"/>
  <c r="W636" i="1"/>
  <c r="X636" i="1"/>
  <c r="W624" i="1"/>
  <c r="X624" i="1"/>
  <c r="W612" i="1"/>
  <c r="X612" i="1"/>
  <c r="W600" i="1"/>
  <c r="X600" i="1"/>
  <c r="W588" i="1"/>
  <c r="X588" i="1"/>
  <c r="W576" i="1"/>
  <c r="X576" i="1"/>
  <c r="W564" i="1"/>
  <c r="X564" i="1"/>
  <c r="W552" i="1"/>
  <c r="X552" i="1"/>
  <c r="W540" i="1"/>
  <c r="X540" i="1"/>
  <c r="W528" i="1"/>
  <c r="X528" i="1"/>
  <c r="W516" i="1"/>
  <c r="X516" i="1"/>
  <c r="W504" i="1"/>
  <c r="X504" i="1"/>
  <c r="W492" i="1"/>
  <c r="X492" i="1"/>
  <c r="W480" i="1"/>
  <c r="X480" i="1"/>
  <c r="W468" i="1"/>
  <c r="X468" i="1"/>
  <c r="W456" i="1"/>
  <c r="X456" i="1"/>
  <c r="W444" i="1"/>
  <c r="X444" i="1"/>
  <c r="W432" i="1"/>
  <c r="X432" i="1"/>
  <c r="W420" i="1"/>
  <c r="X420" i="1"/>
  <c r="W408" i="1"/>
  <c r="X408" i="1"/>
  <c r="W396" i="1"/>
  <c r="X396" i="1"/>
  <c r="W384" i="1"/>
  <c r="X384" i="1"/>
  <c r="W372" i="1"/>
  <c r="X372" i="1"/>
  <c r="W360" i="1"/>
  <c r="X360" i="1"/>
  <c r="W348" i="1"/>
  <c r="X348" i="1"/>
  <c r="W336" i="1"/>
  <c r="X336" i="1"/>
  <c r="W324" i="1"/>
  <c r="X324" i="1"/>
  <c r="W312" i="1"/>
  <c r="X312" i="1"/>
  <c r="W300" i="1"/>
  <c r="X300" i="1"/>
  <c r="W288" i="1"/>
  <c r="X288" i="1"/>
  <c r="W276" i="1"/>
  <c r="X276" i="1"/>
  <c r="W264" i="1"/>
  <c r="X264" i="1"/>
  <c r="W252" i="1"/>
  <c r="X252" i="1"/>
  <c r="W240" i="1"/>
  <c r="X240" i="1"/>
  <c r="W228" i="1"/>
  <c r="X228" i="1"/>
  <c r="W216" i="1"/>
  <c r="X216" i="1"/>
  <c r="W204" i="1"/>
  <c r="X204" i="1"/>
  <c r="W192" i="1"/>
  <c r="X192" i="1"/>
  <c r="W180" i="1"/>
  <c r="X180" i="1"/>
  <c r="W168" i="1"/>
  <c r="X168" i="1"/>
  <c r="W156" i="1"/>
  <c r="X156" i="1"/>
  <c r="W144" i="1"/>
  <c r="X144" i="1"/>
  <c r="W132" i="1"/>
  <c r="X132" i="1"/>
  <c r="W120" i="1"/>
  <c r="X120" i="1"/>
  <c r="W108" i="1"/>
  <c r="X108" i="1"/>
  <c r="W96" i="1"/>
  <c r="X96" i="1"/>
  <c r="W84" i="1"/>
  <c r="X84" i="1"/>
  <c r="W72" i="1"/>
  <c r="X72" i="1"/>
  <c r="W60" i="1"/>
  <c r="X60" i="1"/>
  <c r="W48" i="1"/>
  <c r="X48" i="1"/>
  <c r="W36" i="1"/>
  <c r="X36" i="1"/>
  <c r="W24" i="1"/>
  <c r="X24" i="1"/>
  <c r="W12" i="1"/>
  <c r="X12" i="1"/>
  <c r="W1787" i="1"/>
  <c r="X1787" i="1"/>
  <c r="W1775" i="1"/>
  <c r="X1775" i="1"/>
  <c r="W1763" i="1"/>
  <c r="X1763" i="1"/>
  <c r="W1751" i="1"/>
  <c r="X1751" i="1"/>
  <c r="W1739" i="1"/>
  <c r="X1739" i="1"/>
  <c r="W1727" i="1"/>
  <c r="X1727" i="1"/>
  <c r="W1715" i="1"/>
  <c r="X1715" i="1"/>
  <c r="W1703" i="1"/>
  <c r="X1703" i="1"/>
  <c r="W1691" i="1"/>
  <c r="X1691" i="1"/>
  <c r="W1679" i="1"/>
  <c r="X1679" i="1"/>
  <c r="W1667" i="1"/>
  <c r="X1667" i="1"/>
  <c r="W1655" i="1"/>
  <c r="X1655" i="1"/>
  <c r="W1643" i="1"/>
  <c r="X1643" i="1"/>
  <c r="W1631" i="1"/>
  <c r="X1631" i="1"/>
  <c r="W1619" i="1"/>
  <c r="X1619" i="1"/>
  <c r="W1607" i="1"/>
  <c r="X1607" i="1"/>
  <c r="W1595" i="1"/>
  <c r="X1595" i="1"/>
  <c r="W1583" i="1"/>
  <c r="X1583" i="1"/>
  <c r="W1571" i="1"/>
  <c r="X1571" i="1"/>
  <c r="W1559" i="1"/>
  <c r="X1559" i="1"/>
  <c r="W1547" i="1"/>
  <c r="X1547" i="1"/>
  <c r="W1535" i="1"/>
  <c r="X1535" i="1"/>
  <c r="W1523" i="1"/>
  <c r="X1523" i="1"/>
  <c r="W1511" i="1"/>
  <c r="X1511" i="1"/>
  <c r="W1499" i="1"/>
  <c r="X1499" i="1"/>
  <c r="W1487" i="1"/>
  <c r="X1487" i="1"/>
  <c r="W1475" i="1"/>
  <c r="X1475" i="1"/>
  <c r="W1463" i="1"/>
  <c r="X1463" i="1"/>
  <c r="W1451" i="1"/>
  <c r="X1451" i="1"/>
  <c r="W1439" i="1"/>
  <c r="X1439" i="1"/>
  <c r="W1427" i="1"/>
  <c r="X1427" i="1"/>
  <c r="W1415" i="1"/>
  <c r="X1415" i="1"/>
  <c r="W1403" i="1"/>
  <c r="X1403" i="1"/>
  <c r="W1391" i="1"/>
  <c r="X1391" i="1"/>
  <c r="W1379" i="1"/>
  <c r="X1379" i="1"/>
  <c r="W1367" i="1"/>
  <c r="X1367" i="1"/>
  <c r="W1355" i="1"/>
  <c r="X1355" i="1"/>
  <c r="W1343" i="1"/>
  <c r="X1343" i="1"/>
  <c r="W1331" i="1"/>
  <c r="X1331" i="1"/>
  <c r="W1319" i="1"/>
  <c r="X1319" i="1"/>
  <c r="W1307" i="1"/>
  <c r="X1307" i="1"/>
  <c r="W1295" i="1"/>
  <c r="X1295" i="1"/>
  <c r="W1283" i="1"/>
  <c r="X1283" i="1"/>
  <c r="W1271" i="1"/>
  <c r="X1271" i="1"/>
  <c r="W1259" i="1"/>
  <c r="X1259" i="1"/>
  <c r="W1247" i="1"/>
  <c r="X1247" i="1"/>
  <c r="W1235" i="1"/>
  <c r="X1235" i="1"/>
  <c r="W1223" i="1"/>
  <c r="X1223" i="1"/>
  <c r="W1211" i="1"/>
  <c r="X1211" i="1"/>
  <c r="W1199" i="1"/>
  <c r="X1199" i="1"/>
  <c r="W1187" i="1"/>
  <c r="X1187" i="1"/>
  <c r="W1175" i="1"/>
  <c r="X1175" i="1"/>
  <c r="W1163" i="1"/>
  <c r="X1163" i="1"/>
  <c r="W1151" i="1"/>
  <c r="X1151" i="1"/>
  <c r="W1139" i="1"/>
  <c r="X1139" i="1"/>
  <c r="W1127" i="1"/>
  <c r="X1127" i="1"/>
  <c r="W1115" i="1"/>
  <c r="X1115" i="1"/>
  <c r="W1103" i="1"/>
  <c r="X1103" i="1"/>
  <c r="W1091" i="1"/>
  <c r="X1091" i="1"/>
  <c r="W1079" i="1"/>
  <c r="X1079" i="1"/>
  <c r="W1067" i="1"/>
  <c r="X1067" i="1"/>
  <c r="W1055" i="1"/>
  <c r="X1055" i="1"/>
  <c r="W1043" i="1"/>
  <c r="X1043" i="1"/>
  <c r="W1031" i="1"/>
  <c r="X1031" i="1"/>
  <c r="W1019" i="1"/>
  <c r="X1019" i="1"/>
  <c r="W1007" i="1"/>
  <c r="X1007" i="1"/>
  <c r="W995" i="1"/>
  <c r="X995" i="1"/>
  <c r="W983" i="1"/>
  <c r="X983" i="1"/>
  <c r="W971" i="1"/>
  <c r="X971" i="1"/>
  <c r="W959" i="1"/>
  <c r="X959" i="1"/>
  <c r="W947" i="1"/>
  <c r="X947" i="1"/>
  <c r="W935" i="1"/>
  <c r="X935" i="1"/>
  <c r="W923" i="1"/>
  <c r="X923" i="1"/>
  <c r="W911" i="1"/>
  <c r="X911" i="1"/>
  <c r="W899" i="1"/>
  <c r="X899" i="1"/>
  <c r="W887" i="1"/>
  <c r="X887" i="1"/>
  <c r="W875" i="1"/>
  <c r="X875" i="1"/>
  <c r="W863" i="1"/>
  <c r="X863" i="1"/>
  <c r="W851" i="1"/>
  <c r="X851" i="1"/>
  <c r="W839" i="1"/>
  <c r="X839" i="1"/>
  <c r="W827" i="1"/>
  <c r="X827" i="1"/>
  <c r="W815" i="1"/>
  <c r="X815" i="1"/>
  <c r="W803" i="1"/>
  <c r="X803" i="1"/>
  <c r="W791" i="1"/>
  <c r="X791" i="1"/>
  <c r="W779" i="1"/>
  <c r="X779" i="1"/>
  <c r="W767" i="1"/>
  <c r="X767" i="1"/>
  <c r="W755" i="1"/>
  <c r="X755" i="1"/>
  <c r="W743" i="1"/>
  <c r="X743" i="1"/>
  <c r="W731" i="1"/>
  <c r="X731" i="1"/>
  <c r="W719" i="1"/>
  <c r="X719" i="1"/>
  <c r="W707" i="1"/>
  <c r="X707" i="1"/>
  <c r="W695" i="1"/>
  <c r="X695" i="1"/>
  <c r="W683" i="1"/>
  <c r="X683" i="1"/>
  <c r="W671" i="1"/>
  <c r="X671" i="1"/>
  <c r="W659" i="1"/>
  <c r="X659" i="1"/>
  <c r="W647" i="1"/>
  <c r="X647" i="1"/>
  <c r="W635" i="1"/>
  <c r="X635" i="1"/>
  <c r="W623" i="1"/>
  <c r="X623" i="1"/>
  <c r="W611" i="1"/>
  <c r="X611" i="1"/>
  <c r="W599" i="1"/>
  <c r="X599" i="1"/>
  <c r="W587" i="1"/>
  <c r="X587" i="1"/>
  <c r="W575" i="1"/>
  <c r="X575" i="1"/>
  <c r="W563" i="1"/>
  <c r="X563" i="1"/>
  <c r="W551" i="1"/>
  <c r="X551" i="1"/>
  <c r="W539" i="1"/>
  <c r="X539" i="1"/>
  <c r="W527" i="1"/>
  <c r="X527" i="1"/>
  <c r="W515" i="1"/>
  <c r="X515" i="1"/>
  <c r="W503" i="1"/>
  <c r="X503" i="1"/>
  <c r="W491" i="1"/>
  <c r="X491" i="1"/>
  <c r="W1786" i="1"/>
  <c r="X1786" i="1"/>
  <c r="W1774" i="1"/>
  <c r="X1774" i="1"/>
  <c r="W1762" i="1"/>
  <c r="X1762" i="1"/>
  <c r="W1750" i="1"/>
  <c r="X1750" i="1"/>
  <c r="W1738" i="1"/>
  <c r="X1738" i="1"/>
  <c r="W1726" i="1"/>
  <c r="X1726" i="1"/>
  <c r="W1714" i="1"/>
  <c r="X1714" i="1"/>
  <c r="W1702" i="1"/>
  <c r="X1702" i="1"/>
  <c r="W1690" i="1"/>
  <c r="X1690" i="1"/>
  <c r="W1678" i="1"/>
  <c r="X1678" i="1"/>
  <c r="W1666" i="1"/>
  <c r="X1666" i="1"/>
  <c r="W1654" i="1"/>
  <c r="X1654" i="1"/>
  <c r="W1642" i="1"/>
  <c r="X1642" i="1"/>
  <c r="W1630" i="1"/>
  <c r="X1630" i="1"/>
  <c r="W1618" i="1"/>
  <c r="X1618" i="1"/>
  <c r="W1606" i="1"/>
  <c r="X1606" i="1"/>
  <c r="W1594" i="1"/>
  <c r="X1594" i="1"/>
  <c r="W1582" i="1"/>
  <c r="X1582" i="1"/>
  <c r="W1570" i="1"/>
  <c r="X1570" i="1"/>
  <c r="W1558" i="1"/>
  <c r="X1558" i="1"/>
  <c r="W1546" i="1"/>
  <c r="X1546" i="1"/>
  <c r="W1534" i="1"/>
  <c r="X1534" i="1"/>
  <c r="W1522" i="1"/>
  <c r="X1522" i="1"/>
  <c r="W1510" i="1"/>
  <c r="X1510" i="1"/>
  <c r="W1498" i="1"/>
  <c r="X1498" i="1"/>
  <c r="W1486" i="1"/>
  <c r="X1486" i="1"/>
  <c r="W1474" i="1"/>
  <c r="X1474" i="1"/>
  <c r="W1462" i="1"/>
  <c r="X1462" i="1"/>
  <c r="W1450" i="1"/>
  <c r="X1450" i="1"/>
  <c r="W1438" i="1"/>
  <c r="X1438" i="1"/>
  <c r="W1426" i="1"/>
  <c r="X1426" i="1"/>
  <c r="W1414" i="1"/>
  <c r="X1414" i="1"/>
  <c r="W1402" i="1"/>
  <c r="X1402" i="1"/>
  <c r="W1390" i="1"/>
  <c r="X1390" i="1"/>
  <c r="W1378" i="1"/>
  <c r="X1378" i="1"/>
  <c r="W1366" i="1"/>
  <c r="X1366" i="1"/>
  <c r="W1354" i="1"/>
  <c r="X1354" i="1"/>
  <c r="W1342" i="1"/>
  <c r="X1342" i="1"/>
  <c r="W1330" i="1"/>
  <c r="X1330" i="1"/>
  <c r="W1318" i="1"/>
  <c r="X1318" i="1"/>
  <c r="W1306" i="1"/>
  <c r="X1306" i="1"/>
  <c r="W1294" i="1"/>
  <c r="X1294" i="1"/>
  <c r="W1282" i="1"/>
  <c r="X1282" i="1"/>
  <c r="W1270" i="1"/>
  <c r="X1270" i="1"/>
  <c r="W1258" i="1"/>
  <c r="X1258" i="1"/>
  <c r="W1246" i="1"/>
  <c r="X1246" i="1"/>
  <c r="W1234" i="1"/>
  <c r="X1234" i="1"/>
  <c r="W1222" i="1"/>
  <c r="X1222" i="1"/>
  <c r="W1210" i="1"/>
  <c r="X1210" i="1"/>
  <c r="W1198" i="1"/>
  <c r="X1198" i="1"/>
  <c r="W1186" i="1"/>
  <c r="X1186" i="1"/>
  <c r="W1174" i="1"/>
  <c r="X1174" i="1"/>
  <c r="W1162" i="1"/>
  <c r="X1162" i="1"/>
  <c r="W1150" i="1"/>
  <c r="X1150" i="1"/>
  <c r="W1785" i="1"/>
  <c r="X1785" i="1"/>
  <c r="W1773" i="1"/>
  <c r="X1773" i="1"/>
  <c r="W1761" i="1"/>
  <c r="X1761" i="1"/>
  <c r="W1749" i="1"/>
  <c r="X1749" i="1"/>
  <c r="W1737" i="1"/>
  <c r="X1737" i="1"/>
  <c r="W1725" i="1"/>
  <c r="X1725" i="1"/>
  <c r="W1713" i="1"/>
  <c r="X1713" i="1"/>
  <c r="W1701" i="1"/>
  <c r="X1701" i="1"/>
  <c r="W1689" i="1"/>
  <c r="X1689" i="1"/>
  <c r="W1677" i="1"/>
  <c r="X1677" i="1"/>
  <c r="W1665" i="1"/>
  <c r="X1665" i="1"/>
  <c r="W1653" i="1"/>
  <c r="X1653" i="1"/>
  <c r="W1641" i="1"/>
  <c r="X1641" i="1"/>
  <c r="W1629" i="1"/>
  <c r="X1629" i="1"/>
  <c r="W1617" i="1"/>
  <c r="X1617" i="1"/>
  <c r="W1605" i="1"/>
  <c r="X1605" i="1"/>
  <c r="W1593" i="1"/>
  <c r="X1593" i="1"/>
  <c r="W1581" i="1"/>
  <c r="X1581" i="1"/>
  <c r="W1569" i="1"/>
  <c r="X1569" i="1"/>
  <c r="W1557" i="1"/>
  <c r="X1557" i="1"/>
  <c r="W1545" i="1"/>
  <c r="X1545" i="1"/>
  <c r="W1533" i="1"/>
  <c r="X1533" i="1"/>
  <c r="W1521" i="1"/>
  <c r="X1521" i="1"/>
  <c r="W1509" i="1"/>
  <c r="X1509" i="1"/>
  <c r="W1497" i="1"/>
  <c r="X1497" i="1"/>
  <c r="W1485" i="1"/>
  <c r="X1485" i="1"/>
  <c r="W1473" i="1"/>
  <c r="X1473" i="1"/>
  <c r="W1461" i="1"/>
  <c r="X1461" i="1"/>
  <c r="W1449" i="1"/>
  <c r="X1449" i="1"/>
  <c r="W1437" i="1"/>
  <c r="X1437" i="1"/>
  <c r="W1425" i="1"/>
  <c r="X1425" i="1"/>
  <c r="W1413" i="1"/>
  <c r="X1413" i="1"/>
  <c r="W1401" i="1"/>
  <c r="X1401" i="1"/>
  <c r="W1389" i="1"/>
  <c r="X1389" i="1"/>
  <c r="W1377" i="1"/>
  <c r="X1377" i="1"/>
  <c r="W1365" i="1"/>
  <c r="X1365" i="1"/>
  <c r="W1353" i="1"/>
  <c r="X1353" i="1"/>
  <c r="W1341" i="1"/>
  <c r="X1341" i="1"/>
  <c r="W1329" i="1"/>
  <c r="X1329" i="1"/>
  <c r="W1317" i="1"/>
  <c r="X1317" i="1"/>
  <c r="W1305" i="1"/>
  <c r="X1305" i="1"/>
  <c r="W1293" i="1"/>
  <c r="X1293" i="1"/>
  <c r="W1281" i="1"/>
  <c r="X1281" i="1"/>
  <c r="W1269" i="1"/>
  <c r="X1269" i="1"/>
  <c r="W1257" i="1"/>
  <c r="X1257" i="1"/>
  <c r="W1245" i="1"/>
  <c r="X1245" i="1"/>
  <c r="W1233" i="1"/>
  <c r="X1233" i="1"/>
  <c r="W1221" i="1"/>
  <c r="X1221" i="1"/>
  <c r="W1209" i="1"/>
  <c r="X1209" i="1"/>
  <c r="W1197" i="1"/>
  <c r="X1197" i="1"/>
  <c r="W1185" i="1"/>
  <c r="X1185" i="1"/>
  <c r="W1173" i="1"/>
  <c r="X1173" i="1"/>
  <c r="W1161" i="1"/>
  <c r="X1161" i="1"/>
  <c r="W1149" i="1"/>
  <c r="X1149" i="1"/>
  <c r="W1137" i="1"/>
  <c r="X1137" i="1"/>
  <c r="W1125" i="1"/>
  <c r="X1125" i="1"/>
  <c r="W1113" i="1"/>
  <c r="X1113" i="1"/>
  <c r="W1101" i="1"/>
  <c r="X1101" i="1"/>
  <c r="W1089" i="1"/>
  <c r="X1089" i="1"/>
  <c r="W1077" i="1"/>
  <c r="X1077" i="1"/>
  <c r="W1065" i="1"/>
  <c r="X1065" i="1"/>
  <c r="W1053" i="1"/>
  <c r="X1053" i="1"/>
  <c r="W1041" i="1"/>
  <c r="X1041" i="1"/>
  <c r="W1029" i="1"/>
  <c r="X1029" i="1"/>
  <c r="W1017" i="1"/>
  <c r="X1017" i="1"/>
  <c r="W1005" i="1"/>
  <c r="X1005" i="1"/>
  <c r="W993" i="1"/>
  <c r="X993" i="1"/>
  <c r="W981" i="1"/>
  <c r="X981" i="1"/>
  <c r="W969" i="1"/>
  <c r="X969" i="1"/>
  <c r="W957" i="1"/>
  <c r="X957" i="1"/>
  <c r="W945" i="1"/>
  <c r="X945" i="1"/>
  <c r="W933" i="1"/>
  <c r="X933" i="1"/>
  <c r="W921" i="1"/>
  <c r="X921" i="1"/>
  <c r="W909" i="1"/>
  <c r="X909" i="1"/>
  <c r="W897" i="1"/>
  <c r="X897" i="1"/>
  <c r="W885" i="1"/>
  <c r="X885" i="1"/>
  <c r="W873" i="1"/>
  <c r="X873" i="1"/>
  <c r="W861" i="1"/>
  <c r="X861" i="1"/>
  <c r="W849" i="1"/>
  <c r="X849" i="1"/>
  <c r="W837" i="1"/>
  <c r="X837" i="1"/>
  <c r="W825" i="1"/>
  <c r="X825" i="1"/>
  <c r="W813" i="1"/>
  <c r="X813" i="1"/>
  <c r="W801" i="1"/>
  <c r="X801" i="1"/>
  <c r="W789" i="1"/>
  <c r="X789" i="1"/>
  <c r="W777" i="1"/>
  <c r="X777" i="1"/>
  <c r="W765" i="1"/>
  <c r="X765" i="1"/>
  <c r="W753" i="1"/>
  <c r="X753" i="1"/>
  <c r="W741" i="1"/>
  <c r="X741" i="1"/>
  <c r="W729" i="1"/>
  <c r="X729" i="1"/>
  <c r="W717" i="1"/>
  <c r="X717" i="1"/>
  <c r="W705" i="1"/>
  <c r="X705" i="1"/>
  <c r="W693" i="1"/>
  <c r="X693" i="1"/>
  <c r="W681" i="1"/>
  <c r="X681" i="1"/>
  <c r="W669" i="1"/>
  <c r="X669" i="1"/>
  <c r="W657" i="1"/>
  <c r="X657" i="1"/>
  <c r="W645" i="1"/>
  <c r="X645" i="1"/>
  <c r="W633" i="1"/>
  <c r="X633" i="1"/>
  <c r="X1697" i="1"/>
  <c r="X1361" i="1"/>
  <c r="X1121" i="1"/>
  <c r="X449" i="1"/>
  <c r="X413" i="1"/>
  <c r="X1493" i="1"/>
  <c r="X359" i="1"/>
  <c r="X162" i="1"/>
  <c r="X1649" i="1"/>
  <c r="X1625" i="1"/>
  <c r="X1601" i="1"/>
  <c r="X1229" i="1"/>
  <c r="X1090" i="1"/>
  <c r="X1037" i="1"/>
  <c r="X1006" i="1"/>
  <c r="X941" i="1"/>
  <c r="X910" i="1"/>
  <c r="X814" i="1"/>
  <c r="X749" i="1"/>
  <c r="X718" i="1"/>
  <c r="X653" i="1"/>
  <c r="X621" i="1"/>
  <c r="X586" i="1"/>
  <c r="X550" i="1"/>
  <c r="X405" i="1"/>
  <c r="X358" i="1"/>
  <c r="X161" i="1"/>
  <c r="X83" i="1"/>
  <c r="X1169" i="1"/>
  <c r="X585" i="1"/>
  <c r="X549" i="1"/>
  <c r="X357" i="1"/>
  <c r="X150" i="1"/>
  <c r="W479" i="1"/>
  <c r="X479" i="1"/>
  <c r="W455" i="1"/>
  <c r="X455" i="1"/>
  <c r="W443" i="1"/>
  <c r="X443" i="1"/>
  <c r="W419" i="1"/>
  <c r="X419" i="1"/>
  <c r="W407" i="1"/>
  <c r="X407" i="1"/>
  <c r="W383" i="1"/>
  <c r="X383" i="1"/>
  <c r="W371" i="1"/>
  <c r="X371" i="1"/>
  <c r="W335" i="1"/>
  <c r="X335" i="1"/>
  <c r="W323" i="1"/>
  <c r="X323" i="1"/>
  <c r="W311" i="1"/>
  <c r="X311" i="1"/>
  <c r="W299" i="1"/>
  <c r="X299" i="1"/>
  <c r="W287" i="1"/>
  <c r="X287" i="1"/>
  <c r="W275" i="1"/>
  <c r="X275" i="1"/>
  <c r="W263" i="1"/>
  <c r="X263" i="1"/>
  <c r="W251" i="1"/>
  <c r="X251" i="1"/>
  <c r="W239" i="1"/>
  <c r="X239" i="1"/>
  <c r="W227" i="1"/>
  <c r="X227" i="1"/>
  <c r="W203" i="1"/>
  <c r="X203" i="1"/>
  <c r="W191" i="1"/>
  <c r="X191" i="1"/>
  <c r="W179" i="1"/>
  <c r="X179" i="1"/>
  <c r="W167" i="1"/>
  <c r="X167" i="1"/>
  <c r="W155" i="1"/>
  <c r="X155" i="1"/>
  <c r="W143" i="1"/>
  <c r="X143" i="1"/>
  <c r="W131" i="1"/>
  <c r="X131" i="1"/>
  <c r="W119" i="1"/>
  <c r="X119" i="1"/>
  <c r="W107" i="1"/>
  <c r="X107" i="1"/>
  <c r="W95" i="1"/>
  <c r="X95" i="1"/>
  <c r="W71" i="1"/>
  <c r="X71" i="1"/>
  <c r="W47" i="1"/>
  <c r="X47" i="1"/>
  <c r="W35" i="1"/>
  <c r="X35" i="1"/>
  <c r="W23" i="1"/>
  <c r="X23" i="1"/>
  <c r="W11" i="1"/>
  <c r="X11" i="1"/>
  <c r="X1397" i="1"/>
  <c r="X545" i="1"/>
  <c r="X509" i="1"/>
  <c r="X441" i="1"/>
  <c r="W1126" i="1"/>
  <c r="X1126" i="1"/>
  <c r="W1114" i="1"/>
  <c r="X1114" i="1"/>
  <c r="W1078" i="1"/>
  <c r="X1078" i="1"/>
  <c r="W1066" i="1"/>
  <c r="X1066" i="1"/>
  <c r="W1030" i="1"/>
  <c r="X1030" i="1"/>
  <c r="W1018" i="1"/>
  <c r="X1018" i="1"/>
  <c r="W982" i="1"/>
  <c r="X982" i="1"/>
  <c r="W970" i="1"/>
  <c r="X970" i="1"/>
  <c r="W934" i="1"/>
  <c r="X934" i="1"/>
  <c r="W922" i="1"/>
  <c r="X922" i="1"/>
  <c r="W886" i="1"/>
  <c r="X886" i="1"/>
  <c r="W874" i="1"/>
  <c r="X874" i="1"/>
  <c r="W838" i="1"/>
  <c r="X838" i="1"/>
  <c r="W826" i="1"/>
  <c r="X826" i="1"/>
  <c r="W790" i="1"/>
  <c r="X790" i="1"/>
  <c r="W778" i="1"/>
  <c r="X778" i="1"/>
  <c r="W742" i="1"/>
  <c r="X742" i="1"/>
  <c r="W730" i="1"/>
  <c r="X730" i="1"/>
  <c r="W694" i="1"/>
  <c r="X694" i="1"/>
  <c r="W682" i="1"/>
  <c r="X682" i="1"/>
  <c r="W646" i="1"/>
  <c r="X646" i="1"/>
  <c r="W634" i="1"/>
  <c r="X634" i="1"/>
  <c r="W622" i="1"/>
  <c r="X622" i="1"/>
  <c r="W610" i="1"/>
  <c r="X610" i="1"/>
  <c r="W574" i="1"/>
  <c r="X574" i="1"/>
  <c r="W538" i="1"/>
  <c r="X538" i="1"/>
  <c r="W526" i="1"/>
  <c r="X526" i="1"/>
  <c r="W514" i="1"/>
  <c r="X514" i="1"/>
  <c r="W490" i="1"/>
  <c r="X490" i="1"/>
  <c r="W478" i="1"/>
  <c r="X478" i="1"/>
  <c r="W454" i="1"/>
  <c r="X454" i="1"/>
  <c r="W442" i="1"/>
  <c r="X442" i="1"/>
  <c r="W418" i="1"/>
  <c r="X418" i="1"/>
  <c r="W406" i="1"/>
  <c r="X406" i="1"/>
  <c r="W394" i="1"/>
  <c r="X394" i="1"/>
  <c r="W382" i="1"/>
  <c r="X382" i="1"/>
  <c r="W370" i="1"/>
  <c r="X370" i="1"/>
  <c r="W346" i="1"/>
  <c r="X346" i="1"/>
  <c r="W322" i="1"/>
  <c r="X322" i="1"/>
  <c r="W310" i="1"/>
  <c r="X310" i="1"/>
  <c r="W298" i="1"/>
  <c r="X298" i="1"/>
  <c r="W286" i="1"/>
  <c r="X286" i="1"/>
  <c r="W274" i="1"/>
  <c r="X274" i="1"/>
  <c r="W262" i="1"/>
  <c r="X262" i="1"/>
  <c r="W250" i="1"/>
  <c r="X250" i="1"/>
  <c r="W238" i="1"/>
  <c r="X238" i="1"/>
  <c r="W226" i="1"/>
  <c r="X226" i="1"/>
  <c r="W214" i="1"/>
  <c r="X214" i="1"/>
  <c r="W202" i="1"/>
  <c r="X202" i="1"/>
  <c r="W190" i="1"/>
  <c r="X190" i="1"/>
  <c r="W178" i="1"/>
  <c r="X178" i="1"/>
  <c r="W166" i="1"/>
  <c r="X166" i="1"/>
  <c r="W154" i="1"/>
  <c r="X154" i="1"/>
  <c r="W142" i="1"/>
  <c r="X142" i="1"/>
  <c r="W130" i="1"/>
  <c r="X130" i="1"/>
  <c r="W118" i="1"/>
  <c r="X118" i="1"/>
  <c r="W106" i="1"/>
  <c r="X106" i="1"/>
  <c r="W94" i="1"/>
  <c r="X94" i="1"/>
  <c r="W82" i="1"/>
  <c r="X82" i="1"/>
  <c r="W70" i="1"/>
  <c r="X70" i="1"/>
  <c r="W58" i="1"/>
  <c r="X58" i="1"/>
  <c r="W46" i="1"/>
  <c r="X46" i="1"/>
  <c r="W34" i="1"/>
  <c r="X34" i="1"/>
  <c r="W22" i="1"/>
  <c r="X22" i="1"/>
  <c r="W10" i="1"/>
  <c r="X10" i="1"/>
  <c r="X1553" i="1"/>
  <c r="X1301" i="1"/>
  <c r="X1277" i="1"/>
  <c r="X1138" i="1"/>
  <c r="X1085" i="1"/>
  <c r="X1025" i="1"/>
  <c r="X994" i="1"/>
  <c r="X929" i="1"/>
  <c r="X898" i="1"/>
  <c r="X833" i="1"/>
  <c r="X802" i="1"/>
  <c r="X737" i="1"/>
  <c r="X706" i="1"/>
  <c r="X641" i="1"/>
  <c r="X573" i="1"/>
  <c r="X537" i="1"/>
  <c r="X395" i="1"/>
  <c r="X347" i="1"/>
  <c r="X137" i="1"/>
  <c r="X59" i="1"/>
  <c r="W609" i="1"/>
  <c r="X609" i="1"/>
  <c r="W597" i="1"/>
  <c r="X597" i="1"/>
  <c r="W561" i="1"/>
  <c r="X561" i="1"/>
  <c r="W525" i="1"/>
  <c r="X525" i="1"/>
  <c r="W513" i="1"/>
  <c r="X513" i="1"/>
  <c r="W489" i="1"/>
  <c r="X489" i="1"/>
  <c r="W477" i="1"/>
  <c r="X477" i="1"/>
  <c r="W465" i="1"/>
  <c r="X465" i="1"/>
  <c r="W453" i="1"/>
  <c r="X453" i="1"/>
  <c r="W417" i="1"/>
  <c r="X417" i="1"/>
  <c r="W393" i="1"/>
  <c r="X393" i="1"/>
  <c r="W381" i="1"/>
  <c r="X381" i="1"/>
  <c r="W369" i="1"/>
  <c r="X369" i="1"/>
  <c r="W345" i="1"/>
  <c r="X345" i="1"/>
  <c r="W333" i="1"/>
  <c r="X333" i="1"/>
  <c r="W321" i="1"/>
  <c r="X321" i="1"/>
  <c r="W309" i="1"/>
  <c r="X309" i="1"/>
  <c r="W297" i="1"/>
  <c r="X297" i="1"/>
  <c r="W285" i="1"/>
  <c r="X285" i="1"/>
  <c r="W273" i="1"/>
  <c r="X273" i="1"/>
  <c r="W261" i="1"/>
  <c r="X261" i="1"/>
  <c r="W249" i="1"/>
  <c r="X249" i="1"/>
  <c r="W237" i="1"/>
  <c r="X237" i="1"/>
  <c r="W225" i="1"/>
  <c r="X225" i="1"/>
  <c r="W213" i="1"/>
  <c r="X213" i="1"/>
  <c r="W177" i="1"/>
  <c r="X177" i="1"/>
  <c r="W165" i="1"/>
  <c r="X165" i="1"/>
  <c r="W153" i="1"/>
  <c r="X153" i="1"/>
  <c r="W141" i="1"/>
  <c r="X141" i="1"/>
  <c r="W129" i="1"/>
  <c r="X129" i="1"/>
  <c r="W117" i="1"/>
  <c r="X117" i="1"/>
  <c r="W105" i="1"/>
  <c r="X105" i="1"/>
  <c r="W93" i="1"/>
  <c r="X93" i="1"/>
  <c r="W81" i="1"/>
  <c r="X81" i="1"/>
  <c r="W69" i="1"/>
  <c r="X69" i="1"/>
  <c r="W45" i="1"/>
  <c r="X45" i="1"/>
  <c r="W33" i="1"/>
  <c r="X33" i="1"/>
  <c r="W21" i="1"/>
  <c r="X21" i="1"/>
  <c r="W9" i="1"/>
  <c r="X9" i="1"/>
  <c r="X1685" i="1"/>
  <c r="X1349" i="1"/>
  <c r="X1217" i="1"/>
  <c r="X502" i="1"/>
  <c r="X467" i="1"/>
  <c r="X431" i="1"/>
  <c r="X215" i="1"/>
  <c r="X57" i="1"/>
  <c r="X1505" i="1"/>
  <c r="X1481" i="1"/>
  <c r="X1457" i="1"/>
  <c r="X1054" i="1"/>
  <c r="X605" i="1"/>
  <c r="X501" i="1"/>
  <c r="X466" i="1"/>
  <c r="X430" i="1"/>
  <c r="X201" i="1"/>
  <c r="X1637" i="1"/>
  <c r="X1613" i="1"/>
  <c r="X1133" i="1"/>
  <c r="X989" i="1"/>
  <c r="X958" i="1"/>
  <c r="X893" i="1"/>
  <c r="X862" i="1"/>
  <c r="X797" i="1"/>
  <c r="X766" i="1"/>
  <c r="X701" i="1"/>
  <c r="X670" i="1"/>
  <c r="X497" i="1"/>
  <c r="X429" i="1"/>
  <c r="X114" i="1"/>
  <c r="W882" i="1"/>
  <c r="X882" i="1"/>
  <c r="W870" i="1"/>
  <c r="X870" i="1"/>
  <c r="W858" i="1"/>
  <c r="X858" i="1"/>
  <c r="W846" i="1"/>
  <c r="X846" i="1"/>
  <c r="W834" i="1"/>
  <c r="X834" i="1"/>
  <c r="W822" i="1"/>
  <c r="X822" i="1"/>
  <c r="W810" i="1"/>
  <c r="X810" i="1"/>
  <c r="W798" i="1"/>
  <c r="X798" i="1"/>
  <c r="W786" i="1"/>
  <c r="X786" i="1"/>
  <c r="W774" i="1"/>
  <c r="X774" i="1"/>
  <c r="W762" i="1"/>
  <c r="X762" i="1"/>
  <c r="W750" i="1"/>
  <c r="X750" i="1"/>
  <c r="W738" i="1"/>
  <c r="X738" i="1"/>
  <c r="W726" i="1"/>
  <c r="X726" i="1"/>
  <c r="W714" i="1"/>
  <c r="X714" i="1"/>
  <c r="W702" i="1"/>
  <c r="X702" i="1"/>
  <c r="W690" i="1"/>
  <c r="X690" i="1"/>
  <c r="W678" i="1"/>
  <c r="X678" i="1"/>
  <c r="W666" i="1"/>
  <c r="X666" i="1"/>
  <c r="W654" i="1"/>
  <c r="X654" i="1"/>
  <c r="W642" i="1"/>
  <c r="X642" i="1"/>
  <c r="W630" i="1"/>
  <c r="X630" i="1"/>
  <c r="W618" i="1"/>
  <c r="X618" i="1"/>
  <c r="W606" i="1"/>
  <c r="X606" i="1"/>
  <c r="W594" i="1"/>
  <c r="X594" i="1"/>
  <c r="W582" i="1"/>
  <c r="X582" i="1"/>
  <c r="W570" i="1"/>
  <c r="X570" i="1"/>
  <c r="W558" i="1"/>
  <c r="X558" i="1"/>
  <c r="W546" i="1"/>
  <c r="X546" i="1"/>
  <c r="W534" i="1"/>
  <c r="X534" i="1"/>
  <c r="W522" i="1"/>
  <c r="X522" i="1"/>
  <c r="W510" i="1"/>
  <c r="X510" i="1"/>
  <c r="W498" i="1"/>
  <c r="X498" i="1"/>
  <c r="W486" i="1"/>
  <c r="X486" i="1"/>
  <c r="W474" i="1"/>
  <c r="X474" i="1"/>
  <c r="W462" i="1"/>
  <c r="X462" i="1"/>
  <c r="W450" i="1"/>
  <c r="X450" i="1"/>
  <c r="W438" i="1"/>
  <c r="X438" i="1"/>
  <c r="W426" i="1"/>
  <c r="X426" i="1"/>
  <c r="W414" i="1"/>
  <c r="X414" i="1"/>
  <c r="W402" i="1"/>
  <c r="X402" i="1"/>
  <c r="W390" i="1"/>
  <c r="X390" i="1"/>
  <c r="W378" i="1"/>
  <c r="X378" i="1"/>
  <c r="W366" i="1"/>
  <c r="X366" i="1"/>
  <c r="W354" i="1"/>
  <c r="X354" i="1"/>
  <c r="W342" i="1"/>
  <c r="X342" i="1"/>
  <c r="W330" i="1"/>
  <c r="X330" i="1"/>
  <c r="W318" i="1"/>
  <c r="X318" i="1"/>
  <c r="W306" i="1"/>
  <c r="X306" i="1"/>
  <c r="W294" i="1"/>
  <c r="X294" i="1"/>
  <c r="W282" i="1"/>
  <c r="X282" i="1"/>
  <c r="W270" i="1"/>
  <c r="X270" i="1"/>
  <c r="W258" i="1"/>
  <c r="X258" i="1"/>
  <c r="W246" i="1"/>
  <c r="X246" i="1"/>
  <c r="W234" i="1"/>
  <c r="X234" i="1"/>
  <c r="W222" i="1"/>
  <c r="X222" i="1"/>
  <c r="W210" i="1"/>
  <c r="X210" i="1"/>
  <c r="W198" i="1"/>
  <c r="X198" i="1"/>
  <c r="W186" i="1"/>
  <c r="X186" i="1"/>
  <c r="W174" i="1"/>
  <c r="X174" i="1"/>
  <c r="W138" i="1"/>
  <c r="X138" i="1"/>
  <c r="W126" i="1"/>
  <c r="X126" i="1"/>
  <c r="W102" i="1"/>
  <c r="X102" i="1"/>
  <c r="W90" i="1"/>
  <c r="X90" i="1"/>
  <c r="W78" i="1"/>
  <c r="X78" i="1"/>
  <c r="W66" i="1"/>
  <c r="X66" i="1"/>
  <c r="W54" i="1"/>
  <c r="X54" i="1"/>
  <c r="W42" i="1"/>
  <c r="X42" i="1"/>
  <c r="W30" i="1"/>
  <c r="X30" i="1"/>
  <c r="W18" i="1"/>
  <c r="X18" i="1"/>
  <c r="W6" i="1"/>
  <c r="X6" i="1"/>
  <c r="X1265" i="1"/>
  <c r="X1073" i="1"/>
  <c r="X334" i="1"/>
  <c r="X189" i="1"/>
  <c r="X29" i="1"/>
  <c r="W2" i="1"/>
  <c r="X2" i="1"/>
  <c r="W1781" i="1"/>
  <c r="X1781" i="1"/>
  <c r="W1769" i="1"/>
  <c r="X1769" i="1"/>
  <c r="W1757" i="1"/>
  <c r="X1757" i="1"/>
  <c r="W1745" i="1"/>
  <c r="X1745" i="1"/>
  <c r="W1733" i="1"/>
  <c r="X1733" i="1"/>
  <c r="W1721" i="1"/>
  <c r="X1721" i="1"/>
  <c r="W1709" i="1"/>
  <c r="X1709" i="1"/>
  <c r="W1673" i="1"/>
  <c r="X1673" i="1"/>
  <c r="W1661" i="1"/>
  <c r="X1661" i="1"/>
  <c r="W1589" i="1"/>
  <c r="X1589" i="1"/>
  <c r="W1577" i="1"/>
  <c r="X1577" i="1"/>
  <c r="W1565" i="1"/>
  <c r="X1565" i="1"/>
  <c r="W1529" i="1"/>
  <c r="X1529" i="1"/>
  <c r="W1517" i="1"/>
  <c r="X1517" i="1"/>
  <c r="W1445" i="1"/>
  <c r="X1445" i="1"/>
  <c r="W1433" i="1"/>
  <c r="X1433" i="1"/>
  <c r="W1421" i="1"/>
  <c r="X1421" i="1"/>
  <c r="W1385" i="1"/>
  <c r="X1385" i="1"/>
  <c r="W1373" i="1"/>
  <c r="X1373" i="1"/>
  <c r="W1325" i="1"/>
  <c r="X1325" i="1"/>
  <c r="W1313" i="1"/>
  <c r="X1313" i="1"/>
  <c r="W1289" i="1"/>
  <c r="X1289" i="1"/>
  <c r="W1253" i="1"/>
  <c r="X1253" i="1"/>
  <c r="W1241" i="1"/>
  <c r="X1241" i="1"/>
  <c r="W1205" i="1"/>
  <c r="X1205" i="1"/>
  <c r="W1193" i="1"/>
  <c r="X1193" i="1"/>
  <c r="W1157" i="1"/>
  <c r="X1157" i="1"/>
  <c r="W1145" i="1"/>
  <c r="X1145" i="1"/>
  <c r="W1109" i="1"/>
  <c r="X1109" i="1"/>
  <c r="W1097" i="1"/>
  <c r="X1097" i="1"/>
  <c r="W1061" i="1"/>
  <c r="X1061" i="1"/>
  <c r="W1049" i="1"/>
  <c r="X1049" i="1"/>
  <c r="W1013" i="1"/>
  <c r="X1013" i="1"/>
  <c r="W1001" i="1"/>
  <c r="X1001" i="1"/>
  <c r="W965" i="1"/>
  <c r="X965" i="1"/>
  <c r="W953" i="1"/>
  <c r="X953" i="1"/>
  <c r="W917" i="1"/>
  <c r="X917" i="1"/>
  <c r="W905" i="1"/>
  <c r="X905" i="1"/>
  <c r="W869" i="1"/>
  <c r="X869" i="1"/>
  <c r="W857" i="1"/>
  <c r="X857" i="1"/>
  <c r="W821" i="1"/>
  <c r="X821" i="1"/>
  <c r="W809" i="1"/>
  <c r="X809" i="1"/>
  <c r="W773" i="1"/>
  <c r="X773" i="1"/>
  <c r="W761" i="1"/>
  <c r="X761" i="1"/>
  <c r="W725" i="1"/>
  <c r="X725" i="1"/>
  <c r="W713" i="1"/>
  <c r="X713" i="1"/>
  <c r="W689" i="1"/>
  <c r="W677" i="1"/>
  <c r="X677" i="1"/>
  <c r="W665" i="1"/>
  <c r="X665" i="1"/>
  <c r="W629" i="1"/>
  <c r="X629" i="1"/>
  <c r="W617" i="1"/>
  <c r="X617" i="1"/>
  <c r="W593" i="1"/>
  <c r="X593" i="1"/>
  <c r="W581" i="1"/>
  <c r="X581" i="1"/>
  <c r="W569" i="1"/>
  <c r="X569" i="1"/>
  <c r="W557" i="1"/>
  <c r="X557" i="1"/>
  <c r="W521" i="1"/>
  <c r="X521" i="1"/>
  <c r="W485" i="1"/>
  <c r="X485" i="1"/>
  <c r="W473" i="1"/>
  <c r="X473" i="1"/>
  <c r="W461" i="1"/>
  <c r="X461" i="1"/>
  <c r="W437" i="1"/>
  <c r="X437" i="1"/>
  <c r="W425" i="1"/>
  <c r="X425" i="1"/>
  <c r="W401" i="1"/>
  <c r="X401" i="1"/>
  <c r="W389" i="1"/>
  <c r="X389" i="1"/>
  <c r="W377" i="1"/>
  <c r="X377" i="1"/>
  <c r="W365" i="1"/>
  <c r="X365" i="1"/>
  <c r="W353" i="1"/>
  <c r="X353" i="1"/>
  <c r="W341" i="1"/>
  <c r="X341" i="1"/>
  <c r="W329" i="1"/>
  <c r="X329" i="1"/>
  <c r="W317" i="1"/>
  <c r="X317" i="1"/>
  <c r="W305" i="1"/>
  <c r="X305" i="1"/>
  <c r="W293" i="1"/>
  <c r="X293" i="1"/>
  <c r="W269" i="1"/>
  <c r="X269" i="1"/>
  <c r="W257" i="1"/>
  <c r="X257" i="1"/>
  <c r="W245" i="1"/>
  <c r="X245" i="1"/>
  <c r="W233" i="1"/>
  <c r="X233" i="1"/>
  <c r="W221" i="1"/>
  <c r="X221" i="1"/>
  <c r="W209" i="1"/>
  <c r="X209" i="1"/>
  <c r="W197" i="1"/>
  <c r="X197" i="1"/>
  <c r="W185" i="1"/>
  <c r="X185" i="1"/>
  <c r="W173" i="1"/>
  <c r="X173" i="1"/>
  <c r="W149" i="1"/>
  <c r="X149" i="1"/>
  <c r="W125" i="1"/>
  <c r="X125" i="1"/>
  <c r="W113" i="1"/>
  <c r="X113" i="1"/>
  <c r="W101" i="1"/>
  <c r="X101" i="1"/>
  <c r="W89" i="1"/>
  <c r="X89" i="1"/>
  <c r="W77" i="1"/>
  <c r="X77" i="1"/>
  <c r="W65" i="1"/>
  <c r="X65" i="1"/>
  <c r="W53" i="1"/>
  <c r="X53" i="1"/>
  <c r="W41" i="1"/>
  <c r="X41" i="1"/>
  <c r="W17" i="1"/>
  <c r="X17" i="1"/>
  <c r="W5" i="1"/>
  <c r="X5" i="1"/>
  <c r="X1409" i="1"/>
  <c r="X1102" i="1"/>
  <c r="X598" i="1"/>
  <c r="X562" i="1"/>
  <c r="X1541" i="1"/>
  <c r="X1337" i="1"/>
  <c r="X1181" i="1"/>
  <c r="X1042" i="1"/>
  <c r="X977" i="1"/>
  <c r="X946" i="1"/>
  <c r="X881" i="1"/>
  <c r="X850" i="1"/>
  <c r="X785" i="1"/>
  <c r="X754" i="1"/>
  <c r="X689" i="1"/>
  <c r="X658" i="1"/>
  <c r="V1780" i="1"/>
  <c r="W1780" i="1"/>
  <c r="U1778" i="1"/>
  <c r="AD1778" i="1" s="1"/>
  <c r="W1778" i="1"/>
  <c r="V1766" i="1"/>
  <c r="W1766" i="1"/>
  <c r="U1730" i="1"/>
  <c r="AD1730" i="1" s="1"/>
  <c r="W1730" i="1"/>
  <c r="U1310" i="1"/>
  <c r="AD1310" i="1" s="1"/>
  <c r="W1310" i="1"/>
  <c r="V1226" i="1"/>
  <c r="W1226" i="1"/>
  <c r="U1202" i="1"/>
  <c r="AD1202" i="1" s="1"/>
  <c r="W1202" i="1"/>
  <c r="U1706" i="1"/>
  <c r="AD1706" i="1" s="1"/>
  <c r="W1706" i="1"/>
  <c r="U1694" i="1"/>
  <c r="AD1694" i="1" s="1"/>
  <c r="W1694" i="1"/>
  <c r="V1600" i="1"/>
  <c r="W1600" i="1"/>
  <c r="V1504" i="1"/>
  <c r="W1504" i="1"/>
  <c r="V1492" i="1"/>
  <c r="W1492" i="1"/>
  <c r="U1468" i="1"/>
  <c r="AD1468" i="1" s="1"/>
  <c r="W1468" i="1"/>
  <c r="U1432" i="1"/>
  <c r="AD1432" i="1" s="1"/>
  <c r="W1432" i="1"/>
  <c r="V1336" i="1"/>
  <c r="W1336" i="1"/>
  <c r="V1252" i="1"/>
  <c r="W1252" i="1"/>
  <c r="U1144" i="1"/>
  <c r="AD1144" i="1" s="1"/>
  <c r="W1144" i="1"/>
  <c r="V964" i="1"/>
  <c r="W964" i="1"/>
  <c r="U796" i="1"/>
  <c r="AD796" i="1" s="1"/>
  <c r="W796" i="1"/>
  <c r="U1732" i="1"/>
  <c r="AD1732" i="1" s="1"/>
  <c r="W1732" i="1"/>
  <c r="V1588" i="1"/>
  <c r="W1588" i="1"/>
  <c r="V1779" i="1"/>
  <c r="W1779" i="1"/>
  <c r="U1623" i="1"/>
  <c r="AD1623" i="1" s="1"/>
  <c r="W1623" i="1"/>
  <c r="V1563" i="1"/>
  <c r="W1563" i="1"/>
  <c r="U1383" i="1"/>
  <c r="AD1383" i="1" s="1"/>
  <c r="W1383" i="1"/>
  <c r="U1359" i="1"/>
  <c r="AD1359" i="1" s="1"/>
  <c r="W1359" i="1"/>
  <c r="V1227" i="1"/>
  <c r="W1227" i="1"/>
  <c r="U1166" i="1"/>
  <c r="AD1166" i="1" s="1"/>
  <c r="W1166" i="1"/>
  <c r="U1142" i="1"/>
  <c r="AD1142" i="1" s="1"/>
  <c r="W1142" i="1"/>
  <c r="U1034" i="1"/>
  <c r="AD1034" i="1" s="1"/>
  <c r="W1034" i="1"/>
  <c r="U1022" i="1"/>
  <c r="AD1022" i="1" s="1"/>
  <c r="W1022" i="1"/>
  <c r="U986" i="1"/>
  <c r="AD986" i="1" s="1"/>
  <c r="W986" i="1"/>
  <c r="U974" i="1"/>
  <c r="AD974" i="1" s="1"/>
  <c r="W974" i="1"/>
  <c r="U938" i="1"/>
  <c r="AD938" i="1" s="1"/>
  <c r="W938" i="1"/>
  <c r="U914" i="1"/>
  <c r="AD914" i="1" s="1"/>
  <c r="W914" i="1"/>
  <c r="V878" i="1"/>
  <c r="W878" i="1"/>
  <c r="U770" i="1"/>
  <c r="AD770" i="1" s="1"/>
  <c r="W770" i="1"/>
  <c r="U374" i="1"/>
  <c r="AD374" i="1" s="1"/>
  <c r="W374" i="1"/>
  <c r="U302" i="1"/>
  <c r="AD302" i="1" s="1"/>
  <c r="W302" i="1"/>
  <c r="U278" i="1"/>
  <c r="AD278" i="1" s="1"/>
  <c r="W278" i="1"/>
  <c r="U254" i="1"/>
  <c r="AD254" i="1" s="1"/>
  <c r="W254" i="1"/>
  <c r="U230" i="1"/>
  <c r="AD230" i="1" s="1"/>
  <c r="W230" i="1"/>
  <c r="U158" i="1"/>
  <c r="AD158" i="1" s="1"/>
  <c r="W158" i="1"/>
  <c r="U110" i="1"/>
  <c r="AD110" i="1" s="1"/>
  <c r="W110" i="1"/>
  <c r="V1035" i="1"/>
  <c r="W1035" i="1"/>
  <c r="U1023" i="1"/>
  <c r="AD1023" i="1" s="1"/>
  <c r="W1023" i="1"/>
  <c r="U987" i="1"/>
  <c r="AD987" i="1" s="1"/>
  <c r="W987" i="1"/>
  <c r="U927" i="1"/>
  <c r="AD927" i="1" s="1"/>
  <c r="W927" i="1"/>
  <c r="V891" i="1"/>
  <c r="W891" i="1"/>
  <c r="V867" i="1"/>
  <c r="W867" i="1"/>
  <c r="U843" i="1"/>
  <c r="AD843" i="1" s="1"/>
  <c r="W843" i="1"/>
  <c r="V819" i="1"/>
  <c r="W819" i="1"/>
  <c r="U723" i="1"/>
  <c r="AD723" i="1" s="1"/>
  <c r="W723" i="1"/>
  <c r="V675" i="1"/>
  <c r="W675" i="1"/>
  <c r="U14" i="1"/>
  <c r="AD14" i="1" s="1"/>
  <c r="W14" i="1"/>
  <c r="W1469" i="1"/>
  <c r="W845" i="1"/>
  <c r="W533" i="1"/>
  <c r="W281" i="1"/>
  <c r="V471" i="1"/>
  <c r="W471" i="1"/>
  <c r="V435" i="1"/>
  <c r="W435" i="1"/>
  <c r="V423" i="1"/>
  <c r="W423" i="1"/>
  <c r="V375" i="1"/>
  <c r="W375" i="1"/>
  <c r="U327" i="1"/>
  <c r="AD327" i="1" s="1"/>
  <c r="W327" i="1"/>
  <c r="U315" i="1"/>
  <c r="AD315" i="1" s="1"/>
  <c r="W315" i="1"/>
  <c r="V303" i="1"/>
  <c r="W303" i="1"/>
  <c r="V267" i="1"/>
  <c r="W267" i="1"/>
  <c r="V255" i="1"/>
  <c r="W255" i="1"/>
  <c r="V231" i="1"/>
  <c r="W231" i="1"/>
  <c r="V207" i="1"/>
  <c r="W207" i="1"/>
  <c r="V159" i="1"/>
  <c r="W159" i="1"/>
  <c r="V111" i="1"/>
  <c r="W111" i="1"/>
  <c r="V63" i="1"/>
  <c r="W63" i="1"/>
  <c r="V15" i="1"/>
  <c r="W15" i="1"/>
  <c r="U1781" i="1"/>
  <c r="AD1781" i="1" s="1"/>
  <c r="V1745" i="1"/>
  <c r="V1733" i="1"/>
  <c r="V1661" i="1"/>
  <c r="U1589" i="1"/>
  <c r="U1565" i="1"/>
  <c r="AD1565" i="1" s="1"/>
  <c r="V1493" i="1"/>
  <c r="V1469" i="1"/>
  <c r="U1445" i="1"/>
  <c r="AD1445" i="1" s="1"/>
  <c r="V1433" i="1"/>
  <c r="V1373" i="1"/>
  <c r="U1349" i="1"/>
  <c r="AD1349" i="1" s="1"/>
  <c r="U1337" i="1"/>
  <c r="AD1337" i="1" s="1"/>
  <c r="V1325" i="1"/>
  <c r="V1289" i="1"/>
  <c r="U1265" i="1"/>
  <c r="AD1265" i="1" s="1"/>
  <c r="V1049" i="1"/>
  <c r="V1037" i="1"/>
  <c r="U1025" i="1"/>
  <c r="AD1025" i="1" s="1"/>
  <c r="V1001" i="1"/>
  <c r="V989" i="1"/>
  <c r="V941" i="1"/>
  <c r="V917" i="1"/>
  <c r="V893" i="1"/>
  <c r="V881" i="1"/>
  <c r="V869" i="1"/>
  <c r="V845" i="1"/>
  <c r="V833" i="1"/>
  <c r="V821" i="1"/>
  <c r="V797" i="1"/>
  <c r="V773" i="1"/>
  <c r="V725" i="1"/>
  <c r="V629" i="1"/>
  <c r="V581" i="1"/>
  <c r="V533" i="1"/>
  <c r="U521" i="1"/>
  <c r="AD521" i="1" s="1"/>
  <c r="V461" i="1"/>
  <c r="V329" i="1"/>
  <c r="V281" i="1"/>
  <c r="U245" i="1"/>
  <c r="AD245" i="1" s="1"/>
  <c r="V221" i="1"/>
  <c r="V185" i="1"/>
  <c r="V161" i="1"/>
  <c r="V137" i="1"/>
  <c r="V113" i="1"/>
  <c r="U77" i="1"/>
  <c r="AD77" i="1" s="1"/>
  <c r="V17" i="1"/>
  <c r="V93" i="1"/>
  <c r="V45" i="1"/>
  <c r="U33" i="1"/>
  <c r="AD33" i="1" s="1"/>
  <c r="V1768" i="1"/>
  <c r="U1720" i="1"/>
  <c r="AD1720" i="1" s="1"/>
  <c r="V1648" i="1"/>
  <c r="V1624" i="1"/>
  <c r="U1612" i="1"/>
  <c r="AD1612" i="1" s="1"/>
  <c r="V1564" i="1"/>
  <c r="U1408" i="1"/>
  <c r="AD1408" i="1" s="1"/>
  <c r="V1360" i="1"/>
  <c r="V1312" i="1"/>
  <c r="V1228" i="1"/>
  <c r="V1180" i="1"/>
  <c r="U1168" i="1"/>
  <c r="AD1168" i="1" s="1"/>
  <c r="U1156" i="1"/>
  <c r="AD1156" i="1" s="1"/>
  <c r="U1072" i="1"/>
  <c r="AD1072" i="1" s="1"/>
  <c r="U1024" i="1"/>
  <c r="AD1024" i="1" s="1"/>
  <c r="U628" i="1"/>
  <c r="AD628" i="1" s="1"/>
  <c r="U484" i="1"/>
  <c r="AD484" i="1" s="1"/>
  <c r="U256" i="1"/>
  <c r="AD256" i="1" s="1"/>
  <c r="V387" i="1"/>
  <c r="V279" i="1"/>
  <c r="U1596" i="1"/>
  <c r="V1596" i="1"/>
  <c r="V1752" i="1"/>
  <c r="U1752" i="1"/>
  <c r="AD1752" i="1" s="1"/>
  <c r="U1716" i="1"/>
  <c r="AD1716" i="1" s="1"/>
  <c r="V1716" i="1"/>
  <c r="V1692" i="1"/>
  <c r="U1692" i="1"/>
  <c r="AD1692" i="1" s="1"/>
  <c r="U1668" i="1"/>
  <c r="AD1668" i="1" s="1"/>
  <c r="V1668" i="1"/>
  <c r="V1620" i="1"/>
  <c r="U1620" i="1"/>
  <c r="AD1620" i="1" s="1"/>
  <c r="V1572" i="1"/>
  <c r="U1572" i="1"/>
  <c r="AD1572" i="1" s="1"/>
  <c r="V1548" i="1"/>
  <c r="U1548" i="1"/>
  <c r="AD1548" i="1" s="1"/>
  <c r="V1500" i="1"/>
  <c r="U1500" i="1"/>
  <c r="AD1500" i="1" s="1"/>
  <c r="V1476" i="1"/>
  <c r="U1476" i="1"/>
  <c r="AD1476" i="1" s="1"/>
  <c r="V1452" i="1"/>
  <c r="U1452" i="1"/>
  <c r="AD1452" i="1" s="1"/>
  <c r="V1428" i="1"/>
  <c r="U1428" i="1"/>
  <c r="AD1428" i="1" s="1"/>
  <c r="V1368" i="1"/>
  <c r="U1368" i="1"/>
  <c r="AD1368" i="1" s="1"/>
  <c r="U1344" i="1"/>
  <c r="AD1344" i="1" s="1"/>
  <c r="V1344" i="1"/>
  <c r="U1296" i="1"/>
  <c r="AD1296" i="1" s="1"/>
  <c r="V1296" i="1"/>
  <c r="V1272" i="1"/>
  <c r="U1272" i="1"/>
  <c r="AD1272" i="1" s="1"/>
  <c r="V1260" i="1"/>
  <c r="U1260" i="1"/>
  <c r="AD1260" i="1" s="1"/>
  <c r="V1200" i="1"/>
  <c r="U1200" i="1"/>
  <c r="AD1200" i="1" s="1"/>
  <c r="V1176" i="1"/>
  <c r="U1176" i="1"/>
  <c r="AD1176" i="1" s="1"/>
  <c r="V1164" i="1"/>
  <c r="U1164" i="1"/>
  <c r="AD1164" i="1" s="1"/>
  <c r="V1140" i="1"/>
  <c r="U1140" i="1"/>
  <c r="AD1140" i="1" s="1"/>
  <c r="V1092" i="1"/>
  <c r="U1092" i="1"/>
  <c r="AD1092" i="1" s="1"/>
  <c r="V1068" i="1"/>
  <c r="U1068" i="1"/>
  <c r="AD1068" i="1" s="1"/>
  <c r="V1020" i="1"/>
  <c r="U1020" i="1"/>
  <c r="AD1020" i="1" s="1"/>
  <c r="V972" i="1"/>
  <c r="U972" i="1"/>
  <c r="AD972" i="1" s="1"/>
  <c r="V912" i="1"/>
  <c r="U912" i="1"/>
  <c r="AD912" i="1" s="1"/>
  <c r="U876" i="1"/>
  <c r="AD876" i="1" s="1"/>
  <c r="V876" i="1"/>
  <c r="U828" i="1"/>
  <c r="AD828" i="1" s="1"/>
  <c r="V828" i="1"/>
  <c r="U780" i="1"/>
  <c r="AD780" i="1" s="1"/>
  <c r="V780" i="1"/>
  <c r="V744" i="1"/>
  <c r="U744" i="1"/>
  <c r="AD744" i="1" s="1"/>
  <c r="U720" i="1"/>
  <c r="V720" i="1"/>
  <c r="V672" i="1"/>
  <c r="U672" i="1"/>
  <c r="AD672" i="1" s="1"/>
  <c r="V636" i="1"/>
  <c r="U636" i="1"/>
  <c r="AD636" i="1" s="1"/>
  <c r="V576" i="1"/>
  <c r="U576" i="1"/>
  <c r="AD576" i="1" s="1"/>
  <c r="V540" i="1"/>
  <c r="U540" i="1"/>
  <c r="AD540" i="1" s="1"/>
  <c r="V480" i="1"/>
  <c r="U480" i="1"/>
  <c r="AD480" i="1" s="1"/>
  <c r="V432" i="1"/>
  <c r="U432" i="1"/>
  <c r="AD432" i="1" s="1"/>
  <c r="V396" i="1"/>
  <c r="U396" i="1"/>
  <c r="AD396" i="1" s="1"/>
  <c r="U348" i="1"/>
  <c r="AD348" i="1" s="1"/>
  <c r="V348" i="1"/>
  <c r="V312" i="1"/>
  <c r="U312" i="1"/>
  <c r="AD312" i="1" s="1"/>
  <c r="V264" i="1"/>
  <c r="U264" i="1"/>
  <c r="AD264" i="1" s="1"/>
  <c r="V252" i="1"/>
  <c r="U252" i="1"/>
  <c r="AD252" i="1" s="1"/>
  <c r="V204" i="1"/>
  <c r="U204" i="1"/>
  <c r="AD204" i="1" s="1"/>
  <c r="V144" i="1"/>
  <c r="U144" i="1"/>
  <c r="AD144" i="1" s="1"/>
  <c r="V108" i="1"/>
  <c r="U108" i="1"/>
  <c r="AD108" i="1" s="1"/>
  <c r="V48" i="1"/>
  <c r="U48" i="1"/>
  <c r="AD48" i="1" s="1"/>
  <c r="V1776" i="1"/>
  <c r="U1776" i="1"/>
  <c r="AD1776" i="1" s="1"/>
  <c r="U1644" i="1"/>
  <c r="AD1644" i="1" s="1"/>
  <c r="V1644" i="1"/>
  <c r="V1524" i="1"/>
  <c r="U1524" i="1"/>
  <c r="AD1524" i="1" s="1"/>
  <c r="U1416" i="1"/>
  <c r="AD1416" i="1" s="1"/>
  <c r="V1416" i="1"/>
  <c r="V1332" i="1"/>
  <c r="U1332" i="1"/>
  <c r="AD1332" i="1" s="1"/>
  <c r="V1224" i="1"/>
  <c r="U1224" i="1"/>
  <c r="AD1224" i="1" s="1"/>
  <c r="V1080" i="1"/>
  <c r="U1080" i="1"/>
  <c r="AD1080" i="1" s="1"/>
  <c r="V984" i="1"/>
  <c r="U984" i="1"/>
  <c r="AD984" i="1" s="1"/>
  <c r="V888" i="1"/>
  <c r="U888" i="1"/>
  <c r="AD888" i="1" s="1"/>
  <c r="V792" i="1"/>
  <c r="U792" i="1"/>
  <c r="AD792" i="1" s="1"/>
  <c r="V696" i="1"/>
  <c r="U696" i="1"/>
  <c r="AD696" i="1" s="1"/>
  <c r="U588" i="1"/>
  <c r="AD588" i="1" s="1"/>
  <c r="V588" i="1"/>
  <c r="V516" i="1"/>
  <c r="U516" i="1"/>
  <c r="AD516" i="1" s="1"/>
  <c r="V456" i="1"/>
  <c r="U456" i="1"/>
  <c r="AD456" i="1" s="1"/>
  <c r="V384" i="1"/>
  <c r="U384" i="1"/>
  <c r="AD384" i="1" s="1"/>
  <c r="V288" i="1"/>
  <c r="U288" i="1"/>
  <c r="AD288" i="1" s="1"/>
  <c r="V192" i="1"/>
  <c r="U192" i="1"/>
  <c r="AD192" i="1" s="1"/>
  <c r="V72" i="1"/>
  <c r="U72" i="1"/>
  <c r="AD72" i="1" s="1"/>
  <c r="V1739" i="1"/>
  <c r="U1739" i="1"/>
  <c r="AD1739" i="1" s="1"/>
  <c r="V1643" i="1"/>
  <c r="U1643" i="1"/>
  <c r="AD1643" i="1" s="1"/>
  <c r="V1535" i="1"/>
  <c r="U1535" i="1"/>
  <c r="AD1535" i="1" s="1"/>
  <c r="V1439" i="1"/>
  <c r="U1439" i="1"/>
  <c r="AD1439" i="1" s="1"/>
  <c r="V1343" i="1"/>
  <c r="U1343" i="1"/>
  <c r="AD1343" i="1" s="1"/>
  <c r="V1235" i="1"/>
  <c r="U1235" i="1"/>
  <c r="AD1235" i="1" s="1"/>
  <c r="V1127" i="1"/>
  <c r="U1127" i="1"/>
  <c r="AD1127" i="1" s="1"/>
  <c r="V1043" i="1"/>
  <c r="U1043" i="1"/>
  <c r="AD1043" i="1" s="1"/>
  <c r="V971" i="1"/>
  <c r="U971" i="1"/>
  <c r="AD971" i="1" s="1"/>
  <c r="V875" i="1"/>
  <c r="U875" i="1"/>
  <c r="AD875" i="1" s="1"/>
  <c r="V803" i="1"/>
  <c r="U803" i="1"/>
  <c r="AD803" i="1" s="1"/>
  <c r="V731" i="1"/>
  <c r="U731" i="1"/>
  <c r="AD731" i="1" s="1"/>
  <c r="V671" i="1"/>
  <c r="U671" i="1"/>
  <c r="AD671" i="1" s="1"/>
  <c r="V599" i="1"/>
  <c r="U599" i="1"/>
  <c r="AD599" i="1" s="1"/>
  <c r="V539" i="1"/>
  <c r="U539" i="1"/>
  <c r="AD539" i="1" s="1"/>
  <c r="V503" i="1"/>
  <c r="U503" i="1"/>
  <c r="AD503" i="1" s="1"/>
  <c r="V455" i="1"/>
  <c r="U455" i="1"/>
  <c r="AD455" i="1" s="1"/>
  <c r="U347" i="1"/>
  <c r="AD347" i="1" s="1"/>
  <c r="V347" i="1"/>
  <c r="V251" i="1"/>
  <c r="U251" i="1"/>
  <c r="AD251" i="1" s="1"/>
  <c r="V155" i="1"/>
  <c r="U155" i="1"/>
  <c r="AD155" i="1" s="1"/>
  <c r="V107" i="1"/>
  <c r="U107" i="1"/>
  <c r="AD107" i="1" s="1"/>
  <c r="V35" i="1"/>
  <c r="U35" i="1"/>
  <c r="AD35" i="1" s="1"/>
  <c r="V1738" i="1"/>
  <c r="U1738" i="1"/>
  <c r="AD1738" i="1" s="1"/>
  <c r="U1594" i="1"/>
  <c r="AD1594" i="1" s="1"/>
  <c r="V1594" i="1"/>
  <c r="V1450" i="1"/>
  <c r="U1450" i="1"/>
  <c r="AD1450" i="1" s="1"/>
  <c r="V1330" i="1"/>
  <c r="U1330" i="1"/>
  <c r="AD1330" i="1" s="1"/>
  <c r="V1198" i="1"/>
  <c r="U1198" i="1"/>
  <c r="AD1198" i="1" s="1"/>
  <c r="V1042" i="1"/>
  <c r="U1042" i="1"/>
  <c r="AD1042" i="1" s="1"/>
  <c r="V910" i="1"/>
  <c r="U910" i="1"/>
  <c r="AD910" i="1" s="1"/>
  <c r="V778" i="1"/>
  <c r="U778" i="1"/>
  <c r="AD778" i="1" s="1"/>
  <c r="V670" i="1"/>
  <c r="U670" i="1"/>
  <c r="AD670" i="1" s="1"/>
  <c r="V562" i="1"/>
  <c r="U562" i="1"/>
  <c r="AD562" i="1" s="1"/>
  <c r="V406" i="1"/>
  <c r="U406" i="1"/>
  <c r="AD406" i="1" s="1"/>
  <c r="V262" i="1"/>
  <c r="U262" i="1"/>
  <c r="AD262" i="1" s="1"/>
  <c r="V130" i="1"/>
  <c r="U130" i="1"/>
  <c r="AD130" i="1" s="1"/>
  <c r="V1701" i="1"/>
  <c r="U1701" i="1"/>
  <c r="AD1701" i="1" s="1"/>
  <c r="U1317" i="1"/>
  <c r="AD1317" i="1" s="1"/>
  <c r="V1317" i="1"/>
  <c r="V573" i="1"/>
  <c r="U573" i="1"/>
  <c r="AD573" i="1" s="1"/>
  <c r="V1680" i="1"/>
  <c r="U1680" i="1"/>
  <c r="AD1680" i="1" s="1"/>
  <c r="U1560" i="1"/>
  <c r="AD1560" i="1" s="1"/>
  <c r="V1560" i="1"/>
  <c r="U1440" i="1"/>
  <c r="AD1440" i="1" s="1"/>
  <c r="V1440" i="1"/>
  <c r="U1320" i="1"/>
  <c r="AD1320" i="1" s="1"/>
  <c r="V1320" i="1"/>
  <c r="V1188" i="1"/>
  <c r="U1188" i="1"/>
  <c r="AD1188" i="1" s="1"/>
  <c r="V1044" i="1"/>
  <c r="U1044" i="1"/>
  <c r="AD1044" i="1" s="1"/>
  <c r="V936" i="1"/>
  <c r="U936" i="1"/>
  <c r="AD936" i="1" s="1"/>
  <c r="V816" i="1"/>
  <c r="U816" i="1"/>
  <c r="AD816" i="1" s="1"/>
  <c r="V708" i="1"/>
  <c r="U708" i="1"/>
  <c r="AD708" i="1" s="1"/>
  <c r="V624" i="1"/>
  <c r="U624" i="1"/>
  <c r="AD624" i="1" s="1"/>
  <c r="U528" i="1"/>
  <c r="AD528" i="1" s="1"/>
  <c r="V528" i="1"/>
  <c r="V420" i="1"/>
  <c r="U420" i="1"/>
  <c r="AD420" i="1" s="1"/>
  <c r="V324" i="1"/>
  <c r="U324" i="1"/>
  <c r="AD324" i="1" s="1"/>
  <c r="V216" i="1"/>
  <c r="U216" i="1"/>
  <c r="AD216" i="1" s="1"/>
  <c r="V120" i="1"/>
  <c r="U120" i="1"/>
  <c r="AD120" i="1" s="1"/>
  <c r="U24" i="1"/>
  <c r="AD24" i="1" s="1"/>
  <c r="V24" i="1"/>
  <c r="V1727" i="1"/>
  <c r="U1727" i="1"/>
  <c r="AD1727" i="1" s="1"/>
  <c r="V1619" i="1"/>
  <c r="U1619" i="1"/>
  <c r="AD1619" i="1" s="1"/>
  <c r="V1487" i="1"/>
  <c r="U1487" i="1"/>
  <c r="AD1487" i="1" s="1"/>
  <c r="V1403" i="1"/>
  <c r="U1403" i="1"/>
  <c r="AD1403" i="1" s="1"/>
  <c r="V1307" i="1"/>
  <c r="U1307" i="1"/>
  <c r="AD1307" i="1" s="1"/>
  <c r="V1223" i="1"/>
  <c r="U1223" i="1"/>
  <c r="AD1223" i="1" s="1"/>
  <c r="V1103" i="1"/>
  <c r="U1103" i="1"/>
  <c r="AD1103" i="1" s="1"/>
  <c r="V1031" i="1"/>
  <c r="U1031" i="1"/>
  <c r="AD1031" i="1" s="1"/>
  <c r="V959" i="1"/>
  <c r="U959" i="1"/>
  <c r="AD959" i="1" s="1"/>
  <c r="V887" i="1"/>
  <c r="U887" i="1"/>
  <c r="AD887" i="1" s="1"/>
  <c r="V827" i="1"/>
  <c r="U827" i="1"/>
  <c r="AD827" i="1" s="1"/>
  <c r="V743" i="1"/>
  <c r="U743" i="1"/>
  <c r="AD743" i="1" s="1"/>
  <c r="V659" i="1"/>
  <c r="U659" i="1"/>
  <c r="AD659" i="1" s="1"/>
  <c r="V587" i="1"/>
  <c r="U587" i="1"/>
  <c r="AD587" i="1" s="1"/>
  <c r="V515" i="1"/>
  <c r="U515" i="1"/>
  <c r="AD515" i="1" s="1"/>
  <c r="V419" i="1"/>
  <c r="U419" i="1"/>
  <c r="AD419" i="1" s="1"/>
  <c r="U335" i="1"/>
  <c r="AD335" i="1" s="1"/>
  <c r="V335" i="1"/>
  <c r="V263" i="1"/>
  <c r="U263" i="1"/>
  <c r="AD263" i="1" s="1"/>
  <c r="V167" i="1"/>
  <c r="U167" i="1"/>
  <c r="AD167" i="1" s="1"/>
  <c r="V83" i="1"/>
  <c r="U83" i="1"/>
  <c r="AD83" i="1" s="1"/>
  <c r="U11" i="1"/>
  <c r="AD11" i="1" s="1"/>
  <c r="V11" i="1"/>
  <c r="U1762" i="1"/>
  <c r="AD1762" i="1" s="1"/>
  <c r="V1762" i="1"/>
  <c r="V1630" i="1"/>
  <c r="U1630" i="1"/>
  <c r="AD1630" i="1" s="1"/>
  <c r="V1510" i="1"/>
  <c r="U1510" i="1"/>
  <c r="AD1510" i="1" s="1"/>
  <c r="V1378" i="1"/>
  <c r="U1378" i="1"/>
  <c r="AD1378" i="1" s="1"/>
  <c r="V1270" i="1"/>
  <c r="U1270" i="1"/>
  <c r="AD1270" i="1" s="1"/>
  <c r="U1102" i="1"/>
  <c r="V1102" i="1"/>
  <c r="V886" i="1"/>
  <c r="U886" i="1"/>
  <c r="AD886" i="1" s="1"/>
  <c r="V754" i="1"/>
  <c r="U754" i="1"/>
  <c r="AD754" i="1" s="1"/>
  <c r="V634" i="1"/>
  <c r="U634" i="1"/>
  <c r="AD634" i="1" s="1"/>
  <c r="V526" i="1"/>
  <c r="U526" i="1"/>
  <c r="AD526" i="1" s="1"/>
  <c r="V382" i="1"/>
  <c r="U382" i="1"/>
  <c r="AD382" i="1" s="1"/>
  <c r="V286" i="1"/>
  <c r="U286" i="1"/>
  <c r="AD286" i="1" s="1"/>
  <c r="V178" i="1"/>
  <c r="U178" i="1"/>
  <c r="AD178" i="1" s="1"/>
  <c r="V58" i="1"/>
  <c r="U58" i="1"/>
  <c r="AD58" i="1" s="1"/>
  <c r="V1725" i="1"/>
  <c r="U1725" i="1"/>
  <c r="AD1725" i="1" s="1"/>
  <c r="V1629" i="1"/>
  <c r="U1629" i="1"/>
  <c r="AD1629" i="1" s="1"/>
  <c r="V1521" i="1"/>
  <c r="U1521" i="1"/>
  <c r="AD1521" i="1" s="1"/>
  <c r="V1449" i="1"/>
  <c r="U1449" i="1"/>
  <c r="AD1449" i="1" s="1"/>
  <c r="V1341" i="1"/>
  <c r="U1341" i="1"/>
  <c r="AD1341" i="1" s="1"/>
  <c r="V1245" i="1"/>
  <c r="U1245" i="1"/>
  <c r="AD1245" i="1" s="1"/>
  <c r="U1149" i="1"/>
  <c r="AD1149" i="1" s="1"/>
  <c r="V1149" i="1"/>
  <c r="V1065" i="1"/>
  <c r="U1065" i="1"/>
  <c r="AD1065" i="1" s="1"/>
  <c r="V981" i="1"/>
  <c r="U981" i="1"/>
  <c r="AD981" i="1" s="1"/>
  <c r="V849" i="1"/>
  <c r="U849" i="1"/>
  <c r="AD849" i="1" s="1"/>
  <c r="U717" i="1"/>
  <c r="AD717" i="1" s="1"/>
  <c r="V717" i="1"/>
  <c r="V477" i="1"/>
  <c r="U477" i="1"/>
  <c r="AD477" i="1" s="1"/>
  <c r="V1784" i="1"/>
  <c r="U1784" i="1"/>
  <c r="AD1784" i="1" s="1"/>
  <c r="V1772" i="1"/>
  <c r="U1772" i="1"/>
  <c r="AD1772" i="1" s="1"/>
  <c r="V1760" i="1"/>
  <c r="U1760" i="1"/>
  <c r="AD1760" i="1" s="1"/>
  <c r="U1748" i="1"/>
  <c r="V1748" i="1"/>
  <c r="U1736" i="1"/>
  <c r="AD1736" i="1" s="1"/>
  <c r="V1736" i="1"/>
  <c r="V1724" i="1"/>
  <c r="U1724" i="1"/>
  <c r="AD1724" i="1" s="1"/>
  <c r="V1712" i="1"/>
  <c r="U1712" i="1"/>
  <c r="AD1712" i="1" s="1"/>
  <c r="V1700" i="1"/>
  <c r="U1700" i="1"/>
  <c r="AD1700" i="1" s="1"/>
  <c r="V1688" i="1"/>
  <c r="U1688" i="1"/>
  <c r="AD1688" i="1" s="1"/>
  <c r="V1676" i="1"/>
  <c r="U1676" i="1"/>
  <c r="AD1676" i="1" s="1"/>
  <c r="V1664" i="1"/>
  <c r="U1664" i="1"/>
  <c r="AD1664" i="1" s="1"/>
  <c r="V1652" i="1"/>
  <c r="U1652" i="1"/>
  <c r="AD1652" i="1" s="1"/>
  <c r="V1640" i="1"/>
  <c r="U1640" i="1"/>
  <c r="AD1640" i="1" s="1"/>
  <c r="V1628" i="1"/>
  <c r="U1628" i="1"/>
  <c r="AD1628" i="1" s="1"/>
  <c r="V1616" i="1"/>
  <c r="U1616" i="1"/>
  <c r="AD1616" i="1" s="1"/>
  <c r="V1604" i="1"/>
  <c r="U1604" i="1"/>
  <c r="AD1604" i="1" s="1"/>
  <c r="U1592" i="1"/>
  <c r="AD1592" i="1" s="1"/>
  <c r="V1592" i="1"/>
  <c r="V1580" i="1"/>
  <c r="U1580" i="1"/>
  <c r="AD1580" i="1" s="1"/>
  <c r="V1568" i="1"/>
  <c r="U1568" i="1"/>
  <c r="AD1568" i="1" s="1"/>
  <c r="V1556" i="1"/>
  <c r="U1556" i="1"/>
  <c r="AD1556" i="1" s="1"/>
  <c r="U1544" i="1"/>
  <c r="AD1544" i="1" s="1"/>
  <c r="V1544" i="1"/>
  <c r="V1532" i="1"/>
  <c r="U1532" i="1"/>
  <c r="AD1532" i="1" s="1"/>
  <c r="U1520" i="1"/>
  <c r="AD1520" i="1" s="1"/>
  <c r="V1520" i="1"/>
  <c r="V1508" i="1"/>
  <c r="U1508" i="1"/>
  <c r="AD1508" i="1" s="1"/>
  <c r="V1496" i="1"/>
  <c r="U1496" i="1"/>
  <c r="AD1496" i="1" s="1"/>
  <c r="V1484" i="1"/>
  <c r="U1484" i="1"/>
  <c r="AD1484" i="1" s="1"/>
  <c r="V1472" i="1"/>
  <c r="U1472" i="1"/>
  <c r="AD1472" i="1" s="1"/>
  <c r="U1460" i="1"/>
  <c r="V1460" i="1"/>
  <c r="V1448" i="1"/>
  <c r="U1448" i="1"/>
  <c r="AD1448" i="1" s="1"/>
  <c r="U1436" i="1"/>
  <c r="AD1436" i="1" s="1"/>
  <c r="V1436" i="1"/>
  <c r="V1424" i="1"/>
  <c r="U1424" i="1"/>
  <c r="AD1424" i="1" s="1"/>
  <c r="V1412" i="1"/>
  <c r="U1412" i="1"/>
  <c r="AD1412" i="1" s="1"/>
  <c r="U1400" i="1"/>
  <c r="AD1400" i="1" s="1"/>
  <c r="V1400" i="1"/>
  <c r="V1388" i="1"/>
  <c r="U1388" i="1"/>
  <c r="AD1388" i="1" s="1"/>
  <c r="V1376" i="1"/>
  <c r="U1376" i="1"/>
  <c r="AD1376" i="1" s="1"/>
  <c r="V1364" i="1"/>
  <c r="U1364" i="1"/>
  <c r="AD1364" i="1" s="1"/>
  <c r="V1352" i="1"/>
  <c r="U1352" i="1"/>
  <c r="AD1352" i="1" s="1"/>
  <c r="V1340" i="1"/>
  <c r="U1340" i="1"/>
  <c r="AD1340" i="1" s="1"/>
  <c r="V1328" i="1"/>
  <c r="U1328" i="1"/>
  <c r="AD1328" i="1" s="1"/>
  <c r="V1316" i="1"/>
  <c r="U1316" i="1"/>
  <c r="AD1316" i="1" s="1"/>
  <c r="V1304" i="1"/>
  <c r="U1304" i="1"/>
  <c r="AD1304" i="1" s="1"/>
  <c r="V1292" i="1"/>
  <c r="U1292" i="1"/>
  <c r="AD1292" i="1" s="1"/>
  <c r="V1280" i="1"/>
  <c r="U1280" i="1"/>
  <c r="AD1280" i="1" s="1"/>
  <c r="U1268" i="1"/>
  <c r="AD1268" i="1" s="1"/>
  <c r="V1268" i="1"/>
  <c r="V1256" i="1"/>
  <c r="U1256" i="1"/>
  <c r="AD1256" i="1" s="1"/>
  <c r="V1244" i="1"/>
  <c r="U1244" i="1"/>
  <c r="AD1244" i="1" s="1"/>
  <c r="V1232" i="1"/>
  <c r="U1232" i="1"/>
  <c r="AD1232" i="1" s="1"/>
  <c r="V1220" i="1"/>
  <c r="U1220" i="1"/>
  <c r="AD1220" i="1" s="1"/>
  <c r="V1208" i="1"/>
  <c r="U1208" i="1"/>
  <c r="AD1208" i="1" s="1"/>
  <c r="V1196" i="1"/>
  <c r="U1196" i="1"/>
  <c r="AD1196" i="1" s="1"/>
  <c r="V1184" i="1"/>
  <c r="U1184" i="1"/>
  <c r="AD1184" i="1" s="1"/>
  <c r="V1172" i="1"/>
  <c r="U1172" i="1"/>
  <c r="AD1172" i="1" s="1"/>
  <c r="U1160" i="1"/>
  <c r="AD1160" i="1" s="1"/>
  <c r="V1160" i="1"/>
  <c r="V1148" i="1"/>
  <c r="U1148" i="1"/>
  <c r="AD1148" i="1" s="1"/>
  <c r="V1136" i="1"/>
  <c r="U1136" i="1"/>
  <c r="AD1136" i="1" s="1"/>
  <c r="V1124" i="1"/>
  <c r="U1124" i="1"/>
  <c r="AD1124" i="1" s="1"/>
  <c r="V1112" i="1"/>
  <c r="U1112" i="1"/>
  <c r="AD1112" i="1" s="1"/>
  <c r="V1100" i="1"/>
  <c r="U1100" i="1"/>
  <c r="AD1100" i="1" s="1"/>
  <c r="V1088" i="1"/>
  <c r="U1088" i="1"/>
  <c r="AD1088" i="1" s="1"/>
  <c r="V1076" i="1"/>
  <c r="U1076" i="1"/>
  <c r="AD1076" i="1" s="1"/>
  <c r="V1064" i="1"/>
  <c r="U1064" i="1"/>
  <c r="AD1064" i="1" s="1"/>
  <c r="V1052" i="1"/>
  <c r="U1052" i="1"/>
  <c r="AD1052" i="1" s="1"/>
  <c r="V1040" i="1"/>
  <c r="U1040" i="1"/>
  <c r="AD1040" i="1" s="1"/>
  <c r="V1028" i="1"/>
  <c r="U1028" i="1"/>
  <c r="AD1028" i="1" s="1"/>
  <c r="V1016" i="1"/>
  <c r="U1016" i="1"/>
  <c r="AD1016" i="1" s="1"/>
  <c r="V1004" i="1"/>
  <c r="U1004" i="1"/>
  <c r="AD1004" i="1" s="1"/>
  <c r="U992" i="1"/>
  <c r="AD992" i="1" s="1"/>
  <c r="V992" i="1"/>
  <c r="V980" i="1"/>
  <c r="U980" i="1"/>
  <c r="AD980" i="1" s="1"/>
  <c r="V968" i="1"/>
  <c r="U968" i="1"/>
  <c r="AD968" i="1" s="1"/>
  <c r="V956" i="1"/>
  <c r="U956" i="1"/>
  <c r="AD956" i="1" s="1"/>
  <c r="V944" i="1"/>
  <c r="U944" i="1"/>
  <c r="AD944" i="1" s="1"/>
  <c r="V932" i="1"/>
  <c r="U932" i="1"/>
  <c r="AD932" i="1" s="1"/>
  <c r="V920" i="1"/>
  <c r="U920" i="1"/>
  <c r="AD920" i="1" s="1"/>
  <c r="V908" i="1"/>
  <c r="U908" i="1"/>
  <c r="AD908" i="1" s="1"/>
  <c r="V896" i="1"/>
  <c r="U896" i="1"/>
  <c r="AD896" i="1" s="1"/>
  <c r="U884" i="1"/>
  <c r="AD884" i="1" s="1"/>
  <c r="V884" i="1"/>
  <c r="V872" i="1"/>
  <c r="U872" i="1"/>
  <c r="AD872" i="1" s="1"/>
  <c r="V860" i="1"/>
  <c r="U860" i="1"/>
  <c r="AD860" i="1" s="1"/>
  <c r="U848" i="1"/>
  <c r="AD848" i="1" s="1"/>
  <c r="V848" i="1"/>
  <c r="V836" i="1"/>
  <c r="U836" i="1"/>
  <c r="AD836" i="1" s="1"/>
  <c r="V824" i="1"/>
  <c r="U824" i="1"/>
  <c r="AD824" i="1" s="1"/>
  <c r="V812" i="1"/>
  <c r="U812" i="1"/>
  <c r="AD812" i="1" s="1"/>
  <c r="V800" i="1"/>
  <c r="U800" i="1"/>
  <c r="AD800" i="1" s="1"/>
  <c r="V788" i="1"/>
  <c r="U788" i="1"/>
  <c r="AD788" i="1" s="1"/>
  <c r="U776" i="1"/>
  <c r="AD776" i="1" s="1"/>
  <c r="V776" i="1"/>
  <c r="V764" i="1"/>
  <c r="U764" i="1"/>
  <c r="AD764" i="1" s="1"/>
  <c r="V752" i="1"/>
  <c r="U752" i="1"/>
  <c r="AD752" i="1" s="1"/>
  <c r="V740" i="1"/>
  <c r="U740" i="1"/>
  <c r="AD740" i="1" s="1"/>
  <c r="V728" i="1"/>
  <c r="U728" i="1"/>
  <c r="AD728" i="1" s="1"/>
  <c r="V716" i="1"/>
  <c r="U716" i="1"/>
  <c r="AD716" i="1" s="1"/>
  <c r="U704" i="1"/>
  <c r="AD704" i="1" s="1"/>
  <c r="V704" i="1"/>
  <c r="V692" i="1"/>
  <c r="U692" i="1"/>
  <c r="AD692" i="1" s="1"/>
  <c r="U680" i="1"/>
  <c r="AD680" i="1" s="1"/>
  <c r="V680" i="1"/>
  <c r="V668" i="1"/>
  <c r="U668" i="1"/>
  <c r="AD668" i="1" s="1"/>
  <c r="V656" i="1"/>
  <c r="U656" i="1"/>
  <c r="AD656" i="1" s="1"/>
  <c r="U644" i="1"/>
  <c r="AD644" i="1" s="1"/>
  <c r="V644" i="1"/>
  <c r="V632" i="1"/>
  <c r="U632" i="1"/>
  <c r="AD632" i="1" s="1"/>
  <c r="V620" i="1"/>
  <c r="U620" i="1"/>
  <c r="AD620" i="1" s="1"/>
  <c r="V608" i="1"/>
  <c r="U608" i="1"/>
  <c r="AD608" i="1" s="1"/>
  <c r="U596" i="1"/>
  <c r="AD596" i="1" s="1"/>
  <c r="V596" i="1"/>
  <c r="V584" i="1"/>
  <c r="U584" i="1"/>
  <c r="AD584" i="1" s="1"/>
  <c r="U548" i="1"/>
  <c r="AD548" i="1" s="1"/>
  <c r="V548" i="1"/>
  <c r="U488" i="1"/>
  <c r="AD488" i="1" s="1"/>
  <c r="V464" i="1"/>
  <c r="U440" i="1"/>
  <c r="AD440" i="1" s="1"/>
  <c r="V176" i="1"/>
  <c r="U152" i="1"/>
  <c r="AD152" i="1" s="1"/>
  <c r="U92" i="1"/>
  <c r="AD92" i="1" s="1"/>
  <c r="U44" i="1"/>
  <c r="AD44" i="1" s="1"/>
  <c r="U1764" i="1"/>
  <c r="AD1764" i="1" s="1"/>
  <c r="V1764" i="1"/>
  <c r="V1656" i="1"/>
  <c r="U1656" i="1"/>
  <c r="AD1656" i="1" s="1"/>
  <c r="V1536" i="1"/>
  <c r="U1536" i="1"/>
  <c r="V1404" i="1"/>
  <c r="U1404" i="1"/>
  <c r="AD1404" i="1" s="1"/>
  <c r="V1308" i="1"/>
  <c r="U1308" i="1"/>
  <c r="AD1308" i="1" s="1"/>
  <c r="V1212" i="1"/>
  <c r="U1212" i="1"/>
  <c r="AD1212" i="1" s="1"/>
  <c r="U1128" i="1"/>
  <c r="AD1128" i="1" s="1"/>
  <c r="V1128" i="1"/>
  <c r="V1056" i="1"/>
  <c r="U1056" i="1"/>
  <c r="AD1056" i="1" s="1"/>
  <c r="V960" i="1"/>
  <c r="U960" i="1"/>
  <c r="V864" i="1"/>
  <c r="U864" i="1"/>
  <c r="AD864" i="1" s="1"/>
  <c r="U756" i="1"/>
  <c r="AD756" i="1" s="1"/>
  <c r="V756" i="1"/>
  <c r="V648" i="1"/>
  <c r="U648" i="1"/>
  <c r="AD648" i="1" s="1"/>
  <c r="V552" i="1"/>
  <c r="U552" i="1"/>
  <c r="AD552" i="1" s="1"/>
  <c r="V444" i="1"/>
  <c r="U444" i="1"/>
  <c r="AD444" i="1" s="1"/>
  <c r="V336" i="1"/>
  <c r="U336" i="1"/>
  <c r="V228" i="1"/>
  <c r="U228" i="1"/>
  <c r="AD228" i="1" s="1"/>
  <c r="V132" i="1"/>
  <c r="U132" i="1"/>
  <c r="AD132" i="1" s="1"/>
  <c r="V36" i="1"/>
  <c r="U36" i="1"/>
  <c r="AD36" i="1" s="1"/>
  <c r="V1787" i="1"/>
  <c r="U1787" i="1"/>
  <c r="AD1787" i="1" s="1"/>
  <c r="V1715" i="1"/>
  <c r="U1715" i="1"/>
  <c r="AD1715" i="1" s="1"/>
  <c r="V1583" i="1"/>
  <c r="U1583" i="1"/>
  <c r="V1475" i="1"/>
  <c r="U1475" i="1"/>
  <c r="AD1475" i="1" s="1"/>
  <c r="V1355" i="1"/>
  <c r="U1355" i="1"/>
  <c r="AD1355" i="1" s="1"/>
  <c r="V1259" i="1"/>
  <c r="U1259" i="1"/>
  <c r="AD1259" i="1" s="1"/>
  <c r="V1151" i="1"/>
  <c r="U1151" i="1"/>
  <c r="AD1151" i="1" s="1"/>
  <c r="V1067" i="1"/>
  <c r="U1067" i="1"/>
  <c r="AD1067" i="1" s="1"/>
  <c r="V983" i="1"/>
  <c r="U983" i="1"/>
  <c r="V911" i="1"/>
  <c r="U911" i="1"/>
  <c r="AD911" i="1" s="1"/>
  <c r="V863" i="1"/>
  <c r="U863" i="1"/>
  <c r="AD863" i="1" s="1"/>
  <c r="V791" i="1"/>
  <c r="U791" i="1"/>
  <c r="AD791" i="1" s="1"/>
  <c r="V707" i="1"/>
  <c r="U707" i="1"/>
  <c r="AD707" i="1" s="1"/>
  <c r="V647" i="1"/>
  <c r="U647" i="1"/>
  <c r="AD647" i="1" s="1"/>
  <c r="V575" i="1"/>
  <c r="U575" i="1"/>
  <c r="V491" i="1"/>
  <c r="U491" i="1"/>
  <c r="AD491" i="1" s="1"/>
  <c r="V395" i="1"/>
  <c r="U395" i="1"/>
  <c r="AD395" i="1" s="1"/>
  <c r="V311" i="1"/>
  <c r="U311" i="1"/>
  <c r="AD311" i="1" s="1"/>
  <c r="V227" i="1"/>
  <c r="U227" i="1"/>
  <c r="AD227" i="1" s="1"/>
  <c r="V143" i="1"/>
  <c r="U143" i="1"/>
  <c r="AD143" i="1" s="1"/>
  <c r="V59" i="1"/>
  <c r="U59" i="1"/>
  <c r="U1702" i="1"/>
  <c r="AD1702" i="1" s="1"/>
  <c r="V1702" i="1"/>
  <c r="V1582" i="1"/>
  <c r="U1582" i="1"/>
  <c r="AD1582" i="1" s="1"/>
  <c r="V1474" i="1"/>
  <c r="U1474" i="1"/>
  <c r="AD1474" i="1" s="1"/>
  <c r="V1354" i="1"/>
  <c r="U1354" i="1"/>
  <c r="AD1354" i="1" s="1"/>
  <c r="V1234" i="1"/>
  <c r="U1234" i="1"/>
  <c r="AD1234" i="1" s="1"/>
  <c r="V1114" i="1"/>
  <c r="U1114" i="1"/>
  <c r="V982" i="1"/>
  <c r="U982" i="1"/>
  <c r="AD982" i="1" s="1"/>
  <c r="V850" i="1"/>
  <c r="U850" i="1"/>
  <c r="AD850" i="1" s="1"/>
  <c r="V730" i="1"/>
  <c r="U730" i="1"/>
  <c r="AD730" i="1" s="1"/>
  <c r="V598" i="1"/>
  <c r="U598" i="1"/>
  <c r="AD598" i="1" s="1"/>
  <c r="V478" i="1"/>
  <c r="U478" i="1"/>
  <c r="AD478" i="1" s="1"/>
  <c r="V358" i="1"/>
  <c r="U358" i="1"/>
  <c r="V238" i="1"/>
  <c r="U238" i="1"/>
  <c r="AD238" i="1" s="1"/>
  <c r="V154" i="1"/>
  <c r="U154" i="1"/>
  <c r="AD154" i="1" s="1"/>
  <c r="V34" i="1"/>
  <c r="U34" i="1"/>
  <c r="AD34" i="1" s="1"/>
  <c r="V1557" i="1"/>
  <c r="U1557" i="1"/>
  <c r="AD1557" i="1" s="1"/>
  <c r="V945" i="1"/>
  <c r="U945" i="1"/>
  <c r="AD945" i="1" s="1"/>
  <c r="U1759" i="1"/>
  <c r="AD1759" i="1" s="1"/>
  <c r="U1711" i="1"/>
  <c r="AD1711" i="1" s="1"/>
  <c r="V1699" i="1"/>
  <c r="V1675" i="1"/>
  <c r="V1663" i="1"/>
  <c r="U1603" i="1"/>
  <c r="AD1603" i="1" s="1"/>
  <c r="U1543" i="1"/>
  <c r="AD1543" i="1" s="1"/>
  <c r="V1519" i="1"/>
  <c r="U1507" i="1"/>
  <c r="AD1507" i="1" s="1"/>
  <c r="U1471" i="1"/>
  <c r="AD1471" i="1" s="1"/>
  <c r="U1375" i="1"/>
  <c r="AD1375" i="1" s="1"/>
  <c r="V1267" i="1"/>
  <c r="U1231" i="1"/>
  <c r="AD1231" i="1" s="1"/>
  <c r="V1219" i="1"/>
  <c r="U1099" i="1"/>
  <c r="AD1099" i="1" s="1"/>
  <c r="U943" i="1"/>
  <c r="AD943" i="1" s="1"/>
  <c r="U907" i="1"/>
  <c r="AD907" i="1" s="1"/>
  <c r="U895" i="1"/>
  <c r="AD895" i="1" s="1"/>
  <c r="U859" i="1"/>
  <c r="AD859" i="1" s="1"/>
  <c r="U847" i="1"/>
  <c r="AD847" i="1" s="1"/>
  <c r="U679" i="1"/>
  <c r="AD679" i="1" s="1"/>
  <c r="U631" i="1"/>
  <c r="AD631" i="1" s="1"/>
  <c r="U583" i="1"/>
  <c r="AD583" i="1" s="1"/>
  <c r="U535" i="1"/>
  <c r="AD535" i="1" s="1"/>
  <c r="U487" i="1"/>
  <c r="AD487" i="1" s="1"/>
  <c r="V463" i="1"/>
  <c r="U439" i="1"/>
  <c r="AD439" i="1" s="1"/>
  <c r="U43" i="1"/>
  <c r="AD43" i="1" s="1"/>
  <c r="U1740" i="1"/>
  <c r="AD1740" i="1" s="1"/>
  <c r="V1740" i="1"/>
  <c r="V1632" i="1"/>
  <c r="U1632" i="1"/>
  <c r="AD1632" i="1" s="1"/>
  <c r="V1512" i="1"/>
  <c r="U1512" i="1"/>
  <c r="AD1512" i="1" s="1"/>
  <c r="V1392" i="1"/>
  <c r="U1392" i="1"/>
  <c r="AD1392" i="1" s="1"/>
  <c r="V1284" i="1"/>
  <c r="U1284" i="1"/>
  <c r="V1152" i="1"/>
  <c r="U1152" i="1"/>
  <c r="AD1152" i="1" s="1"/>
  <c r="V1032" i="1"/>
  <c r="U1032" i="1"/>
  <c r="AD1032" i="1" s="1"/>
  <c r="V948" i="1"/>
  <c r="U948" i="1"/>
  <c r="AD948" i="1" s="1"/>
  <c r="V852" i="1"/>
  <c r="U852" i="1"/>
  <c r="AD852" i="1" s="1"/>
  <c r="V768" i="1"/>
  <c r="U768" i="1"/>
  <c r="AD768" i="1" s="1"/>
  <c r="U660" i="1"/>
  <c r="AD660" i="1" s="1"/>
  <c r="V660" i="1"/>
  <c r="V564" i="1"/>
  <c r="U564" i="1"/>
  <c r="AD564" i="1" s="1"/>
  <c r="U468" i="1"/>
  <c r="AD468" i="1" s="1"/>
  <c r="V468" i="1"/>
  <c r="V360" i="1"/>
  <c r="U360" i="1"/>
  <c r="AD360" i="1" s="1"/>
  <c r="V240" i="1"/>
  <c r="U240" i="1"/>
  <c r="AD240" i="1" s="1"/>
  <c r="V168" i="1"/>
  <c r="U168" i="1"/>
  <c r="AD168" i="1" s="1"/>
  <c r="V84" i="1"/>
  <c r="U84" i="1"/>
  <c r="V1751" i="1"/>
  <c r="U1751" i="1"/>
  <c r="AD1751" i="1" s="1"/>
  <c r="V1607" i="1"/>
  <c r="U1607" i="1"/>
  <c r="AD1607" i="1" s="1"/>
  <c r="V1523" i="1"/>
  <c r="U1523" i="1"/>
  <c r="AD1523" i="1" s="1"/>
  <c r="V1451" i="1"/>
  <c r="U1451" i="1"/>
  <c r="AD1451" i="1" s="1"/>
  <c r="V1379" i="1"/>
  <c r="U1379" i="1"/>
  <c r="AD1379" i="1" s="1"/>
  <c r="V1283" i="1"/>
  <c r="U1283" i="1"/>
  <c r="V1175" i="1"/>
  <c r="U1175" i="1"/>
  <c r="AD1175" i="1" s="1"/>
  <c r="V1079" i="1"/>
  <c r="U1079" i="1"/>
  <c r="AD1079" i="1" s="1"/>
  <c r="V1007" i="1"/>
  <c r="U1007" i="1"/>
  <c r="AD1007" i="1" s="1"/>
  <c r="V923" i="1"/>
  <c r="U923" i="1"/>
  <c r="AD923" i="1" s="1"/>
  <c r="V839" i="1"/>
  <c r="U839" i="1"/>
  <c r="AD839" i="1" s="1"/>
  <c r="V755" i="1"/>
  <c r="U755" i="1"/>
  <c r="V695" i="1"/>
  <c r="U695" i="1"/>
  <c r="AD695" i="1" s="1"/>
  <c r="V623" i="1"/>
  <c r="U623" i="1"/>
  <c r="AD623" i="1" s="1"/>
  <c r="V551" i="1"/>
  <c r="U551" i="1"/>
  <c r="AD551" i="1" s="1"/>
  <c r="V479" i="1"/>
  <c r="U479" i="1"/>
  <c r="AD479" i="1" s="1"/>
  <c r="U371" i="1"/>
  <c r="AD371" i="1" s="1"/>
  <c r="V371" i="1"/>
  <c r="U287" i="1"/>
  <c r="AD287" i="1" s="1"/>
  <c r="V287" i="1"/>
  <c r="V215" i="1"/>
  <c r="U215" i="1"/>
  <c r="AD215" i="1" s="1"/>
  <c r="V131" i="1"/>
  <c r="U131" i="1"/>
  <c r="AD131" i="1" s="1"/>
  <c r="V47" i="1"/>
  <c r="U47" i="1"/>
  <c r="AD47" i="1" s="1"/>
  <c r="V1786" i="1"/>
  <c r="U1786" i="1"/>
  <c r="AD1786" i="1" s="1"/>
  <c r="V1714" i="1"/>
  <c r="U1714" i="1"/>
  <c r="AD1714" i="1" s="1"/>
  <c r="V1654" i="1"/>
  <c r="U1654" i="1"/>
  <c r="V1534" i="1"/>
  <c r="U1534" i="1"/>
  <c r="AD1534" i="1" s="1"/>
  <c r="U1402" i="1"/>
  <c r="AD1402" i="1" s="1"/>
  <c r="V1402" i="1"/>
  <c r="V1306" i="1"/>
  <c r="U1306" i="1"/>
  <c r="AD1306" i="1" s="1"/>
  <c r="U1162" i="1"/>
  <c r="AD1162" i="1" s="1"/>
  <c r="V1162" i="1"/>
  <c r="V1066" i="1"/>
  <c r="U1066" i="1"/>
  <c r="AD1066" i="1" s="1"/>
  <c r="U970" i="1"/>
  <c r="AD970" i="1" s="1"/>
  <c r="V970" i="1"/>
  <c r="V838" i="1"/>
  <c r="U838" i="1"/>
  <c r="AD838" i="1" s="1"/>
  <c r="V742" i="1"/>
  <c r="U742" i="1"/>
  <c r="AD742" i="1" s="1"/>
  <c r="V622" i="1"/>
  <c r="U622" i="1"/>
  <c r="AD622" i="1" s="1"/>
  <c r="V514" i="1"/>
  <c r="U514" i="1"/>
  <c r="AD514" i="1" s="1"/>
  <c r="V370" i="1"/>
  <c r="U370" i="1"/>
  <c r="AD370" i="1" s="1"/>
  <c r="V250" i="1"/>
  <c r="U250" i="1"/>
  <c r="V166" i="1"/>
  <c r="U166" i="1"/>
  <c r="AD166" i="1" s="1"/>
  <c r="V82" i="1"/>
  <c r="U82" i="1"/>
  <c r="AD82" i="1" s="1"/>
  <c r="V1677" i="1"/>
  <c r="U1677" i="1"/>
  <c r="AD1677" i="1" s="1"/>
  <c r="V1581" i="1"/>
  <c r="U1581" i="1"/>
  <c r="AD1581" i="1" s="1"/>
  <c r="V1485" i="1"/>
  <c r="U1485" i="1"/>
  <c r="AD1485" i="1" s="1"/>
  <c r="V1389" i="1"/>
  <c r="U1389" i="1"/>
  <c r="V1269" i="1"/>
  <c r="U1269" i="1"/>
  <c r="AD1269" i="1" s="1"/>
  <c r="V1185" i="1"/>
  <c r="U1185" i="1"/>
  <c r="AD1185" i="1" s="1"/>
  <c r="V1125" i="1"/>
  <c r="U1125" i="1"/>
  <c r="AD1125" i="1" s="1"/>
  <c r="V1041" i="1"/>
  <c r="U1041" i="1"/>
  <c r="AD1041" i="1" s="1"/>
  <c r="V921" i="1"/>
  <c r="U921" i="1"/>
  <c r="AD921" i="1" s="1"/>
  <c r="U645" i="1"/>
  <c r="AD645" i="1" s="1"/>
  <c r="V645" i="1"/>
  <c r="V1782" i="1"/>
  <c r="U1782" i="1"/>
  <c r="AD1782" i="1" s="1"/>
  <c r="U1722" i="1"/>
  <c r="AD1722" i="1" s="1"/>
  <c r="V1722" i="1"/>
  <c r="U1650" i="1"/>
  <c r="AD1650" i="1" s="1"/>
  <c r="V1650" i="1"/>
  <c r="V1578" i="1"/>
  <c r="U1578" i="1"/>
  <c r="AD1578" i="1" s="1"/>
  <c r="V1494" i="1"/>
  <c r="U1494" i="1"/>
  <c r="AD1494" i="1" s="1"/>
  <c r="V1446" i="1"/>
  <c r="U1446" i="1"/>
  <c r="V1410" i="1"/>
  <c r="U1410" i="1"/>
  <c r="AD1410" i="1" s="1"/>
  <c r="V1350" i="1"/>
  <c r="U1350" i="1"/>
  <c r="AD1350" i="1" s="1"/>
  <c r="U1290" i="1"/>
  <c r="AD1290" i="1" s="1"/>
  <c r="V1290" i="1"/>
  <c r="V1230" i="1"/>
  <c r="U1230" i="1"/>
  <c r="AD1230" i="1" s="1"/>
  <c r="V1182" i="1"/>
  <c r="U1182" i="1"/>
  <c r="AD1182" i="1" s="1"/>
  <c r="V1146" i="1"/>
  <c r="U1146" i="1"/>
  <c r="V1086" i="1"/>
  <c r="U1086" i="1"/>
  <c r="AD1086" i="1" s="1"/>
  <c r="V1038" i="1"/>
  <c r="U1038" i="1"/>
  <c r="AD1038" i="1" s="1"/>
  <c r="V990" i="1"/>
  <c r="U990" i="1"/>
  <c r="AD990" i="1" s="1"/>
  <c r="U942" i="1"/>
  <c r="AD942" i="1" s="1"/>
  <c r="V942" i="1"/>
  <c r="V882" i="1"/>
  <c r="U882" i="1"/>
  <c r="AD882" i="1" s="1"/>
  <c r="V822" i="1"/>
  <c r="U822" i="1"/>
  <c r="V762" i="1"/>
  <c r="U762" i="1"/>
  <c r="AD762" i="1" s="1"/>
  <c r="V714" i="1"/>
  <c r="U714" i="1"/>
  <c r="AD714" i="1" s="1"/>
  <c r="V666" i="1"/>
  <c r="U666" i="1"/>
  <c r="AD666" i="1" s="1"/>
  <c r="V606" i="1"/>
  <c r="U606" i="1"/>
  <c r="AD606" i="1" s="1"/>
  <c r="V558" i="1"/>
  <c r="U558" i="1"/>
  <c r="AD558" i="1" s="1"/>
  <c r="V522" i="1"/>
  <c r="U522" i="1"/>
  <c r="V474" i="1"/>
  <c r="U474" i="1"/>
  <c r="AD474" i="1" s="1"/>
  <c r="V414" i="1"/>
  <c r="U414" i="1"/>
  <c r="AD414" i="1" s="1"/>
  <c r="V366" i="1"/>
  <c r="U366" i="1"/>
  <c r="AD366" i="1" s="1"/>
  <c r="V306" i="1"/>
  <c r="U306" i="1"/>
  <c r="AD306" i="1" s="1"/>
  <c r="V258" i="1"/>
  <c r="U258" i="1"/>
  <c r="AD258" i="1" s="1"/>
  <c r="V198" i="1"/>
  <c r="U198" i="1"/>
  <c r="V138" i="1"/>
  <c r="U138" i="1"/>
  <c r="AD138" i="1" s="1"/>
  <c r="V90" i="1"/>
  <c r="U90" i="1"/>
  <c r="AD90" i="1" s="1"/>
  <c r="V30" i="1"/>
  <c r="U30" i="1"/>
  <c r="AD30" i="1" s="1"/>
  <c r="U1313" i="1"/>
  <c r="AD1313" i="1" s="1"/>
  <c r="U677" i="1"/>
  <c r="AD677" i="1" s="1"/>
  <c r="V1775" i="1"/>
  <c r="U1775" i="1"/>
  <c r="AD1775" i="1" s="1"/>
  <c r="V1703" i="1"/>
  <c r="U1703" i="1"/>
  <c r="V1691" i="1"/>
  <c r="U1691" i="1"/>
  <c r="AD1691" i="1" s="1"/>
  <c r="V1667" i="1"/>
  <c r="U1667" i="1"/>
  <c r="AD1667" i="1" s="1"/>
  <c r="V1655" i="1"/>
  <c r="U1655" i="1"/>
  <c r="AD1655" i="1" s="1"/>
  <c r="V1595" i="1"/>
  <c r="U1595" i="1"/>
  <c r="AD1595" i="1" s="1"/>
  <c r="V1559" i="1"/>
  <c r="U1559" i="1"/>
  <c r="AD1559" i="1" s="1"/>
  <c r="V1547" i="1"/>
  <c r="U1547" i="1"/>
  <c r="V1499" i="1"/>
  <c r="U1499" i="1"/>
  <c r="AD1499" i="1" s="1"/>
  <c r="V1463" i="1"/>
  <c r="U1463" i="1"/>
  <c r="AD1463" i="1" s="1"/>
  <c r="V1415" i="1"/>
  <c r="U1415" i="1"/>
  <c r="AD1415" i="1" s="1"/>
  <c r="V1391" i="1"/>
  <c r="U1391" i="1"/>
  <c r="AD1391" i="1" s="1"/>
  <c r="V1367" i="1"/>
  <c r="U1367" i="1"/>
  <c r="AD1367" i="1" s="1"/>
  <c r="V1319" i="1"/>
  <c r="U1319" i="1"/>
  <c r="V1295" i="1"/>
  <c r="U1295" i="1"/>
  <c r="AD1295" i="1" s="1"/>
  <c r="V1271" i="1"/>
  <c r="U1271" i="1"/>
  <c r="AD1271" i="1" s="1"/>
  <c r="V1247" i="1"/>
  <c r="U1247" i="1"/>
  <c r="AD1247" i="1" s="1"/>
  <c r="V1187" i="1"/>
  <c r="U1187" i="1"/>
  <c r="AD1187" i="1" s="1"/>
  <c r="V1163" i="1"/>
  <c r="U1163" i="1"/>
  <c r="AD1163" i="1" s="1"/>
  <c r="V1139" i="1"/>
  <c r="U1139" i="1"/>
  <c r="V1091" i="1"/>
  <c r="U1091" i="1"/>
  <c r="AD1091" i="1" s="1"/>
  <c r="V1055" i="1"/>
  <c r="U1055" i="1"/>
  <c r="AD1055" i="1" s="1"/>
  <c r="V995" i="1"/>
  <c r="U995" i="1"/>
  <c r="AD995" i="1" s="1"/>
  <c r="V947" i="1"/>
  <c r="U947" i="1"/>
  <c r="AD947" i="1" s="1"/>
  <c r="V899" i="1"/>
  <c r="U899" i="1"/>
  <c r="AD899" i="1" s="1"/>
  <c r="V851" i="1"/>
  <c r="U851" i="1"/>
  <c r="V815" i="1"/>
  <c r="U815" i="1"/>
  <c r="AD815" i="1" s="1"/>
  <c r="V767" i="1"/>
  <c r="U767" i="1"/>
  <c r="AD767" i="1" s="1"/>
  <c r="V719" i="1"/>
  <c r="U719" i="1"/>
  <c r="AD719" i="1" s="1"/>
  <c r="V683" i="1"/>
  <c r="U683" i="1"/>
  <c r="AD683" i="1" s="1"/>
  <c r="V635" i="1"/>
  <c r="U635" i="1"/>
  <c r="AD635" i="1" s="1"/>
  <c r="V611" i="1"/>
  <c r="U611" i="1"/>
  <c r="V563" i="1"/>
  <c r="U563" i="1"/>
  <c r="AD563" i="1" s="1"/>
  <c r="V527" i="1"/>
  <c r="U527" i="1"/>
  <c r="AD527" i="1" s="1"/>
  <c r="V467" i="1"/>
  <c r="U467" i="1"/>
  <c r="AD467" i="1" s="1"/>
  <c r="V443" i="1"/>
  <c r="U443" i="1"/>
  <c r="AD443" i="1" s="1"/>
  <c r="V407" i="1"/>
  <c r="U407" i="1"/>
  <c r="AD407" i="1" s="1"/>
  <c r="V383" i="1"/>
  <c r="U383" i="1"/>
  <c r="V359" i="1"/>
  <c r="U359" i="1"/>
  <c r="AD359" i="1" s="1"/>
  <c r="V323" i="1"/>
  <c r="U323" i="1"/>
  <c r="AD323" i="1" s="1"/>
  <c r="V299" i="1"/>
  <c r="U299" i="1"/>
  <c r="AD299" i="1" s="1"/>
  <c r="V275" i="1"/>
  <c r="U275" i="1"/>
  <c r="AD275" i="1" s="1"/>
  <c r="V239" i="1"/>
  <c r="U239" i="1"/>
  <c r="AD239" i="1" s="1"/>
  <c r="V203" i="1"/>
  <c r="U203" i="1"/>
  <c r="V179" i="1"/>
  <c r="U179" i="1"/>
  <c r="AD179" i="1" s="1"/>
  <c r="U119" i="1"/>
  <c r="AD119" i="1" s="1"/>
  <c r="V119" i="1"/>
  <c r="V95" i="1"/>
  <c r="U95" i="1"/>
  <c r="AD95" i="1" s="1"/>
  <c r="V71" i="1"/>
  <c r="U71" i="1"/>
  <c r="AD71" i="1" s="1"/>
  <c r="U23" i="1"/>
  <c r="AD23" i="1" s="1"/>
  <c r="V23" i="1"/>
  <c r="U1737" i="1"/>
  <c r="AD1737" i="1" s="1"/>
  <c r="V1737" i="1"/>
  <c r="V1653" i="1"/>
  <c r="U1653" i="1"/>
  <c r="AD1653" i="1" s="1"/>
  <c r="V1605" i="1"/>
  <c r="U1605" i="1"/>
  <c r="AD1605" i="1" s="1"/>
  <c r="V1533" i="1"/>
  <c r="U1533" i="1"/>
  <c r="AD1533" i="1" s="1"/>
  <c r="V1473" i="1"/>
  <c r="U1473" i="1"/>
  <c r="AD1473" i="1" s="1"/>
  <c r="U1401" i="1"/>
  <c r="AD1401" i="1" s="1"/>
  <c r="V1401" i="1"/>
  <c r="U1329" i="1"/>
  <c r="AD1329" i="1" s="1"/>
  <c r="V1329" i="1"/>
  <c r="V1281" i="1"/>
  <c r="U1281" i="1"/>
  <c r="AD1281" i="1" s="1"/>
  <c r="V1221" i="1"/>
  <c r="U1221" i="1"/>
  <c r="AD1221" i="1" s="1"/>
  <c r="U1161" i="1"/>
  <c r="AD1161" i="1" s="1"/>
  <c r="V1161" i="1"/>
  <c r="V1113" i="1"/>
  <c r="U1113" i="1"/>
  <c r="AD1113" i="1" s="1"/>
  <c r="V1053" i="1"/>
  <c r="U1053" i="1"/>
  <c r="AD1053" i="1" s="1"/>
  <c r="U1005" i="1"/>
  <c r="AD1005" i="1" s="1"/>
  <c r="V1005" i="1"/>
  <c r="V957" i="1"/>
  <c r="U957" i="1"/>
  <c r="AD957" i="1" s="1"/>
  <c r="U885" i="1"/>
  <c r="AD885" i="1" s="1"/>
  <c r="V885" i="1"/>
  <c r="V861" i="1"/>
  <c r="U861" i="1"/>
  <c r="AD861" i="1" s="1"/>
  <c r="V825" i="1"/>
  <c r="U825" i="1"/>
  <c r="AD825" i="1" s="1"/>
  <c r="V813" i="1"/>
  <c r="U813" i="1"/>
  <c r="AD813" i="1" s="1"/>
  <c r="V789" i="1"/>
  <c r="U789" i="1"/>
  <c r="V753" i="1"/>
  <c r="U753" i="1"/>
  <c r="AD753" i="1" s="1"/>
  <c r="V729" i="1"/>
  <c r="U729" i="1"/>
  <c r="AD729" i="1" s="1"/>
  <c r="V681" i="1"/>
  <c r="U681" i="1"/>
  <c r="AD681" i="1" s="1"/>
  <c r="V657" i="1"/>
  <c r="U657" i="1"/>
  <c r="AD657" i="1" s="1"/>
  <c r="V621" i="1"/>
  <c r="U621" i="1"/>
  <c r="AD621" i="1" s="1"/>
  <c r="V609" i="1"/>
  <c r="U609" i="1"/>
  <c r="V585" i="1"/>
  <c r="U585" i="1"/>
  <c r="AD585" i="1" s="1"/>
  <c r="U549" i="1"/>
  <c r="AD549" i="1" s="1"/>
  <c r="V549" i="1"/>
  <c r="U525" i="1"/>
  <c r="AD525" i="1" s="1"/>
  <c r="V525" i="1"/>
  <c r="V501" i="1"/>
  <c r="U501" i="1"/>
  <c r="AD501" i="1" s="1"/>
  <c r="V453" i="1"/>
  <c r="U453" i="1"/>
  <c r="AD453" i="1" s="1"/>
  <c r="V1758" i="1"/>
  <c r="U1758" i="1"/>
  <c r="V1710" i="1"/>
  <c r="U1710" i="1"/>
  <c r="AD1710" i="1" s="1"/>
  <c r="V1662" i="1"/>
  <c r="U1662" i="1"/>
  <c r="AD1662" i="1" s="1"/>
  <c r="V1626" i="1"/>
  <c r="U1626" i="1"/>
  <c r="AD1626" i="1" s="1"/>
  <c r="V1566" i="1"/>
  <c r="U1566" i="1"/>
  <c r="AD1566" i="1" s="1"/>
  <c r="U1518" i="1"/>
  <c r="AD1518" i="1" s="1"/>
  <c r="V1518" i="1"/>
  <c r="V1470" i="1"/>
  <c r="U1470" i="1"/>
  <c r="V1422" i="1"/>
  <c r="U1422" i="1"/>
  <c r="AD1422" i="1" s="1"/>
  <c r="V1386" i="1"/>
  <c r="U1386" i="1"/>
  <c r="AD1386" i="1" s="1"/>
  <c r="V1362" i="1"/>
  <c r="U1362" i="1"/>
  <c r="AD1362" i="1" s="1"/>
  <c r="V1314" i="1"/>
  <c r="U1314" i="1"/>
  <c r="AD1314" i="1" s="1"/>
  <c r="V1278" i="1"/>
  <c r="U1278" i="1"/>
  <c r="AD1278" i="1" s="1"/>
  <c r="V1242" i="1"/>
  <c r="U1242" i="1"/>
  <c r="V1206" i="1"/>
  <c r="U1206" i="1"/>
  <c r="AD1206" i="1" s="1"/>
  <c r="U1158" i="1"/>
  <c r="AD1158" i="1" s="1"/>
  <c r="V1158" i="1"/>
  <c r="V1122" i="1"/>
  <c r="U1122" i="1"/>
  <c r="AD1122" i="1" s="1"/>
  <c r="V1098" i="1"/>
  <c r="U1098" i="1"/>
  <c r="AD1098" i="1" s="1"/>
  <c r="V1050" i="1"/>
  <c r="U1050" i="1"/>
  <c r="AD1050" i="1" s="1"/>
  <c r="V1002" i="1"/>
  <c r="U1002" i="1"/>
  <c r="V966" i="1"/>
  <c r="U966" i="1"/>
  <c r="AD966" i="1" s="1"/>
  <c r="V918" i="1"/>
  <c r="U918" i="1"/>
  <c r="AD918" i="1" s="1"/>
  <c r="V894" i="1"/>
  <c r="U894" i="1"/>
  <c r="AD894" i="1" s="1"/>
  <c r="V858" i="1"/>
  <c r="U858" i="1"/>
  <c r="AD858" i="1" s="1"/>
  <c r="V810" i="1"/>
  <c r="U810" i="1"/>
  <c r="AD810" i="1" s="1"/>
  <c r="V786" i="1"/>
  <c r="U786" i="1"/>
  <c r="V750" i="1"/>
  <c r="U750" i="1"/>
  <c r="AD750" i="1" s="1"/>
  <c r="V702" i="1"/>
  <c r="U702" i="1"/>
  <c r="AD702" i="1" s="1"/>
  <c r="V654" i="1"/>
  <c r="U654" i="1"/>
  <c r="AD654" i="1" s="1"/>
  <c r="V618" i="1"/>
  <c r="U618" i="1"/>
  <c r="AD618" i="1" s="1"/>
  <c r="V582" i="1"/>
  <c r="U582" i="1"/>
  <c r="AD582" i="1" s="1"/>
  <c r="V546" i="1"/>
  <c r="U546" i="1"/>
  <c r="V498" i="1"/>
  <c r="U498" i="1"/>
  <c r="AD498" i="1" s="1"/>
  <c r="V462" i="1"/>
  <c r="U462" i="1"/>
  <c r="AD462" i="1" s="1"/>
  <c r="U426" i="1"/>
  <c r="AD426" i="1" s="1"/>
  <c r="V426" i="1"/>
  <c r="V390" i="1"/>
  <c r="U390" i="1"/>
  <c r="AD390" i="1" s="1"/>
  <c r="V342" i="1"/>
  <c r="U342" i="1"/>
  <c r="AD342" i="1" s="1"/>
  <c r="V318" i="1"/>
  <c r="U318" i="1"/>
  <c r="V282" i="1"/>
  <c r="U282" i="1"/>
  <c r="AD282" i="1" s="1"/>
  <c r="V234" i="1"/>
  <c r="U234" i="1"/>
  <c r="AD234" i="1" s="1"/>
  <c r="U222" i="1"/>
  <c r="AD222" i="1" s="1"/>
  <c r="V222" i="1"/>
  <c r="V174" i="1"/>
  <c r="U174" i="1"/>
  <c r="AD174" i="1" s="1"/>
  <c r="V150" i="1"/>
  <c r="U150" i="1"/>
  <c r="AD150" i="1" s="1"/>
  <c r="V102" i="1"/>
  <c r="U102" i="1"/>
  <c r="V78" i="1"/>
  <c r="U78" i="1"/>
  <c r="AD78" i="1" s="1"/>
  <c r="V42" i="1"/>
  <c r="U42" i="1"/>
  <c r="AD42" i="1" s="1"/>
  <c r="V18" i="1"/>
  <c r="U18" i="1"/>
  <c r="AD18" i="1" s="1"/>
  <c r="V1728" i="1"/>
  <c r="U1728" i="1"/>
  <c r="AD1728" i="1" s="1"/>
  <c r="V1608" i="1"/>
  <c r="U1608" i="1"/>
  <c r="AD1608" i="1" s="1"/>
  <c r="U1488" i="1"/>
  <c r="AD1488" i="1" s="1"/>
  <c r="V1488" i="1"/>
  <c r="V1380" i="1"/>
  <c r="U1380" i="1"/>
  <c r="AD1380" i="1" s="1"/>
  <c r="V1248" i="1"/>
  <c r="U1248" i="1"/>
  <c r="AD1248" i="1" s="1"/>
  <c r="V1116" i="1"/>
  <c r="U1116" i="1"/>
  <c r="AD1116" i="1" s="1"/>
  <c r="V1008" i="1"/>
  <c r="U1008" i="1"/>
  <c r="AD1008" i="1" s="1"/>
  <c r="V924" i="1"/>
  <c r="U924" i="1"/>
  <c r="AD924" i="1" s="1"/>
  <c r="V840" i="1"/>
  <c r="U840" i="1"/>
  <c r="U732" i="1"/>
  <c r="AD732" i="1" s="1"/>
  <c r="V732" i="1"/>
  <c r="V612" i="1"/>
  <c r="U612" i="1"/>
  <c r="AD612" i="1" s="1"/>
  <c r="U492" i="1"/>
  <c r="AD492" i="1" s="1"/>
  <c r="V492" i="1"/>
  <c r="U372" i="1"/>
  <c r="AD372" i="1" s="1"/>
  <c r="V372" i="1"/>
  <c r="V276" i="1"/>
  <c r="U276" i="1"/>
  <c r="AD276" i="1" s="1"/>
  <c r="U156" i="1"/>
  <c r="AD156" i="1" s="1"/>
  <c r="V156" i="1"/>
  <c r="V60" i="1"/>
  <c r="U60" i="1"/>
  <c r="AD60" i="1" s="1"/>
  <c r="V1631" i="1"/>
  <c r="U1631" i="1"/>
  <c r="AD1631" i="1" s="1"/>
  <c r="V1199" i="1"/>
  <c r="U1199" i="1"/>
  <c r="AD1199" i="1" s="1"/>
  <c r="V191" i="1"/>
  <c r="U191" i="1"/>
  <c r="AD191" i="1" s="1"/>
  <c r="V1774" i="1"/>
  <c r="U1774" i="1"/>
  <c r="AD1774" i="1" s="1"/>
  <c r="V1678" i="1"/>
  <c r="U1678" i="1"/>
  <c r="U1558" i="1"/>
  <c r="AD1558" i="1" s="1"/>
  <c r="V1558" i="1"/>
  <c r="U1438" i="1"/>
  <c r="AD1438" i="1" s="1"/>
  <c r="V1438" i="1"/>
  <c r="U1318" i="1"/>
  <c r="AD1318" i="1" s="1"/>
  <c r="V1318" i="1"/>
  <c r="V1210" i="1"/>
  <c r="U1210" i="1"/>
  <c r="AD1210" i="1" s="1"/>
  <c r="V1090" i="1"/>
  <c r="U1090" i="1"/>
  <c r="AD1090" i="1" s="1"/>
  <c r="V946" i="1"/>
  <c r="U946" i="1"/>
  <c r="V802" i="1"/>
  <c r="U802" i="1"/>
  <c r="AD802" i="1" s="1"/>
  <c r="V694" i="1"/>
  <c r="U694" i="1"/>
  <c r="AD694" i="1" s="1"/>
  <c r="V586" i="1"/>
  <c r="U586" i="1"/>
  <c r="AD586" i="1" s="1"/>
  <c r="V502" i="1"/>
  <c r="U502" i="1"/>
  <c r="AD502" i="1" s="1"/>
  <c r="V394" i="1"/>
  <c r="U394" i="1"/>
  <c r="AD394" i="1" s="1"/>
  <c r="V298" i="1"/>
  <c r="U298" i="1"/>
  <c r="V214" i="1"/>
  <c r="U214" i="1"/>
  <c r="AD214" i="1" s="1"/>
  <c r="U118" i="1"/>
  <c r="AD118" i="1" s="1"/>
  <c r="V118" i="1"/>
  <c r="V22" i="1"/>
  <c r="U22" i="1"/>
  <c r="AD22" i="1" s="1"/>
  <c r="V1773" i="1"/>
  <c r="U1773" i="1"/>
  <c r="AD1773" i="1" s="1"/>
  <c r="V1689" i="1"/>
  <c r="U1689" i="1"/>
  <c r="AD1689" i="1" s="1"/>
  <c r="U1593" i="1"/>
  <c r="AD1593" i="1" s="1"/>
  <c r="V1593" i="1"/>
  <c r="V1509" i="1"/>
  <c r="U1509" i="1"/>
  <c r="AD1509" i="1" s="1"/>
  <c r="V1425" i="1"/>
  <c r="U1425" i="1"/>
  <c r="AD1425" i="1" s="1"/>
  <c r="V1365" i="1"/>
  <c r="U1365" i="1"/>
  <c r="AD1365" i="1" s="1"/>
  <c r="V1293" i="1"/>
  <c r="U1293" i="1"/>
  <c r="AD1293" i="1" s="1"/>
  <c r="V1209" i="1"/>
  <c r="U1209" i="1"/>
  <c r="AD1209" i="1" s="1"/>
  <c r="V1101" i="1"/>
  <c r="U1101" i="1"/>
  <c r="U969" i="1"/>
  <c r="AD969" i="1" s="1"/>
  <c r="V969" i="1"/>
  <c r="U693" i="1"/>
  <c r="AD693" i="1" s="1"/>
  <c r="V693" i="1"/>
  <c r="V1734" i="1"/>
  <c r="U1734" i="1"/>
  <c r="AD1734" i="1" s="1"/>
  <c r="V1674" i="1"/>
  <c r="U1674" i="1"/>
  <c r="AD1674" i="1" s="1"/>
  <c r="V1590" i="1"/>
  <c r="U1590" i="1"/>
  <c r="AD1590" i="1" s="1"/>
  <c r="U1542" i="1"/>
  <c r="AD1542" i="1" s="1"/>
  <c r="V1542" i="1"/>
  <c r="V1482" i="1"/>
  <c r="U1482" i="1"/>
  <c r="AD1482" i="1" s="1"/>
  <c r="U1434" i="1"/>
  <c r="AD1434" i="1" s="1"/>
  <c r="V1434" i="1"/>
  <c r="V1374" i="1"/>
  <c r="U1374" i="1"/>
  <c r="AD1374" i="1" s="1"/>
  <c r="V1302" i="1"/>
  <c r="U1302" i="1"/>
  <c r="AD1302" i="1" s="1"/>
  <c r="V1254" i="1"/>
  <c r="U1254" i="1"/>
  <c r="AD1254" i="1" s="1"/>
  <c r="V1194" i="1"/>
  <c r="U1194" i="1"/>
  <c r="U1134" i="1"/>
  <c r="AD1134" i="1" s="1"/>
  <c r="V1134" i="1"/>
  <c r="V1074" i="1"/>
  <c r="U1074" i="1"/>
  <c r="AD1074" i="1" s="1"/>
  <c r="V1014" i="1"/>
  <c r="U1014" i="1"/>
  <c r="AD1014" i="1" s="1"/>
  <c r="V978" i="1"/>
  <c r="U978" i="1"/>
  <c r="AD978" i="1" s="1"/>
  <c r="V930" i="1"/>
  <c r="U930" i="1"/>
  <c r="AD930" i="1" s="1"/>
  <c r="V870" i="1"/>
  <c r="U870" i="1"/>
  <c r="V834" i="1"/>
  <c r="U834" i="1"/>
  <c r="AD834" i="1" s="1"/>
  <c r="V774" i="1"/>
  <c r="U774" i="1"/>
  <c r="AD774" i="1" s="1"/>
  <c r="V738" i="1"/>
  <c r="U738" i="1"/>
  <c r="AD738" i="1" s="1"/>
  <c r="V690" i="1"/>
  <c r="U690" i="1"/>
  <c r="AD690" i="1" s="1"/>
  <c r="V642" i="1"/>
  <c r="U642" i="1"/>
  <c r="AD642" i="1" s="1"/>
  <c r="V594" i="1"/>
  <c r="U594" i="1"/>
  <c r="V534" i="1"/>
  <c r="U534" i="1"/>
  <c r="AD534" i="1" s="1"/>
  <c r="V486" i="1"/>
  <c r="U486" i="1"/>
  <c r="AD486" i="1" s="1"/>
  <c r="V438" i="1"/>
  <c r="U438" i="1"/>
  <c r="AD438" i="1" s="1"/>
  <c r="V378" i="1"/>
  <c r="U378" i="1"/>
  <c r="AD378" i="1" s="1"/>
  <c r="V330" i="1"/>
  <c r="U330" i="1"/>
  <c r="AD330" i="1" s="1"/>
  <c r="V270" i="1"/>
  <c r="U270" i="1"/>
  <c r="V186" i="1"/>
  <c r="U186" i="1"/>
  <c r="AD186" i="1" s="1"/>
  <c r="V126" i="1"/>
  <c r="U126" i="1"/>
  <c r="AD126" i="1" s="1"/>
  <c r="V54" i="1"/>
  <c r="U54" i="1"/>
  <c r="AD54" i="1" s="1"/>
  <c r="V1788" i="1"/>
  <c r="U1788" i="1"/>
  <c r="AD1788" i="1" s="1"/>
  <c r="V1704" i="1"/>
  <c r="U1704" i="1"/>
  <c r="AD1704" i="1" s="1"/>
  <c r="V1584" i="1"/>
  <c r="U1584" i="1"/>
  <c r="V1464" i="1"/>
  <c r="U1464" i="1"/>
  <c r="AD1464" i="1" s="1"/>
  <c r="V1356" i="1"/>
  <c r="U1356" i="1"/>
  <c r="AD1356" i="1" s="1"/>
  <c r="V1236" i="1"/>
  <c r="U1236" i="1"/>
  <c r="AD1236" i="1" s="1"/>
  <c r="U1104" i="1"/>
  <c r="AD1104" i="1" s="1"/>
  <c r="V1104" i="1"/>
  <c r="V996" i="1"/>
  <c r="U996" i="1"/>
  <c r="AD996" i="1" s="1"/>
  <c r="V900" i="1"/>
  <c r="U900" i="1"/>
  <c r="V804" i="1"/>
  <c r="U804" i="1"/>
  <c r="AD804" i="1" s="1"/>
  <c r="U684" i="1"/>
  <c r="AD684" i="1" s="1"/>
  <c r="V684" i="1"/>
  <c r="V600" i="1"/>
  <c r="U600" i="1"/>
  <c r="AD600" i="1" s="1"/>
  <c r="V504" i="1"/>
  <c r="U504" i="1"/>
  <c r="AD504" i="1" s="1"/>
  <c r="V408" i="1"/>
  <c r="U408" i="1"/>
  <c r="AD408" i="1" s="1"/>
  <c r="V300" i="1"/>
  <c r="U300" i="1"/>
  <c r="U180" i="1"/>
  <c r="AD180" i="1" s="1"/>
  <c r="V180" i="1"/>
  <c r="V96" i="1"/>
  <c r="U96" i="1"/>
  <c r="AD96" i="1" s="1"/>
  <c r="U12" i="1"/>
  <c r="AD12" i="1" s="1"/>
  <c r="V12" i="1"/>
  <c r="V1763" i="1"/>
  <c r="U1763" i="1"/>
  <c r="AD1763" i="1" s="1"/>
  <c r="V1679" i="1"/>
  <c r="U1679" i="1"/>
  <c r="AD1679" i="1" s="1"/>
  <c r="V1571" i="1"/>
  <c r="U1571" i="1"/>
  <c r="V1511" i="1"/>
  <c r="U1511" i="1"/>
  <c r="AD1511" i="1" s="1"/>
  <c r="V1427" i="1"/>
  <c r="U1427" i="1"/>
  <c r="AD1427" i="1" s="1"/>
  <c r="V1331" i="1"/>
  <c r="U1331" i="1"/>
  <c r="AD1331" i="1" s="1"/>
  <c r="V1211" i="1"/>
  <c r="U1211" i="1"/>
  <c r="AD1211" i="1" s="1"/>
  <c r="V1115" i="1"/>
  <c r="U1115" i="1"/>
  <c r="AD1115" i="1" s="1"/>
  <c r="V1019" i="1"/>
  <c r="U1019" i="1"/>
  <c r="V935" i="1"/>
  <c r="U935" i="1"/>
  <c r="AD935" i="1" s="1"/>
  <c r="V779" i="1"/>
  <c r="U779" i="1"/>
  <c r="AD779" i="1" s="1"/>
  <c r="V431" i="1"/>
  <c r="U431" i="1"/>
  <c r="AD431" i="1" s="1"/>
  <c r="V1726" i="1"/>
  <c r="U1726" i="1"/>
  <c r="AD1726" i="1" s="1"/>
  <c r="V1666" i="1"/>
  <c r="U1666" i="1"/>
  <c r="AD1666" i="1" s="1"/>
  <c r="V1606" i="1"/>
  <c r="U1606" i="1"/>
  <c r="U1486" i="1"/>
  <c r="AD1486" i="1" s="1"/>
  <c r="V1486" i="1"/>
  <c r="V1390" i="1"/>
  <c r="U1390" i="1"/>
  <c r="AD1390" i="1" s="1"/>
  <c r="V1282" i="1"/>
  <c r="U1282" i="1"/>
  <c r="AD1282" i="1" s="1"/>
  <c r="V1174" i="1"/>
  <c r="U1174" i="1"/>
  <c r="AD1174" i="1" s="1"/>
  <c r="V1054" i="1"/>
  <c r="U1054" i="1"/>
  <c r="AD1054" i="1" s="1"/>
  <c r="U922" i="1"/>
  <c r="AD922" i="1" s="1"/>
  <c r="V922" i="1"/>
  <c r="V790" i="1"/>
  <c r="U790" i="1"/>
  <c r="AD790" i="1" s="1"/>
  <c r="V646" i="1"/>
  <c r="U646" i="1"/>
  <c r="AD646" i="1" s="1"/>
  <c r="V538" i="1"/>
  <c r="U538" i="1"/>
  <c r="AD538" i="1" s="1"/>
  <c r="V430" i="1"/>
  <c r="U430" i="1"/>
  <c r="AD430" i="1" s="1"/>
  <c r="V322" i="1"/>
  <c r="U322" i="1"/>
  <c r="AD322" i="1" s="1"/>
  <c r="V202" i="1"/>
  <c r="U202" i="1"/>
  <c r="V106" i="1"/>
  <c r="U106" i="1"/>
  <c r="AD106" i="1" s="1"/>
  <c r="U1761" i="1"/>
  <c r="AD1761" i="1" s="1"/>
  <c r="V1761" i="1"/>
  <c r="V1665" i="1"/>
  <c r="U1665" i="1"/>
  <c r="AD1665" i="1" s="1"/>
  <c r="V1569" i="1"/>
  <c r="U1569" i="1"/>
  <c r="AD1569" i="1" s="1"/>
  <c r="V1461" i="1"/>
  <c r="U1461" i="1"/>
  <c r="AD1461" i="1" s="1"/>
  <c r="V1353" i="1"/>
  <c r="U1353" i="1"/>
  <c r="U1257" i="1"/>
  <c r="AD1257" i="1" s="1"/>
  <c r="V1257" i="1"/>
  <c r="V1173" i="1"/>
  <c r="U1173" i="1"/>
  <c r="AD1173" i="1" s="1"/>
  <c r="V1077" i="1"/>
  <c r="U1077" i="1"/>
  <c r="AD1077" i="1" s="1"/>
  <c r="V1017" i="1"/>
  <c r="U1017" i="1"/>
  <c r="AD1017" i="1" s="1"/>
  <c r="V909" i="1"/>
  <c r="U909" i="1"/>
  <c r="AD909" i="1" s="1"/>
  <c r="V777" i="1"/>
  <c r="U777" i="1"/>
  <c r="V465" i="1"/>
  <c r="U465" i="1"/>
  <c r="AD465" i="1" s="1"/>
  <c r="V1770" i="1"/>
  <c r="U1770" i="1"/>
  <c r="AD1770" i="1" s="1"/>
  <c r="V1686" i="1"/>
  <c r="U1686" i="1"/>
  <c r="AD1686" i="1" s="1"/>
  <c r="V1614" i="1"/>
  <c r="U1614" i="1"/>
  <c r="AD1614" i="1" s="1"/>
  <c r="V1530" i="1"/>
  <c r="U1530" i="1"/>
  <c r="AD1530" i="1" s="1"/>
  <c r="V1458" i="1"/>
  <c r="U1458" i="1"/>
  <c r="V1398" i="1"/>
  <c r="U1398" i="1"/>
  <c r="AD1398" i="1" s="1"/>
  <c r="V1338" i="1"/>
  <c r="U1338" i="1"/>
  <c r="AD1338" i="1" s="1"/>
  <c r="U1266" i="1"/>
  <c r="AD1266" i="1" s="1"/>
  <c r="V1266" i="1"/>
  <c r="V1218" i="1"/>
  <c r="U1218" i="1"/>
  <c r="AD1218" i="1" s="1"/>
  <c r="V1170" i="1"/>
  <c r="U1170" i="1"/>
  <c r="AD1170" i="1" s="1"/>
  <c r="V1110" i="1"/>
  <c r="U1110" i="1"/>
  <c r="V1062" i="1"/>
  <c r="U1062" i="1"/>
  <c r="AD1062" i="1" s="1"/>
  <c r="V1026" i="1"/>
  <c r="U1026" i="1"/>
  <c r="AD1026" i="1" s="1"/>
  <c r="V954" i="1"/>
  <c r="U954" i="1"/>
  <c r="AD954" i="1" s="1"/>
  <c r="V906" i="1"/>
  <c r="U906" i="1"/>
  <c r="AD906" i="1" s="1"/>
  <c r="V846" i="1"/>
  <c r="U846" i="1"/>
  <c r="AD846" i="1" s="1"/>
  <c r="V798" i="1"/>
  <c r="U798" i="1"/>
  <c r="V726" i="1"/>
  <c r="U726" i="1"/>
  <c r="AD726" i="1" s="1"/>
  <c r="U678" i="1"/>
  <c r="AD678" i="1" s="1"/>
  <c r="V678" i="1"/>
  <c r="V630" i="1"/>
  <c r="U630" i="1"/>
  <c r="AD630" i="1" s="1"/>
  <c r="V570" i="1"/>
  <c r="U570" i="1"/>
  <c r="AD570" i="1" s="1"/>
  <c r="V510" i="1"/>
  <c r="U510" i="1"/>
  <c r="AD510" i="1" s="1"/>
  <c r="V450" i="1"/>
  <c r="U450" i="1"/>
  <c r="V402" i="1"/>
  <c r="U402" i="1"/>
  <c r="AD402" i="1" s="1"/>
  <c r="V354" i="1"/>
  <c r="U354" i="1"/>
  <c r="AD354" i="1" s="1"/>
  <c r="V294" i="1"/>
  <c r="U294" i="1"/>
  <c r="AD294" i="1" s="1"/>
  <c r="V246" i="1"/>
  <c r="U246" i="1"/>
  <c r="AD246" i="1" s="1"/>
  <c r="V210" i="1"/>
  <c r="U210" i="1"/>
  <c r="AD210" i="1" s="1"/>
  <c r="V162" i="1"/>
  <c r="U162" i="1"/>
  <c r="V114" i="1"/>
  <c r="U114" i="1"/>
  <c r="AD114" i="1" s="1"/>
  <c r="V66" i="1"/>
  <c r="U66" i="1"/>
  <c r="AD66" i="1" s="1"/>
  <c r="V6" i="1"/>
  <c r="U6" i="1"/>
  <c r="AD6" i="1" s="1"/>
  <c r="U1658" i="1"/>
  <c r="AD1658" i="1" s="1"/>
  <c r="V1646" i="1"/>
  <c r="U1610" i="1"/>
  <c r="AD1610" i="1" s="1"/>
  <c r="V1598" i="1"/>
  <c r="U1562" i="1"/>
  <c r="AD1562" i="1" s="1"/>
  <c r="U1550" i="1"/>
  <c r="AD1550" i="1" s="1"/>
  <c r="U1490" i="1"/>
  <c r="AD1490" i="1" s="1"/>
  <c r="V1466" i="1"/>
  <c r="U1454" i="1"/>
  <c r="AD1454" i="1" s="1"/>
  <c r="U1442" i="1"/>
  <c r="AD1442" i="1" s="1"/>
  <c r="U1430" i="1"/>
  <c r="AD1430" i="1" s="1"/>
  <c r="U1406" i="1"/>
  <c r="AD1406" i="1" s="1"/>
  <c r="V1358" i="1"/>
  <c r="U1346" i="1"/>
  <c r="AD1346" i="1" s="1"/>
  <c r="U1334" i="1"/>
  <c r="AD1334" i="1" s="1"/>
  <c r="U1082" i="1"/>
  <c r="AD1082" i="1" s="1"/>
  <c r="U866" i="1"/>
  <c r="AD866" i="1" s="1"/>
  <c r="V854" i="1"/>
  <c r="U818" i="1"/>
  <c r="AD818" i="1" s="1"/>
  <c r="V758" i="1"/>
  <c r="U722" i="1"/>
  <c r="AD722" i="1" s="1"/>
  <c r="V686" i="1"/>
  <c r="U674" i="1"/>
  <c r="AD674" i="1" s="1"/>
  <c r="V626" i="1"/>
  <c r="U602" i="1"/>
  <c r="AD602" i="1" s="1"/>
  <c r="V590" i="1"/>
  <c r="U554" i="1"/>
  <c r="AD554" i="1" s="1"/>
  <c r="V530" i="1"/>
  <c r="U506" i="1"/>
  <c r="AD506" i="1" s="1"/>
  <c r="U482" i="1"/>
  <c r="AD482" i="1" s="1"/>
  <c r="U422" i="1"/>
  <c r="AD422" i="1" s="1"/>
  <c r="U1750" i="1"/>
  <c r="AD1750" i="1" s="1"/>
  <c r="V1750" i="1"/>
  <c r="V1690" i="1"/>
  <c r="U1690" i="1"/>
  <c r="AD1690" i="1" s="1"/>
  <c r="V1642" i="1"/>
  <c r="U1642" i="1"/>
  <c r="AD1642" i="1" s="1"/>
  <c r="V1618" i="1"/>
  <c r="U1618" i="1"/>
  <c r="AD1618" i="1" s="1"/>
  <c r="V1570" i="1"/>
  <c r="U1570" i="1"/>
  <c r="AD1570" i="1" s="1"/>
  <c r="V1546" i="1"/>
  <c r="U1546" i="1"/>
  <c r="AD1546" i="1" s="1"/>
  <c r="V1522" i="1"/>
  <c r="U1522" i="1"/>
  <c r="AD1522" i="1" s="1"/>
  <c r="V1498" i="1"/>
  <c r="U1498" i="1"/>
  <c r="AD1498" i="1" s="1"/>
  <c r="V1462" i="1"/>
  <c r="U1462" i="1"/>
  <c r="AD1462" i="1" s="1"/>
  <c r="V1426" i="1"/>
  <c r="U1426" i="1"/>
  <c r="AD1426" i="1" s="1"/>
  <c r="V1414" i="1"/>
  <c r="U1414" i="1"/>
  <c r="AD1414" i="1" s="1"/>
  <c r="V1366" i="1"/>
  <c r="U1366" i="1"/>
  <c r="AD1366" i="1" s="1"/>
  <c r="U1342" i="1"/>
  <c r="AD1342" i="1" s="1"/>
  <c r="V1342" i="1"/>
  <c r="V1294" i="1"/>
  <c r="U1294" i="1"/>
  <c r="AD1294" i="1" s="1"/>
  <c r="U1258" i="1"/>
  <c r="V1258" i="1"/>
  <c r="V1246" i="1"/>
  <c r="U1246" i="1"/>
  <c r="AD1246" i="1" s="1"/>
  <c r="V1222" i="1"/>
  <c r="U1222" i="1"/>
  <c r="AD1222" i="1" s="1"/>
  <c r="V1186" i="1"/>
  <c r="U1186" i="1"/>
  <c r="AD1186" i="1" s="1"/>
  <c r="V1150" i="1"/>
  <c r="U1150" i="1"/>
  <c r="AD1150" i="1" s="1"/>
  <c r="V1138" i="1"/>
  <c r="U1138" i="1"/>
  <c r="AD1138" i="1" s="1"/>
  <c r="V1126" i="1"/>
  <c r="U1126" i="1"/>
  <c r="AD1126" i="1" s="1"/>
  <c r="V1078" i="1"/>
  <c r="U1078" i="1"/>
  <c r="AD1078" i="1" s="1"/>
  <c r="V1030" i="1"/>
  <c r="U1030" i="1"/>
  <c r="AD1030" i="1" s="1"/>
  <c r="U1018" i="1"/>
  <c r="AD1018" i="1" s="1"/>
  <c r="V1018" i="1"/>
  <c r="V1006" i="1"/>
  <c r="U1006" i="1"/>
  <c r="AD1006" i="1" s="1"/>
  <c r="U994" i="1"/>
  <c r="AD994" i="1" s="1"/>
  <c r="V994" i="1"/>
  <c r="V958" i="1"/>
  <c r="U958" i="1"/>
  <c r="AD958" i="1" s="1"/>
  <c r="V934" i="1"/>
  <c r="U934" i="1"/>
  <c r="AD934" i="1" s="1"/>
  <c r="V898" i="1"/>
  <c r="U898" i="1"/>
  <c r="AD898" i="1" s="1"/>
  <c r="V874" i="1"/>
  <c r="U874" i="1"/>
  <c r="AD874" i="1" s="1"/>
  <c r="V862" i="1"/>
  <c r="U862" i="1"/>
  <c r="AD862" i="1" s="1"/>
  <c r="V826" i="1"/>
  <c r="U826" i="1"/>
  <c r="AD826" i="1" s="1"/>
  <c r="V814" i="1"/>
  <c r="U814" i="1"/>
  <c r="AD814" i="1" s="1"/>
  <c r="V766" i="1"/>
  <c r="U766" i="1"/>
  <c r="AD766" i="1" s="1"/>
  <c r="V718" i="1"/>
  <c r="U718" i="1"/>
  <c r="AD718" i="1" s="1"/>
  <c r="V706" i="1"/>
  <c r="U706" i="1"/>
  <c r="AD706" i="1" s="1"/>
  <c r="V682" i="1"/>
  <c r="U682" i="1"/>
  <c r="AD682" i="1" s="1"/>
  <c r="V658" i="1"/>
  <c r="U658" i="1"/>
  <c r="AD658" i="1" s="1"/>
  <c r="V610" i="1"/>
  <c r="U610" i="1"/>
  <c r="AD610" i="1" s="1"/>
  <c r="V574" i="1"/>
  <c r="U574" i="1"/>
  <c r="AD574" i="1" s="1"/>
  <c r="V550" i="1"/>
  <c r="U550" i="1"/>
  <c r="AD550" i="1" s="1"/>
  <c r="V490" i="1"/>
  <c r="U490" i="1"/>
  <c r="AD490" i="1" s="1"/>
  <c r="V466" i="1"/>
  <c r="U466" i="1"/>
  <c r="AD466" i="1" s="1"/>
  <c r="V454" i="1"/>
  <c r="U454" i="1"/>
  <c r="AD454" i="1" s="1"/>
  <c r="V442" i="1"/>
  <c r="U442" i="1"/>
  <c r="AD442" i="1" s="1"/>
  <c r="U418" i="1"/>
  <c r="AD418" i="1" s="1"/>
  <c r="V418" i="1"/>
  <c r="V346" i="1"/>
  <c r="U346" i="1"/>
  <c r="AD346" i="1" s="1"/>
  <c r="U334" i="1"/>
  <c r="AD334" i="1" s="1"/>
  <c r="V334" i="1"/>
  <c r="V310" i="1"/>
  <c r="U310" i="1"/>
  <c r="AD310" i="1" s="1"/>
  <c r="V274" i="1"/>
  <c r="U274" i="1"/>
  <c r="AD274" i="1" s="1"/>
  <c r="V226" i="1"/>
  <c r="U226" i="1"/>
  <c r="AD226" i="1" s="1"/>
  <c r="U190" i="1"/>
  <c r="AD190" i="1" s="1"/>
  <c r="V190" i="1"/>
  <c r="V142" i="1"/>
  <c r="U142" i="1"/>
  <c r="AD142" i="1" s="1"/>
  <c r="V94" i="1"/>
  <c r="U94" i="1"/>
  <c r="AD94" i="1" s="1"/>
  <c r="V70" i="1"/>
  <c r="U70" i="1"/>
  <c r="AD70" i="1" s="1"/>
  <c r="V46" i="1"/>
  <c r="U46" i="1"/>
  <c r="AD46" i="1" s="1"/>
  <c r="V10" i="1"/>
  <c r="U10" i="1"/>
  <c r="AD10" i="1" s="1"/>
  <c r="V1785" i="1"/>
  <c r="U1785" i="1"/>
  <c r="AD1785" i="1" s="1"/>
  <c r="U1749" i="1"/>
  <c r="AD1749" i="1" s="1"/>
  <c r="V1749" i="1"/>
  <c r="V1713" i="1"/>
  <c r="U1713" i="1"/>
  <c r="AD1713" i="1" s="1"/>
  <c r="V1641" i="1"/>
  <c r="U1641" i="1"/>
  <c r="AD1641" i="1" s="1"/>
  <c r="U1617" i="1"/>
  <c r="AD1617" i="1" s="1"/>
  <c r="V1617" i="1"/>
  <c r="V1545" i="1"/>
  <c r="U1545" i="1"/>
  <c r="AD1545" i="1" s="1"/>
  <c r="V1497" i="1"/>
  <c r="U1497" i="1"/>
  <c r="AD1497" i="1" s="1"/>
  <c r="U1437" i="1"/>
  <c r="AD1437" i="1" s="1"/>
  <c r="V1437" i="1"/>
  <c r="V1413" i="1"/>
  <c r="U1413" i="1"/>
  <c r="AD1413" i="1" s="1"/>
  <c r="V1377" i="1"/>
  <c r="U1377" i="1"/>
  <c r="AD1377" i="1" s="1"/>
  <c r="V1305" i="1"/>
  <c r="U1305" i="1"/>
  <c r="AD1305" i="1" s="1"/>
  <c r="V1233" i="1"/>
  <c r="U1233" i="1"/>
  <c r="AD1233" i="1" s="1"/>
  <c r="V1197" i="1"/>
  <c r="U1197" i="1"/>
  <c r="AD1197" i="1" s="1"/>
  <c r="V1137" i="1"/>
  <c r="U1137" i="1"/>
  <c r="AD1137" i="1" s="1"/>
  <c r="V1089" i="1"/>
  <c r="U1089" i="1"/>
  <c r="AD1089" i="1" s="1"/>
  <c r="V1029" i="1"/>
  <c r="U1029" i="1"/>
  <c r="AD1029" i="1" s="1"/>
  <c r="V993" i="1"/>
  <c r="U993" i="1"/>
  <c r="AD993" i="1" s="1"/>
  <c r="V933" i="1"/>
  <c r="U933" i="1"/>
  <c r="AD933" i="1" s="1"/>
  <c r="V897" i="1"/>
  <c r="U897" i="1"/>
  <c r="AD897" i="1" s="1"/>
  <c r="V873" i="1"/>
  <c r="U873" i="1"/>
  <c r="AD873" i="1" s="1"/>
  <c r="U837" i="1"/>
  <c r="AD837" i="1" s="1"/>
  <c r="V837" i="1"/>
  <c r="V801" i="1"/>
  <c r="U801" i="1"/>
  <c r="AD801" i="1" s="1"/>
  <c r="V765" i="1"/>
  <c r="U765" i="1"/>
  <c r="AD765" i="1" s="1"/>
  <c r="V741" i="1"/>
  <c r="U741" i="1"/>
  <c r="AD741" i="1" s="1"/>
  <c r="V705" i="1"/>
  <c r="U705" i="1"/>
  <c r="AD705" i="1" s="1"/>
  <c r="V669" i="1"/>
  <c r="U669" i="1"/>
  <c r="AD669" i="1" s="1"/>
  <c r="V633" i="1"/>
  <c r="U633" i="1"/>
  <c r="AD633" i="1" s="1"/>
  <c r="V597" i="1"/>
  <c r="U597" i="1"/>
  <c r="AD597" i="1" s="1"/>
  <c r="V561" i="1"/>
  <c r="U561" i="1"/>
  <c r="AD561" i="1" s="1"/>
  <c r="V537" i="1"/>
  <c r="U537" i="1"/>
  <c r="AD537" i="1" s="1"/>
  <c r="V513" i="1"/>
  <c r="U513" i="1"/>
  <c r="AD513" i="1" s="1"/>
  <c r="V489" i="1"/>
  <c r="U489" i="1"/>
  <c r="AD489" i="1" s="1"/>
  <c r="V441" i="1"/>
  <c r="U441" i="1"/>
  <c r="AD441" i="1" s="1"/>
  <c r="U1746" i="1"/>
  <c r="AD1746" i="1" s="1"/>
  <c r="V1746" i="1"/>
  <c r="V1698" i="1"/>
  <c r="U1698" i="1"/>
  <c r="AD1698" i="1" s="1"/>
  <c r="V1638" i="1"/>
  <c r="U1638" i="1"/>
  <c r="AD1638" i="1" s="1"/>
  <c r="V1602" i="1"/>
  <c r="U1602" i="1"/>
  <c r="AD1602" i="1" s="1"/>
  <c r="V1554" i="1"/>
  <c r="U1554" i="1"/>
  <c r="AD1554" i="1" s="1"/>
  <c r="U1506" i="1"/>
  <c r="AD1506" i="1" s="1"/>
  <c r="V1506" i="1"/>
  <c r="V1326" i="1"/>
  <c r="U1326" i="1"/>
  <c r="AD1326" i="1" s="1"/>
  <c r="U1789" i="1"/>
  <c r="AD1789" i="1" s="1"/>
  <c r="V1789" i="1"/>
  <c r="V1777" i="1"/>
  <c r="U1777" i="1"/>
  <c r="AD1777" i="1" s="1"/>
  <c r="V1765" i="1"/>
  <c r="U1765" i="1"/>
  <c r="AD1765" i="1" s="1"/>
  <c r="V1753" i="1"/>
  <c r="U1753" i="1"/>
  <c r="AD1753" i="1" s="1"/>
  <c r="V1741" i="1"/>
  <c r="U1741" i="1"/>
  <c r="AD1741" i="1" s="1"/>
  <c r="V1729" i="1"/>
  <c r="U1729" i="1"/>
  <c r="AD1729" i="1" s="1"/>
  <c r="V1717" i="1"/>
  <c r="U1717" i="1"/>
  <c r="AD1717" i="1" s="1"/>
  <c r="V1705" i="1"/>
  <c r="U1705" i="1"/>
  <c r="AD1705" i="1" s="1"/>
  <c r="V1693" i="1"/>
  <c r="U1693" i="1"/>
  <c r="AD1693" i="1" s="1"/>
  <c r="U1681" i="1"/>
  <c r="AD1681" i="1" s="1"/>
  <c r="V1681" i="1"/>
  <c r="V1669" i="1"/>
  <c r="U1669" i="1"/>
  <c r="AD1669" i="1" s="1"/>
  <c r="V1657" i="1"/>
  <c r="U1657" i="1"/>
  <c r="AD1657" i="1" s="1"/>
  <c r="V1645" i="1"/>
  <c r="U1645" i="1"/>
  <c r="AD1645" i="1" s="1"/>
  <c r="V1633" i="1"/>
  <c r="U1633" i="1"/>
  <c r="AD1633" i="1" s="1"/>
  <c r="V1621" i="1"/>
  <c r="U1621" i="1"/>
  <c r="AD1621" i="1" s="1"/>
  <c r="V1609" i="1"/>
  <c r="U1609" i="1"/>
  <c r="AD1609" i="1" s="1"/>
  <c r="U1597" i="1"/>
  <c r="AD1597" i="1" s="1"/>
  <c r="V1597" i="1"/>
  <c r="V1585" i="1"/>
  <c r="U1585" i="1"/>
  <c r="AD1585" i="1" s="1"/>
  <c r="U1573" i="1"/>
  <c r="AD1573" i="1" s="1"/>
  <c r="V1573" i="1"/>
  <c r="V1561" i="1"/>
  <c r="U1561" i="1"/>
  <c r="AD1561" i="1" s="1"/>
  <c r="V1549" i="1"/>
  <c r="U1549" i="1"/>
  <c r="AD1549" i="1" s="1"/>
  <c r="V1537" i="1"/>
  <c r="U1537" i="1"/>
  <c r="AD1537" i="1" s="1"/>
  <c r="V1525" i="1"/>
  <c r="U1525" i="1"/>
  <c r="AD1525" i="1" s="1"/>
  <c r="U1513" i="1"/>
  <c r="AD1513" i="1" s="1"/>
  <c r="V1513" i="1"/>
  <c r="V1501" i="1"/>
  <c r="U1501" i="1"/>
  <c r="AD1501" i="1" s="1"/>
  <c r="U1489" i="1"/>
  <c r="AD1489" i="1" s="1"/>
  <c r="V1489" i="1"/>
  <c r="V1477" i="1"/>
  <c r="U1477" i="1"/>
  <c r="AD1477" i="1" s="1"/>
  <c r="V1465" i="1"/>
  <c r="U1465" i="1"/>
  <c r="AD1465" i="1" s="1"/>
  <c r="V1453" i="1"/>
  <c r="U1453" i="1"/>
  <c r="AD1453" i="1" s="1"/>
  <c r="U1441" i="1"/>
  <c r="AD1441" i="1" s="1"/>
  <c r="V1441" i="1"/>
  <c r="V1429" i="1"/>
  <c r="U1429" i="1"/>
  <c r="AD1429" i="1" s="1"/>
  <c r="V1417" i="1"/>
  <c r="U1417" i="1"/>
  <c r="AD1417" i="1" s="1"/>
  <c r="V1405" i="1"/>
  <c r="U1405" i="1"/>
  <c r="AD1405" i="1" s="1"/>
  <c r="V1393" i="1"/>
  <c r="U1393" i="1"/>
  <c r="AD1393" i="1" s="1"/>
  <c r="V1381" i="1"/>
  <c r="U1381" i="1"/>
  <c r="AD1381" i="1" s="1"/>
  <c r="U1369" i="1"/>
  <c r="AD1369" i="1" s="1"/>
  <c r="V1369" i="1"/>
  <c r="U1357" i="1"/>
  <c r="AD1357" i="1" s="1"/>
  <c r="V1357" i="1"/>
  <c r="U1345" i="1"/>
  <c r="V1345" i="1"/>
  <c r="V1333" i="1"/>
  <c r="U1333" i="1"/>
  <c r="AD1333" i="1" s="1"/>
  <c r="U1321" i="1"/>
  <c r="AD1321" i="1" s="1"/>
  <c r="V1321" i="1"/>
  <c r="V1309" i="1"/>
  <c r="U1309" i="1"/>
  <c r="AD1309" i="1" s="1"/>
  <c r="V1297" i="1"/>
  <c r="U1297" i="1"/>
  <c r="AD1297" i="1" s="1"/>
  <c r="V1285" i="1"/>
  <c r="U1285" i="1"/>
  <c r="AD1285" i="1" s="1"/>
  <c r="V1273" i="1"/>
  <c r="U1273" i="1"/>
  <c r="AD1273" i="1" s="1"/>
  <c r="V1261" i="1"/>
  <c r="U1261" i="1"/>
  <c r="AD1261" i="1" s="1"/>
  <c r="V1249" i="1"/>
  <c r="U1249" i="1"/>
  <c r="AD1249" i="1" s="1"/>
  <c r="V1237" i="1"/>
  <c r="U1237" i="1"/>
  <c r="AD1237" i="1" s="1"/>
  <c r="U1225" i="1"/>
  <c r="AD1225" i="1" s="1"/>
  <c r="V1225" i="1"/>
  <c r="V1213" i="1"/>
  <c r="U1213" i="1"/>
  <c r="AD1213" i="1" s="1"/>
  <c r="U1201" i="1"/>
  <c r="V1201" i="1"/>
  <c r="V1189" i="1"/>
  <c r="U1189" i="1"/>
  <c r="AD1189" i="1" s="1"/>
  <c r="V1177" i="1"/>
  <c r="U1177" i="1"/>
  <c r="AD1177" i="1" s="1"/>
  <c r="V1165" i="1"/>
  <c r="U1165" i="1"/>
  <c r="AD1165" i="1" s="1"/>
  <c r="V1153" i="1"/>
  <c r="U1153" i="1"/>
  <c r="AD1153" i="1" s="1"/>
  <c r="V1141" i="1"/>
  <c r="U1141" i="1"/>
  <c r="AD1141" i="1" s="1"/>
  <c r="V1129" i="1"/>
  <c r="U1129" i="1"/>
  <c r="AD1129" i="1" s="1"/>
  <c r="V1117" i="1"/>
  <c r="U1117" i="1"/>
  <c r="AD1117" i="1" s="1"/>
  <c r="V1105" i="1"/>
  <c r="U1105" i="1"/>
  <c r="AD1105" i="1" s="1"/>
  <c r="V1093" i="1"/>
  <c r="U1093" i="1"/>
  <c r="AD1093" i="1" s="1"/>
  <c r="V1081" i="1"/>
  <c r="U1081" i="1"/>
  <c r="AD1081" i="1" s="1"/>
  <c r="V1069" i="1"/>
  <c r="U1069" i="1"/>
  <c r="AD1069" i="1" s="1"/>
  <c r="U1057" i="1"/>
  <c r="V1057" i="1"/>
  <c r="V1045" i="1"/>
  <c r="U1045" i="1"/>
  <c r="AD1045" i="1" s="1"/>
  <c r="U1033" i="1"/>
  <c r="AD1033" i="1" s="1"/>
  <c r="V1033" i="1"/>
  <c r="U1021" i="1"/>
  <c r="AD1021" i="1" s="1"/>
  <c r="V1021" i="1"/>
  <c r="V1009" i="1"/>
  <c r="U1009" i="1"/>
  <c r="AD1009" i="1" s="1"/>
  <c r="V997" i="1"/>
  <c r="U997" i="1"/>
  <c r="AD997" i="1" s="1"/>
  <c r="V985" i="1"/>
  <c r="U985" i="1"/>
  <c r="AD985" i="1" s="1"/>
  <c r="U973" i="1"/>
  <c r="AD973" i="1" s="1"/>
  <c r="V973" i="1"/>
  <c r="V961" i="1"/>
  <c r="U961" i="1"/>
  <c r="AD961" i="1" s="1"/>
  <c r="V949" i="1"/>
  <c r="U949" i="1"/>
  <c r="AD949" i="1" s="1"/>
  <c r="V937" i="1"/>
  <c r="U937" i="1"/>
  <c r="AD937" i="1" s="1"/>
  <c r="V925" i="1"/>
  <c r="U925" i="1"/>
  <c r="AD925" i="1" s="1"/>
  <c r="U913" i="1"/>
  <c r="V913" i="1"/>
  <c r="V901" i="1"/>
  <c r="U901" i="1"/>
  <c r="AD901" i="1" s="1"/>
  <c r="U889" i="1"/>
  <c r="AD889" i="1" s="1"/>
  <c r="V889" i="1"/>
  <c r="V877" i="1"/>
  <c r="U877" i="1"/>
  <c r="AD877" i="1" s="1"/>
  <c r="V865" i="1"/>
  <c r="U865" i="1"/>
  <c r="AD865" i="1" s="1"/>
  <c r="V853" i="1"/>
  <c r="U853" i="1"/>
  <c r="AD853" i="1" s="1"/>
  <c r="V841" i="1"/>
  <c r="U841" i="1"/>
  <c r="AD841" i="1" s="1"/>
  <c r="V829" i="1"/>
  <c r="U829" i="1"/>
  <c r="AD829" i="1" s="1"/>
  <c r="V817" i="1"/>
  <c r="U817" i="1"/>
  <c r="AD817" i="1" s="1"/>
  <c r="V805" i="1"/>
  <c r="U805" i="1"/>
  <c r="AD805" i="1" s="1"/>
  <c r="U793" i="1"/>
  <c r="AD793" i="1" s="1"/>
  <c r="V793" i="1"/>
  <c r="V781" i="1"/>
  <c r="U781" i="1"/>
  <c r="AD781" i="1" s="1"/>
  <c r="V769" i="1"/>
  <c r="U769" i="1"/>
  <c r="AD769" i="1" s="1"/>
  <c r="U757" i="1"/>
  <c r="AD757" i="1" s="1"/>
  <c r="V757" i="1"/>
  <c r="V745" i="1"/>
  <c r="U745" i="1"/>
  <c r="AD745" i="1" s="1"/>
  <c r="V733" i="1"/>
  <c r="U733" i="1"/>
  <c r="AD733" i="1" s="1"/>
  <c r="U721" i="1"/>
  <c r="AD721" i="1" s="1"/>
  <c r="V721" i="1"/>
  <c r="V709" i="1"/>
  <c r="U709" i="1"/>
  <c r="AD709" i="1" s="1"/>
  <c r="U697" i="1"/>
  <c r="AD697" i="1" s="1"/>
  <c r="V697" i="1"/>
  <c r="V685" i="1"/>
  <c r="U685" i="1"/>
  <c r="AD685" i="1" s="1"/>
  <c r="V673" i="1"/>
  <c r="U673" i="1"/>
  <c r="AD673" i="1" s="1"/>
  <c r="U661" i="1"/>
  <c r="AD661" i="1" s="1"/>
  <c r="V661" i="1"/>
  <c r="V649" i="1"/>
  <c r="U649" i="1"/>
  <c r="AD649" i="1" s="1"/>
  <c r="V637" i="1"/>
  <c r="U637" i="1"/>
  <c r="AD637" i="1" s="1"/>
  <c r="U625" i="1"/>
  <c r="V625" i="1"/>
  <c r="V613" i="1"/>
  <c r="U613" i="1"/>
  <c r="AD613" i="1" s="1"/>
  <c r="V601" i="1"/>
  <c r="U601" i="1"/>
  <c r="AD601" i="1" s="1"/>
  <c r="V589" i="1"/>
  <c r="U589" i="1"/>
  <c r="AD589" i="1" s="1"/>
  <c r="V577" i="1"/>
  <c r="U577" i="1"/>
  <c r="AD577" i="1" s="1"/>
  <c r="V565" i="1"/>
  <c r="U565" i="1"/>
  <c r="AD565" i="1" s="1"/>
  <c r="V553" i="1"/>
  <c r="U553" i="1"/>
  <c r="AD553" i="1" s="1"/>
  <c r="V541" i="1"/>
  <c r="U541" i="1"/>
  <c r="AD541" i="1" s="1"/>
  <c r="V529" i="1"/>
  <c r="U529" i="1"/>
  <c r="AD529" i="1" s="1"/>
  <c r="V517" i="1"/>
  <c r="U517" i="1"/>
  <c r="AD517" i="1" s="1"/>
  <c r="V505" i="1"/>
  <c r="U505" i="1"/>
  <c r="AD505" i="1" s="1"/>
  <c r="V493" i="1"/>
  <c r="U493" i="1"/>
  <c r="AD493" i="1" s="1"/>
  <c r="V481" i="1"/>
  <c r="U481" i="1"/>
  <c r="AD481" i="1" s="1"/>
  <c r="V469" i="1"/>
  <c r="U469" i="1"/>
  <c r="AD469" i="1" s="1"/>
  <c r="V457" i="1"/>
  <c r="U457" i="1"/>
  <c r="AD457" i="1" s="1"/>
  <c r="V445" i="1"/>
  <c r="U445" i="1"/>
  <c r="AD445" i="1" s="1"/>
  <c r="V433" i="1"/>
  <c r="U433" i="1"/>
  <c r="AD433" i="1" s="1"/>
  <c r="V421" i="1"/>
  <c r="U421" i="1"/>
  <c r="AD421" i="1" s="1"/>
  <c r="V409" i="1"/>
  <c r="U409" i="1"/>
  <c r="AD409" i="1" s="1"/>
  <c r="V397" i="1"/>
  <c r="U397" i="1"/>
  <c r="AD397" i="1" s="1"/>
  <c r="U385" i="1"/>
  <c r="AD385" i="1" s="1"/>
  <c r="V385" i="1"/>
  <c r="V373" i="1"/>
  <c r="U373" i="1"/>
  <c r="AD373" i="1" s="1"/>
  <c r="V361" i="1"/>
  <c r="U361" i="1"/>
  <c r="AD361" i="1" s="1"/>
  <c r="V349" i="1"/>
  <c r="U349" i="1"/>
  <c r="AD349" i="1" s="1"/>
  <c r="V337" i="1"/>
  <c r="U337" i="1"/>
  <c r="AD337" i="1" s="1"/>
  <c r="V325" i="1"/>
  <c r="U325" i="1"/>
  <c r="AD325" i="1" s="1"/>
  <c r="V313" i="1"/>
  <c r="U313" i="1"/>
  <c r="AD313" i="1" s="1"/>
  <c r="V301" i="1"/>
  <c r="U301" i="1"/>
  <c r="AD301" i="1" s="1"/>
  <c r="V289" i="1"/>
  <c r="U289" i="1"/>
  <c r="AD289" i="1" s="1"/>
  <c r="V277" i="1"/>
  <c r="U277" i="1"/>
  <c r="AD277" i="1" s="1"/>
  <c r="V265" i="1"/>
  <c r="U265" i="1"/>
  <c r="AD265" i="1" s="1"/>
  <c r="V253" i="1"/>
  <c r="U253" i="1"/>
  <c r="AD253" i="1" s="1"/>
  <c r="V241" i="1"/>
  <c r="U241" i="1"/>
  <c r="AD241" i="1" s="1"/>
  <c r="V229" i="1"/>
  <c r="U229" i="1"/>
  <c r="AD229" i="1" s="1"/>
  <c r="V217" i="1"/>
  <c r="U217" i="1"/>
  <c r="AD217" i="1" s="1"/>
  <c r="V205" i="1"/>
  <c r="U205" i="1"/>
  <c r="AD205" i="1" s="1"/>
  <c r="V193" i="1"/>
  <c r="U193" i="1"/>
  <c r="AD193" i="1" s="1"/>
  <c r="V181" i="1"/>
  <c r="U181" i="1"/>
  <c r="AD181" i="1" s="1"/>
  <c r="V169" i="1"/>
  <c r="U169" i="1"/>
  <c r="AD169" i="1" s="1"/>
  <c r="V157" i="1"/>
  <c r="U157" i="1"/>
  <c r="AD157" i="1" s="1"/>
  <c r="V145" i="1"/>
  <c r="U145" i="1"/>
  <c r="AD145" i="1" s="1"/>
  <c r="V133" i="1"/>
  <c r="U133" i="1"/>
  <c r="AD133" i="1" s="1"/>
  <c r="V121" i="1"/>
  <c r="U121" i="1"/>
  <c r="AD121" i="1" s="1"/>
  <c r="V109" i="1"/>
  <c r="U109" i="1"/>
  <c r="AD109" i="1" s="1"/>
  <c r="V97" i="1"/>
  <c r="U97" i="1"/>
  <c r="AD97" i="1" s="1"/>
  <c r="V85" i="1"/>
  <c r="U85" i="1"/>
  <c r="AD85" i="1" s="1"/>
  <c r="V73" i="1"/>
  <c r="U73" i="1"/>
  <c r="AD73" i="1" s="1"/>
  <c r="V61" i="1"/>
  <c r="U61" i="1"/>
  <c r="AD61" i="1" s="1"/>
  <c r="V49" i="1"/>
  <c r="U49" i="1"/>
  <c r="AD49" i="1" s="1"/>
  <c r="V37" i="1"/>
  <c r="U37" i="1"/>
  <c r="AD37" i="1" s="1"/>
  <c r="V25" i="1"/>
  <c r="U25" i="1"/>
  <c r="AD25" i="1" s="1"/>
  <c r="V13" i="1"/>
  <c r="U13" i="1"/>
  <c r="AD13" i="1" s="1"/>
  <c r="U1768" i="1"/>
  <c r="U1648" i="1"/>
  <c r="AD1648" i="1" s="1"/>
  <c r="U867" i="1"/>
  <c r="U819" i="1"/>
  <c r="AD819" i="1" s="1"/>
  <c r="U281" i="1"/>
  <c r="AD281" i="1" s="1"/>
  <c r="U111" i="1"/>
  <c r="AD111" i="1" s="1"/>
  <c r="V1781" i="1"/>
  <c r="V1432" i="1"/>
  <c r="V245" i="1"/>
  <c r="U1766" i="1"/>
  <c r="AD1766" i="1" s="1"/>
  <c r="U1733" i="1"/>
  <c r="U1312" i="1"/>
  <c r="U773" i="1"/>
  <c r="U725" i="1"/>
  <c r="U279" i="1"/>
  <c r="AD279" i="1" s="1"/>
  <c r="U221" i="1"/>
  <c r="AD221" i="1" s="1"/>
  <c r="U161" i="1"/>
  <c r="AD161" i="1" s="1"/>
  <c r="V1408" i="1"/>
  <c r="V1025" i="1"/>
  <c r="U1228" i="1"/>
  <c r="U675" i="1"/>
  <c r="AD675" i="1" s="1"/>
  <c r="U387" i="1"/>
  <c r="AD387" i="1" s="1"/>
  <c r="U329" i="1"/>
  <c r="U159" i="1"/>
  <c r="AD159" i="1" s="1"/>
  <c r="U45" i="1"/>
  <c r="V1024" i="1"/>
  <c r="V77" i="1"/>
  <c r="U1226" i="1"/>
  <c r="AD1226" i="1" s="1"/>
  <c r="U629" i="1"/>
  <c r="AD629" i="1" s="1"/>
  <c r="U581" i="1"/>
  <c r="AD581" i="1" s="1"/>
  <c r="U533" i="1"/>
  <c r="AD533" i="1" s="1"/>
  <c r="U375" i="1"/>
  <c r="AD375" i="1" s="1"/>
  <c r="U267" i="1"/>
  <c r="AD267" i="1" s="1"/>
  <c r="U207" i="1"/>
  <c r="AD207" i="1" s="1"/>
  <c r="V1023" i="1"/>
  <c r="V628" i="1"/>
  <c r="V33" i="1"/>
  <c r="V429" i="1"/>
  <c r="U429" i="1"/>
  <c r="AD429" i="1" s="1"/>
  <c r="U417" i="1"/>
  <c r="AD417" i="1" s="1"/>
  <c r="V417" i="1"/>
  <c r="U405" i="1"/>
  <c r="AD405" i="1" s="1"/>
  <c r="V405" i="1"/>
  <c r="V393" i="1"/>
  <c r="U393" i="1"/>
  <c r="AD393" i="1" s="1"/>
  <c r="V381" i="1"/>
  <c r="U381" i="1"/>
  <c r="V369" i="1"/>
  <c r="U369" i="1"/>
  <c r="AD369" i="1" s="1"/>
  <c r="V357" i="1"/>
  <c r="U357" i="1"/>
  <c r="AD357" i="1" s="1"/>
  <c r="V345" i="1"/>
  <c r="U345" i="1"/>
  <c r="AD345" i="1" s="1"/>
  <c r="U333" i="1"/>
  <c r="AD333" i="1" s="1"/>
  <c r="V333" i="1"/>
  <c r="V321" i="1"/>
  <c r="U321" i="1"/>
  <c r="AD321" i="1" s="1"/>
  <c r="V309" i="1"/>
  <c r="U309" i="1"/>
  <c r="V297" i="1"/>
  <c r="U297" i="1"/>
  <c r="AD297" i="1" s="1"/>
  <c r="V285" i="1"/>
  <c r="U285" i="1"/>
  <c r="AD285" i="1" s="1"/>
  <c r="V273" i="1"/>
  <c r="U273" i="1"/>
  <c r="AD273" i="1" s="1"/>
  <c r="V261" i="1"/>
  <c r="U261" i="1"/>
  <c r="AD261" i="1" s="1"/>
  <c r="V249" i="1"/>
  <c r="U249" i="1"/>
  <c r="AD249" i="1" s="1"/>
  <c r="V237" i="1"/>
  <c r="U237" i="1"/>
  <c r="V225" i="1"/>
  <c r="U225" i="1"/>
  <c r="AD225" i="1" s="1"/>
  <c r="V213" i="1"/>
  <c r="U213" i="1"/>
  <c r="AD213" i="1" s="1"/>
  <c r="V201" i="1"/>
  <c r="U201" i="1"/>
  <c r="AD201" i="1" s="1"/>
  <c r="U189" i="1"/>
  <c r="AD189" i="1" s="1"/>
  <c r="V189" i="1"/>
  <c r="V177" i="1"/>
  <c r="U177" i="1"/>
  <c r="AD177" i="1" s="1"/>
  <c r="V165" i="1"/>
  <c r="U165" i="1"/>
  <c r="V153" i="1"/>
  <c r="U153" i="1"/>
  <c r="AD153" i="1" s="1"/>
  <c r="U141" i="1"/>
  <c r="AD141" i="1" s="1"/>
  <c r="V141" i="1"/>
  <c r="V129" i="1"/>
  <c r="U129" i="1"/>
  <c r="AD129" i="1" s="1"/>
  <c r="V117" i="1"/>
  <c r="U117" i="1"/>
  <c r="AD117" i="1" s="1"/>
  <c r="V105" i="1"/>
  <c r="U105" i="1"/>
  <c r="AD105" i="1" s="1"/>
  <c r="V81" i="1"/>
  <c r="U81" i="1"/>
  <c r="V69" i="1"/>
  <c r="U69" i="1"/>
  <c r="AD69" i="1" s="1"/>
  <c r="V57" i="1"/>
  <c r="U57" i="1"/>
  <c r="AD57" i="1" s="1"/>
  <c r="V21" i="1"/>
  <c r="U21" i="1"/>
  <c r="AD21" i="1" s="1"/>
  <c r="V9" i="1"/>
  <c r="U9" i="1"/>
  <c r="AD9" i="1" s="1"/>
  <c r="U1433" i="1"/>
  <c r="AD1433" i="1" s="1"/>
  <c r="U1373" i="1"/>
  <c r="AD1373" i="1" s="1"/>
  <c r="U1336" i="1"/>
  <c r="AD1336" i="1" s="1"/>
  <c r="U1267" i="1"/>
  <c r="AD1267" i="1" s="1"/>
  <c r="U1180" i="1"/>
  <c r="AD1180" i="1" s="1"/>
  <c r="U1049" i="1"/>
  <c r="AD1049" i="1" s="1"/>
  <c r="U1001" i="1"/>
  <c r="U435" i="1"/>
  <c r="U255" i="1"/>
  <c r="AD255" i="1" s="1"/>
  <c r="U93" i="1"/>
  <c r="V1589" i="1"/>
  <c r="V572" i="1"/>
  <c r="U572" i="1"/>
  <c r="AD572" i="1" s="1"/>
  <c r="U560" i="1"/>
  <c r="AD560" i="1" s="1"/>
  <c r="V560" i="1"/>
  <c r="V536" i="1"/>
  <c r="U536" i="1"/>
  <c r="AD536" i="1" s="1"/>
  <c r="V524" i="1"/>
  <c r="U524" i="1"/>
  <c r="AD524" i="1" s="1"/>
  <c r="V512" i="1"/>
  <c r="U512" i="1"/>
  <c r="AD512" i="1" s="1"/>
  <c r="V500" i="1"/>
  <c r="U500" i="1"/>
  <c r="AD500" i="1" s="1"/>
  <c r="U464" i="1"/>
  <c r="AD464" i="1" s="1"/>
  <c r="V452" i="1"/>
  <c r="U452" i="1"/>
  <c r="AD452" i="1" s="1"/>
  <c r="V428" i="1"/>
  <c r="U428" i="1"/>
  <c r="V404" i="1"/>
  <c r="U404" i="1"/>
  <c r="AD404" i="1" s="1"/>
  <c r="U332" i="1"/>
  <c r="AD332" i="1" s="1"/>
  <c r="V308" i="1"/>
  <c r="U308" i="1"/>
  <c r="AD308" i="1" s="1"/>
  <c r="V272" i="1"/>
  <c r="U272" i="1"/>
  <c r="AD272" i="1" s="1"/>
  <c r="V236" i="1"/>
  <c r="V224" i="1"/>
  <c r="U224" i="1"/>
  <c r="AD224" i="1" s="1"/>
  <c r="V212" i="1"/>
  <c r="U212" i="1"/>
  <c r="V188" i="1"/>
  <c r="V164" i="1"/>
  <c r="U164" i="1"/>
  <c r="AD164" i="1" s="1"/>
  <c r="V140" i="1"/>
  <c r="V116" i="1"/>
  <c r="U116" i="1"/>
  <c r="AD116" i="1" s="1"/>
  <c r="V80" i="1"/>
  <c r="V32" i="1"/>
  <c r="V8" i="1"/>
  <c r="U8" i="1"/>
  <c r="AD8" i="1" s="1"/>
  <c r="U1469" i="1"/>
  <c r="AD1469" i="1" s="1"/>
  <c r="U1037" i="1"/>
  <c r="AD1037" i="1" s="1"/>
  <c r="U989" i="1"/>
  <c r="AD989" i="1" s="1"/>
  <c r="U471" i="1"/>
  <c r="U423" i="1"/>
  <c r="AD423" i="1" s="1"/>
  <c r="U140" i="1"/>
  <c r="U32" i="1"/>
  <c r="AD32" i="1" s="1"/>
  <c r="V1565" i="1"/>
  <c r="V1383" i="1"/>
  <c r="V488" i="1"/>
  <c r="V476" i="1"/>
  <c r="U476" i="1"/>
  <c r="AD476" i="1" s="1"/>
  <c r="V440" i="1"/>
  <c r="V416" i="1"/>
  <c r="U416" i="1"/>
  <c r="AD416" i="1" s="1"/>
  <c r="V392" i="1"/>
  <c r="U392" i="1"/>
  <c r="AD392" i="1" s="1"/>
  <c r="V380" i="1"/>
  <c r="U380" i="1"/>
  <c r="AD380" i="1" s="1"/>
  <c r="V368" i="1"/>
  <c r="U368" i="1"/>
  <c r="AD368" i="1" s="1"/>
  <c r="V356" i="1"/>
  <c r="U356" i="1"/>
  <c r="AD356" i="1" s="1"/>
  <c r="V344" i="1"/>
  <c r="U344" i="1"/>
  <c r="AD344" i="1" s="1"/>
  <c r="V320" i="1"/>
  <c r="U320" i="1"/>
  <c r="AD320" i="1" s="1"/>
  <c r="V296" i="1"/>
  <c r="U296" i="1"/>
  <c r="AD296" i="1" s="1"/>
  <c r="V284" i="1"/>
  <c r="U284" i="1"/>
  <c r="AD284" i="1" s="1"/>
  <c r="V260" i="1"/>
  <c r="U260" i="1"/>
  <c r="AD260" i="1" s="1"/>
  <c r="V248" i="1"/>
  <c r="U248" i="1"/>
  <c r="AD248" i="1" s="1"/>
  <c r="V200" i="1"/>
  <c r="U176" i="1"/>
  <c r="AD176" i="1" s="1"/>
  <c r="V152" i="1"/>
  <c r="V128" i="1"/>
  <c r="U128" i="1"/>
  <c r="AD128" i="1" s="1"/>
  <c r="V104" i="1"/>
  <c r="U104" i="1"/>
  <c r="AD104" i="1" s="1"/>
  <c r="V92" i="1"/>
  <c r="V68" i="1"/>
  <c r="V56" i="1"/>
  <c r="U56" i="1"/>
  <c r="AD56" i="1" s="1"/>
  <c r="V44" i="1"/>
  <c r="V20" i="1"/>
  <c r="U20" i="1"/>
  <c r="AD20" i="1" s="1"/>
  <c r="V1783" i="1"/>
  <c r="V1771" i="1"/>
  <c r="U1771" i="1"/>
  <c r="AD1771" i="1" s="1"/>
  <c r="V1759" i="1"/>
  <c r="V1747" i="1"/>
  <c r="U1735" i="1"/>
  <c r="AD1735" i="1" s="1"/>
  <c r="V1735" i="1"/>
  <c r="V1723" i="1"/>
  <c r="U1723" i="1"/>
  <c r="AD1723" i="1" s="1"/>
  <c r="V1711" i="1"/>
  <c r="U1699" i="1"/>
  <c r="AD1699" i="1" s="1"/>
  <c r="V1687" i="1"/>
  <c r="U1687" i="1"/>
  <c r="U1675" i="1"/>
  <c r="AD1675" i="1" s="1"/>
  <c r="V1651" i="1"/>
  <c r="U1651" i="1"/>
  <c r="AD1651" i="1" s="1"/>
  <c r="V1639" i="1"/>
  <c r="U1639" i="1"/>
  <c r="AD1639" i="1" s="1"/>
  <c r="V1627" i="1"/>
  <c r="V1615" i="1"/>
  <c r="U1615" i="1"/>
  <c r="AD1615" i="1" s="1"/>
  <c r="V1603" i="1"/>
  <c r="U1591" i="1"/>
  <c r="AD1591" i="1" s="1"/>
  <c r="V1591" i="1"/>
  <c r="V1579" i="1"/>
  <c r="U1579" i="1"/>
  <c r="AD1579" i="1" s="1"/>
  <c r="V1567" i="1"/>
  <c r="U1567" i="1"/>
  <c r="AD1567" i="1" s="1"/>
  <c r="V1555" i="1"/>
  <c r="U1555" i="1"/>
  <c r="AD1555" i="1" s="1"/>
  <c r="V1543" i="1"/>
  <c r="V1531" i="1"/>
  <c r="U1519" i="1"/>
  <c r="AD1519" i="1" s="1"/>
  <c r="V1507" i="1"/>
  <c r="V1495" i="1"/>
  <c r="U1495" i="1"/>
  <c r="AD1495" i="1" s="1"/>
  <c r="V1483" i="1"/>
  <c r="U1483" i="1"/>
  <c r="AD1483" i="1" s="1"/>
  <c r="V1471" i="1"/>
  <c r="V1459" i="1"/>
  <c r="U1459" i="1"/>
  <c r="AD1459" i="1" s="1"/>
  <c r="V1447" i="1"/>
  <c r="U1447" i="1"/>
  <c r="AD1447" i="1" s="1"/>
  <c r="U1435" i="1"/>
  <c r="AD1435" i="1" s="1"/>
  <c r="V1435" i="1"/>
  <c r="V1423" i="1"/>
  <c r="U1423" i="1"/>
  <c r="AD1423" i="1" s="1"/>
  <c r="V1411" i="1"/>
  <c r="U1411" i="1"/>
  <c r="V1399" i="1"/>
  <c r="U1399" i="1"/>
  <c r="AD1399" i="1" s="1"/>
  <c r="V1387" i="1"/>
  <c r="U1387" i="1"/>
  <c r="AD1387" i="1" s="1"/>
  <c r="V1375" i="1"/>
  <c r="V1363" i="1"/>
  <c r="U1363" i="1"/>
  <c r="AD1363" i="1" s="1"/>
  <c r="V1351" i="1"/>
  <c r="V1339" i="1"/>
  <c r="U1339" i="1"/>
  <c r="AD1339" i="1" s="1"/>
  <c r="V1327" i="1"/>
  <c r="V1315" i="1"/>
  <c r="U1303" i="1"/>
  <c r="AD1303" i="1" s="1"/>
  <c r="V1303" i="1"/>
  <c r="V1291" i="1"/>
  <c r="U1291" i="1"/>
  <c r="AD1291" i="1" s="1"/>
  <c r="V1279" i="1"/>
  <c r="U1279" i="1"/>
  <c r="AD1279" i="1" s="1"/>
  <c r="V1255" i="1"/>
  <c r="V1243" i="1"/>
  <c r="V1231" i="1"/>
  <c r="U1219" i="1"/>
  <c r="AD1219" i="1" s="1"/>
  <c r="V1207" i="1"/>
  <c r="U1207" i="1"/>
  <c r="V1195" i="1"/>
  <c r="U1195" i="1"/>
  <c r="AD1195" i="1" s="1"/>
  <c r="V1183" i="1"/>
  <c r="U1183" i="1"/>
  <c r="AD1183" i="1" s="1"/>
  <c r="V1171" i="1"/>
  <c r="U1171" i="1"/>
  <c r="AD1171" i="1" s="1"/>
  <c r="V1159" i="1"/>
  <c r="U1159" i="1"/>
  <c r="AD1159" i="1" s="1"/>
  <c r="V1147" i="1"/>
  <c r="U1147" i="1"/>
  <c r="AD1147" i="1" s="1"/>
  <c r="U1135" i="1"/>
  <c r="AD1135" i="1" s="1"/>
  <c r="V1135" i="1"/>
  <c r="V1123" i="1"/>
  <c r="U1111" i="1"/>
  <c r="AD1111" i="1" s="1"/>
  <c r="V1099" i="1"/>
  <c r="V1087" i="1"/>
  <c r="U1087" i="1"/>
  <c r="AD1087" i="1" s="1"/>
  <c r="V1075" i="1"/>
  <c r="U1075" i="1"/>
  <c r="AD1075" i="1" s="1"/>
  <c r="V1063" i="1"/>
  <c r="U1063" i="1"/>
  <c r="AD1063" i="1" s="1"/>
  <c r="V1051" i="1"/>
  <c r="U1051" i="1"/>
  <c r="AD1051" i="1" s="1"/>
  <c r="V1039" i="1"/>
  <c r="U1039" i="1"/>
  <c r="AD1039" i="1" s="1"/>
  <c r="V1027" i="1"/>
  <c r="U1027" i="1"/>
  <c r="AD1027" i="1" s="1"/>
  <c r="V1015" i="1"/>
  <c r="U1015" i="1"/>
  <c r="AD1015" i="1" s="1"/>
  <c r="V1003" i="1"/>
  <c r="U1003" i="1"/>
  <c r="AD1003" i="1" s="1"/>
  <c r="V991" i="1"/>
  <c r="U991" i="1"/>
  <c r="AD991" i="1" s="1"/>
  <c r="V979" i="1"/>
  <c r="U979" i="1"/>
  <c r="AD979" i="1" s="1"/>
  <c r="V967" i="1"/>
  <c r="U967" i="1"/>
  <c r="AD967" i="1" s="1"/>
  <c r="V955" i="1"/>
  <c r="U955" i="1"/>
  <c r="AD955" i="1" s="1"/>
  <c r="V943" i="1"/>
  <c r="V931" i="1"/>
  <c r="U931" i="1"/>
  <c r="AD931" i="1" s="1"/>
  <c r="V919" i="1"/>
  <c r="U919" i="1"/>
  <c r="AD919" i="1" s="1"/>
  <c r="V907" i="1"/>
  <c r="V895" i="1"/>
  <c r="V883" i="1"/>
  <c r="U883" i="1"/>
  <c r="V871" i="1"/>
  <c r="U871" i="1"/>
  <c r="AD871" i="1" s="1"/>
  <c r="V859" i="1"/>
  <c r="V847" i="1"/>
  <c r="U835" i="1"/>
  <c r="AD835" i="1" s="1"/>
  <c r="V835" i="1"/>
  <c r="V823" i="1"/>
  <c r="U823" i="1"/>
  <c r="AD823" i="1" s="1"/>
  <c r="V811" i="1"/>
  <c r="U811" i="1"/>
  <c r="AD811" i="1" s="1"/>
  <c r="V799" i="1"/>
  <c r="V787" i="1"/>
  <c r="V775" i="1"/>
  <c r="V763" i="1"/>
  <c r="U763" i="1"/>
  <c r="AD763" i="1" s="1"/>
  <c r="V751" i="1"/>
  <c r="V739" i="1"/>
  <c r="V727" i="1"/>
  <c r="V715" i="1"/>
  <c r="U715" i="1"/>
  <c r="AD715" i="1" s="1"/>
  <c r="V703" i="1"/>
  <c r="V691" i="1"/>
  <c r="U691" i="1"/>
  <c r="AD691" i="1" s="1"/>
  <c r="V679" i="1"/>
  <c r="V667" i="1"/>
  <c r="U667" i="1"/>
  <c r="AD667" i="1" s="1"/>
  <c r="U655" i="1"/>
  <c r="AD655" i="1" s="1"/>
  <c r="V655" i="1"/>
  <c r="V643" i="1"/>
  <c r="U643" i="1"/>
  <c r="AD643" i="1" s="1"/>
  <c r="V631" i="1"/>
  <c r="V619" i="1"/>
  <c r="U619" i="1"/>
  <c r="AD619" i="1" s="1"/>
  <c r="V607" i="1"/>
  <c r="U607" i="1"/>
  <c r="AD607" i="1" s="1"/>
  <c r="V595" i="1"/>
  <c r="U595" i="1"/>
  <c r="AD595" i="1" s="1"/>
  <c r="V583" i="1"/>
  <c r="V571" i="1"/>
  <c r="U571" i="1"/>
  <c r="AD571" i="1" s="1"/>
  <c r="V559" i="1"/>
  <c r="U559" i="1"/>
  <c r="AD559" i="1" s="1"/>
  <c r="U547" i="1"/>
  <c r="AD547" i="1" s="1"/>
  <c r="V535" i="1"/>
  <c r="V523" i="1"/>
  <c r="U523" i="1"/>
  <c r="AD523" i="1" s="1"/>
  <c r="V511" i="1"/>
  <c r="U511" i="1"/>
  <c r="V499" i="1"/>
  <c r="U499" i="1"/>
  <c r="AD499" i="1" s="1"/>
  <c r="V487" i="1"/>
  <c r="V475" i="1"/>
  <c r="U475" i="1"/>
  <c r="AD475" i="1" s="1"/>
  <c r="U463" i="1"/>
  <c r="AD463" i="1" s="1"/>
  <c r="V451" i="1"/>
  <c r="U451" i="1"/>
  <c r="AD451" i="1" s="1"/>
  <c r="V439" i="1"/>
  <c r="U427" i="1"/>
  <c r="AD427" i="1" s="1"/>
  <c r="V427" i="1"/>
  <c r="V415" i="1"/>
  <c r="U415" i="1"/>
  <c r="AD415" i="1" s="1"/>
  <c r="V403" i="1"/>
  <c r="U403" i="1"/>
  <c r="AD403" i="1" s="1"/>
  <c r="V391" i="1"/>
  <c r="U391" i="1"/>
  <c r="AD391" i="1" s="1"/>
  <c r="U379" i="1"/>
  <c r="V379" i="1"/>
  <c r="V367" i="1"/>
  <c r="U367" i="1"/>
  <c r="AD367" i="1" s="1"/>
  <c r="V355" i="1"/>
  <c r="U355" i="1"/>
  <c r="AD355" i="1" s="1"/>
  <c r="V343" i="1"/>
  <c r="U343" i="1"/>
  <c r="AD343" i="1" s="1"/>
  <c r="V331" i="1"/>
  <c r="U331" i="1"/>
  <c r="AD331" i="1" s="1"/>
  <c r="V319" i="1"/>
  <c r="U319" i="1"/>
  <c r="AD319" i="1" s="1"/>
  <c r="V307" i="1"/>
  <c r="U307" i="1"/>
  <c r="AD307" i="1" s="1"/>
  <c r="V295" i="1"/>
  <c r="U295" i="1"/>
  <c r="AD295" i="1" s="1"/>
  <c r="V283" i="1"/>
  <c r="U283" i="1"/>
  <c r="AD283" i="1" s="1"/>
  <c r="V271" i="1"/>
  <c r="U271" i="1"/>
  <c r="AD271" i="1" s="1"/>
  <c r="V259" i="1"/>
  <c r="U259" i="1"/>
  <c r="AD259" i="1" s="1"/>
  <c r="V247" i="1"/>
  <c r="V235" i="1"/>
  <c r="U235" i="1"/>
  <c r="AD235" i="1" s="1"/>
  <c r="V223" i="1"/>
  <c r="U223" i="1"/>
  <c r="AD223" i="1" s="1"/>
  <c r="V211" i="1"/>
  <c r="U211" i="1"/>
  <c r="AD211" i="1" s="1"/>
  <c r="V199" i="1"/>
  <c r="U199" i="1"/>
  <c r="V187" i="1"/>
  <c r="V175" i="1"/>
  <c r="U175" i="1"/>
  <c r="AD175" i="1" s="1"/>
  <c r="V163" i="1"/>
  <c r="U163" i="1"/>
  <c r="AD163" i="1" s="1"/>
  <c r="V151" i="1"/>
  <c r="U151" i="1"/>
  <c r="AD151" i="1" s="1"/>
  <c r="V139" i="1"/>
  <c r="V127" i="1"/>
  <c r="U127" i="1"/>
  <c r="AD127" i="1" s="1"/>
  <c r="V115" i="1"/>
  <c r="U115" i="1"/>
  <c r="V103" i="1"/>
  <c r="U103" i="1"/>
  <c r="AD103" i="1" s="1"/>
  <c r="V91" i="1"/>
  <c r="U91" i="1"/>
  <c r="AD91" i="1" s="1"/>
  <c r="V79" i="1"/>
  <c r="U79" i="1"/>
  <c r="AD79" i="1" s="1"/>
  <c r="V67" i="1"/>
  <c r="V55" i="1"/>
  <c r="U55" i="1"/>
  <c r="AD55" i="1" s="1"/>
  <c r="V43" i="1"/>
  <c r="V31" i="1"/>
  <c r="U31" i="1"/>
  <c r="V19" i="1"/>
  <c r="V7" i="1"/>
  <c r="U1783" i="1"/>
  <c r="AD1783" i="1" s="1"/>
  <c r="U1663" i="1"/>
  <c r="AD1663" i="1" s="1"/>
  <c r="U1504" i="1"/>
  <c r="U1255" i="1"/>
  <c r="U1035" i="1"/>
  <c r="AD1035" i="1" s="1"/>
  <c r="U941" i="1"/>
  <c r="AD941" i="1" s="1"/>
  <c r="U303" i="1"/>
  <c r="AD303" i="1" s="1"/>
  <c r="U200" i="1"/>
  <c r="U139" i="1"/>
  <c r="AD139" i="1" s="1"/>
  <c r="U19" i="1"/>
  <c r="AD19" i="1" s="1"/>
  <c r="V796" i="1"/>
  <c r="U1600" i="1"/>
  <c r="U1564" i="1"/>
  <c r="U1531" i="1"/>
  <c r="AD1531" i="1" s="1"/>
  <c r="U1466" i="1"/>
  <c r="AD1466" i="1" s="1"/>
  <c r="U893" i="1"/>
  <c r="U845" i="1"/>
  <c r="AD845" i="1" s="1"/>
  <c r="U799" i="1"/>
  <c r="AD799" i="1" s="1"/>
  <c r="U751" i="1"/>
  <c r="AD751" i="1" s="1"/>
  <c r="U703" i="1"/>
  <c r="AD703" i="1" s="1"/>
  <c r="U188" i="1"/>
  <c r="AD188" i="1" s="1"/>
  <c r="U80" i="1"/>
  <c r="U17" i="1"/>
  <c r="V1359" i="1"/>
  <c r="V1265" i="1"/>
  <c r="V1111" i="1"/>
  <c r="V1721" i="1"/>
  <c r="U1721" i="1"/>
  <c r="AD1721" i="1" s="1"/>
  <c r="U1697" i="1"/>
  <c r="AD1697" i="1" s="1"/>
  <c r="V1697" i="1"/>
  <c r="V1673" i="1"/>
  <c r="U1673" i="1"/>
  <c r="AD1673" i="1" s="1"/>
  <c r="V1625" i="1"/>
  <c r="V1553" i="1"/>
  <c r="U1553" i="1"/>
  <c r="AD1553" i="1" s="1"/>
  <c r="V1349" i="1"/>
  <c r="U1217" i="1"/>
  <c r="AD1217" i="1" s="1"/>
  <c r="V1217" i="1"/>
  <c r="V1157" i="1"/>
  <c r="U1157" i="1"/>
  <c r="AD1157" i="1" s="1"/>
  <c r="V1109" i="1"/>
  <c r="U1109" i="1"/>
  <c r="AD1109" i="1" s="1"/>
  <c r="V977" i="1"/>
  <c r="U977" i="1"/>
  <c r="AD977" i="1" s="1"/>
  <c r="V761" i="1"/>
  <c r="U761" i="1"/>
  <c r="V749" i="1"/>
  <c r="U749" i="1"/>
  <c r="AD749" i="1" s="1"/>
  <c r="V737" i="1"/>
  <c r="U737" i="1"/>
  <c r="AD737" i="1" s="1"/>
  <c r="V701" i="1"/>
  <c r="U701" i="1"/>
  <c r="AD701" i="1" s="1"/>
  <c r="V617" i="1"/>
  <c r="U617" i="1"/>
  <c r="AD617" i="1" s="1"/>
  <c r="V593" i="1"/>
  <c r="U593" i="1"/>
  <c r="AD593" i="1" s="1"/>
  <c r="V569" i="1"/>
  <c r="U569" i="1"/>
  <c r="V509" i="1"/>
  <c r="U509" i="1"/>
  <c r="AD509" i="1" s="1"/>
  <c r="V485" i="1"/>
  <c r="U485" i="1"/>
  <c r="AD485" i="1" s="1"/>
  <c r="V473" i="1"/>
  <c r="U473" i="1"/>
  <c r="AD473" i="1" s="1"/>
  <c r="V449" i="1"/>
  <c r="U449" i="1"/>
  <c r="AD449" i="1" s="1"/>
  <c r="U425" i="1"/>
  <c r="AD425" i="1" s="1"/>
  <c r="V425" i="1"/>
  <c r="V401" i="1"/>
  <c r="U401" i="1"/>
  <c r="V377" i="1"/>
  <c r="U377" i="1"/>
  <c r="AD377" i="1" s="1"/>
  <c r="V365" i="1"/>
  <c r="U365" i="1"/>
  <c r="AD365" i="1" s="1"/>
  <c r="V353" i="1"/>
  <c r="U353" i="1"/>
  <c r="AD353" i="1" s="1"/>
  <c r="V341" i="1"/>
  <c r="U341" i="1"/>
  <c r="AD341" i="1" s="1"/>
  <c r="V317" i="1"/>
  <c r="U317" i="1"/>
  <c r="AD317" i="1" s="1"/>
  <c r="V269" i="1"/>
  <c r="U269" i="1"/>
  <c r="V257" i="1"/>
  <c r="U257" i="1"/>
  <c r="AD257" i="1" s="1"/>
  <c r="V233" i="1"/>
  <c r="U233" i="1"/>
  <c r="AD233" i="1" s="1"/>
  <c r="V125" i="1"/>
  <c r="U125" i="1"/>
  <c r="AD125" i="1" s="1"/>
  <c r="V101" i="1"/>
  <c r="U101" i="1"/>
  <c r="AD101" i="1" s="1"/>
  <c r="V89" i="1"/>
  <c r="U89" i="1"/>
  <c r="AD89" i="1" s="1"/>
  <c r="U1747" i="1"/>
  <c r="AD1747" i="1" s="1"/>
  <c r="U1661" i="1"/>
  <c r="U1627" i="1"/>
  <c r="AD1627" i="1" s="1"/>
  <c r="U1493" i="1"/>
  <c r="U1327" i="1"/>
  <c r="AD1327" i="1" s="1"/>
  <c r="U1252" i="1"/>
  <c r="U1123" i="1"/>
  <c r="AD1123" i="1" s="1"/>
  <c r="U891" i="1"/>
  <c r="AD891" i="1" s="1"/>
  <c r="U797" i="1"/>
  <c r="AD797" i="1" s="1"/>
  <c r="U247" i="1"/>
  <c r="AD247" i="1" s="1"/>
  <c r="U187" i="1"/>
  <c r="AD187" i="1" s="1"/>
  <c r="U137" i="1"/>
  <c r="AD137" i="1" s="1"/>
  <c r="U68" i="1"/>
  <c r="AD68" i="1" s="1"/>
  <c r="U15" i="1"/>
  <c r="V547" i="1"/>
  <c r="V332" i="1"/>
  <c r="V1757" i="1"/>
  <c r="U1757" i="1"/>
  <c r="AD1757" i="1" s="1"/>
  <c r="V1637" i="1"/>
  <c r="U1637" i="1"/>
  <c r="AD1637" i="1" s="1"/>
  <c r="V1601" i="1"/>
  <c r="U1601" i="1"/>
  <c r="AD1601" i="1" s="1"/>
  <c r="U1541" i="1"/>
  <c r="AD1541" i="1" s="1"/>
  <c r="V1541" i="1"/>
  <c r="V1505" i="1"/>
  <c r="U1505" i="1"/>
  <c r="V1481" i="1"/>
  <c r="U1481" i="1"/>
  <c r="AD1481" i="1" s="1"/>
  <c r="V1457" i="1"/>
  <c r="U1457" i="1"/>
  <c r="AD1457" i="1" s="1"/>
  <c r="V1397" i="1"/>
  <c r="U1397" i="1"/>
  <c r="AD1397" i="1" s="1"/>
  <c r="V1313" i="1"/>
  <c r="U1277" i="1"/>
  <c r="AD1277" i="1" s="1"/>
  <c r="V1277" i="1"/>
  <c r="V1229" i="1"/>
  <c r="U1229" i="1"/>
  <c r="AD1229" i="1" s="1"/>
  <c r="V1169" i="1"/>
  <c r="U1169" i="1"/>
  <c r="AD1169" i="1" s="1"/>
  <c r="V1121" i="1"/>
  <c r="U1121" i="1"/>
  <c r="AD1121" i="1" s="1"/>
  <c r="U1085" i="1"/>
  <c r="AD1085" i="1" s="1"/>
  <c r="V1085" i="1"/>
  <c r="V1061" i="1"/>
  <c r="U1061" i="1"/>
  <c r="AD1061" i="1" s="1"/>
  <c r="V965" i="1"/>
  <c r="U965" i="1"/>
  <c r="AD965" i="1" s="1"/>
  <c r="V953" i="1"/>
  <c r="U953" i="1"/>
  <c r="AD953" i="1" s="1"/>
  <c r="V905" i="1"/>
  <c r="U905" i="1"/>
  <c r="AD905" i="1" s="1"/>
  <c r="V665" i="1"/>
  <c r="U665" i="1"/>
  <c r="AD665" i="1" s="1"/>
  <c r="V545" i="1"/>
  <c r="U545" i="1"/>
  <c r="AD545" i="1" s="1"/>
  <c r="U1492" i="1"/>
  <c r="U1325" i="1"/>
  <c r="AD1325" i="1" s="1"/>
  <c r="U1289" i="1"/>
  <c r="U461" i="1"/>
  <c r="AD461" i="1" s="1"/>
  <c r="U236" i="1"/>
  <c r="AD236" i="1" s="1"/>
  <c r="U67" i="1"/>
  <c r="AD67" i="1" s="1"/>
  <c r="V927" i="1"/>
  <c r="V256" i="1"/>
  <c r="V1769" i="1"/>
  <c r="V1517" i="1"/>
  <c r="U1517" i="1"/>
  <c r="AD1517" i="1" s="1"/>
  <c r="V1445" i="1"/>
  <c r="V1409" i="1"/>
  <c r="U1409" i="1"/>
  <c r="AD1409" i="1" s="1"/>
  <c r="V1301" i="1"/>
  <c r="U1301" i="1"/>
  <c r="AD1301" i="1" s="1"/>
  <c r="V1253" i="1"/>
  <c r="U1253" i="1"/>
  <c r="AD1253" i="1" s="1"/>
  <c r="V1193" i="1"/>
  <c r="U1193" i="1"/>
  <c r="AD1193" i="1" s="1"/>
  <c r="V1133" i="1"/>
  <c r="U1133" i="1"/>
  <c r="AD1133" i="1" s="1"/>
  <c r="V1013" i="1"/>
  <c r="U1013" i="1"/>
  <c r="AD1013" i="1" s="1"/>
  <c r="U857" i="1"/>
  <c r="V857" i="1"/>
  <c r="U809" i="1"/>
  <c r="AD809" i="1" s="1"/>
  <c r="V809" i="1"/>
  <c r="V677" i="1"/>
  <c r="V641" i="1"/>
  <c r="U641" i="1"/>
  <c r="V605" i="1"/>
  <c r="U605" i="1"/>
  <c r="AD605" i="1" s="1"/>
  <c r="V557" i="1"/>
  <c r="U557" i="1"/>
  <c r="AD557" i="1" s="1"/>
  <c r="V413" i="1"/>
  <c r="U413" i="1"/>
  <c r="AD413" i="1" s="1"/>
  <c r="U1791" i="1"/>
  <c r="AD1791" i="1" s="1"/>
  <c r="V1791" i="1"/>
  <c r="U1779" i="1"/>
  <c r="AD1779" i="1" s="1"/>
  <c r="U1767" i="1"/>
  <c r="AD1767" i="1" s="1"/>
  <c r="V1767" i="1"/>
  <c r="U1755" i="1"/>
  <c r="AD1755" i="1" s="1"/>
  <c r="V1755" i="1"/>
  <c r="U1743" i="1"/>
  <c r="AD1743" i="1" s="1"/>
  <c r="V1743" i="1"/>
  <c r="U1731" i="1"/>
  <c r="AD1731" i="1" s="1"/>
  <c r="V1731" i="1"/>
  <c r="V1719" i="1"/>
  <c r="U1719" i="1"/>
  <c r="AD1719" i="1" s="1"/>
  <c r="U1707" i="1"/>
  <c r="AD1707" i="1" s="1"/>
  <c r="V1707" i="1"/>
  <c r="V1695" i="1"/>
  <c r="U1695" i="1"/>
  <c r="AD1695" i="1" s="1"/>
  <c r="U1683" i="1"/>
  <c r="AD1683" i="1" s="1"/>
  <c r="V1683" i="1"/>
  <c r="V1671" i="1"/>
  <c r="U1671" i="1"/>
  <c r="AD1671" i="1" s="1"/>
  <c r="U1659" i="1"/>
  <c r="AD1659" i="1" s="1"/>
  <c r="V1659" i="1"/>
  <c r="U1647" i="1"/>
  <c r="AD1647" i="1" s="1"/>
  <c r="V1647" i="1"/>
  <c r="V1635" i="1"/>
  <c r="U1635" i="1"/>
  <c r="AD1635" i="1" s="1"/>
  <c r="U1611" i="1"/>
  <c r="AD1611" i="1" s="1"/>
  <c r="V1611" i="1"/>
  <c r="V1599" i="1"/>
  <c r="U1599" i="1"/>
  <c r="AD1599" i="1" s="1"/>
  <c r="V1587" i="1"/>
  <c r="U1587" i="1"/>
  <c r="AD1587" i="1" s="1"/>
  <c r="V1575" i="1"/>
  <c r="U1575" i="1"/>
  <c r="AD1575" i="1" s="1"/>
  <c r="U1563" i="1"/>
  <c r="V1551" i="1"/>
  <c r="U1551" i="1"/>
  <c r="AD1551" i="1" s="1"/>
  <c r="U1539" i="1"/>
  <c r="AD1539" i="1" s="1"/>
  <c r="V1539" i="1"/>
  <c r="U1527" i="1"/>
  <c r="AD1527" i="1" s="1"/>
  <c r="V1527" i="1"/>
  <c r="U1515" i="1"/>
  <c r="AD1515" i="1" s="1"/>
  <c r="V1515" i="1"/>
  <c r="U1503" i="1"/>
  <c r="AD1503" i="1" s="1"/>
  <c r="V1503" i="1"/>
  <c r="U1491" i="1"/>
  <c r="AD1491" i="1" s="1"/>
  <c r="V1491" i="1"/>
  <c r="U1479" i="1"/>
  <c r="AD1479" i="1" s="1"/>
  <c r="V1479" i="1"/>
  <c r="U1467" i="1"/>
  <c r="AD1467" i="1" s="1"/>
  <c r="V1467" i="1"/>
  <c r="U1455" i="1"/>
  <c r="AD1455" i="1" s="1"/>
  <c r="V1455" i="1"/>
  <c r="V1443" i="1"/>
  <c r="U1443" i="1"/>
  <c r="AD1443" i="1" s="1"/>
  <c r="V1431" i="1"/>
  <c r="U1431" i="1"/>
  <c r="AD1431" i="1" s="1"/>
  <c r="U1419" i="1"/>
  <c r="AD1419" i="1" s="1"/>
  <c r="V1419" i="1"/>
  <c r="V1407" i="1"/>
  <c r="U1407" i="1"/>
  <c r="AD1407" i="1" s="1"/>
  <c r="U1395" i="1"/>
  <c r="AD1395" i="1" s="1"/>
  <c r="V1395" i="1"/>
  <c r="U1371" i="1"/>
  <c r="AD1371" i="1" s="1"/>
  <c r="V1371" i="1"/>
  <c r="U1347" i="1"/>
  <c r="AD1347" i="1" s="1"/>
  <c r="V1347" i="1"/>
  <c r="U1335" i="1"/>
  <c r="AD1335" i="1" s="1"/>
  <c r="V1335" i="1"/>
  <c r="U1323" i="1"/>
  <c r="AD1323" i="1" s="1"/>
  <c r="V1323" i="1"/>
  <c r="U1311" i="1"/>
  <c r="AD1311" i="1" s="1"/>
  <c r="V1311" i="1"/>
  <c r="V1299" i="1"/>
  <c r="U1299" i="1"/>
  <c r="AD1299" i="1" s="1"/>
  <c r="V1287" i="1"/>
  <c r="U1287" i="1"/>
  <c r="V1275" i="1"/>
  <c r="U1275" i="1"/>
  <c r="AD1275" i="1" s="1"/>
  <c r="V1263" i="1"/>
  <c r="U1263" i="1"/>
  <c r="AD1263" i="1" s="1"/>
  <c r="V1251" i="1"/>
  <c r="U1251" i="1"/>
  <c r="AD1251" i="1" s="1"/>
  <c r="U1239" i="1"/>
  <c r="AD1239" i="1" s="1"/>
  <c r="V1239" i="1"/>
  <c r="U1227" i="1"/>
  <c r="AD1227" i="1" s="1"/>
  <c r="U1215" i="1"/>
  <c r="AD1215" i="1" s="1"/>
  <c r="V1215" i="1"/>
  <c r="U1203" i="1"/>
  <c r="AD1203" i="1" s="1"/>
  <c r="V1203" i="1"/>
  <c r="U1191" i="1"/>
  <c r="AD1191" i="1" s="1"/>
  <c r="V1191" i="1"/>
  <c r="V1179" i="1"/>
  <c r="U1179" i="1"/>
  <c r="AD1179" i="1" s="1"/>
  <c r="V1167" i="1"/>
  <c r="U1167" i="1"/>
  <c r="AD1167" i="1" s="1"/>
  <c r="U1155" i="1"/>
  <c r="AD1155" i="1" s="1"/>
  <c r="V1155" i="1"/>
  <c r="V1143" i="1"/>
  <c r="U1143" i="1"/>
  <c r="AD1143" i="1" s="1"/>
  <c r="U1131" i="1"/>
  <c r="AD1131" i="1" s="1"/>
  <c r="V1131" i="1"/>
  <c r="U1119" i="1"/>
  <c r="AD1119" i="1" s="1"/>
  <c r="V1119" i="1"/>
  <c r="V1107" i="1"/>
  <c r="U1107" i="1"/>
  <c r="AD1107" i="1" s="1"/>
  <c r="V1095" i="1"/>
  <c r="U1095" i="1"/>
  <c r="AD1095" i="1" s="1"/>
  <c r="V1083" i="1"/>
  <c r="U1083" i="1"/>
  <c r="AD1083" i="1" s="1"/>
  <c r="V1071" i="1"/>
  <c r="U1071" i="1"/>
  <c r="AD1071" i="1" s="1"/>
  <c r="V1059" i="1"/>
  <c r="U1059" i="1"/>
  <c r="AD1059" i="1" s="1"/>
  <c r="V1047" i="1"/>
  <c r="U1047" i="1"/>
  <c r="AD1047" i="1" s="1"/>
  <c r="V1011" i="1"/>
  <c r="U1011" i="1"/>
  <c r="AD1011" i="1" s="1"/>
  <c r="V999" i="1"/>
  <c r="U999" i="1"/>
  <c r="AD999" i="1" s="1"/>
  <c r="V987" i="1"/>
  <c r="V975" i="1"/>
  <c r="U975" i="1"/>
  <c r="AD975" i="1" s="1"/>
  <c r="V963" i="1"/>
  <c r="U963" i="1"/>
  <c r="V951" i="1"/>
  <c r="U951" i="1"/>
  <c r="AD951" i="1" s="1"/>
  <c r="U939" i="1"/>
  <c r="AD939" i="1" s="1"/>
  <c r="V939" i="1"/>
  <c r="V915" i="1"/>
  <c r="U915" i="1"/>
  <c r="AD915" i="1" s="1"/>
  <c r="V903" i="1"/>
  <c r="U903" i="1"/>
  <c r="AD903" i="1" s="1"/>
  <c r="V879" i="1"/>
  <c r="U879" i="1"/>
  <c r="AD879" i="1" s="1"/>
  <c r="V855" i="1"/>
  <c r="U855" i="1"/>
  <c r="V843" i="1"/>
  <c r="V831" i="1"/>
  <c r="U831" i="1"/>
  <c r="AD831" i="1" s="1"/>
  <c r="V807" i="1"/>
  <c r="U807" i="1"/>
  <c r="AD807" i="1" s="1"/>
  <c r="V795" i="1"/>
  <c r="U795" i="1"/>
  <c r="AD795" i="1" s="1"/>
  <c r="V783" i="1"/>
  <c r="U783" i="1"/>
  <c r="AD783" i="1" s="1"/>
  <c r="V771" i="1"/>
  <c r="U771" i="1"/>
  <c r="AD771" i="1" s="1"/>
  <c r="V759" i="1"/>
  <c r="U759" i="1"/>
  <c r="AD759" i="1" s="1"/>
  <c r="V747" i="1"/>
  <c r="U747" i="1"/>
  <c r="AD747" i="1" s="1"/>
  <c r="V735" i="1"/>
  <c r="U735" i="1"/>
  <c r="AD735" i="1" s="1"/>
  <c r="V723" i="1"/>
  <c r="V711" i="1"/>
  <c r="U711" i="1"/>
  <c r="AD711" i="1" s="1"/>
  <c r="V699" i="1"/>
  <c r="U699" i="1"/>
  <c r="AD699" i="1" s="1"/>
  <c r="V687" i="1"/>
  <c r="U687" i="1"/>
  <c r="V663" i="1"/>
  <c r="U663" i="1"/>
  <c r="AD663" i="1" s="1"/>
  <c r="V651" i="1"/>
  <c r="U651" i="1"/>
  <c r="AD651" i="1" s="1"/>
  <c r="V639" i="1"/>
  <c r="U639" i="1"/>
  <c r="AD639" i="1" s="1"/>
  <c r="V627" i="1"/>
  <c r="U627" i="1"/>
  <c r="AD627" i="1" s="1"/>
  <c r="V615" i="1"/>
  <c r="U615" i="1"/>
  <c r="AD615" i="1" s="1"/>
  <c r="V603" i="1"/>
  <c r="U603" i="1"/>
  <c r="V591" i="1"/>
  <c r="U591" i="1"/>
  <c r="AD591" i="1" s="1"/>
  <c r="V579" i="1"/>
  <c r="U579" i="1"/>
  <c r="AD579" i="1" s="1"/>
  <c r="V567" i="1"/>
  <c r="U567" i="1"/>
  <c r="AD567" i="1" s="1"/>
  <c r="V555" i="1"/>
  <c r="U555" i="1"/>
  <c r="AD555" i="1" s="1"/>
  <c r="V543" i="1"/>
  <c r="U543" i="1"/>
  <c r="AD543" i="1" s="1"/>
  <c r="V531" i="1"/>
  <c r="U531" i="1"/>
  <c r="V519" i="1"/>
  <c r="U519" i="1"/>
  <c r="AD519" i="1" s="1"/>
  <c r="V507" i="1"/>
  <c r="U507" i="1"/>
  <c r="AD507" i="1" s="1"/>
  <c r="V495" i="1"/>
  <c r="U495" i="1"/>
  <c r="AD495" i="1" s="1"/>
  <c r="V483" i="1"/>
  <c r="U483" i="1"/>
  <c r="AD483" i="1" s="1"/>
  <c r="V459" i="1"/>
  <c r="U459" i="1"/>
  <c r="AD459" i="1" s="1"/>
  <c r="V447" i="1"/>
  <c r="U447" i="1"/>
  <c r="V411" i="1"/>
  <c r="U411" i="1"/>
  <c r="AD411" i="1" s="1"/>
  <c r="V399" i="1"/>
  <c r="U399" i="1"/>
  <c r="AD399" i="1" s="1"/>
  <c r="V363" i="1"/>
  <c r="U363" i="1"/>
  <c r="AD363" i="1" s="1"/>
  <c r="V351" i="1"/>
  <c r="U351" i="1"/>
  <c r="AD351" i="1" s="1"/>
  <c r="V339" i="1"/>
  <c r="U339" i="1"/>
  <c r="AD339" i="1" s="1"/>
  <c r="V327" i="1"/>
  <c r="V315" i="1"/>
  <c r="V291" i="1"/>
  <c r="U291" i="1"/>
  <c r="AD291" i="1" s="1"/>
  <c r="V243" i="1"/>
  <c r="U243" i="1"/>
  <c r="AD243" i="1" s="1"/>
  <c r="V219" i="1"/>
  <c r="U219" i="1"/>
  <c r="AD219" i="1" s="1"/>
  <c r="V195" i="1"/>
  <c r="U195" i="1"/>
  <c r="AD195" i="1" s="1"/>
  <c r="V183" i="1"/>
  <c r="U183" i="1"/>
  <c r="AD183" i="1" s="1"/>
  <c r="V171" i="1"/>
  <c r="U171" i="1"/>
  <c r="V147" i="1"/>
  <c r="U147" i="1"/>
  <c r="AD147" i="1" s="1"/>
  <c r="V135" i="1"/>
  <c r="U135" i="1"/>
  <c r="AD135" i="1" s="1"/>
  <c r="V123" i="1"/>
  <c r="U123" i="1"/>
  <c r="AD123" i="1" s="1"/>
  <c r="V99" i="1"/>
  <c r="U99" i="1"/>
  <c r="AD99" i="1" s="1"/>
  <c r="V87" i="1"/>
  <c r="U87" i="1"/>
  <c r="AD87" i="1" s="1"/>
  <c r="V75" i="1"/>
  <c r="U75" i="1"/>
  <c r="V51" i="1"/>
  <c r="U51" i="1"/>
  <c r="AD51" i="1" s="1"/>
  <c r="V39" i="1"/>
  <c r="U39" i="1"/>
  <c r="AD39" i="1" s="1"/>
  <c r="V27" i="1"/>
  <c r="U27" i="1"/>
  <c r="AD27" i="1" s="1"/>
  <c r="V3" i="1"/>
  <c r="U3" i="1"/>
  <c r="AD3" i="1" s="1"/>
  <c r="U1745" i="1"/>
  <c r="U1625" i="1"/>
  <c r="AD1625" i="1" s="1"/>
  <c r="U1588" i="1"/>
  <c r="AD1588" i="1" s="1"/>
  <c r="U1315" i="1"/>
  <c r="U1243" i="1"/>
  <c r="AD1243" i="1" s="1"/>
  <c r="U881" i="1"/>
  <c r="U833" i="1"/>
  <c r="AD833" i="1" s="1"/>
  <c r="U787" i="1"/>
  <c r="AD787" i="1" s="1"/>
  <c r="U739" i="1"/>
  <c r="U185" i="1"/>
  <c r="AD185" i="1" s="1"/>
  <c r="U7" i="1"/>
  <c r="AD7" i="1" s="1"/>
  <c r="V1720" i="1"/>
  <c r="V521" i="1"/>
  <c r="V2" i="1"/>
  <c r="AD2" i="1"/>
  <c r="V1709" i="1"/>
  <c r="U1709" i="1"/>
  <c r="AD1709" i="1" s="1"/>
  <c r="V1685" i="1"/>
  <c r="U1685" i="1"/>
  <c r="AD1685" i="1" s="1"/>
  <c r="V1649" i="1"/>
  <c r="V1613" i="1"/>
  <c r="U1613" i="1"/>
  <c r="AD1613" i="1" s="1"/>
  <c r="V1577" i="1"/>
  <c r="U1577" i="1"/>
  <c r="AD1577" i="1" s="1"/>
  <c r="V1529" i="1"/>
  <c r="U1529" i="1"/>
  <c r="AD1529" i="1" s="1"/>
  <c r="V1421" i="1"/>
  <c r="U1421" i="1"/>
  <c r="U1385" i="1"/>
  <c r="AD1385" i="1" s="1"/>
  <c r="V1385" i="1"/>
  <c r="V1361" i="1"/>
  <c r="U1361" i="1"/>
  <c r="AD1361" i="1" s="1"/>
  <c r="V1337" i="1"/>
  <c r="U1241" i="1"/>
  <c r="V1241" i="1"/>
  <c r="U1205" i="1"/>
  <c r="AD1205" i="1" s="1"/>
  <c r="V1205" i="1"/>
  <c r="V1181" i="1"/>
  <c r="U1181" i="1"/>
  <c r="AD1181" i="1" s="1"/>
  <c r="V1145" i="1"/>
  <c r="U1145" i="1"/>
  <c r="AD1145" i="1" s="1"/>
  <c r="V1097" i="1"/>
  <c r="U1097" i="1"/>
  <c r="AD1097" i="1" s="1"/>
  <c r="U1073" i="1"/>
  <c r="AD1073" i="1" s="1"/>
  <c r="V1073" i="1"/>
  <c r="V929" i="1"/>
  <c r="U929" i="1"/>
  <c r="AD929" i="1" s="1"/>
  <c r="V785" i="1"/>
  <c r="U785" i="1"/>
  <c r="AD785" i="1" s="1"/>
  <c r="U713" i="1"/>
  <c r="AD713" i="1" s="1"/>
  <c r="V689" i="1"/>
  <c r="U689" i="1"/>
  <c r="V653" i="1"/>
  <c r="U653" i="1"/>
  <c r="AD653" i="1" s="1"/>
  <c r="V497" i="1"/>
  <c r="U497" i="1"/>
  <c r="AD497" i="1" s="1"/>
  <c r="V437" i="1"/>
  <c r="U437" i="1"/>
  <c r="AD437" i="1" s="1"/>
  <c r="V389" i="1"/>
  <c r="U389" i="1"/>
  <c r="AD389" i="1" s="1"/>
  <c r="V305" i="1"/>
  <c r="U305" i="1"/>
  <c r="AD305" i="1" s="1"/>
  <c r="V293" i="1"/>
  <c r="U293" i="1"/>
  <c r="V209" i="1"/>
  <c r="U209" i="1"/>
  <c r="AD209" i="1" s="1"/>
  <c r="V197" i="1"/>
  <c r="U197" i="1"/>
  <c r="AD197" i="1" s="1"/>
  <c r="V173" i="1"/>
  <c r="U173" i="1"/>
  <c r="AD173" i="1" s="1"/>
  <c r="V149" i="1"/>
  <c r="U149" i="1"/>
  <c r="AD149" i="1" s="1"/>
  <c r="V65" i="1"/>
  <c r="U65" i="1"/>
  <c r="AD65" i="1" s="1"/>
  <c r="V53" i="1"/>
  <c r="U53" i="1"/>
  <c r="V41" i="1"/>
  <c r="U41" i="1"/>
  <c r="AD41" i="1" s="1"/>
  <c r="V29" i="1"/>
  <c r="U29" i="1"/>
  <c r="AD29" i="1" s="1"/>
  <c r="V5" i="1"/>
  <c r="U5" i="1"/>
  <c r="AD5" i="1" s="1"/>
  <c r="V1792" i="1"/>
  <c r="U1792" i="1"/>
  <c r="AD1792" i="1" s="1"/>
  <c r="U1780" i="1"/>
  <c r="V1756" i="1"/>
  <c r="U1756" i="1"/>
  <c r="AD1756" i="1" s="1"/>
  <c r="U1744" i="1"/>
  <c r="AD1744" i="1" s="1"/>
  <c r="V1744" i="1"/>
  <c r="V1732" i="1"/>
  <c r="V1708" i="1"/>
  <c r="U1708" i="1"/>
  <c r="AD1708" i="1" s="1"/>
  <c r="U1696" i="1"/>
  <c r="AD1696" i="1" s="1"/>
  <c r="V1696" i="1"/>
  <c r="V1684" i="1"/>
  <c r="U1684" i="1"/>
  <c r="AD1684" i="1" s="1"/>
  <c r="V1672" i="1"/>
  <c r="U1672" i="1"/>
  <c r="AD1672" i="1" s="1"/>
  <c r="V1660" i="1"/>
  <c r="U1660" i="1"/>
  <c r="V1636" i="1"/>
  <c r="U1636" i="1"/>
  <c r="AD1636" i="1" s="1"/>
  <c r="V1612" i="1"/>
  <c r="U1576" i="1"/>
  <c r="AD1576" i="1" s="1"/>
  <c r="V1576" i="1"/>
  <c r="V1552" i="1"/>
  <c r="U1552" i="1"/>
  <c r="AD1552" i="1" s="1"/>
  <c r="U1540" i="1"/>
  <c r="AD1540" i="1" s="1"/>
  <c r="V1540" i="1"/>
  <c r="V1528" i="1"/>
  <c r="U1528" i="1"/>
  <c r="AD1528" i="1" s="1"/>
  <c r="V1516" i="1"/>
  <c r="U1516" i="1"/>
  <c r="AD1516" i="1" s="1"/>
  <c r="V1480" i="1"/>
  <c r="U1480" i="1"/>
  <c r="AD1480" i="1" s="1"/>
  <c r="V1468" i="1"/>
  <c r="V1456" i="1"/>
  <c r="U1456" i="1"/>
  <c r="AD1456" i="1" s="1"/>
  <c r="V1444" i="1"/>
  <c r="U1444" i="1"/>
  <c r="AD1444" i="1" s="1"/>
  <c r="V1420" i="1"/>
  <c r="U1420" i="1"/>
  <c r="AD1420" i="1" s="1"/>
  <c r="V1396" i="1"/>
  <c r="U1396" i="1"/>
  <c r="U1384" i="1"/>
  <c r="AD1384" i="1" s="1"/>
  <c r="V1384" i="1"/>
  <c r="V1372" i="1"/>
  <c r="U1372" i="1"/>
  <c r="AD1372" i="1" s="1"/>
  <c r="U1360" i="1"/>
  <c r="V1348" i="1"/>
  <c r="U1348" i="1"/>
  <c r="AD1348" i="1" s="1"/>
  <c r="V1324" i="1"/>
  <c r="U1324" i="1"/>
  <c r="AD1324" i="1" s="1"/>
  <c r="V1300" i="1"/>
  <c r="U1300" i="1"/>
  <c r="AD1300" i="1" s="1"/>
  <c r="V1288" i="1"/>
  <c r="U1288" i="1"/>
  <c r="AD1288" i="1" s="1"/>
  <c r="V1276" i="1"/>
  <c r="U1276" i="1"/>
  <c r="AD1276" i="1" s="1"/>
  <c r="U1264" i="1"/>
  <c r="AD1264" i="1" s="1"/>
  <c r="V1264" i="1"/>
  <c r="V1240" i="1"/>
  <c r="U1240" i="1"/>
  <c r="AD1240" i="1" s="1"/>
  <c r="V1216" i="1"/>
  <c r="U1216" i="1"/>
  <c r="AD1216" i="1" s="1"/>
  <c r="U1204" i="1"/>
  <c r="AD1204" i="1" s="1"/>
  <c r="V1204" i="1"/>
  <c r="V1192" i="1"/>
  <c r="U1192" i="1"/>
  <c r="AD1192" i="1" s="1"/>
  <c r="V1168" i="1"/>
  <c r="V1156" i="1"/>
  <c r="V1144" i="1"/>
  <c r="U1132" i="1"/>
  <c r="AD1132" i="1" s="1"/>
  <c r="V1132" i="1"/>
  <c r="V1120" i="1"/>
  <c r="U1120" i="1"/>
  <c r="AD1120" i="1" s="1"/>
  <c r="V1108" i="1"/>
  <c r="U1108" i="1"/>
  <c r="AD1108" i="1" s="1"/>
  <c r="V1096" i="1"/>
  <c r="U1096" i="1"/>
  <c r="V1084" i="1"/>
  <c r="U1084" i="1"/>
  <c r="AD1084" i="1" s="1"/>
  <c r="V1060" i="1"/>
  <c r="U1060" i="1"/>
  <c r="AD1060" i="1" s="1"/>
  <c r="U1048" i="1"/>
  <c r="AD1048" i="1" s="1"/>
  <c r="V1048" i="1"/>
  <c r="U1036" i="1"/>
  <c r="AD1036" i="1" s="1"/>
  <c r="V1036" i="1"/>
  <c r="V1012" i="1"/>
  <c r="U1012" i="1"/>
  <c r="AD1012" i="1" s="1"/>
  <c r="V1000" i="1"/>
  <c r="U1000" i="1"/>
  <c r="U988" i="1"/>
  <c r="AD988" i="1" s="1"/>
  <c r="V988" i="1"/>
  <c r="V976" i="1"/>
  <c r="U976" i="1"/>
  <c r="AD976" i="1" s="1"/>
  <c r="U964" i="1"/>
  <c r="AD964" i="1" s="1"/>
  <c r="U952" i="1"/>
  <c r="V952" i="1"/>
  <c r="U940" i="1"/>
  <c r="AD940" i="1" s="1"/>
  <c r="V940" i="1"/>
  <c r="U928" i="1"/>
  <c r="AD928" i="1" s="1"/>
  <c r="V928" i="1"/>
  <c r="U916" i="1"/>
  <c r="AD916" i="1" s="1"/>
  <c r="V916" i="1"/>
  <c r="U904" i="1"/>
  <c r="AD904" i="1" s="1"/>
  <c r="V904" i="1"/>
  <c r="U892" i="1"/>
  <c r="AD892" i="1" s="1"/>
  <c r="V892" i="1"/>
  <c r="V880" i="1"/>
  <c r="U880" i="1"/>
  <c r="AD880" i="1" s="1"/>
  <c r="U868" i="1"/>
  <c r="AD868" i="1" s="1"/>
  <c r="V868" i="1"/>
  <c r="U856" i="1"/>
  <c r="AD856" i="1" s="1"/>
  <c r="V856" i="1"/>
  <c r="U844" i="1"/>
  <c r="AD844" i="1" s="1"/>
  <c r="V844" i="1"/>
  <c r="U832" i="1"/>
  <c r="AD832" i="1" s="1"/>
  <c r="V832" i="1"/>
  <c r="U820" i="1"/>
  <c r="AD820" i="1" s="1"/>
  <c r="V820" i="1"/>
  <c r="U808" i="1"/>
  <c r="AD808" i="1" s="1"/>
  <c r="V808" i="1"/>
  <c r="V784" i="1"/>
  <c r="U784" i="1"/>
  <c r="AD784" i="1" s="1"/>
  <c r="U772" i="1"/>
  <c r="AD772" i="1" s="1"/>
  <c r="V772" i="1"/>
  <c r="U760" i="1"/>
  <c r="AD760" i="1" s="1"/>
  <c r="V760" i="1"/>
  <c r="U748" i="1"/>
  <c r="AD748" i="1" s="1"/>
  <c r="V748" i="1"/>
  <c r="U736" i="1"/>
  <c r="AD736" i="1" s="1"/>
  <c r="V736" i="1"/>
  <c r="U724" i="1"/>
  <c r="V724" i="1"/>
  <c r="U712" i="1"/>
  <c r="AD712" i="1" s="1"/>
  <c r="V712" i="1"/>
  <c r="U700" i="1"/>
  <c r="AD700" i="1" s="1"/>
  <c r="V700" i="1"/>
  <c r="V688" i="1"/>
  <c r="U688" i="1"/>
  <c r="AD688" i="1" s="1"/>
  <c r="U676" i="1"/>
  <c r="AD676" i="1" s="1"/>
  <c r="V676" i="1"/>
  <c r="U664" i="1"/>
  <c r="AD664" i="1" s="1"/>
  <c r="V664" i="1"/>
  <c r="U652" i="1"/>
  <c r="V652" i="1"/>
  <c r="U640" i="1"/>
  <c r="AD640" i="1" s="1"/>
  <c r="V640" i="1"/>
  <c r="U616" i="1"/>
  <c r="AD616" i="1" s="1"/>
  <c r="V616" i="1"/>
  <c r="U604" i="1"/>
  <c r="AD604" i="1" s="1"/>
  <c r="V604" i="1"/>
  <c r="V592" i="1"/>
  <c r="U592" i="1"/>
  <c r="AD592" i="1" s="1"/>
  <c r="U580" i="1"/>
  <c r="AD580" i="1" s="1"/>
  <c r="V580" i="1"/>
  <c r="U568" i="1"/>
  <c r="V568" i="1"/>
  <c r="U556" i="1"/>
  <c r="AD556" i="1" s="1"/>
  <c r="V556" i="1"/>
  <c r="U544" i="1"/>
  <c r="AD544" i="1" s="1"/>
  <c r="V544" i="1"/>
  <c r="U532" i="1"/>
  <c r="AD532" i="1" s="1"/>
  <c r="V532" i="1"/>
  <c r="U520" i="1"/>
  <c r="AD520" i="1" s="1"/>
  <c r="V520" i="1"/>
  <c r="U508" i="1"/>
  <c r="AD508" i="1" s="1"/>
  <c r="V508" i="1"/>
  <c r="V496" i="1"/>
  <c r="U496" i="1"/>
  <c r="AD496" i="1" s="1"/>
  <c r="U472" i="1"/>
  <c r="AD472" i="1" s="1"/>
  <c r="V472" i="1"/>
  <c r="U460" i="1"/>
  <c r="AD460" i="1" s="1"/>
  <c r="V460" i="1"/>
  <c r="U448" i="1"/>
  <c r="AD448" i="1" s="1"/>
  <c r="V448" i="1"/>
  <c r="V436" i="1"/>
  <c r="U436" i="1"/>
  <c r="AD436" i="1" s="1"/>
  <c r="V424" i="1"/>
  <c r="U424" i="1"/>
  <c r="AD424" i="1" s="1"/>
  <c r="V412" i="1"/>
  <c r="U412" i="1"/>
  <c r="AD412" i="1" s="1"/>
  <c r="V400" i="1"/>
  <c r="U400" i="1"/>
  <c r="AD400" i="1" s="1"/>
  <c r="V388" i="1"/>
  <c r="U388" i="1"/>
  <c r="AD388" i="1" s="1"/>
  <c r="V376" i="1"/>
  <c r="U376" i="1"/>
  <c r="AD376" i="1" s="1"/>
  <c r="V364" i="1"/>
  <c r="U364" i="1"/>
  <c r="AD364" i="1" s="1"/>
  <c r="U352" i="1"/>
  <c r="AD352" i="1" s="1"/>
  <c r="V352" i="1"/>
  <c r="V340" i="1"/>
  <c r="U340" i="1"/>
  <c r="AD340" i="1" s="1"/>
  <c r="U328" i="1"/>
  <c r="AD328" i="1" s="1"/>
  <c r="V328" i="1"/>
  <c r="V316" i="1"/>
  <c r="U316" i="1"/>
  <c r="AD316" i="1" s="1"/>
  <c r="V304" i="1"/>
  <c r="U304" i="1"/>
  <c r="AD304" i="1" s="1"/>
  <c r="V292" i="1"/>
  <c r="U292" i="1"/>
  <c r="AD292" i="1" s="1"/>
  <c r="V280" i="1"/>
  <c r="U280" i="1"/>
  <c r="AD280" i="1" s="1"/>
  <c r="U268" i="1"/>
  <c r="AD268" i="1" s="1"/>
  <c r="V268" i="1"/>
  <c r="V244" i="1"/>
  <c r="U244" i="1"/>
  <c r="AD244" i="1" s="1"/>
  <c r="V232" i="1"/>
  <c r="U232" i="1"/>
  <c r="AD232" i="1" s="1"/>
  <c r="V220" i="1"/>
  <c r="U220" i="1"/>
  <c r="AD220" i="1" s="1"/>
  <c r="U208" i="1"/>
  <c r="AD208" i="1" s="1"/>
  <c r="V208" i="1"/>
  <c r="V196" i="1"/>
  <c r="U196" i="1"/>
  <c r="AD196" i="1" s="1"/>
  <c r="U184" i="1"/>
  <c r="V184" i="1"/>
  <c r="V172" i="1"/>
  <c r="U172" i="1"/>
  <c r="AD172" i="1" s="1"/>
  <c r="V160" i="1"/>
  <c r="U160" i="1"/>
  <c r="AD160" i="1" s="1"/>
  <c r="V148" i="1"/>
  <c r="U148" i="1"/>
  <c r="AD148" i="1" s="1"/>
  <c r="V136" i="1"/>
  <c r="U136" i="1"/>
  <c r="AD136" i="1" s="1"/>
  <c r="V124" i="1"/>
  <c r="U124" i="1"/>
  <c r="AD124" i="1" s="1"/>
  <c r="V112" i="1"/>
  <c r="U112" i="1"/>
  <c r="AD112" i="1" s="1"/>
  <c r="V100" i="1"/>
  <c r="U100" i="1"/>
  <c r="AD100" i="1" s="1"/>
  <c r="V88" i="1"/>
  <c r="U88" i="1"/>
  <c r="AD88" i="1" s="1"/>
  <c r="V76" i="1"/>
  <c r="U76" i="1"/>
  <c r="AD76" i="1" s="1"/>
  <c r="V64" i="1"/>
  <c r="U64" i="1"/>
  <c r="AD64" i="1" s="1"/>
  <c r="V52" i="1"/>
  <c r="U52" i="1"/>
  <c r="AD52" i="1" s="1"/>
  <c r="V40" i="1"/>
  <c r="U40" i="1"/>
  <c r="AD40" i="1" s="1"/>
  <c r="V28" i="1"/>
  <c r="U28" i="1"/>
  <c r="AD28" i="1" s="1"/>
  <c r="V16" i="1"/>
  <c r="U16" i="1"/>
  <c r="AD16" i="1" s="1"/>
  <c r="V4" i="1"/>
  <c r="U4" i="1"/>
  <c r="AD4" i="1" s="1"/>
  <c r="U1790" i="1"/>
  <c r="AD1790" i="1" s="1"/>
  <c r="V1790" i="1"/>
  <c r="V1778" i="1"/>
  <c r="V1754" i="1"/>
  <c r="U1754" i="1"/>
  <c r="AD1754" i="1" s="1"/>
  <c r="V1742" i="1"/>
  <c r="V1730" i="1"/>
  <c r="V1718" i="1"/>
  <c r="U1718" i="1"/>
  <c r="AD1718" i="1" s="1"/>
  <c r="V1706" i="1"/>
  <c r="V1694" i="1"/>
  <c r="V1682" i="1"/>
  <c r="U1682" i="1"/>
  <c r="AD1682" i="1" s="1"/>
  <c r="U1670" i="1"/>
  <c r="AD1670" i="1" s="1"/>
  <c r="V1670" i="1"/>
  <c r="V1658" i="1"/>
  <c r="U1646" i="1"/>
  <c r="AD1646" i="1" s="1"/>
  <c r="V1634" i="1"/>
  <c r="U1634" i="1"/>
  <c r="AD1634" i="1" s="1"/>
  <c r="V1622" i="1"/>
  <c r="U1622" i="1"/>
  <c r="AD1622" i="1" s="1"/>
  <c r="V1610" i="1"/>
  <c r="U1598" i="1"/>
  <c r="AD1598" i="1" s="1"/>
  <c r="V1586" i="1"/>
  <c r="V1574" i="1"/>
  <c r="U1574" i="1"/>
  <c r="AD1574" i="1" s="1"/>
  <c r="V1562" i="1"/>
  <c r="V1550" i="1"/>
  <c r="V1538" i="1"/>
  <c r="U1538" i="1"/>
  <c r="AD1538" i="1" s="1"/>
  <c r="V1526" i="1"/>
  <c r="U1526" i="1"/>
  <c r="AD1526" i="1" s="1"/>
  <c r="V1514" i="1"/>
  <c r="U1514" i="1"/>
  <c r="AD1514" i="1" s="1"/>
  <c r="V1502" i="1"/>
  <c r="U1502" i="1"/>
  <c r="AD1502" i="1" s="1"/>
  <c r="V1490" i="1"/>
  <c r="V1478" i="1"/>
  <c r="U1478" i="1"/>
  <c r="AD1478" i="1" s="1"/>
  <c r="V1454" i="1"/>
  <c r="V1442" i="1"/>
  <c r="V1430" i="1"/>
  <c r="V1418" i="1"/>
  <c r="U1418" i="1"/>
  <c r="AD1418" i="1" s="1"/>
  <c r="V1406" i="1"/>
  <c r="V1394" i="1"/>
  <c r="U1394" i="1"/>
  <c r="U1382" i="1"/>
  <c r="AD1382" i="1" s="1"/>
  <c r="V1382" i="1"/>
  <c r="V1370" i="1"/>
  <c r="U1370" i="1"/>
  <c r="AD1370" i="1" s="1"/>
  <c r="U1358" i="1"/>
  <c r="V1346" i="1"/>
  <c r="V1334" i="1"/>
  <c r="V1322" i="1"/>
  <c r="U1322" i="1"/>
  <c r="AD1322" i="1" s="1"/>
  <c r="V1310" i="1"/>
  <c r="U1298" i="1"/>
  <c r="AD1298" i="1" s="1"/>
  <c r="V1298" i="1"/>
  <c r="V1286" i="1"/>
  <c r="U1286" i="1"/>
  <c r="AD1286" i="1" s="1"/>
  <c r="V1274" i="1"/>
  <c r="V1262" i="1"/>
  <c r="U1262" i="1"/>
  <c r="AD1262" i="1" s="1"/>
  <c r="V1250" i="1"/>
  <c r="U1250" i="1"/>
  <c r="AD1250" i="1" s="1"/>
  <c r="V1238" i="1"/>
  <c r="U1238" i="1"/>
  <c r="AD1238" i="1" s="1"/>
  <c r="V1214" i="1"/>
  <c r="U1214" i="1"/>
  <c r="AD1214" i="1" s="1"/>
  <c r="V1202" i="1"/>
  <c r="V1190" i="1"/>
  <c r="U1190" i="1"/>
  <c r="AD1190" i="1" s="1"/>
  <c r="V1178" i="1"/>
  <c r="U1178" i="1"/>
  <c r="AD1178" i="1" s="1"/>
  <c r="V1166" i="1"/>
  <c r="V1154" i="1"/>
  <c r="U1154" i="1"/>
  <c r="AD1154" i="1" s="1"/>
  <c r="V1142" i="1"/>
  <c r="V1130" i="1"/>
  <c r="U1130" i="1"/>
  <c r="AD1130" i="1" s="1"/>
  <c r="V1118" i="1"/>
  <c r="U1118" i="1"/>
  <c r="V1106" i="1"/>
  <c r="U1106" i="1"/>
  <c r="AD1106" i="1" s="1"/>
  <c r="V1094" i="1"/>
  <c r="U1094" i="1"/>
  <c r="AD1094" i="1" s="1"/>
  <c r="V1082" i="1"/>
  <c r="U1070" i="1"/>
  <c r="AD1070" i="1" s="1"/>
  <c r="V1070" i="1"/>
  <c r="U1058" i="1"/>
  <c r="AD1058" i="1" s="1"/>
  <c r="V1058" i="1"/>
  <c r="V1046" i="1"/>
  <c r="U1046" i="1"/>
  <c r="AD1046" i="1" s="1"/>
  <c r="V1034" i="1"/>
  <c r="V1022" i="1"/>
  <c r="V1010" i="1"/>
  <c r="V998" i="1"/>
  <c r="U998" i="1"/>
  <c r="AD998" i="1" s="1"/>
  <c r="V986" i="1"/>
  <c r="V974" i="1"/>
  <c r="V962" i="1"/>
  <c r="V950" i="1"/>
  <c r="U950" i="1"/>
  <c r="AD950" i="1" s="1"/>
  <c r="V938" i="1"/>
  <c r="V926" i="1"/>
  <c r="U926" i="1"/>
  <c r="V914" i="1"/>
  <c r="V902" i="1"/>
  <c r="U902" i="1"/>
  <c r="AD902" i="1" s="1"/>
  <c r="V890" i="1"/>
  <c r="U890" i="1"/>
  <c r="AD890" i="1" s="1"/>
  <c r="U878" i="1"/>
  <c r="V866" i="1"/>
  <c r="U854" i="1"/>
  <c r="AD854" i="1" s="1"/>
  <c r="V842" i="1"/>
  <c r="U842" i="1"/>
  <c r="AD842" i="1" s="1"/>
  <c r="U830" i="1"/>
  <c r="AD830" i="1" s="1"/>
  <c r="V830" i="1"/>
  <c r="V818" i="1"/>
  <c r="V806" i="1"/>
  <c r="U806" i="1"/>
  <c r="AD806" i="1" s="1"/>
  <c r="V794" i="1"/>
  <c r="U794" i="1"/>
  <c r="AD794" i="1" s="1"/>
  <c r="U782" i="1"/>
  <c r="V782" i="1"/>
  <c r="V770" i="1"/>
  <c r="U758" i="1"/>
  <c r="AD758" i="1" s="1"/>
  <c r="V746" i="1"/>
  <c r="U746" i="1"/>
  <c r="AD746" i="1" s="1"/>
  <c r="V734" i="1"/>
  <c r="U734" i="1"/>
  <c r="AD734" i="1" s="1"/>
  <c r="V722" i="1"/>
  <c r="V710" i="1"/>
  <c r="U710" i="1"/>
  <c r="AD710" i="1" s="1"/>
  <c r="V698" i="1"/>
  <c r="U698" i="1"/>
  <c r="AD698" i="1" s="1"/>
  <c r="U686" i="1"/>
  <c r="AD686" i="1" s="1"/>
  <c r="V674" i="1"/>
  <c r="V662" i="1"/>
  <c r="U662" i="1"/>
  <c r="AD662" i="1" s="1"/>
  <c r="V650" i="1"/>
  <c r="U650" i="1"/>
  <c r="V638" i="1"/>
  <c r="U638" i="1"/>
  <c r="AD638" i="1" s="1"/>
  <c r="U626" i="1"/>
  <c r="AD626" i="1" s="1"/>
  <c r="V614" i="1"/>
  <c r="U614" i="1"/>
  <c r="AD614" i="1" s="1"/>
  <c r="V602" i="1"/>
  <c r="U590" i="1"/>
  <c r="AD590" i="1" s="1"/>
  <c r="V578" i="1"/>
  <c r="U578" i="1"/>
  <c r="AD578" i="1" s="1"/>
  <c r="V566" i="1"/>
  <c r="U566" i="1"/>
  <c r="AD566" i="1" s="1"/>
  <c r="V554" i="1"/>
  <c r="V542" i="1"/>
  <c r="U542" i="1"/>
  <c r="AD542" i="1" s="1"/>
  <c r="U530" i="1"/>
  <c r="V518" i="1"/>
  <c r="U518" i="1"/>
  <c r="AD518" i="1" s="1"/>
  <c r="V506" i="1"/>
  <c r="U494" i="1"/>
  <c r="AD494" i="1" s="1"/>
  <c r="V494" i="1"/>
  <c r="V482" i="1"/>
  <c r="V470" i="1"/>
  <c r="U470" i="1"/>
  <c r="AD470" i="1" s="1"/>
  <c r="V458" i="1"/>
  <c r="U458" i="1"/>
  <c r="AD458" i="1" s="1"/>
  <c r="V446" i="1"/>
  <c r="U446" i="1"/>
  <c r="AD446" i="1" s="1"/>
  <c r="V434" i="1"/>
  <c r="U434" i="1"/>
  <c r="AD434" i="1" s="1"/>
  <c r="V422" i="1"/>
  <c r="V410" i="1"/>
  <c r="U410" i="1"/>
  <c r="AD410" i="1" s="1"/>
  <c r="V398" i="1"/>
  <c r="U398" i="1"/>
  <c r="AD398" i="1" s="1"/>
  <c r="V386" i="1"/>
  <c r="U386" i="1"/>
  <c r="V374" i="1"/>
  <c r="V362" i="1"/>
  <c r="U362" i="1"/>
  <c r="AD362" i="1" s="1"/>
  <c r="V350" i="1"/>
  <c r="U350" i="1"/>
  <c r="AD350" i="1" s="1"/>
  <c r="V338" i="1"/>
  <c r="U338" i="1"/>
  <c r="AD338" i="1" s="1"/>
  <c r="U326" i="1"/>
  <c r="AD326" i="1" s="1"/>
  <c r="V326" i="1"/>
  <c r="V314" i="1"/>
  <c r="U314" i="1"/>
  <c r="AD314" i="1" s="1"/>
  <c r="V302" i="1"/>
  <c r="V290" i="1"/>
  <c r="U290" i="1"/>
  <c r="AD290" i="1" s="1"/>
  <c r="V278" i="1"/>
  <c r="V266" i="1"/>
  <c r="U266" i="1"/>
  <c r="AD266" i="1" s="1"/>
  <c r="V254" i="1"/>
  <c r="V242" i="1"/>
  <c r="U242" i="1"/>
  <c r="AD242" i="1" s="1"/>
  <c r="V230" i="1"/>
  <c r="V218" i="1"/>
  <c r="U218" i="1"/>
  <c r="AD218" i="1" s="1"/>
  <c r="V206" i="1"/>
  <c r="U206" i="1"/>
  <c r="AD206" i="1" s="1"/>
  <c r="V194" i="1"/>
  <c r="U194" i="1"/>
  <c r="AD194" i="1" s="1"/>
  <c r="V182" i="1"/>
  <c r="U182" i="1"/>
  <c r="AD182" i="1" s="1"/>
  <c r="V170" i="1"/>
  <c r="U170" i="1"/>
  <c r="AD170" i="1" s="1"/>
  <c r="V158" i="1"/>
  <c r="V146" i="1"/>
  <c r="U146" i="1"/>
  <c r="AD146" i="1" s="1"/>
  <c r="V134" i="1"/>
  <c r="U134" i="1"/>
  <c r="V122" i="1"/>
  <c r="U122" i="1"/>
  <c r="AD122" i="1" s="1"/>
  <c r="V110" i="1"/>
  <c r="V98" i="1"/>
  <c r="U98" i="1"/>
  <c r="AD98" i="1" s="1"/>
  <c r="V86" i="1"/>
  <c r="U86" i="1"/>
  <c r="AD86" i="1" s="1"/>
  <c r="V74" i="1"/>
  <c r="U74" i="1"/>
  <c r="AD74" i="1" s="1"/>
  <c r="V62" i="1"/>
  <c r="U62" i="1"/>
  <c r="AD62" i="1" s="1"/>
  <c r="V50" i="1"/>
  <c r="U50" i="1"/>
  <c r="AD50" i="1" s="1"/>
  <c r="V38" i="1"/>
  <c r="U38" i="1"/>
  <c r="AD38" i="1" s="1"/>
  <c r="V26" i="1"/>
  <c r="U26" i="1"/>
  <c r="AD26" i="1" s="1"/>
  <c r="V14" i="1"/>
  <c r="U1769" i="1"/>
  <c r="AD1769" i="1" s="1"/>
  <c r="U1742" i="1"/>
  <c r="AD1742" i="1" s="1"/>
  <c r="U1649" i="1"/>
  <c r="AD1649" i="1" s="1"/>
  <c r="U1624" i="1"/>
  <c r="AD1624" i="1" s="1"/>
  <c r="U1586" i="1"/>
  <c r="AD1586" i="1" s="1"/>
  <c r="U1351" i="1"/>
  <c r="AD1351" i="1" s="1"/>
  <c r="U1274" i="1"/>
  <c r="AD1274" i="1" s="1"/>
  <c r="U1010" i="1"/>
  <c r="U962" i="1"/>
  <c r="AD962" i="1" s="1"/>
  <c r="U917" i="1"/>
  <c r="AD917" i="1" s="1"/>
  <c r="U869" i="1"/>
  <c r="U821" i="1"/>
  <c r="AD821" i="1" s="1"/>
  <c r="U775" i="1"/>
  <c r="AD775" i="1" s="1"/>
  <c r="U727" i="1"/>
  <c r="AD727" i="1" s="1"/>
  <c r="U231" i="1"/>
  <c r="U113" i="1"/>
  <c r="AD113" i="1" s="1"/>
  <c r="U63" i="1"/>
  <c r="AD63" i="1" s="1"/>
  <c r="V1623" i="1"/>
  <c r="V1072" i="1"/>
  <c r="V713" i="1"/>
  <c r="V484" i="1"/>
  <c r="AJ184" i="1" l="1"/>
  <c r="AI184" i="1"/>
  <c r="AH184" i="1"/>
  <c r="AG184" i="1"/>
  <c r="AF184" i="1"/>
  <c r="AB184" i="1"/>
  <c r="AJ568" i="1"/>
  <c r="AI568" i="1"/>
  <c r="AH568" i="1"/>
  <c r="AG568" i="1"/>
  <c r="AF568" i="1"/>
  <c r="AB568" i="1"/>
  <c r="AJ1684" i="1"/>
  <c r="AI1684" i="1"/>
  <c r="AH1684" i="1"/>
  <c r="AG1684" i="1"/>
  <c r="AF1684" i="1"/>
  <c r="AB1684" i="1"/>
  <c r="AJ3" i="1"/>
  <c r="AI3" i="1"/>
  <c r="AH3" i="1"/>
  <c r="AG3" i="1"/>
  <c r="AF3" i="1"/>
  <c r="AB3" i="1"/>
  <c r="AJ483" i="1"/>
  <c r="AI483" i="1"/>
  <c r="AH483" i="1"/>
  <c r="AG483" i="1"/>
  <c r="AF483" i="1"/>
  <c r="AB483" i="1"/>
  <c r="AJ903" i="1"/>
  <c r="AI903" i="1"/>
  <c r="AH903" i="1"/>
  <c r="AG903" i="1"/>
  <c r="AF903" i="1"/>
  <c r="AB903" i="1"/>
  <c r="AJ1601" i="1"/>
  <c r="AI1601" i="1"/>
  <c r="AH1601" i="1"/>
  <c r="AG1601" i="1"/>
  <c r="AF1601" i="1"/>
  <c r="AB1601" i="1"/>
  <c r="AJ449" i="1"/>
  <c r="AI449" i="1"/>
  <c r="AH449" i="1"/>
  <c r="AG449" i="1"/>
  <c r="AF449" i="1"/>
  <c r="AB449" i="1"/>
  <c r="AJ631" i="1"/>
  <c r="AI631" i="1"/>
  <c r="AH631" i="1"/>
  <c r="AG631" i="1"/>
  <c r="AF631" i="1"/>
  <c r="AB631" i="1"/>
  <c r="AJ1255" i="1"/>
  <c r="AI1255" i="1"/>
  <c r="AH1255" i="1"/>
  <c r="AG1255" i="1"/>
  <c r="AF1255" i="1"/>
  <c r="AB1255" i="1"/>
  <c r="AJ1615" i="1"/>
  <c r="AI1615" i="1"/>
  <c r="AH1615" i="1"/>
  <c r="AG1615" i="1"/>
  <c r="AF1615" i="1"/>
  <c r="AB1615" i="1"/>
  <c r="AJ246" i="1"/>
  <c r="AI246" i="1"/>
  <c r="AH246" i="1"/>
  <c r="AG246" i="1"/>
  <c r="AF246" i="1"/>
  <c r="AB246" i="1"/>
  <c r="AJ1614" i="1"/>
  <c r="AI1614" i="1"/>
  <c r="AH1614" i="1"/>
  <c r="AG1614" i="1"/>
  <c r="AF1614" i="1"/>
  <c r="AB1614" i="1"/>
  <c r="AJ1174" i="1"/>
  <c r="AI1174" i="1"/>
  <c r="AH1174" i="1"/>
  <c r="AG1174" i="1"/>
  <c r="AF1174" i="1"/>
  <c r="AB1174" i="1"/>
  <c r="AJ978" i="1"/>
  <c r="AI978" i="1"/>
  <c r="AH978" i="1"/>
  <c r="AG978" i="1"/>
  <c r="AF978" i="1"/>
  <c r="AB978" i="1"/>
  <c r="AJ1773" i="1"/>
  <c r="AI1773" i="1"/>
  <c r="AH1773" i="1"/>
  <c r="AG1773" i="1"/>
  <c r="AF1773" i="1"/>
  <c r="AB1773" i="1"/>
  <c r="AJ618" i="1"/>
  <c r="AI618" i="1"/>
  <c r="AH618" i="1"/>
  <c r="AG618" i="1"/>
  <c r="AF618" i="1"/>
  <c r="AB618" i="1"/>
  <c r="AJ1566" i="1"/>
  <c r="AI1566" i="1"/>
  <c r="AH1566" i="1"/>
  <c r="AG1566" i="1"/>
  <c r="AF1566" i="1"/>
  <c r="AB1566" i="1"/>
  <c r="AJ1113" i="1"/>
  <c r="AI1113" i="1"/>
  <c r="AH1113" i="1"/>
  <c r="AG1113" i="1"/>
  <c r="AF1113" i="1"/>
  <c r="AB1113" i="1"/>
  <c r="AJ443" i="1"/>
  <c r="AI443" i="1"/>
  <c r="AH443" i="1"/>
  <c r="AG443" i="1"/>
  <c r="AF443" i="1"/>
  <c r="AB443" i="1"/>
  <c r="AJ1595" i="1"/>
  <c r="AI1595" i="1"/>
  <c r="AH1595" i="1"/>
  <c r="AG1595" i="1"/>
  <c r="AF1595" i="1"/>
  <c r="AB1595" i="1"/>
  <c r="AJ606" i="1"/>
  <c r="AI606" i="1"/>
  <c r="AH606" i="1"/>
  <c r="AG606" i="1"/>
  <c r="AF606" i="1"/>
  <c r="AB606" i="1"/>
  <c r="AJ1041" i="1"/>
  <c r="AI1041" i="1"/>
  <c r="AH1041" i="1"/>
  <c r="AG1041" i="1"/>
  <c r="AF1041" i="1"/>
  <c r="AB1041" i="1"/>
  <c r="AJ479" i="1"/>
  <c r="AI479" i="1"/>
  <c r="AH479" i="1"/>
  <c r="AG479" i="1"/>
  <c r="AF479" i="1"/>
  <c r="AB479" i="1"/>
  <c r="AJ852" i="1"/>
  <c r="AI852" i="1"/>
  <c r="AH852" i="1"/>
  <c r="AG852" i="1"/>
  <c r="AF852" i="1"/>
  <c r="AB852" i="1"/>
  <c r="AJ1557" i="1"/>
  <c r="AI1557" i="1"/>
  <c r="AH1557" i="1"/>
  <c r="AG1557" i="1"/>
  <c r="AF1557" i="1"/>
  <c r="AB1557" i="1"/>
  <c r="AJ707" i="1"/>
  <c r="AI707" i="1"/>
  <c r="AH707" i="1"/>
  <c r="AG707" i="1"/>
  <c r="AF707" i="1"/>
  <c r="AB707" i="1"/>
  <c r="AE255" i="1"/>
  <c r="AC255" i="1"/>
  <c r="AE230" i="1"/>
  <c r="AC230" i="1"/>
  <c r="AE964" i="1"/>
  <c r="AC964" i="1"/>
  <c r="AE725" i="1"/>
  <c r="AC725" i="1"/>
  <c r="AE1445" i="1"/>
  <c r="AC1445" i="1"/>
  <c r="AE225" i="1"/>
  <c r="AC225" i="1"/>
  <c r="AE322" i="1"/>
  <c r="AC322" i="1"/>
  <c r="AE790" i="1"/>
  <c r="AC790" i="1"/>
  <c r="AC275" i="1"/>
  <c r="AE275" i="1"/>
  <c r="AE1301" i="1"/>
  <c r="AC1301" i="1"/>
  <c r="AE814" i="1"/>
  <c r="AC814" i="1"/>
  <c r="AE989" i="1"/>
  <c r="AC989" i="1"/>
  <c r="AE466" i="1"/>
  <c r="AC466" i="1"/>
  <c r="AJ86" i="1"/>
  <c r="AI86" i="1"/>
  <c r="AH86" i="1"/>
  <c r="AG86" i="1"/>
  <c r="AF86" i="1"/>
  <c r="AB86" i="1"/>
  <c r="AJ254" i="1"/>
  <c r="AI254" i="1"/>
  <c r="AH254" i="1"/>
  <c r="AG254" i="1"/>
  <c r="AF254" i="1"/>
  <c r="AB254" i="1"/>
  <c r="AJ422" i="1"/>
  <c r="AI422" i="1"/>
  <c r="AH422" i="1"/>
  <c r="AG422" i="1"/>
  <c r="AF422" i="1"/>
  <c r="AB422" i="1"/>
  <c r="Z869" i="1"/>
  <c r="AD869" i="1"/>
  <c r="AJ698" i="1"/>
  <c r="AI698" i="1"/>
  <c r="AH698" i="1"/>
  <c r="AG698" i="1"/>
  <c r="AF698" i="1"/>
  <c r="AB698" i="1"/>
  <c r="AJ986" i="1"/>
  <c r="AI986" i="1"/>
  <c r="AH986" i="1"/>
  <c r="AG986" i="1"/>
  <c r="AF986" i="1"/>
  <c r="AB986" i="1"/>
  <c r="AJ1082" i="1"/>
  <c r="AI1082" i="1"/>
  <c r="AH1082" i="1"/>
  <c r="AG1082" i="1"/>
  <c r="AF1082" i="1"/>
  <c r="AB1082" i="1"/>
  <c r="AJ1166" i="1"/>
  <c r="AI1166" i="1"/>
  <c r="AG1166" i="1"/>
  <c r="AH1166" i="1"/>
  <c r="AF1166" i="1"/>
  <c r="AB1166" i="1"/>
  <c r="Z1358" i="1"/>
  <c r="AD1358" i="1"/>
  <c r="AJ1454" i="1"/>
  <c r="AI1454" i="1"/>
  <c r="AH1454" i="1"/>
  <c r="AG1454" i="1"/>
  <c r="AF1454" i="1"/>
  <c r="AB1454" i="1"/>
  <c r="AJ1550" i="1"/>
  <c r="AI1550" i="1"/>
  <c r="AG1550" i="1"/>
  <c r="AH1550" i="1"/>
  <c r="AF1550" i="1"/>
  <c r="AB1550" i="1"/>
  <c r="AJ1658" i="1"/>
  <c r="AI1658" i="1"/>
  <c r="AH1658" i="1"/>
  <c r="AG1658" i="1"/>
  <c r="AF1658" i="1"/>
  <c r="AB1658" i="1"/>
  <c r="AJ1754" i="1"/>
  <c r="AI1754" i="1"/>
  <c r="AH1754" i="1"/>
  <c r="AG1754" i="1"/>
  <c r="AF1754" i="1"/>
  <c r="AB1754" i="1"/>
  <c r="AJ352" i="1"/>
  <c r="AI352" i="1"/>
  <c r="AH352" i="1"/>
  <c r="AG352" i="1"/>
  <c r="AF352" i="1"/>
  <c r="AB352" i="1"/>
  <c r="AJ508" i="1"/>
  <c r="AI508" i="1"/>
  <c r="AH508" i="1"/>
  <c r="AG508" i="1"/>
  <c r="AF508" i="1"/>
  <c r="AB508" i="1"/>
  <c r="AJ580" i="1"/>
  <c r="AI580" i="1"/>
  <c r="AH580" i="1"/>
  <c r="AG580" i="1"/>
  <c r="AF580" i="1"/>
  <c r="AB580" i="1"/>
  <c r="AJ664" i="1"/>
  <c r="AI664" i="1"/>
  <c r="AH664" i="1"/>
  <c r="AG664" i="1"/>
  <c r="AF664" i="1"/>
  <c r="AB664" i="1"/>
  <c r="AJ736" i="1"/>
  <c r="AI736" i="1"/>
  <c r="AH736" i="1"/>
  <c r="AG736" i="1"/>
  <c r="AF736" i="1"/>
  <c r="AB736" i="1"/>
  <c r="AJ820" i="1"/>
  <c r="AI820" i="1"/>
  <c r="AH820" i="1"/>
  <c r="AG820" i="1"/>
  <c r="AF820" i="1"/>
  <c r="AB820" i="1"/>
  <c r="AJ892" i="1"/>
  <c r="AI892" i="1"/>
  <c r="AH892" i="1"/>
  <c r="AG892" i="1"/>
  <c r="AF892" i="1"/>
  <c r="AB892" i="1"/>
  <c r="AJ1264" i="1"/>
  <c r="AI1264" i="1"/>
  <c r="AH1264" i="1"/>
  <c r="AG1264" i="1"/>
  <c r="AF1264" i="1"/>
  <c r="AB1264" i="1"/>
  <c r="Z1360" i="1"/>
  <c r="AD1360" i="1"/>
  <c r="AJ1456" i="1"/>
  <c r="AI1456" i="1"/>
  <c r="AH1456" i="1"/>
  <c r="AG1456" i="1"/>
  <c r="AF1456" i="1"/>
  <c r="AB1456" i="1"/>
  <c r="AJ1576" i="1"/>
  <c r="AI1576" i="1"/>
  <c r="AH1576" i="1"/>
  <c r="AG1576" i="1"/>
  <c r="AF1576" i="1"/>
  <c r="AB1576" i="1"/>
  <c r="AJ5" i="1"/>
  <c r="AI5" i="1"/>
  <c r="AH5" i="1"/>
  <c r="AG5" i="1"/>
  <c r="AF5" i="1"/>
  <c r="AB5" i="1"/>
  <c r="AJ173" i="1"/>
  <c r="AI173" i="1"/>
  <c r="AH173" i="1"/>
  <c r="AG173" i="1"/>
  <c r="AF173" i="1"/>
  <c r="AB173" i="1"/>
  <c r="AJ437" i="1"/>
  <c r="AI437" i="1"/>
  <c r="AH437" i="1"/>
  <c r="AG437" i="1"/>
  <c r="AF437" i="1"/>
  <c r="AB437" i="1"/>
  <c r="AJ1073" i="1"/>
  <c r="AI1073" i="1"/>
  <c r="AH1073" i="1"/>
  <c r="AG1073" i="1"/>
  <c r="AF1073" i="1"/>
  <c r="AB1073" i="1"/>
  <c r="AJ1337" i="1"/>
  <c r="AI1337" i="1"/>
  <c r="AH1337" i="1"/>
  <c r="AG1337" i="1"/>
  <c r="AF1337" i="1"/>
  <c r="AB1337" i="1"/>
  <c r="AJ1613" i="1"/>
  <c r="AI1613" i="1"/>
  <c r="AH1613" i="1"/>
  <c r="AG1613" i="1"/>
  <c r="AF1613" i="1"/>
  <c r="AB1613" i="1"/>
  <c r="Z739" i="1"/>
  <c r="AD739" i="1"/>
  <c r="AJ27" i="1"/>
  <c r="AI27" i="1"/>
  <c r="AH27" i="1"/>
  <c r="AG27" i="1"/>
  <c r="AF27" i="1"/>
  <c r="AB27" i="1"/>
  <c r="AJ123" i="1"/>
  <c r="AI123" i="1"/>
  <c r="AH123" i="1"/>
  <c r="AG123" i="1"/>
  <c r="AF123" i="1"/>
  <c r="AB123" i="1"/>
  <c r="AJ219" i="1"/>
  <c r="AI219" i="1"/>
  <c r="AH219" i="1"/>
  <c r="AG219" i="1"/>
  <c r="AF219" i="1"/>
  <c r="AB219" i="1"/>
  <c r="AJ363" i="1"/>
  <c r="AI363" i="1"/>
  <c r="AH363" i="1"/>
  <c r="AG363" i="1"/>
  <c r="AF363" i="1"/>
  <c r="AB363" i="1"/>
  <c r="AJ495" i="1"/>
  <c r="AI495" i="1"/>
  <c r="AH495" i="1"/>
  <c r="AG495" i="1"/>
  <c r="AF495" i="1"/>
  <c r="AB495" i="1"/>
  <c r="AJ567" i="1"/>
  <c r="AI567" i="1"/>
  <c r="AH567" i="1"/>
  <c r="AF567" i="1"/>
  <c r="AG567" i="1"/>
  <c r="AB567" i="1"/>
  <c r="AJ639" i="1"/>
  <c r="AI639" i="1"/>
  <c r="AH639" i="1"/>
  <c r="AG639" i="1"/>
  <c r="AF639" i="1"/>
  <c r="AB639" i="1"/>
  <c r="AJ915" i="1"/>
  <c r="AI915" i="1"/>
  <c r="AH915" i="1"/>
  <c r="AG915" i="1"/>
  <c r="AF915" i="1"/>
  <c r="AB915" i="1"/>
  <c r="AJ1251" i="1"/>
  <c r="AI1251" i="1"/>
  <c r="AH1251" i="1"/>
  <c r="AG1251" i="1"/>
  <c r="AF1251" i="1"/>
  <c r="AB1251" i="1"/>
  <c r="AJ1659" i="1"/>
  <c r="AI1659" i="1"/>
  <c r="AG1659" i="1"/>
  <c r="AH1659" i="1"/>
  <c r="AF1659" i="1"/>
  <c r="AB1659" i="1"/>
  <c r="AJ1731" i="1"/>
  <c r="AI1731" i="1"/>
  <c r="AH1731" i="1"/>
  <c r="AG1731" i="1"/>
  <c r="AF1731" i="1"/>
  <c r="AB1731" i="1"/>
  <c r="AJ413" i="1"/>
  <c r="AI413" i="1"/>
  <c r="AH413" i="1"/>
  <c r="AG413" i="1"/>
  <c r="AF413" i="1"/>
  <c r="AB413" i="1"/>
  <c r="AJ1445" i="1"/>
  <c r="AI1445" i="1"/>
  <c r="AH1445" i="1"/>
  <c r="AG1445" i="1"/>
  <c r="AF1445" i="1"/>
  <c r="AB1445" i="1"/>
  <c r="AJ1085" i="1"/>
  <c r="AI1085" i="1"/>
  <c r="AH1085" i="1"/>
  <c r="AG1085" i="1"/>
  <c r="AF1085" i="1"/>
  <c r="AB1085" i="1"/>
  <c r="AJ1397" i="1"/>
  <c r="AI1397" i="1"/>
  <c r="AH1397" i="1"/>
  <c r="AG1397" i="1"/>
  <c r="AF1397" i="1"/>
  <c r="AB1397" i="1"/>
  <c r="AJ1637" i="1"/>
  <c r="AI1637" i="1"/>
  <c r="AH1637" i="1"/>
  <c r="AG1637" i="1"/>
  <c r="AF1637" i="1"/>
  <c r="AB1637" i="1"/>
  <c r="AJ125" i="1"/>
  <c r="AI125" i="1"/>
  <c r="AH125" i="1"/>
  <c r="AG125" i="1"/>
  <c r="AF125" i="1"/>
  <c r="AB125" i="1"/>
  <c r="AJ353" i="1"/>
  <c r="AI353" i="1"/>
  <c r="AH353" i="1"/>
  <c r="AG353" i="1"/>
  <c r="AF353" i="1"/>
  <c r="AB353" i="1"/>
  <c r="AJ473" i="1"/>
  <c r="AI473" i="1"/>
  <c r="AH473" i="1"/>
  <c r="AG473" i="1"/>
  <c r="AF473" i="1"/>
  <c r="AB473" i="1"/>
  <c r="AJ701" i="1"/>
  <c r="AI701" i="1"/>
  <c r="AH701" i="1"/>
  <c r="AG701" i="1"/>
  <c r="AF701" i="1"/>
  <c r="AB701" i="1"/>
  <c r="AJ1157" i="1"/>
  <c r="AI1157" i="1"/>
  <c r="AH1157" i="1"/>
  <c r="AG1157" i="1"/>
  <c r="AF1157" i="1"/>
  <c r="AB1157" i="1"/>
  <c r="AJ1721" i="1"/>
  <c r="AI1721" i="1"/>
  <c r="AH1721" i="1"/>
  <c r="AG1721" i="1"/>
  <c r="AF1721" i="1"/>
  <c r="AB1721" i="1"/>
  <c r="Z1504" i="1"/>
  <c r="AD1504" i="1"/>
  <c r="AJ79" i="1"/>
  <c r="AI79" i="1"/>
  <c r="AH79" i="1"/>
  <c r="AG79" i="1"/>
  <c r="AF79" i="1"/>
  <c r="AB79" i="1"/>
  <c r="AJ235" i="1"/>
  <c r="AI235" i="1"/>
  <c r="AH235" i="1"/>
  <c r="AG235" i="1"/>
  <c r="AF235" i="1"/>
  <c r="AB235" i="1"/>
  <c r="AJ559" i="1"/>
  <c r="AI559" i="1"/>
  <c r="AH559" i="1"/>
  <c r="AG559" i="1"/>
  <c r="AF559" i="1"/>
  <c r="AB559" i="1"/>
  <c r="AJ643" i="1"/>
  <c r="AI643" i="1"/>
  <c r="AH643" i="1"/>
  <c r="AF643" i="1"/>
  <c r="AG643" i="1"/>
  <c r="AB643" i="1"/>
  <c r="AJ739" i="1"/>
  <c r="AI739" i="1"/>
  <c r="AH739" i="1"/>
  <c r="AG739" i="1"/>
  <c r="AF739" i="1"/>
  <c r="AB739" i="1"/>
  <c r="AJ931" i="1"/>
  <c r="AI931" i="1"/>
  <c r="AH931" i="1"/>
  <c r="AF931" i="1"/>
  <c r="AG931" i="1"/>
  <c r="AB931" i="1"/>
  <c r="AJ1171" i="1"/>
  <c r="AI1171" i="1"/>
  <c r="AH1171" i="1"/>
  <c r="AG1171" i="1"/>
  <c r="AF1171" i="1"/>
  <c r="AB1171" i="1"/>
  <c r="AJ1279" i="1"/>
  <c r="AI1279" i="1"/>
  <c r="AH1279" i="1"/>
  <c r="AG1279" i="1"/>
  <c r="AF1279" i="1"/>
  <c r="AB1279" i="1"/>
  <c r="AJ1375" i="1"/>
  <c r="AI1375" i="1"/>
  <c r="AH1375" i="1"/>
  <c r="AF1375" i="1"/>
  <c r="AG1375" i="1"/>
  <c r="AB1375" i="1"/>
  <c r="AJ1447" i="1"/>
  <c r="AH1447" i="1"/>
  <c r="AI1447" i="1"/>
  <c r="AG1447" i="1"/>
  <c r="AF1447" i="1"/>
  <c r="AB1447" i="1"/>
  <c r="AJ92" i="1"/>
  <c r="AI92" i="1"/>
  <c r="AH92" i="1"/>
  <c r="AF92" i="1"/>
  <c r="AG92" i="1"/>
  <c r="AB92" i="1"/>
  <c r="AJ116" i="1"/>
  <c r="AI116" i="1"/>
  <c r="AH116" i="1"/>
  <c r="AG116" i="1"/>
  <c r="AF116" i="1"/>
  <c r="AB116" i="1"/>
  <c r="AJ21" i="1"/>
  <c r="AI21" i="1"/>
  <c r="AH21" i="1"/>
  <c r="AF21" i="1"/>
  <c r="AG21" i="1"/>
  <c r="AB21" i="1"/>
  <c r="AJ129" i="1"/>
  <c r="AI129" i="1"/>
  <c r="AH129" i="1"/>
  <c r="AG129" i="1"/>
  <c r="AF129" i="1"/>
  <c r="AB129" i="1"/>
  <c r="AJ201" i="1"/>
  <c r="AI201" i="1"/>
  <c r="AH201" i="1"/>
  <c r="AG201" i="1"/>
  <c r="AF201" i="1"/>
  <c r="AB201" i="1"/>
  <c r="AJ273" i="1"/>
  <c r="AI273" i="1"/>
  <c r="AH273" i="1"/>
  <c r="AG273" i="1"/>
  <c r="AF273" i="1"/>
  <c r="AB273" i="1"/>
  <c r="AJ345" i="1"/>
  <c r="AI345" i="1"/>
  <c r="AH345" i="1"/>
  <c r="AG345" i="1"/>
  <c r="AF345" i="1"/>
  <c r="AB345" i="1"/>
  <c r="AJ1357" i="1"/>
  <c r="AI1357" i="1"/>
  <c r="AH1357" i="1"/>
  <c r="AG1357" i="1"/>
  <c r="AF1357" i="1"/>
  <c r="AB1357" i="1"/>
  <c r="AJ1573" i="1"/>
  <c r="AI1573" i="1"/>
  <c r="AH1573" i="1"/>
  <c r="AG1573" i="1"/>
  <c r="AF1573" i="1"/>
  <c r="AB1573" i="1"/>
  <c r="AJ1789" i="1"/>
  <c r="AI1789" i="1"/>
  <c r="AH1789" i="1"/>
  <c r="AG1789" i="1"/>
  <c r="AF1789" i="1"/>
  <c r="AB1789" i="1"/>
  <c r="AJ1617" i="1"/>
  <c r="AI1617" i="1"/>
  <c r="AH1617" i="1"/>
  <c r="AG1617" i="1"/>
  <c r="AF1617" i="1"/>
  <c r="AB1617" i="1"/>
  <c r="AJ994" i="1"/>
  <c r="AI994" i="1"/>
  <c r="AH994" i="1"/>
  <c r="AG994" i="1"/>
  <c r="AF994" i="1"/>
  <c r="AB994" i="1"/>
  <c r="AJ6" i="1"/>
  <c r="AI6" i="1"/>
  <c r="AH6" i="1"/>
  <c r="AG6" i="1"/>
  <c r="AF6" i="1"/>
  <c r="AB6" i="1"/>
  <c r="AJ294" i="1"/>
  <c r="AI294" i="1"/>
  <c r="AH294" i="1"/>
  <c r="AG294" i="1"/>
  <c r="AF294" i="1"/>
  <c r="AB294" i="1"/>
  <c r="AJ630" i="1"/>
  <c r="AI630" i="1"/>
  <c r="AH630" i="1"/>
  <c r="AG630" i="1"/>
  <c r="AF630" i="1"/>
  <c r="AB630" i="1"/>
  <c r="AJ954" i="1"/>
  <c r="AI954" i="1"/>
  <c r="AH954" i="1"/>
  <c r="AG954" i="1"/>
  <c r="AF954" i="1"/>
  <c r="AB954" i="1"/>
  <c r="AJ1686" i="1"/>
  <c r="AI1686" i="1"/>
  <c r="AH1686" i="1"/>
  <c r="AG1686" i="1"/>
  <c r="AF1686" i="1"/>
  <c r="AB1686" i="1"/>
  <c r="AJ1077" i="1"/>
  <c r="AI1077" i="1"/>
  <c r="AH1077" i="1"/>
  <c r="AF1077" i="1"/>
  <c r="AG1077" i="1"/>
  <c r="AB1077" i="1"/>
  <c r="AJ1665" i="1"/>
  <c r="AI1665" i="1"/>
  <c r="AH1665" i="1"/>
  <c r="AG1665" i="1"/>
  <c r="AF1665" i="1"/>
  <c r="AB1665" i="1"/>
  <c r="AJ538" i="1"/>
  <c r="AI538" i="1"/>
  <c r="AH538" i="1"/>
  <c r="AG538" i="1"/>
  <c r="AF538" i="1"/>
  <c r="AB538" i="1"/>
  <c r="AJ1282" i="1"/>
  <c r="AI1282" i="1"/>
  <c r="AH1282" i="1"/>
  <c r="AG1282" i="1"/>
  <c r="AF1282" i="1"/>
  <c r="AB1282" i="1"/>
  <c r="AJ431" i="1"/>
  <c r="AI431" i="1"/>
  <c r="AH431" i="1"/>
  <c r="AG431" i="1"/>
  <c r="AF431" i="1"/>
  <c r="AB431" i="1"/>
  <c r="AJ1331" i="1"/>
  <c r="AI1331" i="1"/>
  <c r="AH1331" i="1"/>
  <c r="AG1331" i="1"/>
  <c r="AF1331" i="1"/>
  <c r="AB1331" i="1"/>
  <c r="AJ600" i="1"/>
  <c r="AI600" i="1"/>
  <c r="AH600" i="1"/>
  <c r="AG600" i="1"/>
  <c r="AF600" i="1"/>
  <c r="AB600" i="1"/>
  <c r="AJ1236" i="1"/>
  <c r="AI1236" i="1"/>
  <c r="AH1236" i="1"/>
  <c r="AG1236" i="1"/>
  <c r="AF1236" i="1"/>
  <c r="AB1236" i="1"/>
  <c r="AJ54" i="1"/>
  <c r="AI54" i="1"/>
  <c r="AH54" i="1"/>
  <c r="AG54" i="1"/>
  <c r="AF54" i="1"/>
  <c r="AB54" i="1"/>
  <c r="AJ438" i="1"/>
  <c r="AI438" i="1"/>
  <c r="AH438" i="1"/>
  <c r="AG438" i="1"/>
  <c r="AF438" i="1"/>
  <c r="AB438" i="1"/>
  <c r="AJ738" i="1"/>
  <c r="AI738" i="1"/>
  <c r="AH738" i="1"/>
  <c r="AG738" i="1"/>
  <c r="AF738" i="1"/>
  <c r="AB738" i="1"/>
  <c r="AJ1014" i="1"/>
  <c r="AI1014" i="1"/>
  <c r="AH1014" i="1"/>
  <c r="AG1014" i="1"/>
  <c r="AF1014" i="1"/>
  <c r="AB1014" i="1"/>
  <c r="AJ1374" i="1"/>
  <c r="AI1374" i="1"/>
  <c r="AH1374" i="1"/>
  <c r="AG1374" i="1"/>
  <c r="AF1374" i="1"/>
  <c r="AB1374" i="1"/>
  <c r="AJ1734" i="1"/>
  <c r="AI1734" i="1"/>
  <c r="AH1734" i="1"/>
  <c r="AG1734" i="1"/>
  <c r="AF1734" i="1"/>
  <c r="AB1734" i="1"/>
  <c r="AJ1365" i="1"/>
  <c r="AI1365" i="1"/>
  <c r="AH1365" i="1"/>
  <c r="AG1365" i="1"/>
  <c r="AF1365" i="1"/>
  <c r="AB1365" i="1"/>
  <c r="AJ22" i="1"/>
  <c r="AI22" i="1"/>
  <c r="AH22" i="1"/>
  <c r="AG22" i="1"/>
  <c r="AF22" i="1"/>
  <c r="AB22" i="1"/>
  <c r="AJ586" i="1"/>
  <c r="AI586" i="1"/>
  <c r="AH586" i="1"/>
  <c r="AG586" i="1"/>
  <c r="AF586" i="1"/>
  <c r="AB586" i="1"/>
  <c r="AJ1199" i="1"/>
  <c r="AI1199" i="1"/>
  <c r="AH1199" i="1"/>
  <c r="AG1199" i="1"/>
  <c r="AF1199" i="1"/>
  <c r="AB1199" i="1"/>
  <c r="AJ1116" i="1"/>
  <c r="AI1116" i="1"/>
  <c r="AH1116" i="1"/>
  <c r="AG1116" i="1"/>
  <c r="AF1116" i="1"/>
  <c r="AB1116" i="1"/>
  <c r="AJ18" i="1"/>
  <c r="AI18" i="1"/>
  <c r="AH18" i="1"/>
  <c r="AG18" i="1"/>
  <c r="AF18" i="1"/>
  <c r="AB18" i="1"/>
  <c r="AJ654" i="1"/>
  <c r="AI654" i="1"/>
  <c r="AH654" i="1"/>
  <c r="AG654" i="1"/>
  <c r="AF654" i="1"/>
  <c r="AB654" i="1"/>
  <c r="AJ894" i="1"/>
  <c r="AI894" i="1"/>
  <c r="AH894" i="1"/>
  <c r="AG894" i="1"/>
  <c r="AF894" i="1"/>
  <c r="AB894" i="1"/>
  <c r="AJ1122" i="1"/>
  <c r="AI1122" i="1"/>
  <c r="AH1122" i="1"/>
  <c r="AG1122" i="1"/>
  <c r="AF1122" i="1"/>
  <c r="AB1122" i="1"/>
  <c r="AJ1362" i="1"/>
  <c r="AI1362" i="1"/>
  <c r="AH1362" i="1"/>
  <c r="AG1362" i="1"/>
  <c r="AF1362" i="1"/>
  <c r="AB1362" i="1"/>
  <c r="AJ1626" i="1"/>
  <c r="AI1626" i="1"/>
  <c r="AH1626" i="1"/>
  <c r="AG1626" i="1"/>
  <c r="AF1626" i="1"/>
  <c r="AB1626" i="1"/>
  <c r="AJ681" i="1"/>
  <c r="AI681" i="1"/>
  <c r="AH681" i="1"/>
  <c r="AG681" i="1"/>
  <c r="AF681" i="1"/>
  <c r="AB681" i="1"/>
  <c r="AJ861" i="1"/>
  <c r="AI861" i="1"/>
  <c r="AH861" i="1"/>
  <c r="AF861" i="1"/>
  <c r="AG861" i="1"/>
  <c r="AB861" i="1"/>
  <c r="AJ1533" i="1"/>
  <c r="AI1533" i="1"/>
  <c r="AH1533" i="1"/>
  <c r="AG1533" i="1"/>
  <c r="AF1533" i="1"/>
  <c r="AB1533" i="1"/>
  <c r="AJ95" i="1"/>
  <c r="AI95" i="1"/>
  <c r="AH95" i="1"/>
  <c r="AG95" i="1"/>
  <c r="AF95" i="1"/>
  <c r="AB95" i="1"/>
  <c r="AJ299" i="1"/>
  <c r="AI299" i="1"/>
  <c r="AH299" i="1"/>
  <c r="AG299" i="1"/>
  <c r="AF299" i="1"/>
  <c r="AB299" i="1"/>
  <c r="AJ467" i="1"/>
  <c r="AI467" i="1"/>
  <c r="AH467" i="1"/>
  <c r="AG467" i="1"/>
  <c r="AF467" i="1"/>
  <c r="AB467" i="1"/>
  <c r="AJ719" i="1"/>
  <c r="AI719" i="1"/>
  <c r="AH719" i="1"/>
  <c r="AG719" i="1"/>
  <c r="AF719" i="1"/>
  <c r="AB719" i="1"/>
  <c r="AJ995" i="1"/>
  <c r="AI995" i="1"/>
  <c r="AH995" i="1"/>
  <c r="AG995" i="1"/>
  <c r="AF995" i="1"/>
  <c r="AB995" i="1"/>
  <c r="AJ1247" i="1"/>
  <c r="AI1247" i="1"/>
  <c r="AH1247" i="1"/>
  <c r="AG1247" i="1"/>
  <c r="AF1247" i="1"/>
  <c r="AB1247" i="1"/>
  <c r="AJ1415" i="1"/>
  <c r="AI1415" i="1"/>
  <c r="AH1415" i="1"/>
  <c r="AG1415" i="1"/>
  <c r="AF1415" i="1"/>
  <c r="AB1415" i="1"/>
  <c r="AJ1655" i="1"/>
  <c r="AI1655" i="1"/>
  <c r="AH1655" i="1"/>
  <c r="AG1655" i="1"/>
  <c r="AF1655" i="1"/>
  <c r="AB1655" i="1"/>
  <c r="AJ30" i="1"/>
  <c r="AI30" i="1"/>
  <c r="AH30" i="1"/>
  <c r="AG30" i="1"/>
  <c r="AF30" i="1"/>
  <c r="AB30" i="1"/>
  <c r="AJ366" i="1"/>
  <c r="AI366" i="1"/>
  <c r="AH366" i="1"/>
  <c r="AG366" i="1"/>
  <c r="AF366" i="1"/>
  <c r="AB366" i="1"/>
  <c r="AJ666" i="1"/>
  <c r="AI666" i="1"/>
  <c r="AH666" i="1"/>
  <c r="AG666" i="1"/>
  <c r="AF666" i="1"/>
  <c r="AB666" i="1"/>
  <c r="AJ990" i="1"/>
  <c r="AI990" i="1"/>
  <c r="AH990" i="1"/>
  <c r="AG990" i="1"/>
  <c r="AF990" i="1"/>
  <c r="AB990" i="1"/>
  <c r="AJ1125" i="1"/>
  <c r="AI1125" i="1"/>
  <c r="AH1125" i="1"/>
  <c r="AG1125" i="1"/>
  <c r="AF1125" i="1"/>
  <c r="AB1125" i="1"/>
  <c r="AJ1677" i="1"/>
  <c r="AI1677" i="1"/>
  <c r="AH1677" i="1"/>
  <c r="AG1677" i="1"/>
  <c r="AF1677" i="1"/>
  <c r="AB1677" i="1"/>
  <c r="AJ622" i="1"/>
  <c r="AI622" i="1"/>
  <c r="AH622" i="1"/>
  <c r="AG622" i="1"/>
  <c r="AF622" i="1"/>
  <c r="AB622" i="1"/>
  <c r="AJ1306" i="1"/>
  <c r="AI1306" i="1"/>
  <c r="AH1306" i="1"/>
  <c r="AG1306" i="1"/>
  <c r="AF1306" i="1"/>
  <c r="AB1306" i="1"/>
  <c r="AJ47" i="1"/>
  <c r="AI47" i="1"/>
  <c r="AH47" i="1"/>
  <c r="AG47" i="1"/>
  <c r="AF47" i="1"/>
  <c r="AB47" i="1"/>
  <c r="AJ551" i="1"/>
  <c r="AI551" i="1"/>
  <c r="AH551" i="1"/>
  <c r="AG551" i="1"/>
  <c r="AF551" i="1"/>
  <c r="AB551" i="1"/>
  <c r="AJ1007" i="1"/>
  <c r="AI1007" i="1"/>
  <c r="AH1007" i="1"/>
  <c r="AG1007" i="1"/>
  <c r="AF1007" i="1"/>
  <c r="AB1007" i="1"/>
  <c r="AJ1523" i="1"/>
  <c r="AI1523" i="1"/>
  <c r="AH1523" i="1"/>
  <c r="AG1523" i="1"/>
  <c r="AF1523" i="1"/>
  <c r="AB1523" i="1"/>
  <c r="AJ360" i="1"/>
  <c r="AI360" i="1"/>
  <c r="AH360" i="1"/>
  <c r="AG360" i="1"/>
  <c r="AF360" i="1"/>
  <c r="AB360" i="1"/>
  <c r="AJ948" i="1"/>
  <c r="AI948" i="1"/>
  <c r="AH948" i="1"/>
  <c r="AG948" i="1"/>
  <c r="AF948" i="1"/>
  <c r="AB948" i="1"/>
  <c r="AJ1632" i="1"/>
  <c r="AI1632" i="1"/>
  <c r="AH1632" i="1"/>
  <c r="AG1632" i="1"/>
  <c r="AF1632" i="1"/>
  <c r="AB1632" i="1"/>
  <c r="AJ34" i="1"/>
  <c r="AI34" i="1"/>
  <c r="AH34" i="1"/>
  <c r="AG34" i="1"/>
  <c r="AF34" i="1"/>
  <c r="AB34" i="1"/>
  <c r="AJ730" i="1"/>
  <c r="AI730" i="1"/>
  <c r="AH730" i="1"/>
  <c r="AG730" i="1"/>
  <c r="AF730" i="1"/>
  <c r="AB730" i="1"/>
  <c r="AJ1474" i="1"/>
  <c r="AI1474" i="1"/>
  <c r="AH1474" i="1"/>
  <c r="AG1474" i="1"/>
  <c r="AF1474" i="1"/>
  <c r="AB1474" i="1"/>
  <c r="AJ311" i="1"/>
  <c r="AI311" i="1"/>
  <c r="AH311" i="1"/>
  <c r="AG311" i="1"/>
  <c r="AF311" i="1"/>
  <c r="AB311" i="1"/>
  <c r="AJ791" i="1"/>
  <c r="AI791" i="1"/>
  <c r="AH791" i="1"/>
  <c r="AG791" i="1"/>
  <c r="AF791" i="1"/>
  <c r="AB791" i="1"/>
  <c r="AJ1259" i="1"/>
  <c r="AI1259" i="1"/>
  <c r="AH1259" i="1"/>
  <c r="AG1259" i="1"/>
  <c r="AF1259" i="1"/>
  <c r="AB1259" i="1"/>
  <c r="AJ36" i="1"/>
  <c r="AI36" i="1"/>
  <c r="AH36" i="1"/>
  <c r="AG36" i="1"/>
  <c r="AF36" i="1"/>
  <c r="AB36" i="1"/>
  <c r="AJ648" i="1"/>
  <c r="AI648" i="1"/>
  <c r="AH648" i="1"/>
  <c r="AG648" i="1"/>
  <c r="AF648" i="1"/>
  <c r="AB648" i="1"/>
  <c r="AJ1212" i="1"/>
  <c r="AI1212" i="1"/>
  <c r="AH1212" i="1"/>
  <c r="AG1212" i="1"/>
  <c r="AF1212" i="1"/>
  <c r="AB1212" i="1"/>
  <c r="AJ680" i="1"/>
  <c r="AI680" i="1"/>
  <c r="AH680" i="1"/>
  <c r="AG680" i="1"/>
  <c r="AF680" i="1"/>
  <c r="AB680" i="1"/>
  <c r="AJ1400" i="1"/>
  <c r="AI1400" i="1"/>
  <c r="AH1400" i="1"/>
  <c r="AG1400" i="1"/>
  <c r="AF1400" i="1"/>
  <c r="AB1400" i="1"/>
  <c r="AJ1544" i="1"/>
  <c r="AI1544" i="1"/>
  <c r="AH1544" i="1"/>
  <c r="AG1544" i="1"/>
  <c r="AF1544" i="1"/>
  <c r="AB1544" i="1"/>
  <c r="AJ1644" i="1"/>
  <c r="AI1644" i="1"/>
  <c r="AH1644" i="1"/>
  <c r="AG1644" i="1"/>
  <c r="AF1644" i="1"/>
  <c r="AB1644" i="1"/>
  <c r="AJ279" i="1"/>
  <c r="AI279" i="1"/>
  <c r="AH279" i="1"/>
  <c r="AG279" i="1"/>
  <c r="AF279" i="1"/>
  <c r="AB279" i="1"/>
  <c r="AJ1360" i="1"/>
  <c r="AI1360" i="1"/>
  <c r="AH1360" i="1"/>
  <c r="AG1360" i="1"/>
  <c r="AF1360" i="1"/>
  <c r="AB1360" i="1"/>
  <c r="AJ581" i="1"/>
  <c r="AI581" i="1"/>
  <c r="AH581" i="1"/>
  <c r="AG581" i="1"/>
  <c r="AF581" i="1"/>
  <c r="AB581" i="1"/>
  <c r="AJ941" i="1"/>
  <c r="AI941" i="1"/>
  <c r="AH941" i="1"/>
  <c r="AG941" i="1"/>
  <c r="AF941" i="1"/>
  <c r="AB941" i="1"/>
  <c r="AJ1433" i="1"/>
  <c r="AI1433" i="1"/>
  <c r="AH1433" i="1"/>
  <c r="AG1433" i="1"/>
  <c r="AF1433" i="1"/>
  <c r="AB1433" i="1"/>
  <c r="AE63" i="1"/>
  <c r="AC63" i="1"/>
  <c r="AE267" i="1"/>
  <c r="AC267" i="1"/>
  <c r="AE435" i="1"/>
  <c r="AC435" i="1"/>
  <c r="AE723" i="1"/>
  <c r="AC723" i="1"/>
  <c r="AE987" i="1"/>
  <c r="AC987" i="1"/>
  <c r="AE254" i="1"/>
  <c r="AC254" i="1"/>
  <c r="AE914" i="1"/>
  <c r="AC914" i="1"/>
  <c r="AE1142" i="1"/>
  <c r="AC1142" i="1"/>
  <c r="AE1623" i="1"/>
  <c r="AC1623" i="1"/>
  <c r="AE1144" i="1"/>
  <c r="AC1144" i="1"/>
  <c r="AE1504" i="1"/>
  <c r="AC1504" i="1"/>
  <c r="AE1310" i="1"/>
  <c r="AC1310" i="1"/>
  <c r="AE761" i="1"/>
  <c r="AC761" i="1"/>
  <c r="AE905" i="1"/>
  <c r="AC905" i="1"/>
  <c r="AE1049" i="1"/>
  <c r="AC1049" i="1"/>
  <c r="AE1193" i="1"/>
  <c r="AC1193" i="1"/>
  <c r="AE1325" i="1"/>
  <c r="AC1325" i="1"/>
  <c r="AE1517" i="1"/>
  <c r="AC1517" i="1"/>
  <c r="AE1673" i="1"/>
  <c r="AC1673" i="1"/>
  <c r="AE1769" i="1"/>
  <c r="AC1769" i="1"/>
  <c r="AE69" i="1"/>
  <c r="AC69" i="1"/>
  <c r="AE141" i="1"/>
  <c r="AC141" i="1"/>
  <c r="AE237" i="1"/>
  <c r="AC237" i="1"/>
  <c r="AE309" i="1"/>
  <c r="AC309" i="1"/>
  <c r="AE393" i="1"/>
  <c r="AC393" i="1"/>
  <c r="AE513" i="1"/>
  <c r="AC513" i="1"/>
  <c r="AE46" i="1"/>
  <c r="AC46" i="1"/>
  <c r="AE118" i="1"/>
  <c r="AC118" i="1"/>
  <c r="AE190" i="1"/>
  <c r="AC190" i="1"/>
  <c r="AE262" i="1"/>
  <c r="AC262" i="1"/>
  <c r="AE346" i="1"/>
  <c r="AC346" i="1"/>
  <c r="AE442" i="1"/>
  <c r="AC442" i="1"/>
  <c r="AE538" i="1"/>
  <c r="AC538" i="1"/>
  <c r="AE682" i="1"/>
  <c r="AC682" i="1"/>
  <c r="AE826" i="1"/>
  <c r="AC826" i="1"/>
  <c r="AE970" i="1"/>
  <c r="AC970" i="1"/>
  <c r="AE1114" i="1"/>
  <c r="AC1114" i="1"/>
  <c r="AE35" i="1"/>
  <c r="AC35" i="1"/>
  <c r="AC131" i="1"/>
  <c r="AE131" i="1"/>
  <c r="AC203" i="1"/>
  <c r="AE203" i="1"/>
  <c r="AE287" i="1"/>
  <c r="AC287" i="1"/>
  <c r="AE383" i="1"/>
  <c r="AC383" i="1"/>
  <c r="AE537" i="1"/>
  <c r="AC537" i="1"/>
  <c r="AE467" i="1"/>
  <c r="AC467" i="1"/>
  <c r="AE833" i="1"/>
  <c r="AC833" i="1"/>
  <c r="AE1409" i="1"/>
  <c r="AC1409" i="1"/>
  <c r="AE501" i="1"/>
  <c r="AC501" i="1"/>
  <c r="AE958" i="1"/>
  <c r="AC958" i="1"/>
  <c r="AE545" i="1"/>
  <c r="AC545" i="1"/>
  <c r="AE1085" i="1"/>
  <c r="AC1085" i="1"/>
  <c r="AE1613" i="1"/>
  <c r="AC1613" i="1"/>
  <c r="AE598" i="1"/>
  <c r="AC598" i="1"/>
  <c r="AE1138" i="1"/>
  <c r="AC1138" i="1"/>
  <c r="AJ1313" i="1"/>
  <c r="AI1313" i="1"/>
  <c r="AH1313" i="1"/>
  <c r="AF1313" i="1"/>
  <c r="AG1313" i="1"/>
  <c r="AB1313" i="1"/>
  <c r="AJ1211" i="1"/>
  <c r="AI1211" i="1"/>
  <c r="AH1211" i="1"/>
  <c r="AG1211" i="1"/>
  <c r="AF1211" i="1"/>
  <c r="AB1211" i="1"/>
  <c r="AJ350" i="1"/>
  <c r="AI350" i="1"/>
  <c r="AH350" i="1"/>
  <c r="AG350" i="1"/>
  <c r="AF350" i="1"/>
  <c r="AB350" i="1"/>
  <c r="AJ794" i="1"/>
  <c r="AI794" i="1"/>
  <c r="AG794" i="1"/>
  <c r="AH794" i="1"/>
  <c r="AF794" i="1"/>
  <c r="AB794" i="1"/>
  <c r="AJ52" i="1"/>
  <c r="AI52" i="1"/>
  <c r="AH52" i="1"/>
  <c r="AG52" i="1"/>
  <c r="AF52" i="1"/>
  <c r="AB52" i="1"/>
  <c r="AJ1144" i="1"/>
  <c r="AI1144" i="1"/>
  <c r="AG1144" i="1"/>
  <c r="AH1144" i="1"/>
  <c r="AF1144" i="1"/>
  <c r="AB1144" i="1"/>
  <c r="AJ1468" i="1"/>
  <c r="AI1468" i="1"/>
  <c r="AH1468" i="1"/>
  <c r="AG1468" i="1"/>
  <c r="AF1468" i="1"/>
  <c r="AB1468" i="1"/>
  <c r="AJ1649" i="1"/>
  <c r="AI1649" i="1"/>
  <c r="AH1649" i="1"/>
  <c r="AG1649" i="1"/>
  <c r="AF1649" i="1"/>
  <c r="AB1649" i="1"/>
  <c r="AJ735" i="1"/>
  <c r="AI735" i="1"/>
  <c r="AH735" i="1"/>
  <c r="AG735" i="1"/>
  <c r="AF735" i="1"/>
  <c r="AB735" i="1"/>
  <c r="AJ807" i="1"/>
  <c r="AI807" i="1"/>
  <c r="AH807" i="1"/>
  <c r="AG807" i="1"/>
  <c r="AF807" i="1"/>
  <c r="AB807" i="1"/>
  <c r="AJ939" i="1"/>
  <c r="AI939" i="1"/>
  <c r="AH939" i="1"/>
  <c r="AG939" i="1"/>
  <c r="AF939" i="1"/>
  <c r="AB939" i="1"/>
  <c r="AJ1011" i="1"/>
  <c r="AI1011" i="1"/>
  <c r="AH1011" i="1"/>
  <c r="AG1011" i="1"/>
  <c r="AF1011" i="1"/>
  <c r="AB1011" i="1"/>
  <c r="AJ1107" i="1"/>
  <c r="AI1107" i="1"/>
  <c r="AH1107" i="1"/>
  <c r="AG1107" i="1"/>
  <c r="AF1107" i="1"/>
  <c r="AB1107" i="1"/>
  <c r="AJ1179" i="1"/>
  <c r="AI1179" i="1"/>
  <c r="AH1179" i="1"/>
  <c r="AG1179" i="1"/>
  <c r="AF1179" i="1"/>
  <c r="AB1179" i="1"/>
  <c r="AJ1335" i="1"/>
  <c r="AI1335" i="1"/>
  <c r="AH1335" i="1"/>
  <c r="AG1335" i="1"/>
  <c r="AF1335" i="1"/>
  <c r="AB1335" i="1"/>
  <c r="AJ1503" i="1"/>
  <c r="AI1503" i="1"/>
  <c r="AH1503" i="1"/>
  <c r="AG1503" i="1"/>
  <c r="AF1503" i="1"/>
  <c r="AB1503" i="1"/>
  <c r="AJ1575" i="1"/>
  <c r="AI1575" i="1"/>
  <c r="AH1575" i="1"/>
  <c r="AG1575" i="1"/>
  <c r="AF1575" i="1"/>
  <c r="AB1575" i="1"/>
  <c r="AJ1013" i="1"/>
  <c r="AI1013" i="1"/>
  <c r="AH1013" i="1"/>
  <c r="AG1013" i="1"/>
  <c r="AF1013" i="1"/>
  <c r="AB1013" i="1"/>
  <c r="AJ545" i="1"/>
  <c r="AI545" i="1"/>
  <c r="AH545" i="1"/>
  <c r="AG545" i="1"/>
  <c r="AF545" i="1"/>
  <c r="AB545" i="1"/>
  <c r="Z1252" i="1"/>
  <c r="AD1252" i="1"/>
  <c r="AJ1217" i="1"/>
  <c r="AI1217" i="1"/>
  <c r="AH1217" i="1"/>
  <c r="AG1217" i="1"/>
  <c r="AF1217" i="1"/>
  <c r="AB1217" i="1"/>
  <c r="AJ1111" i="1"/>
  <c r="AI1111" i="1"/>
  <c r="AH1111" i="1"/>
  <c r="AG1111" i="1"/>
  <c r="AF1111" i="1"/>
  <c r="AB1111" i="1"/>
  <c r="AJ163" i="1"/>
  <c r="AI163" i="1"/>
  <c r="AH163" i="1"/>
  <c r="AG163" i="1"/>
  <c r="AF163" i="1"/>
  <c r="AB163" i="1"/>
  <c r="AJ247" i="1"/>
  <c r="AI247" i="1"/>
  <c r="AH247" i="1"/>
  <c r="AG247" i="1"/>
  <c r="AF247" i="1"/>
  <c r="AB247" i="1"/>
  <c r="AJ319" i="1"/>
  <c r="AI319" i="1"/>
  <c r="AH319" i="1"/>
  <c r="AG319" i="1"/>
  <c r="AF319" i="1"/>
  <c r="AB319" i="1"/>
  <c r="AJ391" i="1"/>
  <c r="AI391" i="1"/>
  <c r="AH391" i="1"/>
  <c r="AG391" i="1"/>
  <c r="AF391" i="1"/>
  <c r="AB391" i="1"/>
  <c r="AJ475" i="1"/>
  <c r="AI475" i="1"/>
  <c r="AH475" i="1"/>
  <c r="AG475" i="1"/>
  <c r="AF475" i="1"/>
  <c r="AB475" i="1"/>
  <c r="AJ655" i="1"/>
  <c r="AI655" i="1"/>
  <c r="AH655" i="1"/>
  <c r="AG655" i="1"/>
  <c r="AF655" i="1"/>
  <c r="AB655" i="1"/>
  <c r="AJ751" i="1"/>
  <c r="AI751" i="1"/>
  <c r="AH751" i="1"/>
  <c r="AF751" i="1"/>
  <c r="AG751" i="1"/>
  <c r="AB751" i="1"/>
  <c r="AJ847" i="1"/>
  <c r="AI847" i="1"/>
  <c r="AH847" i="1"/>
  <c r="AG847" i="1"/>
  <c r="AF847" i="1"/>
  <c r="AB847" i="1"/>
  <c r="AJ943" i="1"/>
  <c r="AI943" i="1"/>
  <c r="AH943" i="1"/>
  <c r="AG943" i="1"/>
  <c r="AF943" i="1"/>
  <c r="AB943" i="1"/>
  <c r="AJ1015" i="1"/>
  <c r="AI1015" i="1"/>
  <c r="AH1015" i="1"/>
  <c r="AG1015" i="1"/>
  <c r="AF1015" i="1"/>
  <c r="AB1015" i="1"/>
  <c r="AJ1087" i="1"/>
  <c r="AI1087" i="1"/>
  <c r="AH1087" i="1"/>
  <c r="AG1087" i="1"/>
  <c r="AF1087" i="1"/>
  <c r="AB1087" i="1"/>
  <c r="AJ1555" i="1"/>
  <c r="AI1555" i="1"/>
  <c r="AH1555" i="1"/>
  <c r="AG1555" i="1"/>
  <c r="AF1555" i="1"/>
  <c r="AB1555" i="1"/>
  <c r="AJ1639" i="1"/>
  <c r="AI1639" i="1"/>
  <c r="AH1639" i="1"/>
  <c r="AG1639" i="1"/>
  <c r="AF1639" i="1"/>
  <c r="AB1639" i="1"/>
  <c r="AJ1747" i="1"/>
  <c r="AI1747" i="1"/>
  <c r="AH1747" i="1"/>
  <c r="AG1747" i="1"/>
  <c r="AF1747" i="1"/>
  <c r="AB1747" i="1"/>
  <c r="AJ284" i="1"/>
  <c r="AI284" i="1"/>
  <c r="AH284" i="1"/>
  <c r="AG284" i="1"/>
  <c r="AF284" i="1"/>
  <c r="AB284" i="1"/>
  <c r="AJ380" i="1"/>
  <c r="AI380" i="1"/>
  <c r="AH380" i="1"/>
  <c r="AG380" i="1"/>
  <c r="AF380" i="1"/>
  <c r="AB380" i="1"/>
  <c r="Z140" i="1"/>
  <c r="AD140" i="1"/>
  <c r="AJ140" i="1"/>
  <c r="AI140" i="1"/>
  <c r="AH140" i="1"/>
  <c r="AG140" i="1"/>
  <c r="AF140" i="1"/>
  <c r="AB140" i="1"/>
  <c r="AJ308" i="1"/>
  <c r="AI308" i="1"/>
  <c r="AH308" i="1"/>
  <c r="AG308" i="1"/>
  <c r="AF308" i="1"/>
  <c r="AB308" i="1"/>
  <c r="AJ512" i="1"/>
  <c r="AI512" i="1"/>
  <c r="AH512" i="1"/>
  <c r="AG512" i="1"/>
  <c r="AF512" i="1"/>
  <c r="AB512" i="1"/>
  <c r="Z435" i="1"/>
  <c r="AD435" i="1"/>
  <c r="AJ141" i="1"/>
  <c r="AI141" i="1"/>
  <c r="AH141" i="1"/>
  <c r="AF141" i="1"/>
  <c r="AG141" i="1"/>
  <c r="AB141" i="1"/>
  <c r="AJ77" i="1"/>
  <c r="AI77" i="1"/>
  <c r="AH77" i="1"/>
  <c r="AG77" i="1"/>
  <c r="AF77" i="1"/>
  <c r="AB77" i="1"/>
  <c r="Z867" i="1"/>
  <c r="AD867" i="1"/>
  <c r="AJ61" i="1"/>
  <c r="AI61" i="1"/>
  <c r="AH61" i="1"/>
  <c r="AG61" i="1"/>
  <c r="AF61" i="1"/>
  <c r="AB61" i="1"/>
  <c r="AJ133" i="1"/>
  <c r="AI133" i="1"/>
  <c r="AH133" i="1"/>
  <c r="AG133" i="1"/>
  <c r="AF133" i="1"/>
  <c r="AB133" i="1"/>
  <c r="AJ205" i="1"/>
  <c r="AI205" i="1"/>
  <c r="AH205" i="1"/>
  <c r="AG205" i="1"/>
  <c r="AF205" i="1"/>
  <c r="AB205" i="1"/>
  <c r="AJ277" i="1"/>
  <c r="AI277" i="1"/>
  <c r="AH277" i="1"/>
  <c r="AG277" i="1"/>
  <c r="AF277" i="1"/>
  <c r="AB277" i="1"/>
  <c r="AJ349" i="1"/>
  <c r="AI349" i="1"/>
  <c r="AH349" i="1"/>
  <c r="AG349" i="1"/>
  <c r="AF349" i="1"/>
  <c r="AB349" i="1"/>
  <c r="AJ421" i="1"/>
  <c r="AI421" i="1"/>
  <c r="AH421" i="1"/>
  <c r="AG421" i="1"/>
  <c r="AF421" i="1"/>
  <c r="AB421" i="1"/>
  <c r="AJ493" i="1"/>
  <c r="AI493" i="1"/>
  <c r="AH493" i="1"/>
  <c r="AG493" i="1"/>
  <c r="AF493" i="1"/>
  <c r="AB493" i="1"/>
  <c r="AJ565" i="1"/>
  <c r="AI565" i="1"/>
  <c r="AH565" i="1"/>
  <c r="AG565" i="1"/>
  <c r="AF565" i="1"/>
  <c r="AB565" i="1"/>
  <c r="AJ637" i="1"/>
  <c r="AI637" i="1"/>
  <c r="AG637" i="1"/>
  <c r="AH637" i="1"/>
  <c r="AF637" i="1"/>
  <c r="AB637" i="1"/>
  <c r="AJ709" i="1"/>
  <c r="AI709" i="1"/>
  <c r="AH709" i="1"/>
  <c r="AG709" i="1"/>
  <c r="AF709" i="1"/>
  <c r="AB709" i="1"/>
  <c r="AJ781" i="1"/>
  <c r="AI781" i="1"/>
  <c r="AH781" i="1"/>
  <c r="AG781" i="1"/>
  <c r="AF781" i="1"/>
  <c r="AB781" i="1"/>
  <c r="AJ853" i="1"/>
  <c r="AI853" i="1"/>
  <c r="AH853" i="1"/>
  <c r="AG853" i="1"/>
  <c r="AF853" i="1"/>
  <c r="AB853" i="1"/>
  <c r="AJ925" i="1"/>
  <c r="AI925" i="1"/>
  <c r="AH925" i="1"/>
  <c r="AG925" i="1"/>
  <c r="AF925" i="1"/>
  <c r="AB925" i="1"/>
  <c r="AJ997" i="1"/>
  <c r="AI997" i="1"/>
  <c r="AH997" i="1"/>
  <c r="AG997" i="1"/>
  <c r="AF997" i="1"/>
  <c r="AB997" i="1"/>
  <c r="AJ1069" i="1"/>
  <c r="AI1069" i="1"/>
  <c r="AH1069" i="1"/>
  <c r="AG1069" i="1"/>
  <c r="AF1069" i="1"/>
  <c r="AB1069" i="1"/>
  <c r="AJ1141" i="1"/>
  <c r="AI1141" i="1"/>
  <c r="AH1141" i="1"/>
  <c r="AG1141" i="1"/>
  <c r="AF1141" i="1"/>
  <c r="AB1141" i="1"/>
  <c r="AJ1213" i="1"/>
  <c r="AI1213" i="1"/>
  <c r="AH1213" i="1"/>
  <c r="AG1213" i="1"/>
  <c r="AF1213" i="1"/>
  <c r="AB1213" i="1"/>
  <c r="AJ1285" i="1"/>
  <c r="AI1285" i="1"/>
  <c r="AH1285" i="1"/>
  <c r="AG1285" i="1"/>
  <c r="AF1285" i="1"/>
  <c r="AB1285" i="1"/>
  <c r="AJ1429" i="1"/>
  <c r="AI1429" i="1"/>
  <c r="AH1429" i="1"/>
  <c r="AG1429" i="1"/>
  <c r="AF1429" i="1"/>
  <c r="AB1429" i="1"/>
  <c r="AJ1501" i="1"/>
  <c r="AI1501" i="1"/>
  <c r="AH1501" i="1"/>
  <c r="AG1501" i="1"/>
  <c r="AF1501" i="1"/>
  <c r="AB1501" i="1"/>
  <c r="AJ1645" i="1"/>
  <c r="AI1645" i="1"/>
  <c r="AH1645" i="1"/>
  <c r="AG1645" i="1"/>
  <c r="AF1645" i="1"/>
  <c r="AB1645" i="1"/>
  <c r="AJ1717" i="1"/>
  <c r="AI1717" i="1"/>
  <c r="AH1717" i="1"/>
  <c r="AG1717" i="1"/>
  <c r="AF1717" i="1"/>
  <c r="AB1717" i="1"/>
  <c r="AJ1698" i="1"/>
  <c r="AI1698" i="1"/>
  <c r="AH1698" i="1"/>
  <c r="AG1698" i="1"/>
  <c r="AF1698" i="1"/>
  <c r="AB1698" i="1"/>
  <c r="AJ561" i="1"/>
  <c r="AI561" i="1"/>
  <c r="AH561" i="1"/>
  <c r="AG561" i="1"/>
  <c r="AF561" i="1"/>
  <c r="AB561" i="1"/>
  <c r="AJ765" i="1"/>
  <c r="AI765" i="1"/>
  <c r="AH765" i="1"/>
  <c r="AF765" i="1"/>
  <c r="AG765" i="1"/>
  <c r="AB765" i="1"/>
  <c r="AJ993" i="1"/>
  <c r="AI993" i="1"/>
  <c r="AH993" i="1"/>
  <c r="AG993" i="1"/>
  <c r="AF993" i="1"/>
  <c r="AB993" i="1"/>
  <c r="AJ1305" i="1"/>
  <c r="AI1305" i="1"/>
  <c r="AH1305" i="1"/>
  <c r="AG1305" i="1"/>
  <c r="AF1305" i="1"/>
  <c r="AB1305" i="1"/>
  <c r="AI46" i="1"/>
  <c r="AJ46" i="1"/>
  <c r="AH46" i="1"/>
  <c r="AG46" i="1"/>
  <c r="AF46" i="1"/>
  <c r="AB46" i="1"/>
  <c r="AJ274" i="1"/>
  <c r="AI274" i="1"/>
  <c r="AH274" i="1"/>
  <c r="AG274" i="1"/>
  <c r="AF274" i="1"/>
  <c r="AB274" i="1"/>
  <c r="AJ454" i="1"/>
  <c r="AI454" i="1"/>
  <c r="AH454" i="1"/>
  <c r="AG454" i="1"/>
  <c r="AF454" i="1"/>
  <c r="AB454" i="1"/>
  <c r="AJ658" i="1"/>
  <c r="AI658" i="1"/>
  <c r="AH658" i="1"/>
  <c r="AG658" i="1"/>
  <c r="AF658" i="1"/>
  <c r="AB658" i="1"/>
  <c r="AJ826" i="1"/>
  <c r="AI826" i="1"/>
  <c r="AH826" i="1"/>
  <c r="AG826" i="1"/>
  <c r="AF826" i="1"/>
  <c r="AB826" i="1"/>
  <c r="AJ1138" i="1"/>
  <c r="AI1138" i="1"/>
  <c r="AH1138" i="1"/>
  <c r="AG1138" i="1"/>
  <c r="AF1138" i="1"/>
  <c r="AB1138" i="1"/>
  <c r="AJ1294" i="1"/>
  <c r="AI1294" i="1"/>
  <c r="AH1294" i="1"/>
  <c r="AG1294" i="1"/>
  <c r="AF1294" i="1"/>
  <c r="AB1294" i="1"/>
  <c r="AJ1498" i="1"/>
  <c r="AI1498" i="1"/>
  <c r="AH1498" i="1"/>
  <c r="AG1498" i="1"/>
  <c r="AF1498" i="1"/>
  <c r="AB1498" i="1"/>
  <c r="AJ1690" i="1"/>
  <c r="AI1690" i="1"/>
  <c r="AH1690" i="1"/>
  <c r="AG1690" i="1"/>
  <c r="AF1690" i="1"/>
  <c r="AB1690" i="1"/>
  <c r="AJ686" i="1"/>
  <c r="AI686" i="1"/>
  <c r="AH686" i="1"/>
  <c r="AG686" i="1"/>
  <c r="AF686" i="1"/>
  <c r="AB686" i="1"/>
  <c r="AJ678" i="1"/>
  <c r="AI678" i="1"/>
  <c r="AH678" i="1"/>
  <c r="AG678" i="1"/>
  <c r="AF678" i="1"/>
  <c r="AB678" i="1"/>
  <c r="AJ1761" i="1"/>
  <c r="AI1761" i="1"/>
  <c r="AH1761" i="1"/>
  <c r="AG1761" i="1"/>
  <c r="AF1761" i="1"/>
  <c r="AB1761" i="1"/>
  <c r="AJ684" i="1"/>
  <c r="AI684" i="1"/>
  <c r="AH684" i="1"/>
  <c r="AG684" i="1"/>
  <c r="AF684" i="1"/>
  <c r="AB684" i="1"/>
  <c r="AJ1434" i="1"/>
  <c r="AI1434" i="1"/>
  <c r="AH1434" i="1"/>
  <c r="AG1434" i="1"/>
  <c r="AF1434" i="1"/>
  <c r="AB1434" i="1"/>
  <c r="AJ693" i="1"/>
  <c r="AI693" i="1"/>
  <c r="AH693" i="1"/>
  <c r="AG693" i="1"/>
  <c r="AF693" i="1"/>
  <c r="AB693" i="1"/>
  <c r="AJ118" i="1"/>
  <c r="AI118" i="1"/>
  <c r="AH118" i="1"/>
  <c r="AG118" i="1"/>
  <c r="AF118" i="1"/>
  <c r="AB118" i="1"/>
  <c r="AJ1438" i="1"/>
  <c r="AI1438" i="1"/>
  <c r="AH1438" i="1"/>
  <c r="AG1438" i="1"/>
  <c r="AF1438" i="1"/>
  <c r="AB1438" i="1"/>
  <c r="AJ1158" i="1"/>
  <c r="AI1158" i="1"/>
  <c r="AH1158" i="1"/>
  <c r="AG1158" i="1"/>
  <c r="AF1158" i="1"/>
  <c r="AB1158" i="1"/>
  <c r="AJ549" i="1"/>
  <c r="AI549" i="1"/>
  <c r="AH549" i="1"/>
  <c r="AF549" i="1"/>
  <c r="AG549" i="1"/>
  <c r="AB549" i="1"/>
  <c r="AJ885" i="1"/>
  <c r="AI885" i="1"/>
  <c r="AH885" i="1"/>
  <c r="AG885" i="1"/>
  <c r="AF885" i="1"/>
  <c r="AB885" i="1"/>
  <c r="AJ119" i="1"/>
  <c r="AI119" i="1"/>
  <c r="AH119" i="1"/>
  <c r="AG119" i="1"/>
  <c r="AF119" i="1"/>
  <c r="AB119" i="1"/>
  <c r="AJ1722" i="1"/>
  <c r="AI1722" i="1"/>
  <c r="AH1722" i="1"/>
  <c r="AG1722" i="1"/>
  <c r="AF1722" i="1"/>
  <c r="AB1722" i="1"/>
  <c r="AJ1402" i="1"/>
  <c r="AI1402" i="1"/>
  <c r="AH1402" i="1"/>
  <c r="AG1402" i="1"/>
  <c r="AF1402" i="1"/>
  <c r="AB1402" i="1"/>
  <c r="AJ468" i="1"/>
  <c r="AI468" i="1"/>
  <c r="AH468" i="1"/>
  <c r="AG468" i="1"/>
  <c r="AF468" i="1"/>
  <c r="AB468" i="1"/>
  <c r="AJ1740" i="1"/>
  <c r="AI1740" i="1"/>
  <c r="AH1740" i="1"/>
  <c r="AG1740" i="1"/>
  <c r="AF1740" i="1"/>
  <c r="AB1740" i="1"/>
  <c r="AJ756" i="1"/>
  <c r="AI756" i="1"/>
  <c r="AH756" i="1"/>
  <c r="AG756" i="1"/>
  <c r="AF756" i="1"/>
  <c r="AB756" i="1"/>
  <c r="AJ608" i="1"/>
  <c r="AI608" i="1"/>
  <c r="AH608" i="1"/>
  <c r="AG608" i="1"/>
  <c r="AF608" i="1"/>
  <c r="AB608" i="1"/>
  <c r="AJ752" i="1"/>
  <c r="AI752" i="1"/>
  <c r="AH752" i="1"/>
  <c r="AG752" i="1"/>
  <c r="AF752" i="1"/>
  <c r="AB752" i="1"/>
  <c r="AJ824" i="1"/>
  <c r="AI824" i="1"/>
  <c r="AH824" i="1"/>
  <c r="AG824" i="1"/>
  <c r="AF824" i="1"/>
  <c r="AB824" i="1"/>
  <c r="AJ896" i="1"/>
  <c r="AI896" i="1"/>
  <c r="AH896" i="1"/>
  <c r="AG896" i="1"/>
  <c r="AF896" i="1"/>
  <c r="AB896" i="1"/>
  <c r="AJ968" i="1"/>
  <c r="AI968" i="1"/>
  <c r="AH968" i="1"/>
  <c r="AG968" i="1"/>
  <c r="AF968" i="1"/>
  <c r="AB968" i="1"/>
  <c r="AJ1040" i="1"/>
  <c r="AI1040" i="1"/>
  <c r="AH1040" i="1"/>
  <c r="AG1040" i="1"/>
  <c r="AF1040" i="1"/>
  <c r="AB1040" i="1"/>
  <c r="AJ1112" i="1"/>
  <c r="AI1112" i="1"/>
  <c r="AH1112" i="1"/>
  <c r="AG1112" i="1"/>
  <c r="AF1112" i="1"/>
  <c r="AB1112" i="1"/>
  <c r="AJ1184" i="1"/>
  <c r="AI1184" i="1"/>
  <c r="AH1184" i="1"/>
  <c r="AG1184" i="1"/>
  <c r="AF1184" i="1"/>
  <c r="AB1184" i="1"/>
  <c r="AJ1256" i="1"/>
  <c r="AI1256" i="1"/>
  <c r="AH1256" i="1"/>
  <c r="AG1256" i="1"/>
  <c r="AF1256" i="1"/>
  <c r="AB1256" i="1"/>
  <c r="AJ1328" i="1"/>
  <c r="AI1328" i="1"/>
  <c r="AH1328" i="1"/>
  <c r="AG1328" i="1"/>
  <c r="AF1328" i="1"/>
  <c r="AB1328" i="1"/>
  <c r="AJ1472" i="1"/>
  <c r="AI1472" i="1"/>
  <c r="AH1472" i="1"/>
  <c r="AG1472" i="1"/>
  <c r="AF1472" i="1"/>
  <c r="AB1472" i="1"/>
  <c r="AJ1616" i="1"/>
  <c r="AI1616" i="1"/>
  <c r="AH1616" i="1"/>
  <c r="AG1616" i="1"/>
  <c r="AF1616" i="1"/>
  <c r="AB1616" i="1"/>
  <c r="AJ1688" i="1"/>
  <c r="AI1688" i="1"/>
  <c r="AH1688" i="1"/>
  <c r="AG1688" i="1"/>
  <c r="AF1688" i="1"/>
  <c r="AB1688" i="1"/>
  <c r="AJ1760" i="1"/>
  <c r="AI1760" i="1"/>
  <c r="AH1760" i="1"/>
  <c r="AF1760" i="1"/>
  <c r="AG1760" i="1"/>
  <c r="AB1760" i="1"/>
  <c r="AJ981" i="1"/>
  <c r="AI981" i="1"/>
  <c r="AH981" i="1"/>
  <c r="AF981" i="1"/>
  <c r="AG981" i="1"/>
  <c r="AB981" i="1"/>
  <c r="AJ1521" i="1"/>
  <c r="AI1521" i="1"/>
  <c r="AH1521" i="1"/>
  <c r="AG1521" i="1"/>
  <c r="AF1521" i="1"/>
  <c r="AB1521" i="1"/>
  <c r="AJ382" i="1"/>
  <c r="AI382" i="1"/>
  <c r="AH382" i="1"/>
  <c r="AG382" i="1"/>
  <c r="AF382" i="1"/>
  <c r="AB382" i="1"/>
  <c r="AJ1270" i="1"/>
  <c r="AI1270" i="1"/>
  <c r="AH1270" i="1"/>
  <c r="AG1270" i="1"/>
  <c r="AF1270" i="1"/>
  <c r="AB1270" i="1"/>
  <c r="AJ83" i="1"/>
  <c r="AI83" i="1"/>
  <c r="AH83" i="1"/>
  <c r="AG83" i="1"/>
  <c r="AF83" i="1"/>
  <c r="AB83" i="1"/>
  <c r="AJ587" i="1"/>
  <c r="AI587" i="1"/>
  <c r="AH587" i="1"/>
  <c r="AG587" i="1"/>
  <c r="AF587" i="1"/>
  <c r="AB587" i="1"/>
  <c r="AJ1031" i="1"/>
  <c r="AI1031" i="1"/>
  <c r="AH1031" i="1"/>
  <c r="AG1031" i="1"/>
  <c r="AF1031" i="1"/>
  <c r="AB1031" i="1"/>
  <c r="AJ1619" i="1"/>
  <c r="AI1619" i="1"/>
  <c r="AH1619" i="1"/>
  <c r="AG1619" i="1"/>
  <c r="AF1619" i="1"/>
  <c r="AB1619" i="1"/>
  <c r="AJ420" i="1"/>
  <c r="AI420" i="1"/>
  <c r="AH420" i="1"/>
  <c r="AG420" i="1"/>
  <c r="AF420" i="1"/>
  <c r="AB420" i="1"/>
  <c r="AJ1044" i="1"/>
  <c r="AI1044" i="1"/>
  <c r="AH1044" i="1"/>
  <c r="AG1044" i="1"/>
  <c r="AF1044" i="1"/>
  <c r="AB1044" i="1"/>
  <c r="AJ573" i="1"/>
  <c r="AI573" i="1"/>
  <c r="AH573" i="1"/>
  <c r="AG573" i="1"/>
  <c r="AF573" i="1"/>
  <c r="AB573" i="1"/>
  <c r="AJ562" i="1"/>
  <c r="AI562" i="1"/>
  <c r="AH562" i="1"/>
  <c r="AG562" i="1"/>
  <c r="AF562" i="1"/>
  <c r="AB562" i="1"/>
  <c r="AJ1330" i="1"/>
  <c r="AI1330" i="1"/>
  <c r="AH1330" i="1"/>
  <c r="AG1330" i="1"/>
  <c r="AF1330" i="1"/>
  <c r="AB1330" i="1"/>
  <c r="AJ155" i="1"/>
  <c r="AI155" i="1"/>
  <c r="AH155" i="1"/>
  <c r="AG155" i="1"/>
  <c r="AF155" i="1"/>
  <c r="AB155" i="1"/>
  <c r="AJ599" i="1"/>
  <c r="AI599" i="1"/>
  <c r="AH599" i="1"/>
  <c r="AG599" i="1"/>
  <c r="AF599" i="1"/>
  <c r="AB599" i="1"/>
  <c r="AJ1043" i="1"/>
  <c r="AI1043" i="1"/>
  <c r="AH1043" i="1"/>
  <c r="AG1043" i="1"/>
  <c r="AF1043" i="1"/>
  <c r="AB1043" i="1"/>
  <c r="AJ1643" i="1"/>
  <c r="AI1643" i="1"/>
  <c r="AG1643" i="1"/>
  <c r="AH1643" i="1"/>
  <c r="AF1643" i="1"/>
  <c r="AB1643" i="1"/>
  <c r="AJ456" i="1"/>
  <c r="AI456" i="1"/>
  <c r="AH456" i="1"/>
  <c r="AG456" i="1"/>
  <c r="AF456" i="1"/>
  <c r="AB456" i="1"/>
  <c r="AJ984" i="1"/>
  <c r="AI984" i="1"/>
  <c r="AH984" i="1"/>
  <c r="AG984" i="1"/>
  <c r="AF984" i="1"/>
  <c r="AB984" i="1"/>
  <c r="AJ252" i="1"/>
  <c r="AI252" i="1"/>
  <c r="AH252" i="1"/>
  <c r="AG252" i="1"/>
  <c r="AF252" i="1"/>
  <c r="AB252" i="1"/>
  <c r="AJ480" i="1"/>
  <c r="AI480" i="1"/>
  <c r="AH480" i="1"/>
  <c r="AG480" i="1"/>
  <c r="AF480" i="1"/>
  <c r="AB480" i="1"/>
  <c r="AJ744" i="1"/>
  <c r="AI744" i="1"/>
  <c r="AH744" i="1"/>
  <c r="AG744" i="1"/>
  <c r="AF744" i="1"/>
  <c r="AB744" i="1"/>
  <c r="AJ1020" i="1"/>
  <c r="AI1020" i="1"/>
  <c r="AH1020" i="1"/>
  <c r="AG1020" i="1"/>
  <c r="AF1020" i="1"/>
  <c r="AB1020" i="1"/>
  <c r="AJ1200" i="1"/>
  <c r="AI1200" i="1"/>
  <c r="AH1200" i="1"/>
  <c r="AG1200" i="1"/>
  <c r="AF1200" i="1"/>
  <c r="AB1200" i="1"/>
  <c r="AJ1428" i="1"/>
  <c r="AI1428" i="1"/>
  <c r="AH1428" i="1"/>
  <c r="AG1428" i="1"/>
  <c r="AF1428" i="1"/>
  <c r="AB1428" i="1"/>
  <c r="AJ1620" i="1"/>
  <c r="AI1620" i="1"/>
  <c r="AH1620" i="1"/>
  <c r="AG1620" i="1"/>
  <c r="AF1620" i="1"/>
  <c r="AB1620" i="1"/>
  <c r="AJ387" i="1"/>
  <c r="AI387" i="1"/>
  <c r="AH387" i="1"/>
  <c r="AG387" i="1"/>
  <c r="AF387" i="1"/>
  <c r="AB387" i="1"/>
  <c r="AJ113" i="1"/>
  <c r="AI113" i="1"/>
  <c r="AH113" i="1"/>
  <c r="AG113" i="1"/>
  <c r="AF113" i="1"/>
  <c r="AB113" i="1"/>
  <c r="AJ629" i="1"/>
  <c r="AI629" i="1"/>
  <c r="AH629" i="1"/>
  <c r="AG629" i="1"/>
  <c r="AF629" i="1"/>
  <c r="AB629" i="1"/>
  <c r="AJ989" i="1"/>
  <c r="AI989" i="1"/>
  <c r="AH989" i="1"/>
  <c r="AG989" i="1"/>
  <c r="AF989" i="1"/>
  <c r="AB989" i="1"/>
  <c r="AJ63" i="1"/>
  <c r="AI63" i="1"/>
  <c r="AH63" i="1"/>
  <c r="AG63" i="1"/>
  <c r="AF63" i="1"/>
  <c r="AB63" i="1"/>
  <c r="AJ267" i="1"/>
  <c r="AI267" i="1"/>
  <c r="AH267" i="1"/>
  <c r="AG267" i="1"/>
  <c r="AF267" i="1"/>
  <c r="AB267" i="1"/>
  <c r="AJ435" i="1"/>
  <c r="AI435" i="1"/>
  <c r="AH435" i="1"/>
  <c r="AG435" i="1"/>
  <c r="AF435" i="1"/>
  <c r="AB435" i="1"/>
  <c r="AJ1504" i="1"/>
  <c r="AI1504" i="1"/>
  <c r="AH1504" i="1"/>
  <c r="AG1504" i="1"/>
  <c r="AF1504" i="1"/>
  <c r="AB1504" i="1"/>
  <c r="AE77" i="1"/>
  <c r="AC77" i="1"/>
  <c r="AE173" i="1"/>
  <c r="AC173" i="1"/>
  <c r="AE245" i="1"/>
  <c r="AC245" i="1"/>
  <c r="AE329" i="1"/>
  <c r="AC329" i="1"/>
  <c r="AE401" i="1"/>
  <c r="AC401" i="1"/>
  <c r="AE521" i="1"/>
  <c r="AC521" i="1"/>
  <c r="AE629" i="1"/>
  <c r="AC629" i="1"/>
  <c r="AE18" i="1"/>
  <c r="AC18" i="1"/>
  <c r="AE90" i="1"/>
  <c r="AC90" i="1"/>
  <c r="AE198" i="1"/>
  <c r="AC198" i="1"/>
  <c r="AE270" i="1"/>
  <c r="AC270" i="1"/>
  <c r="AE342" i="1"/>
  <c r="AC342" i="1"/>
  <c r="AE414" i="1"/>
  <c r="AC414" i="1"/>
  <c r="AE486" i="1"/>
  <c r="AC486" i="1"/>
  <c r="AE558" i="1"/>
  <c r="AC558" i="1"/>
  <c r="AE630" i="1"/>
  <c r="AC630" i="1"/>
  <c r="AE702" i="1"/>
  <c r="AC702" i="1"/>
  <c r="AE774" i="1"/>
  <c r="AC774" i="1"/>
  <c r="AE846" i="1"/>
  <c r="AC846" i="1"/>
  <c r="AE657" i="1"/>
  <c r="AC657" i="1"/>
  <c r="AE729" i="1"/>
  <c r="AC729" i="1"/>
  <c r="AE801" i="1"/>
  <c r="AC801" i="1"/>
  <c r="AE873" i="1"/>
  <c r="AC873" i="1"/>
  <c r="AE945" i="1"/>
  <c r="AC945" i="1"/>
  <c r="AE1017" i="1"/>
  <c r="AC1017" i="1"/>
  <c r="AE1089" i="1"/>
  <c r="AC1089" i="1"/>
  <c r="AE1161" i="1"/>
  <c r="AC1161" i="1"/>
  <c r="AE1233" i="1"/>
  <c r="AC1233" i="1"/>
  <c r="AE1305" i="1"/>
  <c r="AC1305" i="1"/>
  <c r="AE1377" i="1"/>
  <c r="AC1377" i="1"/>
  <c r="AE1449" i="1"/>
  <c r="AC1449" i="1"/>
  <c r="AE1521" i="1"/>
  <c r="AC1521" i="1"/>
  <c r="AE1593" i="1"/>
  <c r="AC1593" i="1"/>
  <c r="AE1665" i="1"/>
  <c r="AC1665" i="1"/>
  <c r="AE1737" i="1"/>
  <c r="AC1737" i="1"/>
  <c r="AE1162" i="1"/>
  <c r="AC1162" i="1"/>
  <c r="AE1234" i="1"/>
  <c r="AC1234" i="1"/>
  <c r="AE1306" i="1"/>
  <c r="AC1306" i="1"/>
  <c r="AE1378" i="1"/>
  <c r="AC1378" i="1"/>
  <c r="AE1450" i="1"/>
  <c r="AC1450" i="1"/>
  <c r="AE1522" i="1"/>
  <c r="AC1522" i="1"/>
  <c r="AE1594" i="1"/>
  <c r="AC1594" i="1"/>
  <c r="AE1666" i="1"/>
  <c r="AC1666" i="1"/>
  <c r="AE1738" i="1"/>
  <c r="AC1738" i="1"/>
  <c r="AE503" i="1"/>
  <c r="AC503" i="1"/>
  <c r="AE575" i="1"/>
  <c r="AC575" i="1"/>
  <c r="AE647" i="1"/>
  <c r="AC647" i="1"/>
  <c r="AE719" i="1"/>
  <c r="AC719" i="1"/>
  <c r="AE791" i="1"/>
  <c r="AC791" i="1"/>
  <c r="AE863" i="1"/>
  <c r="AC863" i="1"/>
  <c r="AE935" i="1"/>
  <c r="AC935" i="1"/>
  <c r="AE1007" i="1"/>
  <c r="AC1007" i="1"/>
  <c r="AE1079" i="1"/>
  <c r="AC1079" i="1"/>
  <c r="AE1151" i="1"/>
  <c r="AC1151" i="1"/>
  <c r="AE1223" i="1"/>
  <c r="AC1223" i="1"/>
  <c r="AE1295" i="1"/>
  <c r="AC1295" i="1"/>
  <c r="AE1367" i="1"/>
  <c r="AC1367" i="1"/>
  <c r="AE1439" i="1"/>
  <c r="AC1439" i="1"/>
  <c r="AE1511" i="1"/>
  <c r="AC1511" i="1"/>
  <c r="AE1583" i="1"/>
  <c r="AC1583" i="1"/>
  <c r="AE1655" i="1"/>
  <c r="AC1655" i="1"/>
  <c r="AE1727" i="1"/>
  <c r="AC1727" i="1"/>
  <c r="AE12" i="1"/>
  <c r="AC12" i="1"/>
  <c r="AE84" i="1"/>
  <c r="AC84" i="1"/>
  <c r="AE156" i="1"/>
  <c r="AC156" i="1"/>
  <c r="AE228" i="1"/>
  <c r="AC228" i="1"/>
  <c r="AE300" i="1"/>
  <c r="AC300" i="1"/>
  <c r="AE372" i="1"/>
  <c r="AC372" i="1"/>
  <c r="AE444" i="1"/>
  <c r="AC444" i="1"/>
  <c r="AE516" i="1"/>
  <c r="AC516" i="1"/>
  <c r="AE588" i="1"/>
  <c r="AC588" i="1"/>
  <c r="AE660" i="1"/>
  <c r="AC660" i="1"/>
  <c r="AE732" i="1"/>
  <c r="AC732" i="1"/>
  <c r="AE804" i="1"/>
  <c r="AC804" i="1"/>
  <c r="AE876" i="1"/>
  <c r="AC876" i="1"/>
  <c r="AE948" i="1"/>
  <c r="AC948" i="1"/>
  <c r="AE1020" i="1"/>
  <c r="AC1020" i="1"/>
  <c r="AE1092" i="1"/>
  <c r="AC1092" i="1"/>
  <c r="AE1164" i="1"/>
  <c r="AC1164" i="1"/>
  <c r="AE1236" i="1"/>
  <c r="AC1236" i="1"/>
  <c r="AE1308" i="1"/>
  <c r="AC1308" i="1"/>
  <c r="AE1380" i="1"/>
  <c r="AC1380" i="1"/>
  <c r="AE1452" i="1"/>
  <c r="AC1452" i="1"/>
  <c r="AE1524" i="1"/>
  <c r="AC1524" i="1"/>
  <c r="AE1596" i="1"/>
  <c r="AC1596" i="1"/>
  <c r="AE1668" i="1"/>
  <c r="AC1668" i="1"/>
  <c r="AE1740" i="1"/>
  <c r="AC1740" i="1"/>
  <c r="AE25" i="1"/>
  <c r="AC25" i="1"/>
  <c r="AE97" i="1"/>
  <c r="AC97" i="1"/>
  <c r="AE169" i="1"/>
  <c r="AC169" i="1"/>
  <c r="AE241" i="1"/>
  <c r="AC241" i="1"/>
  <c r="AE313" i="1"/>
  <c r="AC313" i="1"/>
  <c r="AE385" i="1"/>
  <c r="AC385" i="1"/>
  <c r="AE457" i="1"/>
  <c r="AC457" i="1"/>
  <c r="AE529" i="1"/>
  <c r="AC529" i="1"/>
  <c r="AE601" i="1"/>
  <c r="AC601" i="1"/>
  <c r="AE673" i="1"/>
  <c r="AC673" i="1"/>
  <c r="AE745" i="1"/>
  <c r="AC745" i="1"/>
  <c r="AE817" i="1"/>
  <c r="AC817" i="1"/>
  <c r="AE889" i="1"/>
  <c r="AC889" i="1"/>
  <c r="AE961" i="1"/>
  <c r="AC961" i="1"/>
  <c r="AE1033" i="1"/>
  <c r="AC1033" i="1"/>
  <c r="AE1105" i="1"/>
  <c r="AC1105" i="1"/>
  <c r="AE1177" i="1"/>
  <c r="AC1177" i="1"/>
  <c r="AE1249" i="1"/>
  <c r="AC1249" i="1"/>
  <c r="AE1321" i="1"/>
  <c r="AC1321" i="1"/>
  <c r="AE1393" i="1"/>
  <c r="AC1393" i="1"/>
  <c r="AE1465" i="1"/>
  <c r="AC1465" i="1"/>
  <c r="AE1537" i="1"/>
  <c r="AC1537" i="1"/>
  <c r="AE1609" i="1"/>
  <c r="AC1609" i="1"/>
  <c r="AE1681" i="1"/>
  <c r="AC1681" i="1"/>
  <c r="AE1753" i="1"/>
  <c r="AC1753" i="1"/>
  <c r="AE50" i="1"/>
  <c r="AC50" i="1"/>
  <c r="AE134" i="1"/>
  <c r="AC134" i="1"/>
  <c r="AE218" i="1"/>
  <c r="AC218" i="1"/>
  <c r="AE338" i="1"/>
  <c r="AC338" i="1"/>
  <c r="AE422" i="1"/>
  <c r="AC422" i="1"/>
  <c r="AE494" i="1"/>
  <c r="AC494" i="1"/>
  <c r="AE566" i="1"/>
  <c r="AC566" i="1"/>
  <c r="AE638" i="1"/>
  <c r="AC638" i="1"/>
  <c r="AE710" i="1"/>
  <c r="AC710" i="1"/>
  <c r="AE794" i="1"/>
  <c r="AC794" i="1"/>
  <c r="AE866" i="1"/>
  <c r="AC866" i="1"/>
  <c r="AE998" i="1"/>
  <c r="AC998" i="1"/>
  <c r="AE1094" i="1"/>
  <c r="AC1094" i="1"/>
  <c r="AE1190" i="1"/>
  <c r="AC1190" i="1"/>
  <c r="AE1286" i="1"/>
  <c r="AC1286" i="1"/>
  <c r="AE1370" i="1"/>
  <c r="AC1370" i="1"/>
  <c r="AE1442" i="1"/>
  <c r="AC1442" i="1"/>
  <c r="AE1514" i="1"/>
  <c r="AC1514" i="1"/>
  <c r="AE1586" i="1"/>
  <c r="AC1586" i="1"/>
  <c r="AE1658" i="1"/>
  <c r="AC1658" i="1"/>
  <c r="AE1790" i="1"/>
  <c r="AC1790" i="1"/>
  <c r="AE87" i="1"/>
  <c r="AC87" i="1"/>
  <c r="AE183" i="1"/>
  <c r="AC183" i="1"/>
  <c r="AE339" i="1"/>
  <c r="AC339" i="1"/>
  <c r="AE447" i="1"/>
  <c r="AC447" i="1"/>
  <c r="AE531" i="1"/>
  <c r="AC531" i="1"/>
  <c r="AE603" i="1"/>
  <c r="AC603" i="1"/>
  <c r="AE687" i="1"/>
  <c r="AC687" i="1"/>
  <c r="AE771" i="1"/>
  <c r="AC771" i="1"/>
  <c r="AE879" i="1"/>
  <c r="AC879" i="1"/>
  <c r="AE975" i="1"/>
  <c r="AC975" i="1"/>
  <c r="AE1083" i="1"/>
  <c r="AC1083" i="1"/>
  <c r="AE1155" i="1"/>
  <c r="AC1155" i="1"/>
  <c r="AE1239" i="1"/>
  <c r="AC1239" i="1"/>
  <c r="AE1311" i="1"/>
  <c r="AC1311" i="1"/>
  <c r="AE1407" i="1"/>
  <c r="AC1407" i="1"/>
  <c r="AE1479" i="1"/>
  <c r="AC1479" i="1"/>
  <c r="AE1551" i="1"/>
  <c r="AC1551" i="1"/>
  <c r="AE1647" i="1"/>
  <c r="AC1647" i="1"/>
  <c r="AE1719" i="1"/>
  <c r="AC1719" i="1"/>
  <c r="AE4" i="1"/>
  <c r="AC4" i="1"/>
  <c r="AE76" i="1"/>
  <c r="AC76" i="1"/>
  <c r="AE148" i="1"/>
  <c r="AC148" i="1"/>
  <c r="AE220" i="1"/>
  <c r="AC220" i="1"/>
  <c r="AE292" i="1"/>
  <c r="AC292" i="1"/>
  <c r="AE364" i="1"/>
  <c r="AC364" i="1"/>
  <c r="AE436" i="1"/>
  <c r="AC436" i="1"/>
  <c r="AE508" i="1"/>
  <c r="AC508" i="1"/>
  <c r="AE580" i="1"/>
  <c r="AC580" i="1"/>
  <c r="AE652" i="1"/>
  <c r="AC652" i="1"/>
  <c r="AE724" i="1"/>
  <c r="AC724" i="1"/>
  <c r="AE808" i="1"/>
  <c r="AC808" i="1"/>
  <c r="AE880" i="1"/>
  <c r="AC880" i="1"/>
  <c r="AE952" i="1"/>
  <c r="AC952" i="1"/>
  <c r="AE1036" i="1"/>
  <c r="AC1036" i="1"/>
  <c r="AE1108" i="1"/>
  <c r="AC1108" i="1"/>
  <c r="AE1192" i="1"/>
  <c r="AC1192" i="1"/>
  <c r="AE1276" i="1"/>
  <c r="AC1276" i="1"/>
  <c r="AE1360" i="1"/>
  <c r="AC1360" i="1"/>
  <c r="AE1444" i="1"/>
  <c r="AC1444" i="1"/>
  <c r="AE1552" i="1"/>
  <c r="AC1552" i="1"/>
  <c r="AE1648" i="1"/>
  <c r="AC1648" i="1"/>
  <c r="AE1720" i="1"/>
  <c r="AC1720" i="1"/>
  <c r="AE906" i="1"/>
  <c r="AC906" i="1"/>
  <c r="AE978" i="1"/>
  <c r="AC978" i="1"/>
  <c r="AE1050" i="1"/>
  <c r="AC1050" i="1"/>
  <c r="AE1122" i="1"/>
  <c r="AC1122" i="1"/>
  <c r="AE1194" i="1"/>
  <c r="AC1194" i="1"/>
  <c r="AE1266" i="1"/>
  <c r="AC1266" i="1"/>
  <c r="AE1338" i="1"/>
  <c r="AC1338" i="1"/>
  <c r="AE1410" i="1"/>
  <c r="AC1410" i="1"/>
  <c r="AE1482" i="1"/>
  <c r="AC1482" i="1"/>
  <c r="AE1554" i="1"/>
  <c r="AC1554" i="1"/>
  <c r="AE1626" i="1"/>
  <c r="AC1626" i="1"/>
  <c r="AE1698" i="1"/>
  <c r="AC1698" i="1"/>
  <c r="AE1770" i="1"/>
  <c r="AC1770" i="1"/>
  <c r="AE55" i="1"/>
  <c r="AC55" i="1"/>
  <c r="AE127" i="1"/>
  <c r="AC127" i="1"/>
  <c r="AE199" i="1"/>
  <c r="AC199" i="1"/>
  <c r="AE271" i="1"/>
  <c r="AC271" i="1"/>
  <c r="AE343" i="1"/>
  <c r="AC343" i="1"/>
  <c r="AE415" i="1"/>
  <c r="AC415" i="1"/>
  <c r="AE487" i="1"/>
  <c r="AC487" i="1"/>
  <c r="AE559" i="1"/>
  <c r="AC559" i="1"/>
  <c r="AE631" i="1"/>
  <c r="AC631" i="1"/>
  <c r="AE703" i="1"/>
  <c r="AC703" i="1"/>
  <c r="AE775" i="1"/>
  <c r="AC775" i="1"/>
  <c r="AE847" i="1"/>
  <c r="AC847" i="1"/>
  <c r="AE919" i="1"/>
  <c r="AC919" i="1"/>
  <c r="AE991" i="1"/>
  <c r="AC991" i="1"/>
  <c r="AE1063" i="1"/>
  <c r="AC1063" i="1"/>
  <c r="AE1135" i="1"/>
  <c r="AC1135" i="1"/>
  <c r="AE1207" i="1"/>
  <c r="AC1207" i="1"/>
  <c r="AE1279" i="1"/>
  <c r="AC1279" i="1"/>
  <c r="AE1351" i="1"/>
  <c r="AC1351" i="1"/>
  <c r="AE1423" i="1"/>
  <c r="AC1423" i="1"/>
  <c r="AE1495" i="1"/>
  <c r="AC1495" i="1"/>
  <c r="AE1567" i="1"/>
  <c r="AC1567" i="1"/>
  <c r="AE1639" i="1"/>
  <c r="AC1639" i="1"/>
  <c r="AE1711" i="1"/>
  <c r="AC1711" i="1"/>
  <c r="AE1783" i="1"/>
  <c r="AC1783" i="1"/>
  <c r="AE68" i="1"/>
  <c r="AC68" i="1"/>
  <c r="AE140" i="1"/>
  <c r="AC140" i="1"/>
  <c r="AE212" i="1"/>
  <c r="AC212" i="1"/>
  <c r="AE284" i="1"/>
  <c r="AC284" i="1"/>
  <c r="AE356" i="1"/>
  <c r="AC356" i="1"/>
  <c r="AE428" i="1"/>
  <c r="AC428" i="1"/>
  <c r="AE500" i="1"/>
  <c r="AC500" i="1"/>
  <c r="AE572" i="1"/>
  <c r="AC572" i="1"/>
  <c r="AE644" i="1"/>
  <c r="AC644" i="1"/>
  <c r="AE716" i="1"/>
  <c r="AC716" i="1"/>
  <c r="AE788" i="1"/>
  <c r="AC788" i="1"/>
  <c r="AE860" i="1"/>
  <c r="AC860" i="1"/>
  <c r="AE932" i="1"/>
  <c r="AC932" i="1"/>
  <c r="AE1004" i="1"/>
  <c r="AC1004" i="1"/>
  <c r="AE1076" i="1"/>
  <c r="AC1076" i="1"/>
  <c r="AE1148" i="1"/>
  <c r="AC1148" i="1"/>
  <c r="AE1220" i="1"/>
  <c r="AC1220" i="1"/>
  <c r="AE1292" i="1"/>
  <c r="AC1292" i="1"/>
  <c r="AE1364" i="1"/>
  <c r="AC1364" i="1"/>
  <c r="AE1436" i="1"/>
  <c r="AC1436" i="1"/>
  <c r="AE1508" i="1"/>
  <c r="AC1508" i="1"/>
  <c r="AE1580" i="1"/>
  <c r="AC1580" i="1"/>
  <c r="AE1652" i="1"/>
  <c r="AC1652" i="1"/>
  <c r="AE1724" i="1"/>
  <c r="AC1724" i="1"/>
  <c r="AE549" i="1"/>
  <c r="AC549" i="1"/>
  <c r="AE881" i="1"/>
  <c r="AC881" i="1"/>
  <c r="AE1457" i="1"/>
  <c r="AC1457" i="1"/>
  <c r="AE334" i="1"/>
  <c r="AC334" i="1"/>
  <c r="AE994" i="1"/>
  <c r="AC994" i="1"/>
  <c r="AE605" i="1"/>
  <c r="AC605" i="1"/>
  <c r="AE1133" i="1"/>
  <c r="AC1133" i="1"/>
  <c r="AE1637" i="1"/>
  <c r="AC1637" i="1"/>
  <c r="AE670" i="1"/>
  <c r="AC670" i="1"/>
  <c r="AE1313" i="1"/>
  <c r="AC1313" i="1"/>
  <c r="AJ26" i="1"/>
  <c r="AI26" i="1"/>
  <c r="AH26" i="1"/>
  <c r="AG26" i="1"/>
  <c r="AF26" i="1"/>
  <c r="AB26" i="1"/>
  <c r="AJ518" i="1"/>
  <c r="AI518" i="1"/>
  <c r="AH518" i="1"/>
  <c r="AG518" i="1"/>
  <c r="AF518" i="1"/>
  <c r="AB518" i="1"/>
  <c r="AJ890" i="1"/>
  <c r="AI890" i="1"/>
  <c r="AH890" i="1"/>
  <c r="AG890" i="1"/>
  <c r="AF890" i="1"/>
  <c r="AB890" i="1"/>
  <c r="AJ1262" i="1"/>
  <c r="AI1262" i="1"/>
  <c r="AH1262" i="1"/>
  <c r="AG1262" i="1"/>
  <c r="AF1262" i="1"/>
  <c r="AB1262" i="1"/>
  <c r="AJ1778" i="1"/>
  <c r="AI1778" i="1"/>
  <c r="AH1778" i="1"/>
  <c r="AG1778" i="1"/>
  <c r="AF1778" i="1"/>
  <c r="AB1778" i="1"/>
  <c r="AJ424" i="1"/>
  <c r="AI424" i="1"/>
  <c r="AH424" i="1"/>
  <c r="AG424" i="1"/>
  <c r="AF424" i="1"/>
  <c r="AB424" i="1"/>
  <c r="AJ710" i="1"/>
  <c r="AI710" i="1"/>
  <c r="AH710" i="1"/>
  <c r="AG710" i="1"/>
  <c r="AF710" i="1"/>
  <c r="AB710" i="1"/>
  <c r="AJ1478" i="1"/>
  <c r="AI1478" i="1"/>
  <c r="AH1478" i="1"/>
  <c r="AG1478" i="1"/>
  <c r="AF1478" i="1"/>
  <c r="AB1478" i="1"/>
  <c r="AJ832" i="1"/>
  <c r="AI832" i="1"/>
  <c r="AH832" i="1"/>
  <c r="AG832" i="1"/>
  <c r="AF832" i="1"/>
  <c r="AB832" i="1"/>
  <c r="AJ29" i="1"/>
  <c r="AI29" i="1"/>
  <c r="AH29" i="1"/>
  <c r="AG29" i="1"/>
  <c r="AF29" i="1"/>
  <c r="AB29" i="1"/>
  <c r="AJ399" i="1"/>
  <c r="AI399" i="1"/>
  <c r="AH399" i="1"/>
  <c r="AG399" i="1"/>
  <c r="AF399" i="1"/>
  <c r="AB399" i="1"/>
  <c r="AJ1263" i="1"/>
  <c r="AI1263" i="1"/>
  <c r="AH1263" i="1"/>
  <c r="AG1263" i="1"/>
  <c r="AF1263" i="1"/>
  <c r="AB1263" i="1"/>
  <c r="AJ557" i="1"/>
  <c r="AI557" i="1"/>
  <c r="AH557" i="1"/>
  <c r="AG557" i="1"/>
  <c r="AF557" i="1"/>
  <c r="AB557" i="1"/>
  <c r="AJ1757" i="1"/>
  <c r="AI1757" i="1"/>
  <c r="AH1757" i="1"/>
  <c r="AG1757" i="1"/>
  <c r="AF1757" i="1"/>
  <c r="AB1757" i="1"/>
  <c r="AJ365" i="1"/>
  <c r="AI365" i="1"/>
  <c r="AH365" i="1"/>
  <c r="AG365" i="1"/>
  <c r="AF365" i="1"/>
  <c r="AB365" i="1"/>
  <c r="Z1564" i="1"/>
  <c r="AD1564" i="1"/>
  <c r="AJ91" i="1"/>
  <c r="AI91" i="1"/>
  <c r="AH91" i="1"/>
  <c r="AG91" i="1"/>
  <c r="AF91" i="1"/>
  <c r="AB91" i="1"/>
  <c r="AJ571" i="1"/>
  <c r="AI571" i="1"/>
  <c r="AH571" i="1"/>
  <c r="AF571" i="1"/>
  <c r="AG571" i="1"/>
  <c r="AB571" i="1"/>
  <c r="AJ859" i="1"/>
  <c r="AI859" i="1"/>
  <c r="AH859" i="1"/>
  <c r="AF859" i="1"/>
  <c r="AG859" i="1"/>
  <c r="AB859" i="1"/>
  <c r="AJ1099" i="1"/>
  <c r="AI1099" i="1"/>
  <c r="AH1099" i="1"/>
  <c r="AG1099" i="1"/>
  <c r="AF1099" i="1"/>
  <c r="AB1099" i="1"/>
  <c r="AJ1387" i="1"/>
  <c r="AI1387" i="1"/>
  <c r="AH1387" i="1"/>
  <c r="AG1387" i="1"/>
  <c r="AF1387" i="1"/>
  <c r="AB1387" i="1"/>
  <c r="Z1001" i="1"/>
  <c r="AD1001" i="1"/>
  <c r="AJ285" i="1"/>
  <c r="AI285" i="1"/>
  <c r="AH285" i="1"/>
  <c r="AF285" i="1"/>
  <c r="AG285" i="1"/>
  <c r="AB285" i="1"/>
  <c r="AJ1024" i="1"/>
  <c r="AI1024" i="1"/>
  <c r="AH1024" i="1"/>
  <c r="AG1024" i="1"/>
  <c r="AF1024" i="1"/>
  <c r="AB1024" i="1"/>
  <c r="AJ793" i="1"/>
  <c r="AI793" i="1"/>
  <c r="AG793" i="1"/>
  <c r="AH793" i="1"/>
  <c r="AF793" i="1"/>
  <c r="AB793" i="1"/>
  <c r="AJ1225" i="1"/>
  <c r="AI1225" i="1"/>
  <c r="AH1225" i="1"/>
  <c r="AG1225" i="1"/>
  <c r="AF1225" i="1"/>
  <c r="AB1225" i="1"/>
  <c r="AJ1513" i="1"/>
  <c r="AI1513" i="1"/>
  <c r="AH1513" i="1"/>
  <c r="AG1513" i="1"/>
  <c r="AF1513" i="1"/>
  <c r="AB1513" i="1"/>
  <c r="AJ66" i="1"/>
  <c r="AI66" i="1"/>
  <c r="AH66" i="1"/>
  <c r="AG66" i="1"/>
  <c r="AF66" i="1"/>
  <c r="AB66" i="1"/>
  <c r="AJ1026" i="1"/>
  <c r="AI1026" i="1"/>
  <c r="AH1026" i="1"/>
  <c r="AG1026" i="1"/>
  <c r="AF1026" i="1"/>
  <c r="AB1026" i="1"/>
  <c r="AJ1173" i="1"/>
  <c r="AI1173" i="1"/>
  <c r="AH1173" i="1"/>
  <c r="AG1173" i="1"/>
  <c r="AF1173" i="1"/>
  <c r="AB1173" i="1"/>
  <c r="AJ779" i="1"/>
  <c r="AI779" i="1"/>
  <c r="AH779" i="1"/>
  <c r="AG779" i="1"/>
  <c r="AF779" i="1"/>
  <c r="AB779" i="1"/>
  <c r="AJ1356" i="1"/>
  <c r="AI1356" i="1"/>
  <c r="AH1356" i="1"/>
  <c r="AG1356" i="1"/>
  <c r="AF1356" i="1"/>
  <c r="AB1356" i="1"/>
  <c r="AJ774" i="1"/>
  <c r="AI774" i="1"/>
  <c r="AH774" i="1"/>
  <c r="AG774" i="1"/>
  <c r="AF774" i="1"/>
  <c r="AB774" i="1"/>
  <c r="AJ1631" i="1"/>
  <c r="AI1631" i="1"/>
  <c r="AH1631" i="1"/>
  <c r="AG1631" i="1"/>
  <c r="AF1631" i="1"/>
  <c r="AB1631" i="1"/>
  <c r="AJ234" i="1"/>
  <c r="AI234" i="1"/>
  <c r="AH234" i="1"/>
  <c r="AG234" i="1"/>
  <c r="AF234" i="1"/>
  <c r="AB234" i="1"/>
  <c r="AJ1221" i="1"/>
  <c r="AI1221" i="1"/>
  <c r="AH1221" i="1"/>
  <c r="AG1221" i="1"/>
  <c r="AF1221" i="1"/>
  <c r="AB1221" i="1"/>
  <c r="AJ323" i="1"/>
  <c r="AI323" i="1"/>
  <c r="AH323" i="1"/>
  <c r="AG323" i="1"/>
  <c r="AF323" i="1"/>
  <c r="AB323" i="1"/>
  <c r="AJ767" i="1"/>
  <c r="AI767" i="1"/>
  <c r="AH767" i="1"/>
  <c r="AG767" i="1"/>
  <c r="AF767" i="1"/>
  <c r="AB767" i="1"/>
  <c r="AJ1055" i="1"/>
  <c r="AI1055" i="1"/>
  <c r="AH1055" i="1"/>
  <c r="AG1055" i="1"/>
  <c r="AF1055" i="1"/>
  <c r="AB1055" i="1"/>
  <c r="AJ1463" i="1"/>
  <c r="AI1463" i="1"/>
  <c r="AH1463" i="1"/>
  <c r="AG1463" i="1"/>
  <c r="AF1463" i="1"/>
  <c r="AB1463" i="1"/>
  <c r="AJ1667" i="1"/>
  <c r="AI1667" i="1"/>
  <c r="AH1667" i="1"/>
  <c r="AG1667" i="1"/>
  <c r="AF1667" i="1"/>
  <c r="AB1667" i="1"/>
  <c r="AJ414" i="1"/>
  <c r="AI414" i="1"/>
  <c r="AH414" i="1"/>
  <c r="AG414" i="1"/>
  <c r="AF414" i="1"/>
  <c r="AB414" i="1"/>
  <c r="AJ714" i="1"/>
  <c r="AI714" i="1"/>
  <c r="AH714" i="1"/>
  <c r="AG714" i="1"/>
  <c r="AF714" i="1"/>
  <c r="AB714" i="1"/>
  <c r="AJ1350" i="1"/>
  <c r="AI1350" i="1"/>
  <c r="AH1350" i="1"/>
  <c r="AG1350" i="1"/>
  <c r="AF1350" i="1"/>
  <c r="AB1350" i="1"/>
  <c r="AJ1185" i="1"/>
  <c r="AI1185" i="1"/>
  <c r="AH1185" i="1"/>
  <c r="AG1185" i="1"/>
  <c r="AF1185" i="1"/>
  <c r="AB1185" i="1"/>
  <c r="AJ82" i="1"/>
  <c r="AI82" i="1"/>
  <c r="AH82" i="1"/>
  <c r="AG82" i="1"/>
  <c r="AF82" i="1"/>
  <c r="AB82" i="1"/>
  <c r="AJ742" i="1"/>
  <c r="AI742" i="1"/>
  <c r="AH742" i="1"/>
  <c r="AG742" i="1"/>
  <c r="AF742" i="1"/>
  <c r="AB742" i="1"/>
  <c r="AJ131" i="1"/>
  <c r="AI131" i="1"/>
  <c r="AH131" i="1"/>
  <c r="AG131" i="1"/>
  <c r="AF131" i="1"/>
  <c r="AB131" i="1"/>
  <c r="AJ623" i="1"/>
  <c r="AI623" i="1"/>
  <c r="AH623" i="1"/>
  <c r="AG623" i="1"/>
  <c r="AF623" i="1"/>
  <c r="AB623" i="1"/>
  <c r="AJ1079" i="1"/>
  <c r="AI1079" i="1"/>
  <c r="AH1079" i="1"/>
  <c r="AG1079" i="1"/>
  <c r="AF1079" i="1"/>
  <c r="AB1079" i="1"/>
  <c r="AJ1607" i="1"/>
  <c r="AI1607" i="1"/>
  <c r="AG1607" i="1"/>
  <c r="AH1607" i="1"/>
  <c r="AF1607" i="1"/>
  <c r="AB1607" i="1"/>
  <c r="AJ1032" i="1"/>
  <c r="AI1032" i="1"/>
  <c r="AH1032" i="1"/>
  <c r="AG1032" i="1"/>
  <c r="AF1032" i="1"/>
  <c r="AB1032" i="1"/>
  <c r="AJ1663" i="1"/>
  <c r="AI1663" i="1"/>
  <c r="AH1663" i="1"/>
  <c r="AG1663" i="1"/>
  <c r="AF1663" i="1"/>
  <c r="AB1663" i="1"/>
  <c r="AJ154" i="1"/>
  <c r="AI154" i="1"/>
  <c r="AH154" i="1"/>
  <c r="AG154" i="1"/>
  <c r="AF154" i="1"/>
  <c r="AB154" i="1"/>
  <c r="AJ850" i="1"/>
  <c r="AI850" i="1"/>
  <c r="AH850" i="1"/>
  <c r="AG850" i="1"/>
  <c r="AF850" i="1"/>
  <c r="AB850" i="1"/>
  <c r="AJ1582" i="1"/>
  <c r="AI1582" i="1"/>
  <c r="AH1582" i="1"/>
  <c r="AG1582" i="1"/>
  <c r="AF1582" i="1"/>
  <c r="AB1582" i="1"/>
  <c r="AJ395" i="1"/>
  <c r="AI395" i="1"/>
  <c r="AH395" i="1"/>
  <c r="AG395" i="1"/>
  <c r="AF395" i="1"/>
  <c r="AB395" i="1"/>
  <c r="AJ863" i="1"/>
  <c r="AI863" i="1"/>
  <c r="AH863" i="1"/>
  <c r="AG863" i="1"/>
  <c r="AF863" i="1"/>
  <c r="AB863" i="1"/>
  <c r="AJ1355" i="1"/>
  <c r="AI1355" i="1"/>
  <c r="AH1355" i="1"/>
  <c r="AG1355" i="1"/>
  <c r="AF1355" i="1"/>
  <c r="AB1355" i="1"/>
  <c r="AJ132" i="1"/>
  <c r="AI132" i="1"/>
  <c r="AH132" i="1"/>
  <c r="AG132" i="1"/>
  <c r="AF132" i="1"/>
  <c r="AB132" i="1"/>
  <c r="AJ1308" i="1"/>
  <c r="AI1308" i="1"/>
  <c r="AH1308" i="1"/>
  <c r="AG1308" i="1"/>
  <c r="AF1308" i="1"/>
  <c r="AB1308" i="1"/>
  <c r="AJ176" i="1"/>
  <c r="AI176" i="1"/>
  <c r="AH176" i="1"/>
  <c r="AG176" i="1"/>
  <c r="AF176" i="1"/>
  <c r="AB176" i="1"/>
  <c r="AJ1268" i="1"/>
  <c r="AI1268" i="1"/>
  <c r="AH1268" i="1"/>
  <c r="AG1268" i="1"/>
  <c r="AF1268" i="1"/>
  <c r="AB1268" i="1"/>
  <c r="AJ528" i="1"/>
  <c r="AI528" i="1"/>
  <c r="AH528" i="1"/>
  <c r="AG528" i="1"/>
  <c r="AF528" i="1"/>
  <c r="AB528" i="1"/>
  <c r="AJ1317" i="1"/>
  <c r="AI1317" i="1"/>
  <c r="AH1317" i="1"/>
  <c r="AG1317" i="1"/>
  <c r="AF1317" i="1"/>
  <c r="AB1317" i="1"/>
  <c r="AJ780" i="1"/>
  <c r="AI780" i="1"/>
  <c r="AH780" i="1"/>
  <c r="AG780" i="1"/>
  <c r="AF780" i="1"/>
  <c r="AB780" i="1"/>
  <c r="AJ1668" i="1"/>
  <c r="AI1668" i="1"/>
  <c r="AH1668" i="1"/>
  <c r="AG1668" i="1"/>
  <c r="AF1668" i="1"/>
  <c r="AB1668" i="1"/>
  <c r="AJ1564" i="1"/>
  <c r="AI1564" i="1"/>
  <c r="AH1564" i="1"/>
  <c r="AG1564" i="1"/>
  <c r="AF1564" i="1"/>
  <c r="AB1564" i="1"/>
  <c r="AJ137" i="1"/>
  <c r="AI137" i="1"/>
  <c r="AH137" i="1"/>
  <c r="AG137" i="1"/>
  <c r="AF137" i="1"/>
  <c r="AB137" i="1"/>
  <c r="AJ725" i="1"/>
  <c r="AI725" i="1"/>
  <c r="AH725" i="1"/>
  <c r="AG725" i="1"/>
  <c r="AF725" i="1"/>
  <c r="AB725" i="1"/>
  <c r="AJ1001" i="1"/>
  <c r="AI1001" i="1"/>
  <c r="AH1001" i="1"/>
  <c r="AG1001" i="1"/>
  <c r="AF1001" i="1"/>
  <c r="AB1001" i="1"/>
  <c r="AJ1469" i="1"/>
  <c r="AI1469" i="1"/>
  <c r="AH1469" i="1"/>
  <c r="AG1469" i="1"/>
  <c r="AF1469" i="1"/>
  <c r="AB1469" i="1"/>
  <c r="AE111" i="1"/>
  <c r="AC111" i="1"/>
  <c r="AE303" i="1"/>
  <c r="AC303" i="1"/>
  <c r="AE471" i="1"/>
  <c r="AC471" i="1"/>
  <c r="AE819" i="1"/>
  <c r="AC819" i="1"/>
  <c r="AE1023" i="1"/>
  <c r="AC1023" i="1"/>
  <c r="AE278" i="1"/>
  <c r="AC278" i="1"/>
  <c r="AE938" i="1"/>
  <c r="AC938" i="1"/>
  <c r="AE1166" i="1"/>
  <c r="AC1166" i="1"/>
  <c r="AE1779" i="1"/>
  <c r="AC1779" i="1"/>
  <c r="AE1252" i="1"/>
  <c r="AC1252" i="1"/>
  <c r="AE1600" i="1"/>
  <c r="AC1600" i="1"/>
  <c r="AE1730" i="1"/>
  <c r="AC1730" i="1"/>
  <c r="AE773" i="1"/>
  <c r="AC773" i="1"/>
  <c r="AE917" i="1"/>
  <c r="AC917" i="1"/>
  <c r="AE1061" i="1"/>
  <c r="AC1061" i="1"/>
  <c r="AE1205" i="1"/>
  <c r="AC1205" i="1"/>
  <c r="AE1373" i="1"/>
  <c r="AC1373" i="1"/>
  <c r="AE1529" i="1"/>
  <c r="AC1529" i="1"/>
  <c r="AE1709" i="1"/>
  <c r="AC1709" i="1"/>
  <c r="AE1781" i="1"/>
  <c r="AC1781" i="1"/>
  <c r="AE81" i="1"/>
  <c r="AC81" i="1"/>
  <c r="AE153" i="1"/>
  <c r="AC153" i="1"/>
  <c r="AE249" i="1"/>
  <c r="AC249" i="1"/>
  <c r="AE321" i="1"/>
  <c r="AC321" i="1"/>
  <c r="AE417" i="1"/>
  <c r="AC417" i="1"/>
  <c r="AE525" i="1"/>
  <c r="AC525" i="1"/>
  <c r="AE58" i="1"/>
  <c r="AC58" i="1"/>
  <c r="AE130" i="1"/>
  <c r="AC130" i="1"/>
  <c r="AE202" i="1"/>
  <c r="AC202" i="1"/>
  <c r="AE274" i="1"/>
  <c r="AC274" i="1"/>
  <c r="AE370" i="1"/>
  <c r="AC370" i="1"/>
  <c r="AE454" i="1"/>
  <c r="AC454" i="1"/>
  <c r="AE574" i="1"/>
  <c r="AC574" i="1"/>
  <c r="AE694" i="1"/>
  <c r="AC694" i="1"/>
  <c r="AE838" i="1"/>
  <c r="AC838" i="1"/>
  <c r="AE982" i="1"/>
  <c r="AC982" i="1"/>
  <c r="AE1126" i="1"/>
  <c r="AC1126" i="1"/>
  <c r="AE47" i="1"/>
  <c r="AC47" i="1"/>
  <c r="AE143" i="1"/>
  <c r="AC143" i="1"/>
  <c r="AE227" i="1"/>
  <c r="AC227" i="1"/>
  <c r="AE299" i="1"/>
  <c r="AC299" i="1"/>
  <c r="AE407" i="1"/>
  <c r="AC407" i="1"/>
  <c r="AE573" i="1"/>
  <c r="AC573" i="1"/>
  <c r="AE929" i="1"/>
  <c r="AC929" i="1"/>
  <c r="AE1481" i="1"/>
  <c r="AC1481" i="1"/>
  <c r="AE358" i="1"/>
  <c r="AC358" i="1"/>
  <c r="AE1054" i="1"/>
  <c r="AC1054" i="1"/>
  <c r="AE641" i="1"/>
  <c r="AC641" i="1"/>
  <c r="AE1169" i="1"/>
  <c r="AC1169" i="1"/>
  <c r="AE1685" i="1"/>
  <c r="AC1685" i="1"/>
  <c r="AE718" i="1"/>
  <c r="AC718" i="1"/>
  <c r="AJ1634" i="1"/>
  <c r="AI1634" i="1"/>
  <c r="AG1634" i="1"/>
  <c r="AH1634" i="1"/>
  <c r="AF1634" i="1"/>
  <c r="AB1634" i="1"/>
  <c r="AJ268" i="1"/>
  <c r="AI268" i="1"/>
  <c r="AH268" i="1"/>
  <c r="AG268" i="1"/>
  <c r="AF268" i="1"/>
  <c r="AB268" i="1"/>
  <c r="AJ652" i="1"/>
  <c r="AI652" i="1"/>
  <c r="AH652" i="1"/>
  <c r="AG652" i="1"/>
  <c r="AF652" i="1"/>
  <c r="AB652" i="1"/>
  <c r="AJ952" i="1"/>
  <c r="AI952" i="1"/>
  <c r="AH952" i="1"/>
  <c r="AG952" i="1"/>
  <c r="AF952" i="1"/>
  <c r="AB952" i="1"/>
  <c r="AJ1792" i="1"/>
  <c r="AI1792" i="1"/>
  <c r="AH1792" i="1"/>
  <c r="AG1792" i="1"/>
  <c r="AF1792" i="1"/>
  <c r="AB1792" i="1"/>
  <c r="AJ1241" i="1"/>
  <c r="AI1241" i="1"/>
  <c r="AH1241" i="1"/>
  <c r="AG1241" i="1"/>
  <c r="AF1241" i="1"/>
  <c r="AB1241" i="1"/>
  <c r="AJ99" i="1"/>
  <c r="AI99" i="1"/>
  <c r="AH99" i="1"/>
  <c r="AG99" i="1"/>
  <c r="AF99" i="1"/>
  <c r="AB99" i="1"/>
  <c r="AJ555" i="1"/>
  <c r="AI555" i="1"/>
  <c r="AH555" i="1"/>
  <c r="AG555" i="1"/>
  <c r="AF555" i="1"/>
  <c r="AB555" i="1"/>
  <c r="AJ1647" i="1"/>
  <c r="AI1647" i="1"/>
  <c r="AH1647" i="1"/>
  <c r="AG1647" i="1"/>
  <c r="AF1647" i="1"/>
  <c r="AB1647" i="1"/>
  <c r="AJ341" i="1"/>
  <c r="AI341" i="1"/>
  <c r="AH341" i="1"/>
  <c r="AG341" i="1"/>
  <c r="AF341" i="1"/>
  <c r="AB341" i="1"/>
  <c r="AJ223" i="1"/>
  <c r="AI223" i="1"/>
  <c r="AH223" i="1"/>
  <c r="AG223" i="1"/>
  <c r="AF223" i="1"/>
  <c r="AB223" i="1"/>
  <c r="AJ919" i="1"/>
  <c r="AI919" i="1"/>
  <c r="AH919" i="1"/>
  <c r="AG919" i="1"/>
  <c r="AF919" i="1"/>
  <c r="AB919" i="1"/>
  <c r="AJ1723" i="1"/>
  <c r="AI1723" i="1"/>
  <c r="AH1723" i="1"/>
  <c r="AG1723" i="1"/>
  <c r="AF1723" i="1"/>
  <c r="AB1723" i="1"/>
  <c r="AJ1383" i="1"/>
  <c r="AI1383" i="1"/>
  <c r="AH1383" i="1"/>
  <c r="AG1383" i="1"/>
  <c r="AF1383" i="1"/>
  <c r="AB1383" i="1"/>
  <c r="AJ1589" i="1"/>
  <c r="AI1589" i="1"/>
  <c r="AH1589" i="1"/>
  <c r="AG1589" i="1"/>
  <c r="AF1589" i="1"/>
  <c r="AB1589" i="1"/>
  <c r="AJ261" i="1"/>
  <c r="AI261" i="1"/>
  <c r="AH261" i="1"/>
  <c r="AG261" i="1"/>
  <c r="AF261" i="1"/>
  <c r="AB261" i="1"/>
  <c r="AJ1408" i="1"/>
  <c r="AI1408" i="1"/>
  <c r="AH1408" i="1"/>
  <c r="AG1408" i="1"/>
  <c r="AF1408" i="1"/>
  <c r="AB1408" i="1"/>
  <c r="AJ913" i="1"/>
  <c r="AI913" i="1"/>
  <c r="AG913" i="1"/>
  <c r="AH913" i="1"/>
  <c r="AF913" i="1"/>
  <c r="AB913" i="1"/>
  <c r="AJ1201" i="1"/>
  <c r="AI1201" i="1"/>
  <c r="AH1201" i="1"/>
  <c r="AG1201" i="1"/>
  <c r="AF1201" i="1"/>
  <c r="AB1201" i="1"/>
  <c r="AJ1489" i="1"/>
  <c r="AI1489" i="1"/>
  <c r="AH1489" i="1"/>
  <c r="AG1489" i="1"/>
  <c r="AF1489" i="1"/>
  <c r="AB1489" i="1"/>
  <c r="AJ570" i="1"/>
  <c r="AI570" i="1"/>
  <c r="AH570" i="1"/>
  <c r="AG570" i="1"/>
  <c r="AF570" i="1"/>
  <c r="AB570" i="1"/>
  <c r="AJ1017" i="1"/>
  <c r="AI1017" i="1"/>
  <c r="AH1017" i="1"/>
  <c r="AF1017" i="1"/>
  <c r="AG1017" i="1"/>
  <c r="AB1017" i="1"/>
  <c r="AJ1726" i="1"/>
  <c r="AI1726" i="1"/>
  <c r="AH1726" i="1"/>
  <c r="AG1726" i="1"/>
  <c r="AF1726" i="1"/>
  <c r="AB1726" i="1"/>
  <c r="AJ1788" i="1"/>
  <c r="AI1788" i="1"/>
  <c r="AG1788" i="1"/>
  <c r="AH1788" i="1"/>
  <c r="AF1788" i="1"/>
  <c r="AB1788" i="1"/>
  <c r="AJ1302" i="1"/>
  <c r="AI1302" i="1"/>
  <c r="AH1302" i="1"/>
  <c r="AG1302" i="1"/>
  <c r="AF1302" i="1"/>
  <c r="AB1302" i="1"/>
  <c r="AJ502" i="1"/>
  <c r="AI502" i="1"/>
  <c r="AH502" i="1"/>
  <c r="AG502" i="1"/>
  <c r="AF502" i="1"/>
  <c r="AB502" i="1"/>
  <c r="AJ1008" i="1"/>
  <c r="AI1008" i="1"/>
  <c r="AH1008" i="1"/>
  <c r="AG1008" i="1"/>
  <c r="AF1008" i="1"/>
  <c r="AB1008" i="1"/>
  <c r="AJ858" i="1"/>
  <c r="AI858" i="1"/>
  <c r="AH858" i="1"/>
  <c r="AG858" i="1"/>
  <c r="AF858" i="1"/>
  <c r="AB858" i="1"/>
  <c r="AJ501" i="1"/>
  <c r="AI501" i="1"/>
  <c r="AH501" i="1"/>
  <c r="AF501" i="1"/>
  <c r="AG501" i="1"/>
  <c r="AB501" i="1"/>
  <c r="AJ1473" i="1"/>
  <c r="AI1473" i="1"/>
  <c r="AH1473" i="1"/>
  <c r="AG1473" i="1"/>
  <c r="AF1473" i="1"/>
  <c r="AB1473" i="1"/>
  <c r="AJ947" i="1"/>
  <c r="AI947" i="1"/>
  <c r="AH947" i="1"/>
  <c r="AG947" i="1"/>
  <c r="AF947" i="1"/>
  <c r="AB947" i="1"/>
  <c r="AJ1230" i="1"/>
  <c r="AI1230" i="1"/>
  <c r="AH1230" i="1"/>
  <c r="AG1230" i="1"/>
  <c r="AF1230" i="1"/>
  <c r="AB1230" i="1"/>
  <c r="AJ1581" i="1"/>
  <c r="AI1581" i="1"/>
  <c r="AH1581" i="1"/>
  <c r="AG1581" i="1"/>
  <c r="AF1581" i="1"/>
  <c r="AB1581" i="1"/>
  <c r="AJ923" i="1"/>
  <c r="AI923" i="1"/>
  <c r="AH923" i="1"/>
  <c r="AG923" i="1"/>
  <c r="AF923" i="1"/>
  <c r="AB923" i="1"/>
  <c r="AJ1512" i="1"/>
  <c r="AI1512" i="1"/>
  <c r="AH1512" i="1"/>
  <c r="AG1512" i="1"/>
  <c r="AF1512" i="1"/>
  <c r="AB1512" i="1"/>
  <c r="AJ598" i="1"/>
  <c r="AI598" i="1"/>
  <c r="AH598" i="1"/>
  <c r="AG598" i="1"/>
  <c r="AF598" i="1"/>
  <c r="AB598" i="1"/>
  <c r="AJ1151" i="1"/>
  <c r="AI1151" i="1"/>
  <c r="AH1151" i="1"/>
  <c r="AG1151" i="1"/>
  <c r="AF1151" i="1"/>
  <c r="AB1151" i="1"/>
  <c r="AJ1596" i="1"/>
  <c r="AI1596" i="1"/>
  <c r="AH1596" i="1"/>
  <c r="AG1596" i="1"/>
  <c r="AF1596" i="1"/>
  <c r="AB1596" i="1"/>
  <c r="AI893" i="1"/>
  <c r="AJ893" i="1"/>
  <c r="AH893" i="1"/>
  <c r="AG893" i="1"/>
  <c r="AF893" i="1"/>
  <c r="AB893" i="1"/>
  <c r="AE423" i="1"/>
  <c r="AC423" i="1"/>
  <c r="AE878" i="1"/>
  <c r="AC878" i="1"/>
  <c r="AE1492" i="1"/>
  <c r="AC1492" i="1"/>
  <c r="AE869" i="1"/>
  <c r="AC869" i="1"/>
  <c r="AE1661" i="1"/>
  <c r="AC1661" i="1"/>
  <c r="AE45" i="1"/>
  <c r="AC45" i="1"/>
  <c r="AE381" i="1"/>
  <c r="AC381" i="1"/>
  <c r="AE106" i="1"/>
  <c r="AC106" i="1"/>
  <c r="AE526" i="1"/>
  <c r="AC526" i="1"/>
  <c r="AE1078" i="1"/>
  <c r="AC1078" i="1"/>
  <c r="AE479" i="1"/>
  <c r="AC479" i="1"/>
  <c r="AJ266" i="1"/>
  <c r="AI266" i="1"/>
  <c r="AH266" i="1"/>
  <c r="AG266" i="1"/>
  <c r="AF266" i="1"/>
  <c r="AB266" i="1"/>
  <c r="AJ614" i="1"/>
  <c r="AI614" i="1"/>
  <c r="AH614" i="1"/>
  <c r="AG614" i="1"/>
  <c r="AF614" i="1"/>
  <c r="AB614" i="1"/>
  <c r="AJ1562" i="1"/>
  <c r="AI1562" i="1"/>
  <c r="AG1562" i="1"/>
  <c r="AH1562" i="1"/>
  <c r="AF1562" i="1"/>
  <c r="AB1562" i="1"/>
  <c r="AJ124" i="1"/>
  <c r="AI124" i="1"/>
  <c r="AH124" i="1"/>
  <c r="AG124" i="1"/>
  <c r="AF124" i="1"/>
  <c r="AB124" i="1"/>
  <c r="AJ280" i="1"/>
  <c r="AI280" i="1"/>
  <c r="AH280" i="1"/>
  <c r="AG280" i="1"/>
  <c r="AF280" i="1"/>
  <c r="AB280" i="1"/>
  <c r="AJ484" i="1"/>
  <c r="AI484" i="1"/>
  <c r="AH484" i="1"/>
  <c r="AG484" i="1"/>
  <c r="AF484" i="1"/>
  <c r="AB484" i="1"/>
  <c r="Z530" i="1"/>
  <c r="AD530" i="1"/>
  <c r="AJ998" i="1"/>
  <c r="AI998" i="1"/>
  <c r="AH998" i="1"/>
  <c r="AG998" i="1"/>
  <c r="AF998" i="1"/>
  <c r="AB998" i="1"/>
  <c r="AJ1178" i="1"/>
  <c r="AI1178" i="1"/>
  <c r="AH1178" i="1"/>
  <c r="AG1178" i="1"/>
  <c r="AF1178" i="1"/>
  <c r="AB1178" i="1"/>
  <c r="AJ1370" i="1"/>
  <c r="AI1370" i="1"/>
  <c r="AH1370" i="1"/>
  <c r="AG1370" i="1"/>
  <c r="AF1370" i="1"/>
  <c r="AB1370" i="1"/>
  <c r="AJ1790" i="1"/>
  <c r="AI1790" i="1"/>
  <c r="AH1790" i="1"/>
  <c r="AG1790" i="1"/>
  <c r="AF1790" i="1"/>
  <c r="AB1790" i="1"/>
  <c r="AJ520" i="1"/>
  <c r="AI520" i="1"/>
  <c r="AH520" i="1"/>
  <c r="AG520" i="1"/>
  <c r="AF520" i="1"/>
  <c r="AB520" i="1"/>
  <c r="AJ676" i="1"/>
  <c r="AI676" i="1"/>
  <c r="AG676" i="1"/>
  <c r="AH676" i="1"/>
  <c r="AF676" i="1"/>
  <c r="AB676" i="1"/>
  <c r="AJ904" i="1"/>
  <c r="AI904" i="1"/>
  <c r="AH904" i="1"/>
  <c r="AG904" i="1"/>
  <c r="AF904" i="1"/>
  <c r="AB904" i="1"/>
  <c r="AJ1060" i="1"/>
  <c r="AI1060" i="1"/>
  <c r="AH1060" i="1"/>
  <c r="AG1060" i="1"/>
  <c r="AF1060" i="1"/>
  <c r="AB1060" i="1"/>
  <c r="AJ1372" i="1"/>
  <c r="AI1372" i="1"/>
  <c r="AH1372" i="1"/>
  <c r="AG1372" i="1"/>
  <c r="AF1372" i="1"/>
  <c r="AB1372" i="1"/>
  <c r="AJ1612" i="1"/>
  <c r="AI1612" i="1"/>
  <c r="AH1612" i="1"/>
  <c r="AG1612" i="1"/>
  <c r="AF1612" i="1"/>
  <c r="AB1612" i="1"/>
  <c r="AJ197" i="1"/>
  <c r="AI197" i="1"/>
  <c r="AH197" i="1"/>
  <c r="AG197" i="1"/>
  <c r="AF197" i="1"/>
  <c r="AB197" i="1"/>
  <c r="AJ135" i="1"/>
  <c r="AI135" i="1"/>
  <c r="AH135" i="1"/>
  <c r="AG135" i="1"/>
  <c r="AF135" i="1"/>
  <c r="AB135" i="1"/>
  <c r="AJ507" i="1"/>
  <c r="AI507" i="1"/>
  <c r="AH507" i="1"/>
  <c r="AG507" i="1"/>
  <c r="AF507" i="1"/>
  <c r="AB507" i="1"/>
  <c r="AJ651" i="1"/>
  <c r="AI651" i="1"/>
  <c r="AH651" i="1"/>
  <c r="AG651" i="1"/>
  <c r="AF651" i="1"/>
  <c r="AB651" i="1"/>
  <c r="AJ1119" i="1"/>
  <c r="AI1119" i="1"/>
  <c r="AH1119" i="1"/>
  <c r="AG1119" i="1"/>
  <c r="AF1119" i="1"/>
  <c r="AB1119" i="1"/>
  <c r="AJ1743" i="1"/>
  <c r="AI1743" i="1"/>
  <c r="AH1743" i="1"/>
  <c r="AG1743" i="1"/>
  <c r="AF1743" i="1"/>
  <c r="AB1743" i="1"/>
  <c r="AJ1517" i="1"/>
  <c r="AI1517" i="1"/>
  <c r="AH1517" i="1"/>
  <c r="AG1517" i="1"/>
  <c r="AF1517" i="1"/>
  <c r="AB1517" i="1"/>
  <c r="AJ1457" i="1"/>
  <c r="AI1457" i="1"/>
  <c r="AH1457" i="1"/>
  <c r="AG1457" i="1"/>
  <c r="AF1457" i="1"/>
  <c r="AB1457" i="1"/>
  <c r="AJ233" i="1"/>
  <c r="AI233" i="1"/>
  <c r="AH233" i="1"/>
  <c r="AG233" i="1"/>
  <c r="AF233" i="1"/>
  <c r="AB233" i="1"/>
  <c r="AJ737" i="1"/>
  <c r="AI737" i="1"/>
  <c r="AH737" i="1"/>
  <c r="AG737" i="1"/>
  <c r="AF737" i="1"/>
  <c r="AB737" i="1"/>
  <c r="AJ487" i="1"/>
  <c r="AI487" i="1"/>
  <c r="AH487" i="1"/>
  <c r="AG487" i="1"/>
  <c r="AF487" i="1"/>
  <c r="AB487" i="1"/>
  <c r="AJ1291" i="1"/>
  <c r="AI1291" i="1"/>
  <c r="AH1291" i="1"/>
  <c r="AG1291" i="1"/>
  <c r="AF1291" i="1"/>
  <c r="AB1291" i="1"/>
  <c r="AJ104" i="1"/>
  <c r="AI104" i="1"/>
  <c r="AH104" i="1"/>
  <c r="AG104" i="1"/>
  <c r="AF104" i="1"/>
  <c r="AB104" i="1"/>
  <c r="AJ357" i="1"/>
  <c r="AI357" i="1"/>
  <c r="AH357" i="1"/>
  <c r="AG357" i="1"/>
  <c r="AF357" i="1"/>
  <c r="AB357" i="1"/>
  <c r="Z725" i="1"/>
  <c r="AD725" i="1"/>
  <c r="AJ721" i="1"/>
  <c r="AI721" i="1"/>
  <c r="AG721" i="1"/>
  <c r="AH721" i="1"/>
  <c r="AF721" i="1"/>
  <c r="AB721" i="1"/>
  <c r="AJ1369" i="1"/>
  <c r="AI1369" i="1"/>
  <c r="AH1369" i="1"/>
  <c r="AG1369" i="1"/>
  <c r="AF1369" i="1"/>
  <c r="AB1369" i="1"/>
  <c r="AJ1750" i="1"/>
  <c r="AI1750" i="1"/>
  <c r="AH1750" i="1"/>
  <c r="AG1750" i="1"/>
  <c r="AF1750" i="1"/>
  <c r="AB1750" i="1"/>
  <c r="AJ1770" i="1"/>
  <c r="AI1770" i="1"/>
  <c r="AH1770" i="1"/>
  <c r="AG1770" i="1"/>
  <c r="AF1770" i="1"/>
  <c r="AB1770" i="1"/>
  <c r="AJ646" i="1"/>
  <c r="AI646" i="1"/>
  <c r="AH646" i="1"/>
  <c r="AG646" i="1"/>
  <c r="AF646" i="1"/>
  <c r="AB646" i="1"/>
  <c r="AJ1427" i="1"/>
  <c r="AI1427" i="1"/>
  <c r="AH1427" i="1"/>
  <c r="AG1427" i="1"/>
  <c r="AF1427" i="1"/>
  <c r="AB1427" i="1"/>
  <c r="AJ126" i="1"/>
  <c r="AI126" i="1"/>
  <c r="AH126" i="1"/>
  <c r="AG126" i="1"/>
  <c r="AF126" i="1"/>
  <c r="AB126" i="1"/>
  <c r="AJ1074" i="1"/>
  <c r="AI1074" i="1"/>
  <c r="AH1074" i="1"/>
  <c r="AG1074" i="1"/>
  <c r="AF1074" i="1"/>
  <c r="AB1074" i="1"/>
  <c r="AJ694" i="1"/>
  <c r="AI694" i="1"/>
  <c r="AH694" i="1"/>
  <c r="AG694" i="1"/>
  <c r="AF694" i="1"/>
  <c r="AB694" i="1"/>
  <c r="AJ612" i="1"/>
  <c r="AI612" i="1"/>
  <c r="AH612" i="1"/>
  <c r="AG612" i="1"/>
  <c r="AF612" i="1"/>
  <c r="AB612" i="1"/>
  <c r="AJ42" i="1"/>
  <c r="AI42" i="1"/>
  <c r="AH42" i="1"/>
  <c r="AG42" i="1"/>
  <c r="AF42" i="1"/>
  <c r="AB42" i="1"/>
  <c r="AJ702" i="1"/>
  <c r="AI702" i="1"/>
  <c r="AH702" i="1"/>
  <c r="AG702" i="1"/>
  <c r="AF702" i="1"/>
  <c r="AB702" i="1"/>
  <c r="AJ1386" i="1"/>
  <c r="AI1386" i="1"/>
  <c r="AH1386" i="1"/>
  <c r="AG1386" i="1"/>
  <c r="AF1386" i="1"/>
  <c r="AB1386" i="1"/>
  <c r="AJ729" i="1"/>
  <c r="AI729" i="1"/>
  <c r="AH729" i="1"/>
  <c r="AF729" i="1"/>
  <c r="AG729" i="1"/>
  <c r="AB729" i="1"/>
  <c r="AJ90" i="1"/>
  <c r="AI90" i="1"/>
  <c r="AH90" i="1"/>
  <c r="AG90" i="1"/>
  <c r="AF90" i="1"/>
  <c r="AB90" i="1"/>
  <c r="AI713" i="1"/>
  <c r="AJ713" i="1"/>
  <c r="AH713" i="1"/>
  <c r="AG713" i="1"/>
  <c r="AF713" i="1"/>
  <c r="AB713" i="1"/>
  <c r="Z1010" i="1"/>
  <c r="AD1010" i="1"/>
  <c r="AJ38" i="1"/>
  <c r="AI38" i="1"/>
  <c r="AH38" i="1"/>
  <c r="AG38" i="1"/>
  <c r="AF38" i="1"/>
  <c r="AB38" i="1"/>
  <c r="AJ194" i="1"/>
  <c r="AI194" i="1"/>
  <c r="AH194" i="1"/>
  <c r="AG194" i="1"/>
  <c r="AF194" i="1"/>
  <c r="AB194" i="1"/>
  <c r="AJ362" i="1"/>
  <c r="AI362" i="1"/>
  <c r="AH362" i="1"/>
  <c r="AG362" i="1"/>
  <c r="AF362" i="1"/>
  <c r="AB362" i="1"/>
  <c r="AJ446" i="1"/>
  <c r="AI446" i="1"/>
  <c r="AH446" i="1"/>
  <c r="AG446" i="1"/>
  <c r="AF446" i="1"/>
  <c r="AB446" i="1"/>
  <c r="AJ722" i="1"/>
  <c r="AI722" i="1"/>
  <c r="AH722" i="1"/>
  <c r="AG722" i="1"/>
  <c r="AF722" i="1"/>
  <c r="AB722" i="1"/>
  <c r="AJ806" i="1"/>
  <c r="AI806" i="1"/>
  <c r="AH806" i="1"/>
  <c r="AG806" i="1"/>
  <c r="AF806" i="1"/>
  <c r="AB806" i="1"/>
  <c r="AJ902" i="1"/>
  <c r="AI902" i="1"/>
  <c r="AG902" i="1"/>
  <c r="AH902" i="1"/>
  <c r="AF902" i="1"/>
  <c r="AB902" i="1"/>
  <c r="AJ1010" i="1"/>
  <c r="AI1010" i="1"/>
  <c r="AH1010" i="1"/>
  <c r="AG1010" i="1"/>
  <c r="AF1010" i="1"/>
  <c r="AB1010" i="1"/>
  <c r="AJ1382" i="1"/>
  <c r="AI1382" i="1"/>
  <c r="AH1382" i="1"/>
  <c r="AG1382" i="1"/>
  <c r="AF1382" i="1"/>
  <c r="AB1382" i="1"/>
  <c r="AJ1490" i="1"/>
  <c r="AI1490" i="1"/>
  <c r="AH1490" i="1"/>
  <c r="AG1490" i="1"/>
  <c r="AF1490" i="1"/>
  <c r="AB1490" i="1"/>
  <c r="AJ1574" i="1"/>
  <c r="AI1574" i="1"/>
  <c r="AG1574" i="1"/>
  <c r="AH1574" i="1"/>
  <c r="AF1574" i="1"/>
  <c r="AB1574" i="1"/>
  <c r="AI64" i="1"/>
  <c r="AJ64" i="1"/>
  <c r="AH64" i="1"/>
  <c r="AG64" i="1"/>
  <c r="AF64" i="1"/>
  <c r="AB64" i="1"/>
  <c r="AJ136" i="1"/>
  <c r="AI136" i="1"/>
  <c r="AH136" i="1"/>
  <c r="AG136" i="1"/>
  <c r="AF136" i="1"/>
  <c r="AB136" i="1"/>
  <c r="AJ292" i="1"/>
  <c r="AI292" i="1"/>
  <c r="AH292" i="1"/>
  <c r="AG292" i="1"/>
  <c r="AF292" i="1"/>
  <c r="AB292" i="1"/>
  <c r="AJ364" i="1"/>
  <c r="AI364" i="1"/>
  <c r="AH364" i="1"/>
  <c r="AG364" i="1"/>
  <c r="AF364" i="1"/>
  <c r="AB364" i="1"/>
  <c r="AJ436" i="1"/>
  <c r="AI436" i="1"/>
  <c r="AH436" i="1"/>
  <c r="AG436" i="1"/>
  <c r="AF436" i="1"/>
  <c r="AB436" i="1"/>
  <c r="AJ592" i="1"/>
  <c r="AI592" i="1"/>
  <c r="AH592" i="1"/>
  <c r="AG592" i="1"/>
  <c r="AF592" i="1"/>
  <c r="AB592" i="1"/>
  <c r="AJ988" i="1"/>
  <c r="AI988" i="1"/>
  <c r="AH988" i="1"/>
  <c r="AG988" i="1"/>
  <c r="AF988" i="1"/>
  <c r="AB988" i="1"/>
  <c r="AJ1168" i="1"/>
  <c r="AI1168" i="1"/>
  <c r="AH1168" i="1"/>
  <c r="AG1168" i="1"/>
  <c r="AF1168" i="1"/>
  <c r="AB1168" i="1"/>
  <c r="AJ1276" i="1"/>
  <c r="AI1276" i="1"/>
  <c r="AH1276" i="1"/>
  <c r="AG1276" i="1"/>
  <c r="AF1276" i="1"/>
  <c r="AB1276" i="1"/>
  <c r="AJ1384" i="1"/>
  <c r="AI1384" i="1"/>
  <c r="AH1384" i="1"/>
  <c r="AG1384" i="1"/>
  <c r="AF1384" i="1"/>
  <c r="AB1384" i="1"/>
  <c r="AJ1480" i="1"/>
  <c r="AI1480" i="1"/>
  <c r="AH1480" i="1"/>
  <c r="AG1480" i="1"/>
  <c r="AF1480" i="1"/>
  <c r="AB1480" i="1"/>
  <c r="AJ1732" i="1"/>
  <c r="AI1732" i="1"/>
  <c r="AH1732" i="1"/>
  <c r="AG1732" i="1"/>
  <c r="AF1732" i="1"/>
  <c r="AB1732" i="1"/>
  <c r="AJ1097" i="1"/>
  <c r="AI1097" i="1"/>
  <c r="AH1097" i="1"/>
  <c r="AG1097" i="1"/>
  <c r="AF1097" i="1"/>
  <c r="AB1097" i="1"/>
  <c r="AJ1385" i="1"/>
  <c r="AI1385" i="1"/>
  <c r="AH1385" i="1"/>
  <c r="AG1385" i="1"/>
  <c r="AF1385" i="1"/>
  <c r="AB1385" i="1"/>
  <c r="AJ1685" i="1"/>
  <c r="AI1685" i="1"/>
  <c r="AH1685" i="1"/>
  <c r="AG1685" i="1"/>
  <c r="AF1685" i="1"/>
  <c r="AB1685" i="1"/>
  <c r="Z881" i="1"/>
  <c r="AD881" i="1"/>
  <c r="AJ747" i="1"/>
  <c r="AI747" i="1"/>
  <c r="AH747" i="1"/>
  <c r="AG747" i="1"/>
  <c r="AF747" i="1"/>
  <c r="AB747" i="1"/>
  <c r="AJ831" i="1"/>
  <c r="AI831" i="1"/>
  <c r="AH831" i="1"/>
  <c r="AG831" i="1"/>
  <c r="AF831" i="1"/>
  <c r="AB831" i="1"/>
  <c r="AJ1047" i="1"/>
  <c r="AI1047" i="1"/>
  <c r="AH1047" i="1"/>
  <c r="AG1047" i="1"/>
  <c r="AF1047" i="1"/>
  <c r="AB1047" i="1"/>
  <c r="AJ1347" i="1"/>
  <c r="AI1347" i="1"/>
  <c r="AH1347" i="1"/>
  <c r="AF1347" i="1"/>
  <c r="AG1347" i="1"/>
  <c r="AB1347" i="1"/>
  <c r="AJ1515" i="1"/>
  <c r="AI1515" i="1"/>
  <c r="AH1515" i="1"/>
  <c r="AG1515" i="1"/>
  <c r="AF1515" i="1"/>
  <c r="AB1515" i="1"/>
  <c r="AJ1587" i="1"/>
  <c r="AI1587" i="1"/>
  <c r="AH1587" i="1"/>
  <c r="AF1587" i="1"/>
  <c r="AG1587" i="1"/>
  <c r="AB1587" i="1"/>
  <c r="AJ1671" i="1"/>
  <c r="AI1671" i="1"/>
  <c r="AH1671" i="1"/>
  <c r="AG1671" i="1"/>
  <c r="AF1671" i="1"/>
  <c r="AB1671" i="1"/>
  <c r="AJ1133" i="1"/>
  <c r="AI1133" i="1"/>
  <c r="AH1133" i="1"/>
  <c r="AG1133" i="1"/>
  <c r="AF1133" i="1"/>
  <c r="AB1133" i="1"/>
  <c r="AJ1769" i="1"/>
  <c r="AI1769" i="1"/>
  <c r="AH1769" i="1"/>
  <c r="AG1769" i="1"/>
  <c r="AF1769" i="1"/>
  <c r="AB1769" i="1"/>
  <c r="AJ665" i="1"/>
  <c r="AI665" i="1"/>
  <c r="AH665" i="1"/>
  <c r="AG665" i="1"/>
  <c r="AF665" i="1"/>
  <c r="AB665" i="1"/>
  <c r="AJ1121" i="1"/>
  <c r="AI1121" i="1"/>
  <c r="AH1121" i="1"/>
  <c r="AG1121" i="1"/>
  <c r="AF1121" i="1"/>
  <c r="AB1121" i="1"/>
  <c r="AJ332" i="1"/>
  <c r="AI332" i="1"/>
  <c r="AH332" i="1"/>
  <c r="AF332" i="1"/>
  <c r="AG332" i="1"/>
  <c r="AB332" i="1"/>
  <c r="Z1493" i="1"/>
  <c r="AD1493" i="1"/>
  <c r="AJ1349" i="1"/>
  <c r="AI1349" i="1"/>
  <c r="AH1349" i="1"/>
  <c r="AG1349" i="1"/>
  <c r="AF1349" i="1"/>
  <c r="AB1349" i="1"/>
  <c r="AJ1359" i="1"/>
  <c r="AI1359" i="1"/>
  <c r="AH1359" i="1"/>
  <c r="AG1359" i="1"/>
  <c r="AF1359" i="1"/>
  <c r="AB1359" i="1"/>
  <c r="Z1600" i="1"/>
  <c r="AD1600" i="1"/>
  <c r="AJ7" i="1"/>
  <c r="AI7" i="1"/>
  <c r="AH7" i="1"/>
  <c r="AG7" i="1"/>
  <c r="AF7" i="1"/>
  <c r="AB7" i="1"/>
  <c r="AJ175" i="1"/>
  <c r="AI175" i="1"/>
  <c r="AH175" i="1"/>
  <c r="AG175" i="1"/>
  <c r="AF175" i="1"/>
  <c r="AB175" i="1"/>
  <c r="AJ259" i="1"/>
  <c r="AI259" i="1"/>
  <c r="AH259" i="1"/>
  <c r="AG259" i="1"/>
  <c r="AF259" i="1"/>
  <c r="AB259" i="1"/>
  <c r="AJ331" i="1"/>
  <c r="AI331" i="1"/>
  <c r="AH331" i="1"/>
  <c r="AG331" i="1"/>
  <c r="AF331" i="1"/>
  <c r="AB331" i="1"/>
  <c r="AJ403" i="1"/>
  <c r="AI403" i="1"/>
  <c r="AH403" i="1"/>
  <c r="AG403" i="1"/>
  <c r="AF403" i="1"/>
  <c r="AB403" i="1"/>
  <c r="AJ583" i="1"/>
  <c r="AI583" i="1"/>
  <c r="AH583" i="1"/>
  <c r="AG583" i="1"/>
  <c r="AF583" i="1"/>
  <c r="AB583" i="1"/>
  <c r="AJ763" i="1"/>
  <c r="AI763" i="1"/>
  <c r="AH763" i="1"/>
  <c r="AG763" i="1"/>
  <c r="AF763" i="1"/>
  <c r="AB763" i="1"/>
  <c r="AJ955" i="1"/>
  <c r="AI955" i="1"/>
  <c r="AH955" i="1"/>
  <c r="AG955" i="1"/>
  <c r="AF955" i="1"/>
  <c r="AB955" i="1"/>
  <c r="AJ1027" i="1"/>
  <c r="AI1027" i="1"/>
  <c r="AH1027" i="1"/>
  <c r="AG1027" i="1"/>
  <c r="AF1027" i="1"/>
  <c r="AB1027" i="1"/>
  <c r="AJ1303" i="1"/>
  <c r="AI1303" i="1"/>
  <c r="AH1303" i="1"/>
  <c r="AG1303" i="1"/>
  <c r="AF1303" i="1"/>
  <c r="AB1303" i="1"/>
  <c r="AJ1471" i="1"/>
  <c r="AI1471" i="1"/>
  <c r="AH1471" i="1"/>
  <c r="AG1471" i="1"/>
  <c r="AF1471" i="1"/>
  <c r="AB1471" i="1"/>
  <c r="AJ1567" i="1"/>
  <c r="AI1567" i="1"/>
  <c r="AH1567" i="1"/>
  <c r="AG1567" i="1"/>
  <c r="AF1567" i="1"/>
  <c r="AB1567" i="1"/>
  <c r="AJ1651" i="1"/>
  <c r="AI1651" i="1"/>
  <c r="AH1651" i="1"/>
  <c r="AG1651" i="1"/>
  <c r="AF1651" i="1"/>
  <c r="AB1651" i="1"/>
  <c r="AJ296" i="1"/>
  <c r="AI296" i="1"/>
  <c r="AH296" i="1"/>
  <c r="AG296" i="1"/>
  <c r="AF296" i="1"/>
  <c r="AB296" i="1"/>
  <c r="AJ392" i="1"/>
  <c r="AI392" i="1"/>
  <c r="AH392" i="1"/>
  <c r="AG392" i="1"/>
  <c r="AF392" i="1"/>
  <c r="AB392" i="1"/>
  <c r="Z471" i="1"/>
  <c r="AD471" i="1"/>
  <c r="AJ164" i="1"/>
  <c r="AI164" i="1"/>
  <c r="AH164" i="1"/>
  <c r="AF164" i="1"/>
  <c r="AG164" i="1"/>
  <c r="AB164" i="1"/>
  <c r="AJ524" i="1"/>
  <c r="AI524" i="1"/>
  <c r="AH524" i="1"/>
  <c r="AG524" i="1"/>
  <c r="AF524" i="1"/>
  <c r="AB524" i="1"/>
  <c r="AJ33" i="1"/>
  <c r="AI33" i="1"/>
  <c r="AH33" i="1"/>
  <c r="AF33" i="1"/>
  <c r="AG33" i="1"/>
  <c r="AB33" i="1"/>
  <c r="Z45" i="1"/>
  <c r="AD45" i="1"/>
  <c r="Z773" i="1"/>
  <c r="AD773" i="1"/>
  <c r="Z1768" i="1"/>
  <c r="AD1768" i="1"/>
  <c r="AJ73" i="1"/>
  <c r="AI73" i="1"/>
  <c r="AH73" i="1"/>
  <c r="AG73" i="1"/>
  <c r="AF73" i="1"/>
  <c r="AB73" i="1"/>
  <c r="AJ145" i="1"/>
  <c r="AI145" i="1"/>
  <c r="AH145" i="1"/>
  <c r="AG145" i="1"/>
  <c r="AF145" i="1"/>
  <c r="AB145" i="1"/>
  <c r="AJ217" i="1"/>
  <c r="AI217" i="1"/>
  <c r="AH217" i="1"/>
  <c r="AG217" i="1"/>
  <c r="AF217" i="1"/>
  <c r="AB217" i="1"/>
  <c r="AJ289" i="1"/>
  <c r="AI289" i="1"/>
  <c r="AH289" i="1"/>
  <c r="AG289" i="1"/>
  <c r="AF289" i="1"/>
  <c r="AB289" i="1"/>
  <c r="AJ361" i="1"/>
  <c r="AI361" i="1"/>
  <c r="AH361" i="1"/>
  <c r="AG361" i="1"/>
  <c r="AF361" i="1"/>
  <c r="AB361" i="1"/>
  <c r="AJ433" i="1"/>
  <c r="AI433" i="1"/>
  <c r="AH433" i="1"/>
  <c r="AG433" i="1"/>
  <c r="AF433" i="1"/>
  <c r="AB433" i="1"/>
  <c r="AJ505" i="1"/>
  <c r="AI505" i="1"/>
  <c r="AH505" i="1"/>
  <c r="AG505" i="1"/>
  <c r="AF505" i="1"/>
  <c r="AB505" i="1"/>
  <c r="AJ577" i="1"/>
  <c r="AI577" i="1"/>
  <c r="AH577" i="1"/>
  <c r="AG577" i="1"/>
  <c r="AF577" i="1"/>
  <c r="AB577" i="1"/>
  <c r="AJ649" i="1"/>
  <c r="AI649" i="1"/>
  <c r="AH649" i="1"/>
  <c r="AG649" i="1"/>
  <c r="AF649" i="1"/>
  <c r="AB649" i="1"/>
  <c r="AJ865" i="1"/>
  <c r="AI865" i="1"/>
  <c r="AG865" i="1"/>
  <c r="AH865" i="1"/>
  <c r="AF865" i="1"/>
  <c r="AB865" i="1"/>
  <c r="AJ937" i="1"/>
  <c r="AI937" i="1"/>
  <c r="AG937" i="1"/>
  <c r="AH937" i="1"/>
  <c r="AF937" i="1"/>
  <c r="AB937" i="1"/>
  <c r="AJ1009" i="1"/>
  <c r="AI1009" i="1"/>
  <c r="AH1009" i="1"/>
  <c r="AG1009" i="1"/>
  <c r="AF1009" i="1"/>
  <c r="AB1009" i="1"/>
  <c r="AJ1081" i="1"/>
  <c r="AI1081" i="1"/>
  <c r="AH1081" i="1"/>
  <c r="AG1081" i="1"/>
  <c r="AF1081" i="1"/>
  <c r="AB1081" i="1"/>
  <c r="AJ1153" i="1"/>
  <c r="AI1153" i="1"/>
  <c r="AH1153" i="1"/>
  <c r="AG1153" i="1"/>
  <c r="AF1153" i="1"/>
  <c r="AB1153" i="1"/>
  <c r="AJ1297" i="1"/>
  <c r="AI1297" i="1"/>
  <c r="AH1297" i="1"/>
  <c r="AG1297" i="1"/>
  <c r="AF1297" i="1"/>
  <c r="AB1297" i="1"/>
  <c r="AJ1585" i="1"/>
  <c r="AI1585" i="1"/>
  <c r="AH1585" i="1"/>
  <c r="AG1585" i="1"/>
  <c r="AF1585" i="1"/>
  <c r="AB1585" i="1"/>
  <c r="AJ1657" i="1"/>
  <c r="AI1657" i="1"/>
  <c r="AH1657" i="1"/>
  <c r="AG1657" i="1"/>
  <c r="AF1657" i="1"/>
  <c r="AB1657" i="1"/>
  <c r="AJ1729" i="1"/>
  <c r="AI1729" i="1"/>
  <c r="AG1729" i="1"/>
  <c r="AH1729" i="1"/>
  <c r="AF1729" i="1"/>
  <c r="AB1729" i="1"/>
  <c r="AJ1326" i="1"/>
  <c r="AI1326" i="1"/>
  <c r="AH1326" i="1"/>
  <c r="AG1326" i="1"/>
  <c r="AF1326" i="1"/>
  <c r="AB1326" i="1"/>
  <c r="AJ597" i="1"/>
  <c r="AI597" i="1"/>
  <c r="AH597" i="1"/>
  <c r="AG597" i="1"/>
  <c r="AF597" i="1"/>
  <c r="AB597" i="1"/>
  <c r="AJ801" i="1"/>
  <c r="AI801" i="1"/>
  <c r="AH801" i="1"/>
  <c r="AG801" i="1"/>
  <c r="AF801" i="1"/>
  <c r="AB801" i="1"/>
  <c r="AJ1029" i="1"/>
  <c r="AI1029" i="1"/>
  <c r="AH1029" i="1"/>
  <c r="AF1029" i="1"/>
  <c r="AG1029" i="1"/>
  <c r="AB1029" i="1"/>
  <c r="AJ1377" i="1"/>
  <c r="AI1377" i="1"/>
  <c r="AH1377" i="1"/>
  <c r="AG1377" i="1"/>
  <c r="AF1377" i="1"/>
  <c r="AB1377" i="1"/>
  <c r="AJ1641" i="1"/>
  <c r="AI1641" i="1"/>
  <c r="AH1641" i="1"/>
  <c r="AG1641" i="1"/>
  <c r="AF1641" i="1"/>
  <c r="AB1641" i="1"/>
  <c r="AJ70" i="1"/>
  <c r="AI70" i="1"/>
  <c r="AH70" i="1"/>
  <c r="AG70" i="1"/>
  <c r="AF70" i="1"/>
  <c r="AB70" i="1"/>
  <c r="AJ310" i="1"/>
  <c r="AI310" i="1"/>
  <c r="AH310" i="1"/>
  <c r="AG310" i="1"/>
  <c r="AF310" i="1"/>
  <c r="AB310" i="1"/>
  <c r="AJ466" i="1"/>
  <c r="AI466" i="1"/>
  <c r="AH466" i="1"/>
  <c r="AG466" i="1"/>
  <c r="AF466" i="1"/>
  <c r="AB466" i="1"/>
  <c r="AJ682" i="1"/>
  <c r="AI682" i="1"/>
  <c r="AH682" i="1"/>
  <c r="AG682" i="1"/>
  <c r="AF682" i="1"/>
  <c r="AB682" i="1"/>
  <c r="AJ862" i="1"/>
  <c r="AI862" i="1"/>
  <c r="AH862" i="1"/>
  <c r="AG862" i="1"/>
  <c r="AF862" i="1"/>
  <c r="AB862" i="1"/>
  <c r="AJ1006" i="1"/>
  <c r="AI1006" i="1"/>
  <c r="AH1006" i="1"/>
  <c r="AG1006" i="1"/>
  <c r="AF1006" i="1"/>
  <c r="AB1006" i="1"/>
  <c r="AJ1150" i="1"/>
  <c r="AI1150" i="1"/>
  <c r="AH1150" i="1"/>
  <c r="AG1150" i="1"/>
  <c r="AF1150" i="1"/>
  <c r="AB1150" i="1"/>
  <c r="AJ1522" i="1"/>
  <c r="AI1522" i="1"/>
  <c r="AH1522" i="1"/>
  <c r="AG1522" i="1"/>
  <c r="AF1522" i="1"/>
  <c r="AB1522" i="1"/>
  <c r="AJ758" i="1"/>
  <c r="AI758" i="1"/>
  <c r="AG758" i="1"/>
  <c r="AH758" i="1"/>
  <c r="AF758" i="1"/>
  <c r="AB758" i="1"/>
  <c r="AJ1466" i="1"/>
  <c r="AI1466" i="1"/>
  <c r="AH1466" i="1"/>
  <c r="AG1466" i="1"/>
  <c r="AF1466" i="1"/>
  <c r="AB1466" i="1"/>
  <c r="AJ1257" i="1"/>
  <c r="AI1257" i="1"/>
  <c r="AH1257" i="1"/>
  <c r="AG1257" i="1"/>
  <c r="AF1257" i="1"/>
  <c r="AB1257" i="1"/>
  <c r="AJ1486" i="1"/>
  <c r="AI1486" i="1"/>
  <c r="AH1486" i="1"/>
  <c r="AG1486" i="1"/>
  <c r="AF1486" i="1"/>
  <c r="AB1486" i="1"/>
  <c r="AJ180" i="1"/>
  <c r="AI180" i="1"/>
  <c r="AH180" i="1"/>
  <c r="AG180" i="1"/>
  <c r="AF180" i="1"/>
  <c r="AB180" i="1"/>
  <c r="AJ1134" i="1"/>
  <c r="AI1134" i="1"/>
  <c r="AH1134" i="1"/>
  <c r="AG1134" i="1"/>
  <c r="AF1134" i="1"/>
  <c r="AB1134" i="1"/>
  <c r="AJ969" i="1"/>
  <c r="AI969" i="1"/>
  <c r="AH969" i="1"/>
  <c r="AF969" i="1"/>
  <c r="AG969" i="1"/>
  <c r="AB969" i="1"/>
  <c r="AJ1558" i="1"/>
  <c r="AI1558" i="1"/>
  <c r="AH1558" i="1"/>
  <c r="AG1558" i="1"/>
  <c r="AF1558" i="1"/>
  <c r="AB1558" i="1"/>
  <c r="AJ732" i="1"/>
  <c r="AI732" i="1"/>
  <c r="AH732" i="1"/>
  <c r="AG732" i="1"/>
  <c r="AF732" i="1"/>
  <c r="AB732" i="1"/>
  <c r="AJ1675" i="1"/>
  <c r="AI1675" i="1"/>
  <c r="AH1675" i="1"/>
  <c r="AG1675" i="1"/>
  <c r="AF1675" i="1"/>
  <c r="AB1675" i="1"/>
  <c r="AJ1702" i="1"/>
  <c r="AI1702" i="1"/>
  <c r="AH1702" i="1"/>
  <c r="AG1702" i="1"/>
  <c r="AF1702" i="1"/>
  <c r="AB1702" i="1"/>
  <c r="AJ620" i="1"/>
  <c r="AI620" i="1"/>
  <c r="AH620" i="1"/>
  <c r="AG620" i="1"/>
  <c r="AF620" i="1"/>
  <c r="AB620" i="1"/>
  <c r="AJ692" i="1"/>
  <c r="AI692" i="1"/>
  <c r="AH692" i="1"/>
  <c r="AG692" i="1"/>
  <c r="AF692" i="1"/>
  <c r="AB692" i="1"/>
  <c r="AJ764" i="1"/>
  <c r="AI764" i="1"/>
  <c r="AH764" i="1"/>
  <c r="AG764" i="1"/>
  <c r="AF764" i="1"/>
  <c r="AB764" i="1"/>
  <c r="AJ836" i="1"/>
  <c r="AI836" i="1"/>
  <c r="AH836" i="1"/>
  <c r="AG836" i="1"/>
  <c r="AF836" i="1"/>
  <c r="AB836" i="1"/>
  <c r="AJ908" i="1"/>
  <c r="AI908" i="1"/>
  <c r="AH908" i="1"/>
  <c r="AG908" i="1"/>
  <c r="AF908" i="1"/>
  <c r="AB908" i="1"/>
  <c r="AJ980" i="1"/>
  <c r="AI980" i="1"/>
  <c r="AH980" i="1"/>
  <c r="AG980" i="1"/>
  <c r="AF980" i="1"/>
  <c r="AB980" i="1"/>
  <c r="AJ1052" i="1"/>
  <c r="AI1052" i="1"/>
  <c r="AH1052" i="1"/>
  <c r="AG1052" i="1"/>
  <c r="AF1052" i="1"/>
  <c r="AB1052" i="1"/>
  <c r="AJ1124" i="1"/>
  <c r="AI1124" i="1"/>
  <c r="AH1124" i="1"/>
  <c r="AG1124" i="1"/>
  <c r="AF1124" i="1"/>
  <c r="AB1124" i="1"/>
  <c r="AJ1196" i="1"/>
  <c r="AI1196" i="1"/>
  <c r="AH1196" i="1"/>
  <c r="AG1196" i="1"/>
  <c r="AF1196" i="1"/>
  <c r="AB1196" i="1"/>
  <c r="AJ1340" i="1"/>
  <c r="AI1340" i="1"/>
  <c r="AH1340" i="1"/>
  <c r="AG1340" i="1"/>
  <c r="AF1340" i="1"/>
  <c r="AB1340" i="1"/>
  <c r="AJ1412" i="1"/>
  <c r="AI1412" i="1"/>
  <c r="AH1412" i="1"/>
  <c r="AG1412" i="1"/>
  <c r="AF1412" i="1"/>
  <c r="AB1412" i="1"/>
  <c r="AJ1484" i="1"/>
  <c r="AI1484" i="1"/>
  <c r="AH1484" i="1"/>
  <c r="AG1484" i="1"/>
  <c r="AF1484" i="1"/>
  <c r="AB1484" i="1"/>
  <c r="AJ1556" i="1"/>
  <c r="AI1556" i="1"/>
  <c r="AH1556" i="1"/>
  <c r="AG1556" i="1"/>
  <c r="AF1556" i="1"/>
  <c r="AB1556" i="1"/>
  <c r="AJ1628" i="1"/>
  <c r="AI1628" i="1"/>
  <c r="AH1628" i="1"/>
  <c r="AG1628" i="1"/>
  <c r="AF1628" i="1"/>
  <c r="AB1628" i="1"/>
  <c r="AJ1700" i="1"/>
  <c r="AI1700" i="1"/>
  <c r="AH1700" i="1"/>
  <c r="AF1700" i="1"/>
  <c r="AG1700" i="1"/>
  <c r="AB1700" i="1"/>
  <c r="AJ1772" i="1"/>
  <c r="AI1772" i="1"/>
  <c r="AH1772" i="1"/>
  <c r="AG1772" i="1"/>
  <c r="AF1772" i="1"/>
  <c r="AB1772" i="1"/>
  <c r="AJ1065" i="1"/>
  <c r="AI1065" i="1"/>
  <c r="AH1065" i="1"/>
  <c r="AF1065" i="1"/>
  <c r="AG1065" i="1"/>
  <c r="AB1065" i="1"/>
  <c r="AJ1629" i="1"/>
  <c r="AI1629" i="1"/>
  <c r="AH1629" i="1"/>
  <c r="AG1629" i="1"/>
  <c r="AF1629" i="1"/>
  <c r="AB1629" i="1"/>
  <c r="AJ526" i="1"/>
  <c r="AI526" i="1"/>
  <c r="AH526" i="1"/>
  <c r="AG526" i="1"/>
  <c r="AF526" i="1"/>
  <c r="AB526" i="1"/>
  <c r="AJ1378" i="1"/>
  <c r="AI1378" i="1"/>
  <c r="AH1378" i="1"/>
  <c r="AG1378" i="1"/>
  <c r="AF1378" i="1"/>
  <c r="AB1378" i="1"/>
  <c r="AJ167" i="1"/>
  <c r="AI167" i="1"/>
  <c r="AH167" i="1"/>
  <c r="AG167" i="1"/>
  <c r="AF167" i="1"/>
  <c r="AB167" i="1"/>
  <c r="AJ659" i="1"/>
  <c r="AI659" i="1"/>
  <c r="AH659" i="1"/>
  <c r="AG659" i="1"/>
  <c r="AF659" i="1"/>
  <c r="AB659" i="1"/>
  <c r="AJ1103" i="1"/>
  <c r="AI1103" i="1"/>
  <c r="AH1103" i="1"/>
  <c r="AG1103" i="1"/>
  <c r="AF1103" i="1"/>
  <c r="AB1103" i="1"/>
  <c r="AJ1727" i="1"/>
  <c r="AI1727" i="1"/>
  <c r="AG1727" i="1"/>
  <c r="AH1727" i="1"/>
  <c r="AF1727" i="1"/>
  <c r="AB1727" i="1"/>
  <c r="AJ1188" i="1"/>
  <c r="AI1188" i="1"/>
  <c r="AH1188" i="1"/>
  <c r="AG1188" i="1"/>
  <c r="AF1188" i="1"/>
  <c r="AB1188" i="1"/>
  <c r="AJ670" i="1"/>
  <c r="AI670" i="1"/>
  <c r="AH670" i="1"/>
  <c r="AG670" i="1"/>
  <c r="AF670" i="1"/>
  <c r="AB670" i="1"/>
  <c r="AJ1450" i="1"/>
  <c r="AI1450" i="1"/>
  <c r="AH1450" i="1"/>
  <c r="AG1450" i="1"/>
  <c r="AF1450" i="1"/>
  <c r="AB1450" i="1"/>
  <c r="AJ251" i="1"/>
  <c r="AI251" i="1"/>
  <c r="AH251" i="1"/>
  <c r="AG251" i="1"/>
  <c r="AF251" i="1"/>
  <c r="AB251" i="1"/>
  <c r="AJ671" i="1"/>
  <c r="AI671" i="1"/>
  <c r="AH671" i="1"/>
  <c r="AG671" i="1"/>
  <c r="AF671" i="1"/>
  <c r="AB671" i="1"/>
  <c r="AJ1127" i="1"/>
  <c r="AI1127" i="1"/>
  <c r="AH1127" i="1"/>
  <c r="AG1127" i="1"/>
  <c r="AF1127" i="1"/>
  <c r="AB1127" i="1"/>
  <c r="AJ1739" i="1"/>
  <c r="AI1739" i="1"/>
  <c r="AG1739" i="1"/>
  <c r="AH1739" i="1"/>
  <c r="AF1739" i="1"/>
  <c r="AB1739" i="1"/>
  <c r="AJ516" i="1"/>
  <c r="AI516" i="1"/>
  <c r="AH516" i="1"/>
  <c r="AG516" i="1"/>
  <c r="AF516" i="1"/>
  <c r="AB516" i="1"/>
  <c r="AJ1080" i="1"/>
  <c r="AI1080" i="1"/>
  <c r="AH1080" i="1"/>
  <c r="AG1080" i="1"/>
  <c r="AF1080" i="1"/>
  <c r="AB1080" i="1"/>
  <c r="AJ1776" i="1"/>
  <c r="AI1776" i="1"/>
  <c r="AH1776" i="1"/>
  <c r="AG1776" i="1"/>
  <c r="AF1776" i="1"/>
  <c r="AB1776" i="1"/>
  <c r="AJ264" i="1"/>
  <c r="AI264" i="1"/>
  <c r="AH264" i="1"/>
  <c r="AG264" i="1"/>
  <c r="AF264" i="1"/>
  <c r="AB264" i="1"/>
  <c r="AJ540" i="1"/>
  <c r="AI540" i="1"/>
  <c r="AH540" i="1"/>
  <c r="AG540" i="1"/>
  <c r="AF540" i="1"/>
  <c r="AB540" i="1"/>
  <c r="AJ1068" i="1"/>
  <c r="AI1068" i="1"/>
  <c r="AH1068" i="1"/>
  <c r="AG1068" i="1"/>
  <c r="AF1068" i="1"/>
  <c r="AB1068" i="1"/>
  <c r="AJ1260" i="1"/>
  <c r="AI1260" i="1"/>
  <c r="AH1260" i="1"/>
  <c r="AG1260" i="1"/>
  <c r="AF1260" i="1"/>
  <c r="AB1260" i="1"/>
  <c r="AJ1452" i="1"/>
  <c r="AI1452" i="1"/>
  <c r="AH1452" i="1"/>
  <c r="AG1452" i="1"/>
  <c r="AF1452" i="1"/>
  <c r="AB1452" i="1"/>
  <c r="AJ161" i="1"/>
  <c r="AI161" i="1"/>
  <c r="AH161" i="1"/>
  <c r="AG161" i="1"/>
  <c r="AF161" i="1"/>
  <c r="AB161" i="1"/>
  <c r="AJ773" i="1"/>
  <c r="AI773" i="1"/>
  <c r="AH773" i="1"/>
  <c r="AG773" i="1"/>
  <c r="AF773" i="1"/>
  <c r="AB773" i="1"/>
  <c r="AJ1493" i="1"/>
  <c r="AI1493" i="1"/>
  <c r="AH1493" i="1"/>
  <c r="AG1493" i="1"/>
  <c r="AF1493" i="1"/>
  <c r="AB1493" i="1"/>
  <c r="AJ111" i="1"/>
  <c r="AI111" i="1"/>
  <c r="AH111" i="1"/>
  <c r="AG111" i="1"/>
  <c r="AF111" i="1"/>
  <c r="AB111" i="1"/>
  <c r="AJ303" i="1"/>
  <c r="AI303" i="1"/>
  <c r="AH303" i="1"/>
  <c r="AG303" i="1"/>
  <c r="AF303" i="1"/>
  <c r="AB303" i="1"/>
  <c r="AJ471" i="1"/>
  <c r="AI471" i="1"/>
  <c r="AH471" i="1"/>
  <c r="AG471" i="1"/>
  <c r="AF471" i="1"/>
  <c r="AB471" i="1"/>
  <c r="AJ819" i="1"/>
  <c r="AI819" i="1"/>
  <c r="AH819" i="1"/>
  <c r="AG819" i="1"/>
  <c r="AF819" i="1"/>
  <c r="AB819" i="1"/>
  <c r="AJ1779" i="1"/>
  <c r="AI1779" i="1"/>
  <c r="AH1779" i="1"/>
  <c r="AG1779" i="1"/>
  <c r="AF1779" i="1"/>
  <c r="AB1779" i="1"/>
  <c r="AJ1252" i="1"/>
  <c r="AI1252" i="1"/>
  <c r="AH1252" i="1"/>
  <c r="AG1252" i="1"/>
  <c r="AF1252" i="1"/>
  <c r="AB1252" i="1"/>
  <c r="AJ1600" i="1"/>
  <c r="AI1600" i="1"/>
  <c r="AH1600" i="1"/>
  <c r="AG1600" i="1"/>
  <c r="AF1600" i="1"/>
  <c r="AB1600" i="1"/>
  <c r="AE5" i="1"/>
  <c r="AC5" i="1"/>
  <c r="AE89" i="1"/>
  <c r="AC89" i="1"/>
  <c r="AE185" i="1"/>
  <c r="AC185" i="1"/>
  <c r="AE257" i="1"/>
  <c r="AC257" i="1"/>
  <c r="AE341" i="1"/>
  <c r="AC341" i="1"/>
  <c r="AE425" i="1"/>
  <c r="AC425" i="1"/>
  <c r="AE557" i="1"/>
  <c r="AC557" i="1"/>
  <c r="AE665" i="1"/>
  <c r="AC665" i="1"/>
  <c r="AE30" i="1"/>
  <c r="AC30" i="1"/>
  <c r="AE102" i="1"/>
  <c r="AC102" i="1"/>
  <c r="AE210" i="1"/>
  <c r="AC210" i="1"/>
  <c r="AE282" i="1"/>
  <c r="AC282" i="1"/>
  <c r="AE354" i="1"/>
  <c r="AC354" i="1"/>
  <c r="AE426" i="1"/>
  <c r="AC426" i="1"/>
  <c r="AE498" i="1"/>
  <c r="AC498" i="1"/>
  <c r="AE570" i="1"/>
  <c r="AC570" i="1"/>
  <c r="AE642" i="1"/>
  <c r="AC642" i="1"/>
  <c r="AE714" i="1"/>
  <c r="AC714" i="1"/>
  <c r="AE786" i="1"/>
  <c r="AC786" i="1"/>
  <c r="AE858" i="1"/>
  <c r="AC858" i="1"/>
  <c r="AE669" i="1"/>
  <c r="AC669" i="1"/>
  <c r="AE741" i="1"/>
  <c r="AC741" i="1"/>
  <c r="AE813" i="1"/>
  <c r="AC813" i="1"/>
  <c r="AE885" i="1"/>
  <c r="AC885" i="1"/>
  <c r="AE957" i="1"/>
  <c r="AC957" i="1"/>
  <c r="AE1029" i="1"/>
  <c r="AC1029" i="1"/>
  <c r="AE1101" i="1"/>
  <c r="AC1101" i="1"/>
  <c r="AE1173" i="1"/>
  <c r="AC1173" i="1"/>
  <c r="AE1245" i="1"/>
  <c r="AC1245" i="1"/>
  <c r="AE1317" i="1"/>
  <c r="AC1317" i="1"/>
  <c r="AE1389" i="1"/>
  <c r="AC1389" i="1"/>
  <c r="AE1461" i="1"/>
  <c r="AC1461" i="1"/>
  <c r="AE1533" i="1"/>
  <c r="AC1533" i="1"/>
  <c r="AE1605" i="1"/>
  <c r="AC1605" i="1"/>
  <c r="AE1677" i="1"/>
  <c r="AC1677" i="1"/>
  <c r="AE1749" i="1"/>
  <c r="AC1749" i="1"/>
  <c r="AE1174" i="1"/>
  <c r="AC1174" i="1"/>
  <c r="AE1246" i="1"/>
  <c r="AC1246" i="1"/>
  <c r="AE1318" i="1"/>
  <c r="AC1318" i="1"/>
  <c r="AE1390" i="1"/>
  <c r="AC1390" i="1"/>
  <c r="AE1462" i="1"/>
  <c r="AC1462" i="1"/>
  <c r="AE1534" i="1"/>
  <c r="AC1534" i="1"/>
  <c r="AE1606" i="1"/>
  <c r="AC1606" i="1"/>
  <c r="AE1678" i="1"/>
  <c r="AC1678" i="1"/>
  <c r="AE1750" i="1"/>
  <c r="AC1750" i="1"/>
  <c r="AE515" i="1"/>
  <c r="AC515" i="1"/>
  <c r="AE587" i="1"/>
  <c r="AC587" i="1"/>
  <c r="AE659" i="1"/>
  <c r="AC659" i="1"/>
  <c r="AE731" i="1"/>
  <c r="AC731" i="1"/>
  <c r="AE803" i="1"/>
  <c r="AC803" i="1"/>
  <c r="AE875" i="1"/>
  <c r="AC875" i="1"/>
  <c r="AE947" i="1"/>
  <c r="AC947" i="1"/>
  <c r="AE1019" i="1"/>
  <c r="AC1019" i="1"/>
  <c r="AE1091" i="1"/>
  <c r="AC1091" i="1"/>
  <c r="AE1163" i="1"/>
  <c r="AC1163" i="1"/>
  <c r="AE1235" i="1"/>
  <c r="AC1235" i="1"/>
  <c r="AE1307" i="1"/>
  <c r="AC1307" i="1"/>
  <c r="AE1379" i="1"/>
  <c r="AC1379" i="1"/>
  <c r="AE1451" i="1"/>
  <c r="AC1451" i="1"/>
  <c r="AE1523" i="1"/>
  <c r="AC1523" i="1"/>
  <c r="AE1595" i="1"/>
  <c r="AC1595" i="1"/>
  <c r="AE1667" i="1"/>
  <c r="AC1667" i="1"/>
  <c r="AE1739" i="1"/>
  <c r="AC1739" i="1"/>
  <c r="AE24" i="1"/>
  <c r="AC24" i="1"/>
  <c r="AE96" i="1"/>
  <c r="AC96" i="1"/>
  <c r="AE168" i="1"/>
  <c r="AC168" i="1"/>
  <c r="AE240" i="1"/>
  <c r="AC240" i="1"/>
  <c r="AE312" i="1"/>
  <c r="AC312" i="1"/>
  <c r="AE384" i="1"/>
  <c r="AC384" i="1"/>
  <c r="AE456" i="1"/>
  <c r="AC456" i="1"/>
  <c r="AE528" i="1"/>
  <c r="AC528" i="1"/>
  <c r="AE600" i="1"/>
  <c r="AC600" i="1"/>
  <c r="AE672" i="1"/>
  <c r="AC672" i="1"/>
  <c r="AE744" i="1"/>
  <c r="AC744" i="1"/>
  <c r="AE816" i="1"/>
  <c r="AC816" i="1"/>
  <c r="AE888" i="1"/>
  <c r="AC888" i="1"/>
  <c r="AE960" i="1"/>
  <c r="AC960" i="1"/>
  <c r="AE1032" i="1"/>
  <c r="AC1032" i="1"/>
  <c r="AE1104" i="1"/>
  <c r="AC1104" i="1"/>
  <c r="AE1176" i="1"/>
  <c r="AC1176" i="1"/>
  <c r="AE1248" i="1"/>
  <c r="AC1248" i="1"/>
  <c r="AE1320" i="1"/>
  <c r="AC1320" i="1"/>
  <c r="AE1392" i="1"/>
  <c r="AC1392" i="1"/>
  <c r="AE1464" i="1"/>
  <c r="AC1464" i="1"/>
  <c r="AE1536" i="1"/>
  <c r="AC1536" i="1"/>
  <c r="AE1608" i="1"/>
  <c r="AC1608" i="1"/>
  <c r="AE1680" i="1"/>
  <c r="AC1680" i="1"/>
  <c r="AE1752" i="1"/>
  <c r="AC1752" i="1"/>
  <c r="AE37" i="1"/>
  <c r="AC37" i="1"/>
  <c r="AE109" i="1"/>
  <c r="AC109" i="1"/>
  <c r="AE181" i="1"/>
  <c r="AC181" i="1"/>
  <c r="AE253" i="1"/>
  <c r="AC253" i="1"/>
  <c r="AE325" i="1"/>
  <c r="AC325" i="1"/>
  <c r="AE397" i="1"/>
  <c r="AC397" i="1"/>
  <c r="AE469" i="1"/>
  <c r="AC469" i="1"/>
  <c r="AE541" i="1"/>
  <c r="AC541" i="1"/>
  <c r="AE613" i="1"/>
  <c r="AC613" i="1"/>
  <c r="AE685" i="1"/>
  <c r="AC685" i="1"/>
  <c r="AE757" i="1"/>
  <c r="AC757" i="1"/>
  <c r="AE829" i="1"/>
  <c r="AC829" i="1"/>
  <c r="AE901" i="1"/>
  <c r="AC901" i="1"/>
  <c r="AE973" i="1"/>
  <c r="AC973" i="1"/>
  <c r="AE1045" i="1"/>
  <c r="AC1045" i="1"/>
  <c r="AE1117" i="1"/>
  <c r="AC1117" i="1"/>
  <c r="AE1189" i="1"/>
  <c r="AC1189" i="1"/>
  <c r="AE1261" i="1"/>
  <c r="AC1261" i="1"/>
  <c r="AE1333" i="1"/>
  <c r="AC1333" i="1"/>
  <c r="AE1405" i="1"/>
  <c r="AC1405" i="1"/>
  <c r="AE1477" i="1"/>
  <c r="AC1477" i="1"/>
  <c r="AE1549" i="1"/>
  <c r="AC1549" i="1"/>
  <c r="AE1621" i="1"/>
  <c r="AC1621" i="1"/>
  <c r="AE1693" i="1"/>
  <c r="AC1693" i="1"/>
  <c r="AE1765" i="1"/>
  <c r="AC1765" i="1"/>
  <c r="AE62" i="1"/>
  <c r="AC62" i="1"/>
  <c r="AE146" i="1"/>
  <c r="AC146" i="1"/>
  <c r="AE242" i="1"/>
  <c r="AC242" i="1"/>
  <c r="AE350" i="1"/>
  <c r="AC350" i="1"/>
  <c r="AE434" i="1"/>
  <c r="AC434" i="1"/>
  <c r="AE506" i="1"/>
  <c r="AC506" i="1"/>
  <c r="AE578" i="1"/>
  <c r="AC578" i="1"/>
  <c r="AE650" i="1"/>
  <c r="AC650" i="1"/>
  <c r="AE722" i="1"/>
  <c r="AC722" i="1"/>
  <c r="AE806" i="1"/>
  <c r="AC806" i="1"/>
  <c r="AE890" i="1"/>
  <c r="AC890" i="1"/>
  <c r="AE1010" i="1"/>
  <c r="AC1010" i="1"/>
  <c r="AE1106" i="1"/>
  <c r="AC1106" i="1"/>
  <c r="AE1214" i="1"/>
  <c r="AC1214" i="1"/>
  <c r="AE1298" i="1"/>
  <c r="AC1298" i="1"/>
  <c r="AE1382" i="1"/>
  <c r="AC1382" i="1"/>
  <c r="AE1454" i="1"/>
  <c r="AC1454" i="1"/>
  <c r="AE1526" i="1"/>
  <c r="AC1526" i="1"/>
  <c r="AE1598" i="1"/>
  <c r="AC1598" i="1"/>
  <c r="AE1670" i="1"/>
  <c r="AC1670" i="1"/>
  <c r="AE3" i="1"/>
  <c r="AC3" i="1"/>
  <c r="AE99" i="1"/>
  <c r="AC99" i="1"/>
  <c r="AE195" i="1"/>
  <c r="AC195" i="1"/>
  <c r="AE351" i="1"/>
  <c r="AC351" i="1"/>
  <c r="AE459" i="1"/>
  <c r="AC459" i="1"/>
  <c r="AE543" i="1"/>
  <c r="AC543" i="1"/>
  <c r="AE615" i="1"/>
  <c r="AC615" i="1"/>
  <c r="AE699" i="1"/>
  <c r="AC699" i="1"/>
  <c r="AE783" i="1"/>
  <c r="AC783" i="1"/>
  <c r="AE903" i="1"/>
  <c r="AC903" i="1"/>
  <c r="AE999" i="1"/>
  <c r="AC999" i="1"/>
  <c r="AE1095" i="1"/>
  <c r="AC1095" i="1"/>
  <c r="AE1167" i="1"/>
  <c r="AC1167" i="1"/>
  <c r="AE1251" i="1"/>
  <c r="AC1251" i="1"/>
  <c r="AE1323" i="1"/>
  <c r="AC1323" i="1"/>
  <c r="AE1419" i="1"/>
  <c r="AC1419" i="1"/>
  <c r="AE1491" i="1"/>
  <c r="AC1491" i="1"/>
  <c r="AE1575" i="1"/>
  <c r="AC1575" i="1"/>
  <c r="AE1659" i="1"/>
  <c r="AC1659" i="1"/>
  <c r="AE1731" i="1"/>
  <c r="AC1731" i="1"/>
  <c r="AE16" i="1"/>
  <c r="AC16" i="1"/>
  <c r="AE88" i="1"/>
  <c r="AC88" i="1"/>
  <c r="AE160" i="1"/>
  <c r="AC160" i="1"/>
  <c r="AE232" i="1"/>
  <c r="AC232" i="1"/>
  <c r="AE304" i="1"/>
  <c r="AC304" i="1"/>
  <c r="AE376" i="1"/>
  <c r="AC376" i="1"/>
  <c r="AE448" i="1"/>
  <c r="AC448" i="1"/>
  <c r="AE520" i="1"/>
  <c r="AC520" i="1"/>
  <c r="AE592" i="1"/>
  <c r="AC592" i="1"/>
  <c r="AE664" i="1"/>
  <c r="AC664" i="1"/>
  <c r="AE736" i="1"/>
  <c r="AC736" i="1"/>
  <c r="AE820" i="1"/>
  <c r="AC820" i="1"/>
  <c r="AE892" i="1"/>
  <c r="AC892" i="1"/>
  <c r="AE976" i="1"/>
  <c r="AC976" i="1"/>
  <c r="AE1048" i="1"/>
  <c r="AC1048" i="1"/>
  <c r="AE1120" i="1"/>
  <c r="AC1120" i="1"/>
  <c r="AE1204" i="1"/>
  <c r="AC1204" i="1"/>
  <c r="AE1288" i="1"/>
  <c r="AC1288" i="1"/>
  <c r="AE1372" i="1"/>
  <c r="AC1372" i="1"/>
  <c r="AE1456" i="1"/>
  <c r="AC1456" i="1"/>
  <c r="AE1564" i="1"/>
  <c r="AC1564" i="1"/>
  <c r="AE1660" i="1"/>
  <c r="AC1660" i="1"/>
  <c r="AE1744" i="1"/>
  <c r="AC1744" i="1"/>
  <c r="AE918" i="1"/>
  <c r="AC918" i="1"/>
  <c r="AE990" i="1"/>
  <c r="AC990" i="1"/>
  <c r="AE1062" i="1"/>
  <c r="AC1062" i="1"/>
  <c r="AE1134" i="1"/>
  <c r="AC1134" i="1"/>
  <c r="AE1206" i="1"/>
  <c r="AC1206" i="1"/>
  <c r="AE1278" i="1"/>
  <c r="AC1278" i="1"/>
  <c r="AE1350" i="1"/>
  <c r="AC1350" i="1"/>
  <c r="AE1422" i="1"/>
  <c r="AC1422" i="1"/>
  <c r="AE1494" i="1"/>
  <c r="AC1494" i="1"/>
  <c r="AE1566" i="1"/>
  <c r="AC1566" i="1"/>
  <c r="AE1638" i="1"/>
  <c r="AC1638" i="1"/>
  <c r="AE1710" i="1"/>
  <c r="AC1710" i="1"/>
  <c r="AE1782" i="1"/>
  <c r="AC1782" i="1"/>
  <c r="AE67" i="1"/>
  <c r="AC67" i="1"/>
  <c r="AE139" i="1"/>
  <c r="AC139" i="1"/>
  <c r="AE211" i="1"/>
  <c r="AC211" i="1"/>
  <c r="AE283" i="1"/>
  <c r="AC283" i="1"/>
  <c r="AE355" i="1"/>
  <c r="AC355" i="1"/>
  <c r="AE427" i="1"/>
  <c r="AC427" i="1"/>
  <c r="AE499" i="1"/>
  <c r="AC499" i="1"/>
  <c r="AE571" i="1"/>
  <c r="AC571" i="1"/>
  <c r="AE643" i="1"/>
  <c r="AC643" i="1"/>
  <c r="AE715" i="1"/>
  <c r="AC715" i="1"/>
  <c r="AE787" i="1"/>
  <c r="AC787" i="1"/>
  <c r="AE859" i="1"/>
  <c r="AC859" i="1"/>
  <c r="AE931" i="1"/>
  <c r="AC931" i="1"/>
  <c r="AE1003" i="1"/>
  <c r="AC1003" i="1"/>
  <c r="AE1075" i="1"/>
  <c r="AC1075" i="1"/>
  <c r="AE1147" i="1"/>
  <c r="AC1147" i="1"/>
  <c r="AE1219" i="1"/>
  <c r="AC1219" i="1"/>
  <c r="AE1291" i="1"/>
  <c r="AC1291" i="1"/>
  <c r="AE1363" i="1"/>
  <c r="AC1363" i="1"/>
  <c r="AE1435" i="1"/>
  <c r="AC1435" i="1"/>
  <c r="AE1507" i="1"/>
  <c r="AC1507" i="1"/>
  <c r="AE1579" i="1"/>
  <c r="AC1579" i="1"/>
  <c r="AE1651" i="1"/>
  <c r="AC1651" i="1"/>
  <c r="AE1723" i="1"/>
  <c r="AC1723" i="1"/>
  <c r="AE8" i="1"/>
  <c r="AC8" i="1"/>
  <c r="AE80" i="1"/>
  <c r="AC80" i="1"/>
  <c r="AE152" i="1"/>
  <c r="AC152" i="1"/>
  <c r="AE224" i="1"/>
  <c r="AC224" i="1"/>
  <c r="AE296" i="1"/>
  <c r="AC296" i="1"/>
  <c r="AE368" i="1"/>
  <c r="AC368" i="1"/>
  <c r="AE440" i="1"/>
  <c r="AC440" i="1"/>
  <c r="AE512" i="1"/>
  <c r="AC512" i="1"/>
  <c r="AE584" i="1"/>
  <c r="AC584" i="1"/>
  <c r="AE656" i="1"/>
  <c r="AC656" i="1"/>
  <c r="AE728" i="1"/>
  <c r="AC728" i="1"/>
  <c r="AE800" i="1"/>
  <c r="AC800" i="1"/>
  <c r="AE872" i="1"/>
  <c r="AC872" i="1"/>
  <c r="AE944" i="1"/>
  <c r="AC944" i="1"/>
  <c r="AE1016" i="1"/>
  <c r="AC1016" i="1"/>
  <c r="AE1088" i="1"/>
  <c r="AC1088" i="1"/>
  <c r="AE1160" i="1"/>
  <c r="AC1160" i="1"/>
  <c r="AE1232" i="1"/>
  <c r="AC1232" i="1"/>
  <c r="AE1304" i="1"/>
  <c r="AC1304" i="1"/>
  <c r="AE1376" i="1"/>
  <c r="AC1376" i="1"/>
  <c r="AE1448" i="1"/>
  <c r="AC1448" i="1"/>
  <c r="AE1520" i="1"/>
  <c r="AC1520" i="1"/>
  <c r="AE1592" i="1"/>
  <c r="AC1592" i="1"/>
  <c r="AE1664" i="1"/>
  <c r="AC1664" i="1"/>
  <c r="AE1736" i="1"/>
  <c r="AC1736" i="1"/>
  <c r="AE585" i="1"/>
  <c r="AC585" i="1"/>
  <c r="AE977" i="1"/>
  <c r="AC977" i="1"/>
  <c r="AE1541" i="1"/>
  <c r="AC1541" i="1"/>
  <c r="AE430" i="1"/>
  <c r="AC430" i="1"/>
  <c r="AE1102" i="1"/>
  <c r="AC1102" i="1"/>
  <c r="AE653" i="1"/>
  <c r="AC653" i="1"/>
  <c r="AE1229" i="1"/>
  <c r="AC1229" i="1"/>
  <c r="AE754" i="1"/>
  <c r="AC754" i="1"/>
  <c r="AJ866" i="1"/>
  <c r="AI866" i="1"/>
  <c r="AH866" i="1"/>
  <c r="AG866" i="1"/>
  <c r="AF866" i="1"/>
  <c r="AB866" i="1"/>
  <c r="AJ1430" i="1"/>
  <c r="AI1430" i="1"/>
  <c r="AH1430" i="1"/>
  <c r="AG1430" i="1"/>
  <c r="AF1430" i="1"/>
  <c r="AB1430" i="1"/>
  <c r="AJ808" i="1"/>
  <c r="AI808" i="1"/>
  <c r="AH808" i="1"/>
  <c r="AG808" i="1"/>
  <c r="AF808" i="1"/>
  <c r="AB808" i="1"/>
  <c r="AJ1120" i="1"/>
  <c r="AI1120" i="1"/>
  <c r="AH1120" i="1"/>
  <c r="AG1120" i="1"/>
  <c r="AF1120" i="1"/>
  <c r="AB1120" i="1"/>
  <c r="AJ389" i="1"/>
  <c r="AI389" i="1"/>
  <c r="AH389" i="1"/>
  <c r="AG389" i="1"/>
  <c r="AF389" i="1"/>
  <c r="AB389" i="1"/>
  <c r="AJ1577" i="1"/>
  <c r="AI1577" i="1"/>
  <c r="AH1577" i="1"/>
  <c r="AG1577" i="1"/>
  <c r="AF1577" i="1"/>
  <c r="AB1577" i="1"/>
  <c r="AJ195" i="1"/>
  <c r="AI195" i="1"/>
  <c r="AH195" i="1"/>
  <c r="AG195" i="1"/>
  <c r="AF195" i="1"/>
  <c r="AB195" i="1"/>
  <c r="AJ627" i="1"/>
  <c r="AI627" i="1"/>
  <c r="AH627" i="1"/>
  <c r="AG627" i="1"/>
  <c r="AF627" i="1"/>
  <c r="AB627" i="1"/>
  <c r="AJ1551" i="1"/>
  <c r="AI1551" i="1"/>
  <c r="AH1551" i="1"/>
  <c r="AF1551" i="1"/>
  <c r="AG1551" i="1"/>
  <c r="AB1551" i="1"/>
  <c r="AJ617" i="1"/>
  <c r="AI617" i="1"/>
  <c r="AH617" i="1"/>
  <c r="AG617" i="1"/>
  <c r="AF617" i="1"/>
  <c r="AB617" i="1"/>
  <c r="AJ451" i="1"/>
  <c r="AI451" i="1"/>
  <c r="AH451" i="1"/>
  <c r="AG451" i="1"/>
  <c r="AF451" i="1"/>
  <c r="AB451" i="1"/>
  <c r="AJ823" i="1"/>
  <c r="AI823" i="1"/>
  <c r="AH823" i="1"/>
  <c r="AF823" i="1"/>
  <c r="AG823" i="1"/>
  <c r="AB823" i="1"/>
  <c r="AJ1159" i="1"/>
  <c r="AI1159" i="1"/>
  <c r="AH1159" i="1"/>
  <c r="AG1159" i="1"/>
  <c r="AF1159" i="1"/>
  <c r="AB1159" i="1"/>
  <c r="AJ1531" i="1"/>
  <c r="AI1531" i="1"/>
  <c r="AH1531" i="1"/>
  <c r="AG1531" i="1"/>
  <c r="AF1531" i="1"/>
  <c r="AB1531" i="1"/>
  <c r="AJ56" i="1"/>
  <c r="AI56" i="1"/>
  <c r="AH56" i="1"/>
  <c r="AF56" i="1"/>
  <c r="AG56" i="1"/>
  <c r="AB56" i="1"/>
  <c r="AJ80" i="1"/>
  <c r="AI80" i="1"/>
  <c r="AH80" i="1"/>
  <c r="AF80" i="1"/>
  <c r="AG80" i="1"/>
  <c r="AB80" i="1"/>
  <c r="AJ9" i="1"/>
  <c r="AI9" i="1"/>
  <c r="AH9" i="1"/>
  <c r="AG9" i="1"/>
  <c r="AF9" i="1"/>
  <c r="AB9" i="1"/>
  <c r="AJ697" i="1"/>
  <c r="AI697" i="1"/>
  <c r="AH697" i="1"/>
  <c r="AG697" i="1"/>
  <c r="AF697" i="1"/>
  <c r="AB697" i="1"/>
  <c r="AJ1218" i="1"/>
  <c r="AI1218" i="1"/>
  <c r="AH1218" i="1"/>
  <c r="AG1218" i="1"/>
  <c r="AF1218" i="1"/>
  <c r="AB1218" i="1"/>
  <c r="AJ430" i="1"/>
  <c r="AI430" i="1"/>
  <c r="AH430" i="1"/>
  <c r="AG430" i="1"/>
  <c r="AF430" i="1"/>
  <c r="AB430" i="1"/>
  <c r="AJ504" i="1"/>
  <c r="AI504" i="1"/>
  <c r="AH504" i="1"/>
  <c r="AG504" i="1"/>
  <c r="AF504" i="1"/>
  <c r="AB504" i="1"/>
  <c r="AJ690" i="1"/>
  <c r="AI690" i="1"/>
  <c r="AH690" i="1"/>
  <c r="AG690" i="1"/>
  <c r="AF690" i="1"/>
  <c r="AB690" i="1"/>
  <c r="AJ1293" i="1"/>
  <c r="AI1293" i="1"/>
  <c r="AH1293" i="1"/>
  <c r="AG1293" i="1"/>
  <c r="AF1293" i="1"/>
  <c r="AB1293" i="1"/>
  <c r="AJ191" i="1"/>
  <c r="AI191" i="1"/>
  <c r="AH191" i="1"/>
  <c r="AG191" i="1"/>
  <c r="AF191" i="1"/>
  <c r="AB191" i="1"/>
  <c r="AJ390" i="1"/>
  <c r="AI390" i="1"/>
  <c r="AH390" i="1"/>
  <c r="AG390" i="1"/>
  <c r="AF390" i="1"/>
  <c r="AB390" i="1"/>
  <c r="AJ1314" i="1"/>
  <c r="AI1314" i="1"/>
  <c r="AH1314" i="1"/>
  <c r="AG1314" i="1"/>
  <c r="AF1314" i="1"/>
  <c r="AB1314" i="1"/>
  <c r="AJ825" i="1"/>
  <c r="AI825" i="1"/>
  <c r="AH825" i="1"/>
  <c r="AF825" i="1"/>
  <c r="AG825" i="1"/>
  <c r="AB825" i="1"/>
  <c r="AJ275" i="1"/>
  <c r="AI275" i="1"/>
  <c r="AH275" i="1"/>
  <c r="AG275" i="1"/>
  <c r="AF275" i="1"/>
  <c r="AB275" i="1"/>
  <c r="AJ1391" i="1"/>
  <c r="AI1391" i="1"/>
  <c r="AH1391" i="1"/>
  <c r="AG1391" i="1"/>
  <c r="AF1391" i="1"/>
  <c r="AB1391" i="1"/>
  <c r="AJ514" i="1"/>
  <c r="AI514" i="1"/>
  <c r="AH514" i="1"/>
  <c r="AG514" i="1"/>
  <c r="AF514" i="1"/>
  <c r="AB514" i="1"/>
  <c r="AJ1451" i="1"/>
  <c r="AI1451" i="1"/>
  <c r="AH1451" i="1"/>
  <c r="AG1451" i="1"/>
  <c r="AF1451" i="1"/>
  <c r="AB1451" i="1"/>
  <c r="AJ1354" i="1"/>
  <c r="AI1354" i="1"/>
  <c r="AH1354" i="1"/>
  <c r="AG1354" i="1"/>
  <c r="AF1354" i="1"/>
  <c r="AB1354" i="1"/>
  <c r="AJ1787" i="1"/>
  <c r="AI1787" i="1"/>
  <c r="AH1787" i="1"/>
  <c r="AG1787" i="1"/>
  <c r="AF1787" i="1"/>
  <c r="AB1787" i="1"/>
  <c r="AJ1460" i="1"/>
  <c r="AI1460" i="1"/>
  <c r="AH1460" i="1"/>
  <c r="AG1460" i="1"/>
  <c r="AF1460" i="1"/>
  <c r="AB1460" i="1"/>
  <c r="AJ11" i="1"/>
  <c r="AI11" i="1"/>
  <c r="AH11" i="1"/>
  <c r="AG11" i="1"/>
  <c r="AF11" i="1"/>
  <c r="AB11" i="1"/>
  <c r="AJ1228" i="1"/>
  <c r="AI1228" i="1"/>
  <c r="AH1228" i="1"/>
  <c r="AG1228" i="1"/>
  <c r="AF1228" i="1"/>
  <c r="AB1228" i="1"/>
  <c r="AE927" i="1"/>
  <c r="AC927" i="1"/>
  <c r="AE1563" i="1"/>
  <c r="AC1563" i="1"/>
  <c r="AE1157" i="1"/>
  <c r="AC1157" i="1"/>
  <c r="AE297" i="1"/>
  <c r="AC297" i="1"/>
  <c r="AE34" i="1"/>
  <c r="AC34" i="1"/>
  <c r="AE418" i="1"/>
  <c r="AC418" i="1"/>
  <c r="AE934" i="1"/>
  <c r="AC934" i="1"/>
  <c r="AE371" i="1"/>
  <c r="AC371" i="1"/>
  <c r="AJ98" i="1"/>
  <c r="AI98" i="1"/>
  <c r="AH98" i="1"/>
  <c r="AG98" i="1"/>
  <c r="AF98" i="1"/>
  <c r="AB98" i="1"/>
  <c r="AJ434" i="1"/>
  <c r="AI434" i="1"/>
  <c r="AH434" i="1"/>
  <c r="AG434" i="1"/>
  <c r="AF434" i="1"/>
  <c r="AB434" i="1"/>
  <c r="AJ1670" i="1"/>
  <c r="AI1670" i="1"/>
  <c r="AG1670" i="1"/>
  <c r="AH1670" i="1"/>
  <c r="AF1670" i="1"/>
  <c r="AB1670" i="1"/>
  <c r="AJ196" i="1"/>
  <c r="AI196" i="1"/>
  <c r="AH196" i="1"/>
  <c r="AG196" i="1"/>
  <c r="AF196" i="1"/>
  <c r="AB196" i="1"/>
  <c r="AJ110" i="1"/>
  <c r="AI110" i="1"/>
  <c r="AH110" i="1"/>
  <c r="AG110" i="1"/>
  <c r="AF110" i="1"/>
  <c r="AB110" i="1"/>
  <c r="AJ278" i="1"/>
  <c r="AI278" i="1"/>
  <c r="AH278" i="1"/>
  <c r="AG278" i="1"/>
  <c r="AF278" i="1"/>
  <c r="AB278" i="1"/>
  <c r="AJ1094" i="1"/>
  <c r="AI1094" i="1"/>
  <c r="AH1094" i="1"/>
  <c r="AG1094" i="1"/>
  <c r="AF1094" i="1"/>
  <c r="AB1094" i="1"/>
  <c r="AJ1274" i="1"/>
  <c r="AI1274" i="1"/>
  <c r="AH1274" i="1"/>
  <c r="AG1274" i="1"/>
  <c r="AF1274" i="1"/>
  <c r="AB1274" i="1"/>
  <c r="AJ208" i="1"/>
  <c r="AI208" i="1"/>
  <c r="AH208" i="1"/>
  <c r="AG208" i="1"/>
  <c r="AF208" i="1"/>
  <c r="AB208" i="1"/>
  <c r="AJ748" i="1"/>
  <c r="AI748" i="1"/>
  <c r="AH748" i="1"/>
  <c r="AG748" i="1"/>
  <c r="AF748" i="1"/>
  <c r="AB748" i="1"/>
  <c r="AJ976" i="1"/>
  <c r="AI976" i="1"/>
  <c r="AH976" i="1"/>
  <c r="AG976" i="1"/>
  <c r="AF976" i="1"/>
  <c r="AB976" i="1"/>
  <c r="AJ1156" i="1"/>
  <c r="AI1156" i="1"/>
  <c r="AH1156" i="1"/>
  <c r="AG1156" i="1"/>
  <c r="AF1156" i="1"/>
  <c r="AB1156" i="1"/>
  <c r="AJ1708" i="1"/>
  <c r="AI1708" i="1"/>
  <c r="AH1708" i="1"/>
  <c r="AG1708" i="1"/>
  <c r="AF1708" i="1"/>
  <c r="AB1708" i="1"/>
  <c r="AJ497" i="1"/>
  <c r="AI497" i="1"/>
  <c r="AH497" i="1"/>
  <c r="AG497" i="1"/>
  <c r="AF497" i="1"/>
  <c r="AB497" i="1"/>
  <c r="AJ1361" i="1"/>
  <c r="AI1361" i="1"/>
  <c r="AH1361" i="1"/>
  <c r="AG1361" i="1"/>
  <c r="AF1361" i="1"/>
  <c r="AB1361" i="1"/>
  <c r="AJ39" i="1"/>
  <c r="AI39" i="1"/>
  <c r="AH39" i="1"/>
  <c r="AG39" i="1"/>
  <c r="AF39" i="1"/>
  <c r="AB39" i="1"/>
  <c r="AJ243" i="1"/>
  <c r="AI243" i="1"/>
  <c r="AH243" i="1"/>
  <c r="AG243" i="1"/>
  <c r="AF243" i="1"/>
  <c r="AB243" i="1"/>
  <c r="AJ579" i="1"/>
  <c r="AI579" i="1"/>
  <c r="AH579" i="1"/>
  <c r="AG579" i="1"/>
  <c r="AF579" i="1"/>
  <c r="AB579" i="1"/>
  <c r="AJ1191" i="1"/>
  <c r="AI1191" i="1"/>
  <c r="AH1191" i="1"/>
  <c r="AG1191" i="1"/>
  <c r="AF1191" i="1"/>
  <c r="AB1191" i="1"/>
  <c r="AJ1431" i="1"/>
  <c r="AI1431" i="1"/>
  <c r="AH1431" i="1"/>
  <c r="AG1431" i="1"/>
  <c r="AF1431" i="1"/>
  <c r="AB1431" i="1"/>
  <c r="AJ485" i="1"/>
  <c r="AI485" i="1"/>
  <c r="AH485" i="1"/>
  <c r="AG485" i="1"/>
  <c r="AF485" i="1"/>
  <c r="AB485" i="1"/>
  <c r="AJ1265" i="1"/>
  <c r="AI1265" i="1"/>
  <c r="AH1265" i="1"/>
  <c r="AG1265" i="1"/>
  <c r="AF1265" i="1"/>
  <c r="AB1265" i="1"/>
  <c r="AJ1183" i="1"/>
  <c r="AI1183" i="1"/>
  <c r="AH1183" i="1"/>
  <c r="AG1183" i="1"/>
  <c r="AF1183" i="1"/>
  <c r="AB1183" i="1"/>
  <c r="AJ1459" i="1"/>
  <c r="AI1459" i="1"/>
  <c r="AH1459" i="1"/>
  <c r="AG1459" i="1"/>
  <c r="AF1459" i="1"/>
  <c r="AB1459" i="1"/>
  <c r="AJ1759" i="1"/>
  <c r="AI1759" i="1"/>
  <c r="AH1759" i="1"/>
  <c r="AG1759" i="1"/>
  <c r="AF1759" i="1"/>
  <c r="AB1759" i="1"/>
  <c r="AJ57" i="1"/>
  <c r="AI57" i="1"/>
  <c r="AH57" i="1"/>
  <c r="AG57" i="1"/>
  <c r="AF57" i="1"/>
  <c r="AB57" i="1"/>
  <c r="AJ213" i="1"/>
  <c r="AI213" i="1"/>
  <c r="AH213" i="1"/>
  <c r="AG213" i="1"/>
  <c r="AF213" i="1"/>
  <c r="AB213" i="1"/>
  <c r="AJ429" i="1"/>
  <c r="AI429" i="1"/>
  <c r="AH429" i="1"/>
  <c r="AF429" i="1"/>
  <c r="AG429" i="1"/>
  <c r="AB429" i="1"/>
  <c r="AJ1441" i="1"/>
  <c r="AI1441" i="1"/>
  <c r="AH1441" i="1"/>
  <c r="AG1441" i="1"/>
  <c r="AF1441" i="1"/>
  <c r="AB1441" i="1"/>
  <c r="AJ1746" i="1"/>
  <c r="AI1746" i="1"/>
  <c r="AH1746" i="1"/>
  <c r="AG1746" i="1"/>
  <c r="AF1746" i="1"/>
  <c r="AB1746" i="1"/>
  <c r="AJ1342" i="1"/>
  <c r="AI1342" i="1"/>
  <c r="AH1342" i="1"/>
  <c r="AG1342" i="1"/>
  <c r="AF1342" i="1"/>
  <c r="AB1342" i="1"/>
  <c r="AJ354" i="1"/>
  <c r="AI354" i="1"/>
  <c r="AH354" i="1"/>
  <c r="AG354" i="1"/>
  <c r="AF354" i="1"/>
  <c r="AB354" i="1"/>
  <c r="AJ1338" i="1"/>
  <c r="AI1338" i="1"/>
  <c r="AH1338" i="1"/>
  <c r="AG1338" i="1"/>
  <c r="AF1338" i="1"/>
  <c r="AB1338" i="1"/>
  <c r="AJ1390" i="1"/>
  <c r="AI1390" i="1"/>
  <c r="AH1390" i="1"/>
  <c r="AG1390" i="1"/>
  <c r="AF1390" i="1"/>
  <c r="AB1390" i="1"/>
  <c r="AJ96" i="1"/>
  <c r="AI96" i="1"/>
  <c r="AH96" i="1"/>
  <c r="AG96" i="1"/>
  <c r="AF96" i="1"/>
  <c r="AB96" i="1"/>
  <c r="AJ486" i="1"/>
  <c r="AI486" i="1"/>
  <c r="AH486" i="1"/>
  <c r="AG486" i="1"/>
  <c r="AF486" i="1"/>
  <c r="AB486" i="1"/>
  <c r="AJ1425" i="1"/>
  <c r="AI1425" i="1"/>
  <c r="AH1425" i="1"/>
  <c r="AG1425" i="1"/>
  <c r="AF1425" i="1"/>
  <c r="AB1425" i="1"/>
  <c r="AJ1248" i="1"/>
  <c r="AI1248" i="1"/>
  <c r="AH1248" i="1"/>
  <c r="AG1248" i="1"/>
  <c r="AF1248" i="1"/>
  <c r="AB1248" i="1"/>
  <c r="AJ462" i="1"/>
  <c r="AI462" i="1"/>
  <c r="AH462" i="1"/>
  <c r="AG462" i="1"/>
  <c r="AF462" i="1"/>
  <c r="AB462" i="1"/>
  <c r="AJ918" i="1"/>
  <c r="AI918" i="1"/>
  <c r="AH918" i="1"/>
  <c r="AG918" i="1"/>
  <c r="AF918" i="1"/>
  <c r="AB918" i="1"/>
  <c r="AJ1662" i="1"/>
  <c r="AI1662" i="1"/>
  <c r="AH1662" i="1"/>
  <c r="AG1662" i="1"/>
  <c r="AF1662" i="1"/>
  <c r="AB1662" i="1"/>
  <c r="AJ1605" i="1"/>
  <c r="AI1605" i="1"/>
  <c r="AH1605" i="1"/>
  <c r="AG1605" i="1"/>
  <c r="AF1605" i="1"/>
  <c r="AB1605" i="1"/>
  <c r="AJ527" i="1"/>
  <c r="AI527" i="1"/>
  <c r="AH527" i="1"/>
  <c r="AG527" i="1"/>
  <c r="AF527" i="1"/>
  <c r="AB527" i="1"/>
  <c r="AJ1271" i="1"/>
  <c r="AI1271" i="1"/>
  <c r="AH1271" i="1"/>
  <c r="AG1271" i="1"/>
  <c r="AF1271" i="1"/>
  <c r="AB1271" i="1"/>
  <c r="AJ1038" i="1"/>
  <c r="AI1038" i="1"/>
  <c r="AH1038" i="1"/>
  <c r="AG1038" i="1"/>
  <c r="AF1038" i="1"/>
  <c r="AB1038" i="1"/>
  <c r="AJ1072" i="1"/>
  <c r="AI1072" i="1"/>
  <c r="AH1072" i="1"/>
  <c r="AG1072" i="1"/>
  <c r="AF1072" i="1"/>
  <c r="AB1072" i="1"/>
  <c r="AJ122" i="1"/>
  <c r="AI122" i="1"/>
  <c r="AH122" i="1"/>
  <c r="AG122" i="1"/>
  <c r="AF122" i="1"/>
  <c r="AB122" i="1"/>
  <c r="AJ290" i="1"/>
  <c r="AI290" i="1"/>
  <c r="AH290" i="1"/>
  <c r="AG290" i="1"/>
  <c r="AF290" i="1"/>
  <c r="AB290" i="1"/>
  <c r="AJ374" i="1"/>
  <c r="AI374" i="1"/>
  <c r="AH374" i="1"/>
  <c r="AG374" i="1"/>
  <c r="AF374" i="1"/>
  <c r="AB374" i="1"/>
  <c r="AJ542" i="1"/>
  <c r="AI542" i="1"/>
  <c r="AG542" i="1"/>
  <c r="AH542" i="1"/>
  <c r="AF542" i="1"/>
  <c r="AB542" i="1"/>
  <c r="AJ638" i="1"/>
  <c r="AI638" i="1"/>
  <c r="AH638" i="1"/>
  <c r="AG638" i="1"/>
  <c r="AF638" i="1"/>
  <c r="AB638" i="1"/>
  <c r="AJ818" i="1"/>
  <c r="AI818" i="1"/>
  <c r="AH818" i="1"/>
  <c r="AG818" i="1"/>
  <c r="AF818" i="1"/>
  <c r="AB818" i="1"/>
  <c r="AJ914" i="1"/>
  <c r="AI914" i="1"/>
  <c r="AG914" i="1"/>
  <c r="AH914" i="1"/>
  <c r="AF914" i="1"/>
  <c r="AB914" i="1"/>
  <c r="AJ1022" i="1"/>
  <c r="AI1022" i="1"/>
  <c r="AH1022" i="1"/>
  <c r="AG1022" i="1"/>
  <c r="AF1022" i="1"/>
  <c r="AB1022" i="1"/>
  <c r="AJ1106" i="1"/>
  <c r="AI1106" i="1"/>
  <c r="AH1106" i="1"/>
  <c r="AG1106" i="1"/>
  <c r="AF1106" i="1"/>
  <c r="AB1106" i="1"/>
  <c r="AJ1190" i="1"/>
  <c r="AI1190" i="1"/>
  <c r="AG1190" i="1"/>
  <c r="AH1190" i="1"/>
  <c r="AF1190" i="1"/>
  <c r="AB1190" i="1"/>
  <c r="AJ1286" i="1"/>
  <c r="AI1286" i="1"/>
  <c r="AH1286" i="1"/>
  <c r="AG1286" i="1"/>
  <c r="AF1286" i="1"/>
  <c r="AB1286" i="1"/>
  <c r="AJ1586" i="1"/>
  <c r="AI1586" i="1"/>
  <c r="AH1586" i="1"/>
  <c r="AG1586" i="1"/>
  <c r="AF1586" i="1"/>
  <c r="AB1586" i="1"/>
  <c r="AJ1682" i="1"/>
  <c r="AI1682" i="1"/>
  <c r="AH1682" i="1"/>
  <c r="AG1682" i="1"/>
  <c r="AF1682" i="1"/>
  <c r="AB1682" i="1"/>
  <c r="AJ448" i="1"/>
  <c r="AI448" i="1"/>
  <c r="AH448" i="1"/>
  <c r="AG448" i="1"/>
  <c r="AF448" i="1"/>
  <c r="AB448" i="1"/>
  <c r="AJ532" i="1"/>
  <c r="AI532" i="1"/>
  <c r="AH532" i="1"/>
  <c r="AG532" i="1"/>
  <c r="AF532" i="1"/>
  <c r="AB532" i="1"/>
  <c r="AJ604" i="1"/>
  <c r="AI604" i="1"/>
  <c r="AH604" i="1"/>
  <c r="AG604" i="1"/>
  <c r="AF604" i="1"/>
  <c r="AB604" i="1"/>
  <c r="AJ760" i="1"/>
  <c r="AI760" i="1"/>
  <c r="AH760" i="1"/>
  <c r="AG760" i="1"/>
  <c r="AF760" i="1"/>
  <c r="AB760" i="1"/>
  <c r="AJ844" i="1"/>
  <c r="AI844" i="1"/>
  <c r="AG844" i="1"/>
  <c r="AH844" i="1"/>
  <c r="AF844" i="1"/>
  <c r="AB844" i="1"/>
  <c r="AJ916" i="1"/>
  <c r="AI916" i="1"/>
  <c r="AH916" i="1"/>
  <c r="AG916" i="1"/>
  <c r="AF916" i="1"/>
  <c r="AB916" i="1"/>
  <c r="AJ1084" i="1"/>
  <c r="AI1084" i="1"/>
  <c r="AH1084" i="1"/>
  <c r="AG1084" i="1"/>
  <c r="AF1084" i="1"/>
  <c r="AB1084" i="1"/>
  <c r="AJ1636" i="1"/>
  <c r="AI1636" i="1"/>
  <c r="AH1636" i="1"/>
  <c r="AG1636" i="1"/>
  <c r="AF1636" i="1"/>
  <c r="AB1636" i="1"/>
  <c r="AJ1744" i="1"/>
  <c r="AI1744" i="1"/>
  <c r="AH1744" i="1"/>
  <c r="AG1744" i="1"/>
  <c r="AF1744" i="1"/>
  <c r="AB1744" i="1"/>
  <c r="AJ41" i="1"/>
  <c r="AI41" i="1"/>
  <c r="AH41" i="1"/>
  <c r="AG41" i="1"/>
  <c r="AF41" i="1"/>
  <c r="AB41" i="1"/>
  <c r="AJ209" i="1"/>
  <c r="AI209" i="1"/>
  <c r="AH209" i="1"/>
  <c r="AG209" i="1"/>
  <c r="AF209" i="1"/>
  <c r="AB209" i="1"/>
  <c r="AJ653" i="1"/>
  <c r="AI653" i="1"/>
  <c r="AH653" i="1"/>
  <c r="AG653" i="1"/>
  <c r="AF653" i="1"/>
  <c r="AB653" i="1"/>
  <c r="AJ51" i="1"/>
  <c r="AI51" i="1"/>
  <c r="AH51" i="1"/>
  <c r="AG51" i="1"/>
  <c r="AF51" i="1"/>
  <c r="AB51" i="1"/>
  <c r="AJ147" i="1"/>
  <c r="AI147" i="1"/>
  <c r="AH147" i="1"/>
  <c r="AG147" i="1"/>
  <c r="AF147" i="1"/>
  <c r="AB147" i="1"/>
  <c r="AJ291" i="1"/>
  <c r="AI291" i="1"/>
  <c r="AH291" i="1"/>
  <c r="AG291" i="1"/>
  <c r="AF291" i="1"/>
  <c r="AB291" i="1"/>
  <c r="AJ411" i="1"/>
  <c r="AI411" i="1"/>
  <c r="AH411" i="1"/>
  <c r="AG411" i="1"/>
  <c r="AF411" i="1"/>
  <c r="AB411" i="1"/>
  <c r="AJ519" i="1"/>
  <c r="AI519" i="1"/>
  <c r="AH519" i="1"/>
  <c r="AG519" i="1"/>
  <c r="AF519" i="1"/>
  <c r="AB519" i="1"/>
  <c r="AJ591" i="1"/>
  <c r="AI591" i="1"/>
  <c r="AH591" i="1"/>
  <c r="AG591" i="1"/>
  <c r="AF591" i="1"/>
  <c r="AB591" i="1"/>
  <c r="AJ663" i="1"/>
  <c r="AI663" i="1"/>
  <c r="AH663" i="1"/>
  <c r="AG663" i="1"/>
  <c r="AF663" i="1"/>
  <c r="AB663" i="1"/>
  <c r="AJ843" i="1"/>
  <c r="AI843" i="1"/>
  <c r="AH843" i="1"/>
  <c r="AG843" i="1"/>
  <c r="AF843" i="1"/>
  <c r="AB843" i="1"/>
  <c r="AJ951" i="1"/>
  <c r="AI951" i="1"/>
  <c r="AH951" i="1"/>
  <c r="AG951" i="1"/>
  <c r="AF951" i="1"/>
  <c r="AB951" i="1"/>
  <c r="AJ1131" i="1"/>
  <c r="AI1131" i="1"/>
  <c r="AH1131" i="1"/>
  <c r="AG1131" i="1"/>
  <c r="AF1131" i="1"/>
  <c r="AB1131" i="1"/>
  <c r="AJ1203" i="1"/>
  <c r="AI1203" i="1"/>
  <c r="AH1203" i="1"/>
  <c r="AG1203" i="1"/>
  <c r="AF1203" i="1"/>
  <c r="AB1203" i="1"/>
  <c r="AJ1275" i="1"/>
  <c r="AI1275" i="1"/>
  <c r="AH1275" i="1"/>
  <c r="AG1275" i="1"/>
  <c r="AF1275" i="1"/>
  <c r="AB1275" i="1"/>
  <c r="AJ1443" i="1"/>
  <c r="AI1443" i="1"/>
  <c r="AH1443" i="1"/>
  <c r="AG1443" i="1"/>
  <c r="AF1443" i="1"/>
  <c r="AB1443" i="1"/>
  <c r="AJ1683" i="1"/>
  <c r="AI1683" i="1"/>
  <c r="AH1683" i="1"/>
  <c r="AG1683" i="1"/>
  <c r="AF1683" i="1"/>
  <c r="AB1683" i="1"/>
  <c r="AJ1755" i="1"/>
  <c r="AI1755" i="1"/>
  <c r="AH1755" i="1"/>
  <c r="AG1755" i="1"/>
  <c r="AF1755" i="1"/>
  <c r="AB1755" i="1"/>
  <c r="AJ605" i="1"/>
  <c r="AI605" i="1"/>
  <c r="AH605" i="1"/>
  <c r="AG605" i="1"/>
  <c r="AF605" i="1"/>
  <c r="AB605" i="1"/>
  <c r="AJ256" i="1"/>
  <c r="AI256" i="1"/>
  <c r="AH256" i="1"/>
  <c r="AG256" i="1"/>
  <c r="AF256" i="1"/>
  <c r="AB256" i="1"/>
  <c r="AJ1481" i="1"/>
  <c r="AI1481" i="1"/>
  <c r="AH1481" i="1"/>
  <c r="AG1481" i="1"/>
  <c r="AF1481" i="1"/>
  <c r="AB1481" i="1"/>
  <c r="AJ547" i="1"/>
  <c r="AI547" i="1"/>
  <c r="AH547" i="1"/>
  <c r="AG547" i="1"/>
  <c r="AF547" i="1"/>
  <c r="AB547" i="1"/>
  <c r="AJ257" i="1"/>
  <c r="AI257" i="1"/>
  <c r="AH257" i="1"/>
  <c r="AG257" i="1"/>
  <c r="AF257" i="1"/>
  <c r="AB257" i="1"/>
  <c r="AJ377" i="1"/>
  <c r="AI377" i="1"/>
  <c r="AH377" i="1"/>
  <c r="AG377" i="1"/>
  <c r="AF377" i="1"/>
  <c r="AB377" i="1"/>
  <c r="AJ509" i="1"/>
  <c r="AI509" i="1"/>
  <c r="AH509" i="1"/>
  <c r="AG509" i="1"/>
  <c r="AF509" i="1"/>
  <c r="AB509" i="1"/>
  <c r="AJ749" i="1"/>
  <c r="AI749" i="1"/>
  <c r="AH749" i="1"/>
  <c r="AG749" i="1"/>
  <c r="AF749" i="1"/>
  <c r="AB749" i="1"/>
  <c r="Z17" i="1"/>
  <c r="AD17" i="1"/>
  <c r="AJ796" i="1"/>
  <c r="AI796" i="1"/>
  <c r="AH796" i="1"/>
  <c r="AG796" i="1"/>
  <c r="AF796" i="1"/>
  <c r="AB796" i="1"/>
  <c r="AJ19" i="1"/>
  <c r="AI19" i="1"/>
  <c r="AH19" i="1"/>
  <c r="AG19" i="1"/>
  <c r="AF19" i="1"/>
  <c r="AB19" i="1"/>
  <c r="AJ103" i="1"/>
  <c r="AI103" i="1"/>
  <c r="AH103" i="1"/>
  <c r="AG103" i="1"/>
  <c r="AF103" i="1"/>
  <c r="AB103" i="1"/>
  <c r="AJ187" i="1"/>
  <c r="AI187" i="1"/>
  <c r="AH187" i="1"/>
  <c r="AG187" i="1"/>
  <c r="AF187" i="1"/>
  <c r="AB187" i="1"/>
  <c r="AJ499" i="1"/>
  <c r="AI499" i="1"/>
  <c r="AH499" i="1"/>
  <c r="AF499" i="1"/>
  <c r="AG499" i="1"/>
  <c r="AB499" i="1"/>
  <c r="AJ667" i="1"/>
  <c r="AI667" i="1"/>
  <c r="AH667" i="1"/>
  <c r="AG667" i="1"/>
  <c r="AF667" i="1"/>
  <c r="AB667" i="1"/>
  <c r="AJ775" i="1"/>
  <c r="AI775" i="1"/>
  <c r="AH775" i="1"/>
  <c r="AG775" i="1"/>
  <c r="AF775" i="1"/>
  <c r="AB775" i="1"/>
  <c r="AJ871" i="1"/>
  <c r="AI871" i="1"/>
  <c r="AH871" i="1"/>
  <c r="AG871" i="1"/>
  <c r="AF871" i="1"/>
  <c r="AB871" i="1"/>
  <c r="AJ1123" i="1"/>
  <c r="AI1123" i="1"/>
  <c r="AH1123" i="1"/>
  <c r="AG1123" i="1"/>
  <c r="AF1123" i="1"/>
  <c r="AB1123" i="1"/>
  <c r="AJ1195" i="1"/>
  <c r="AI1195" i="1"/>
  <c r="AH1195" i="1"/>
  <c r="AG1195" i="1"/>
  <c r="AF1195" i="1"/>
  <c r="AB1195" i="1"/>
  <c r="AJ1399" i="1"/>
  <c r="AI1399" i="1"/>
  <c r="AH1399" i="1"/>
  <c r="AG1399" i="1"/>
  <c r="AF1399" i="1"/>
  <c r="AB1399" i="1"/>
  <c r="AJ1771" i="1"/>
  <c r="AI1771" i="1"/>
  <c r="AH1771" i="1"/>
  <c r="AG1771" i="1"/>
  <c r="AF1771" i="1"/>
  <c r="AB1771" i="1"/>
  <c r="AJ128" i="1"/>
  <c r="AI128" i="1"/>
  <c r="AH128" i="1"/>
  <c r="AG128" i="1"/>
  <c r="AF128" i="1"/>
  <c r="AB128" i="1"/>
  <c r="AJ188" i="1"/>
  <c r="AI188" i="1"/>
  <c r="AH188" i="1"/>
  <c r="AF188" i="1"/>
  <c r="AG188" i="1"/>
  <c r="AB188" i="1"/>
  <c r="AJ404" i="1"/>
  <c r="AI404" i="1"/>
  <c r="AH404" i="1"/>
  <c r="AG404" i="1"/>
  <c r="AF404" i="1"/>
  <c r="AB404" i="1"/>
  <c r="AJ69" i="1"/>
  <c r="AI69" i="1"/>
  <c r="AH69" i="1"/>
  <c r="AG69" i="1"/>
  <c r="AF69" i="1"/>
  <c r="AB69" i="1"/>
  <c r="AJ153" i="1"/>
  <c r="AI153" i="1"/>
  <c r="AH153" i="1"/>
  <c r="AG153" i="1"/>
  <c r="AF153" i="1"/>
  <c r="AB153" i="1"/>
  <c r="AJ225" i="1"/>
  <c r="AI225" i="1"/>
  <c r="AH225" i="1"/>
  <c r="AG225" i="1"/>
  <c r="AF225" i="1"/>
  <c r="AB225" i="1"/>
  <c r="AJ297" i="1"/>
  <c r="AI297" i="1"/>
  <c r="AH297" i="1"/>
  <c r="AG297" i="1"/>
  <c r="AF297" i="1"/>
  <c r="AB297" i="1"/>
  <c r="AJ369" i="1"/>
  <c r="AI369" i="1"/>
  <c r="AH369" i="1"/>
  <c r="AG369" i="1"/>
  <c r="AF369" i="1"/>
  <c r="AB369" i="1"/>
  <c r="AJ628" i="1"/>
  <c r="AI628" i="1"/>
  <c r="AH628" i="1"/>
  <c r="AG628" i="1"/>
  <c r="AF628" i="1"/>
  <c r="AB628" i="1"/>
  <c r="Z1312" i="1"/>
  <c r="AD1312" i="1"/>
  <c r="AJ661" i="1"/>
  <c r="AI661" i="1"/>
  <c r="AH661" i="1"/>
  <c r="AG661" i="1"/>
  <c r="AF661" i="1"/>
  <c r="AB661" i="1"/>
  <c r="AJ1021" i="1"/>
  <c r="AI1021" i="1"/>
  <c r="AH1021" i="1"/>
  <c r="AG1021" i="1"/>
  <c r="AF1021" i="1"/>
  <c r="AB1021" i="1"/>
  <c r="AJ1597" i="1"/>
  <c r="AI1597" i="1"/>
  <c r="AH1597" i="1"/>
  <c r="AG1597" i="1"/>
  <c r="AF1597" i="1"/>
  <c r="AB1597" i="1"/>
  <c r="AJ1506" i="1"/>
  <c r="AI1506" i="1"/>
  <c r="AH1506" i="1"/>
  <c r="AG1506" i="1"/>
  <c r="AF1506" i="1"/>
  <c r="AB1506" i="1"/>
  <c r="AJ837" i="1"/>
  <c r="AI837" i="1"/>
  <c r="AH837" i="1"/>
  <c r="AF837" i="1"/>
  <c r="AG837" i="1"/>
  <c r="AB837" i="1"/>
  <c r="AJ334" i="1"/>
  <c r="AI334" i="1"/>
  <c r="AH334" i="1"/>
  <c r="AG334" i="1"/>
  <c r="AF334" i="1"/>
  <c r="AB334" i="1"/>
  <c r="AJ1018" i="1"/>
  <c r="AI1018" i="1"/>
  <c r="AH1018" i="1"/>
  <c r="AG1018" i="1"/>
  <c r="AF1018" i="1"/>
  <c r="AB1018" i="1"/>
  <c r="AJ114" i="1"/>
  <c r="AI114" i="1"/>
  <c r="AH114" i="1"/>
  <c r="AG114" i="1"/>
  <c r="AF114" i="1"/>
  <c r="AB114" i="1"/>
  <c r="AJ402" i="1"/>
  <c r="AI402" i="1"/>
  <c r="AH402" i="1"/>
  <c r="AG402" i="1"/>
  <c r="AF402" i="1"/>
  <c r="AB402" i="1"/>
  <c r="AJ726" i="1"/>
  <c r="AI726" i="1"/>
  <c r="AH726" i="1"/>
  <c r="AG726" i="1"/>
  <c r="AF726" i="1"/>
  <c r="AB726" i="1"/>
  <c r="AJ1062" i="1"/>
  <c r="AI1062" i="1"/>
  <c r="AH1062" i="1"/>
  <c r="AG1062" i="1"/>
  <c r="AF1062" i="1"/>
  <c r="AB1062" i="1"/>
  <c r="AJ1398" i="1"/>
  <c r="AI1398" i="1"/>
  <c r="AH1398" i="1"/>
  <c r="AG1398" i="1"/>
  <c r="AF1398" i="1"/>
  <c r="AB1398" i="1"/>
  <c r="AJ465" i="1"/>
  <c r="AI465" i="1"/>
  <c r="AH465" i="1"/>
  <c r="AG465" i="1"/>
  <c r="AF465" i="1"/>
  <c r="AB465" i="1"/>
  <c r="AJ106" i="1"/>
  <c r="AI106" i="1"/>
  <c r="AH106" i="1"/>
  <c r="AG106" i="1"/>
  <c r="AF106" i="1"/>
  <c r="AB106" i="1"/>
  <c r="AJ790" i="1"/>
  <c r="AI790" i="1"/>
  <c r="AH790" i="1"/>
  <c r="AG790" i="1"/>
  <c r="AF790" i="1"/>
  <c r="AB790" i="1"/>
  <c r="AJ935" i="1"/>
  <c r="AI935" i="1"/>
  <c r="AH935" i="1"/>
  <c r="AG935" i="1"/>
  <c r="AF935" i="1"/>
  <c r="AB935" i="1"/>
  <c r="AJ1511" i="1"/>
  <c r="AI1511" i="1"/>
  <c r="AH1511" i="1"/>
  <c r="AG1511" i="1"/>
  <c r="AF1511" i="1"/>
  <c r="AB1511" i="1"/>
  <c r="AJ804" i="1"/>
  <c r="AI804" i="1"/>
  <c r="AH804" i="1"/>
  <c r="AG804" i="1"/>
  <c r="AF804" i="1"/>
  <c r="AB804" i="1"/>
  <c r="AJ1464" i="1"/>
  <c r="AI1464" i="1"/>
  <c r="AH1464" i="1"/>
  <c r="AG1464" i="1"/>
  <c r="AF1464" i="1"/>
  <c r="AB1464" i="1"/>
  <c r="AJ186" i="1"/>
  <c r="AI186" i="1"/>
  <c r="AH186" i="1"/>
  <c r="AG186" i="1"/>
  <c r="AF186" i="1"/>
  <c r="AB186" i="1"/>
  <c r="AJ534" i="1"/>
  <c r="AI534" i="1"/>
  <c r="AH534" i="1"/>
  <c r="AG534" i="1"/>
  <c r="AF534" i="1"/>
  <c r="AB534" i="1"/>
  <c r="AJ834" i="1"/>
  <c r="AI834" i="1"/>
  <c r="AH834" i="1"/>
  <c r="AG834" i="1"/>
  <c r="AF834" i="1"/>
  <c r="AB834" i="1"/>
  <c r="AJ1482" i="1"/>
  <c r="AI1482" i="1"/>
  <c r="AH1482" i="1"/>
  <c r="AG1482" i="1"/>
  <c r="AF1482" i="1"/>
  <c r="AB1482" i="1"/>
  <c r="AJ1509" i="1"/>
  <c r="AI1509" i="1"/>
  <c r="AH1509" i="1"/>
  <c r="AG1509" i="1"/>
  <c r="AF1509" i="1"/>
  <c r="AB1509" i="1"/>
  <c r="AJ214" i="1"/>
  <c r="AI214" i="1"/>
  <c r="AH214" i="1"/>
  <c r="AG214" i="1"/>
  <c r="AF214" i="1"/>
  <c r="AB214" i="1"/>
  <c r="AJ802" i="1"/>
  <c r="AI802" i="1"/>
  <c r="AH802" i="1"/>
  <c r="AG802" i="1"/>
  <c r="AF802" i="1"/>
  <c r="AB802" i="1"/>
  <c r="AJ60" i="1"/>
  <c r="AI60" i="1"/>
  <c r="AH60" i="1"/>
  <c r="AG60" i="1"/>
  <c r="AF60" i="1"/>
  <c r="AB60" i="1"/>
  <c r="AJ1380" i="1"/>
  <c r="AI1380" i="1"/>
  <c r="AH1380" i="1"/>
  <c r="AG1380" i="1"/>
  <c r="AF1380" i="1"/>
  <c r="AB1380" i="1"/>
  <c r="AJ78" i="1"/>
  <c r="AI78" i="1"/>
  <c r="AH78" i="1"/>
  <c r="AG78" i="1"/>
  <c r="AF78" i="1"/>
  <c r="AB78" i="1"/>
  <c r="AJ282" i="1"/>
  <c r="AI282" i="1"/>
  <c r="AH282" i="1"/>
  <c r="AG282" i="1"/>
  <c r="AF282" i="1"/>
  <c r="AB282" i="1"/>
  <c r="AJ498" i="1"/>
  <c r="AI498" i="1"/>
  <c r="AH498" i="1"/>
  <c r="AG498" i="1"/>
  <c r="AF498" i="1"/>
  <c r="AB498" i="1"/>
  <c r="AJ750" i="1"/>
  <c r="AI750" i="1"/>
  <c r="AH750" i="1"/>
  <c r="AG750" i="1"/>
  <c r="AF750" i="1"/>
  <c r="AB750" i="1"/>
  <c r="AJ966" i="1"/>
  <c r="AI966" i="1"/>
  <c r="AH966" i="1"/>
  <c r="AG966" i="1"/>
  <c r="AF966" i="1"/>
  <c r="AB966" i="1"/>
  <c r="AJ1206" i="1"/>
  <c r="AI1206" i="1"/>
  <c r="AH1206" i="1"/>
  <c r="AG1206" i="1"/>
  <c r="AF1206" i="1"/>
  <c r="AB1206" i="1"/>
  <c r="AJ1422" i="1"/>
  <c r="AI1422" i="1"/>
  <c r="AH1422" i="1"/>
  <c r="AG1422" i="1"/>
  <c r="AF1422" i="1"/>
  <c r="AB1422" i="1"/>
  <c r="AJ1710" i="1"/>
  <c r="AI1710" i="1"/>
  <c r="AH1710" i="1"/>
  <c r="AG1710" i="1"/>
  <c r="AF1710" i="1"/>
  <c r="AB1710" i="1"/>
  <c r="AJ585" i="1"/>
  <c r="AI585" i="1"/>
  <c r="AH585" i="1"/>
  <c r="AG585" i="1"/>
  <c r="AF585" i="1"/>
  <c r="AB585" i="1"/>
  <c r="AJ753" i="1"/>
  <c r="AI753" i="1"/>
  <c r="AH753" i="1"/>
  <c r="AF753" i="1"/>
  <c r="AG753" i="1"/>
  <c r="AB753" i="1"/>
  <c r="AJ957" i="1"/>
  <c r="AI957" i="1"/>
  <c r="AH957" i="1"/>
  <c r="AG957" i="1"/>
  <c r="AF957" i="1"/>
  <c r="AB957" i="1"/>
  <c r="AJ1281" i="1"/>
  <c r="AI1281" i="1"/>
  <c r="AH1281" i="1"/>
  <c r="AG1281" i="1"/>
  <c r="AF1281" i="1"/>
  <c r="AB1281" i="1"/>
  <c r="AJ1653" i="1"/>
  <c r="AI1653" i="1"/>
  <c r="AH1653" i="1"/>
  <c r="AG1653" i="1"/>
  <c r="AF1653" i="1"/>
  <c r="AB1653" i="1"/>
  <c r="AJ179" i="1"/>
  <c r="AI179" i="1"/>
  <c r="AH179" i="1"/>
  <c r="AG179" i="1"/>
  <c r="AF179" i="1"/>
  <c r="AB179" i="1"/>
  <c r="AJ359" i="1"/>
  <c r="AI359" i="1"/>
  <c r="AH359" i="1"/>
  <c r="AG359" i="1"/>
  <c r="AF359" i="1"/>
  <c r="AB359" i="1"/>
  <c r="AJ563" i="1"/>
  <c r="AI563" i="1"/>
  <c r="AH563" i="1"/>
  <c r="AG563" i="1"/>
  <c r="AF563" i="1"/>
  <c r="AB563" i="1"/>
  <c r="AJ815" i="1"/>
  <c r="AI815" i="1"/>
  <c r="AH815" i="1"/>
  <c r="AG815" i="1"/>
  <c r="AF815" i="1"/>
  <c r="AB815" i="1"/>
  <c r="AJ1091" i="1"/>
  <c r="AI1091" i="1"/>
  <c r="AH1091" i="1"/>
  <c r="AG1091" i="1"/>
  <c r="AF1091" i="1"/>
  <c r="AB1091" i="1"/>
  <c r="AJ1295" i="1"/>
  <c r="AI1295" i="1"/>
  <c r="AH1295" i="1"/>
  <c r="AG1295" i="1"/>
  <c r="AF1295" i="1"/>
  <c r="AB1295" i="1"/>
  <c r="AJ1499" i="1"/>
  <c r="AI1499" i="1"/>
  <c r="AH1499" i="1"/>
  <c r="AG1499" i="1"/>
  <c r="AF1499" i="1"/>
  <c r="AB1499" i="1"/>
  <c r="AJ1691" i="1"/>
  <c r="AI1691" i="1"/>
  <c r="AH1691" i="1"/>
  <c r="AG1691" i="1"/>
  <c r="AF1691" i="1"/>
  <c r="AB1691" i="1"/>
  <c r="AJ138" i="1"/>
  <c r="AI138" i="1"/>
  <c r="AH138" i="1"/>
  <c r="AG138" i="1"/>
  <c r="AF138" i="1"/>
  <c r="AB138" i="1"/>
  <c r="AJ474" i="1"/>
  <c r="AI474" i="1"/>
  <c r="AH474" i="1"/>
  <c r="AG474" i="1"/>
  <c r="AF474" i="1"/>
  <c r="AB474" i="1"/>
  <c r="AJ762" i="1"/>
  <c r="AI762" i="1"/>
  <c r="AH762" i="1"/>
  <c r="AG762" i="1"/>
  <c r="AF762" i="1"/>
  <c r="AB762" i="1"/>
  <c r="AJ1086" i="1"/>
  <c r="AI1086" i="1"/>
  <c r="AH1086" i="1"/>
  <c r="AG1086" i="1"/>
  <c r="AF1086" i="1"/>
  <c r="AB1086" i="1"/>
  <c r="AJ1410" i="1"/>
  <c r="AI1410" i="1"/>
  <c r="AH1410" i="1"/>
  <c r="AG1410" i="1"/>
  <c r="AF1410" i="1"/>
  <c r="AB1410" i="1"/>
  <c r="AJ1782" i="1"/>
  <c r="AI1782" i="1"/>
  <c r="AH1782" i="1"/>
  <c r="AG1782" i="1"/>
  <c r="AF1782" i="1"/>
  <c r="AB1782" i="1"/>
  <c r="AJ1269" i="1"/>
  <c r="AI1269" i="1"/>
  <c r="AH1269" i="1"/>
  <c r="AG1269" i="1"/>
  <c r="AF1269" i="1"/>
  <c r="AB1269" i="1"/>
  <c r="AJ166" i="1"/>
  <c r="AI166" i="1"/>
  <c r="AH166" i="1"/>
  <c r="AG166" i="1"/>
  <c r="AF166" i="1"/>
  <c r="AB166" i="1"/>
  <c r="AJ838" i="1"/>
  <c r="AI838" i="1"/>
  <c r="AH838" i="1"/>
  <c r="AG838" i="1"/>
  <c r="AF838" i="1"/>
  <c r="AB838" i="1"/>
  <c r="AJ1534" i="1"/>
  <c r="AI1534" i="1"/>
  <c r="AH1534" i="1"/>
  <c r="AG1534" i="1"/>
  <c r="AF1534" i="1"/>
  <c r="AB1534" i="1"/>
  <c r="AJ215" i="1"/>
  <c r="AI215" i="1"/>
  <c r="AH215" i="1"/>
  <c r="AG215" i="1"/>
  <c r="AF215" i="1"/>
  <c r="AB215" i="1"/>
  <c r="AJ695" i="1"/>
  <c r="AI695" i="1"/>
  <c r="AH695" i="1"/>
  <c r="AG695" i="1"/>
  <c r="AF695" i="1"/>
  <c r="AB695" i="1"/>
  <c r="AJ1175" i="1"/>
  <c r="AI1175" i="1"/>
  <c r="AH1175" i="1"/>
  <c r="AG1175" i="1"/>
  <c r="AF1175" i="1"/>
  <c r="AB1175" i="1"/>
  <c r="AJ1751" i="1"/>
  <c r="AI1751" i="1"/>
  <c r="AH1751" i="1"/>
  <c r="AG1751" i="1"/>
  <c r="AF1751" i="1"/>
  <c r="AB1751" i="1"/>
  <c r="AJ564" i="1"/>
  <c r="AI564" i="1"/>
  <c r="AH564" i="1"/>
  <c r="AG564" i="1"/>
  <c r="AF564" i="1"/>
  <c r="AB564" i="1"/>
  <c r="AJ1152" i="1"/>
  <c r="AI1152" i="1"/>
  <c r="AH1152" i="1"/>
  <c r="AG1152" i="1"/>
  <c r="AF1152" i="1"/>
  <c r="AB1152" i="1"/>
  <c r="AJ1699" i="1"/>
  <c r="AI1699" i="1"/>
  <c r="AH1699" i="1"/>
  <c r="AG1699" i="1"/>
  <c r="AF1699" i="1"/>
  <c r="AB1699" i="1"/>
  <c r="AJ238" i="1"/>
  <c r="AI238" i="1"/>
  <c r="AH238" i="1"/>
  <c r="AG238" i="1"/>
  <c r="AF238" i="1"/>
  <c r="AB238" i="1"/>
  <c r="AJ982" i="1"/>
  <c r="AI982" i="1"/>
  <c r="AH982" i="1"/>
  <c r="AG982" i="1"/>
  <c r="AF982" i="1"/>
  <c r="AB982" i="1"/>
  <c r="AJ491" i="1"/>
  <c r="AI491" i="1"/>
  <c r="AH491" i="1"/>
  <c r="AG491" i="1"/>
  <c r="AF491" i="1"/>
  <c r="AB491" i="1"/>
  <c r="AJ911" i="1"/>
  <c r="AI911" i="1"/>
  <c r="AH911" i="1"/>
  <c r="AG911" i="1"/>
  <c r="AF911" i="1"/>
  <c r="AB911" i="1"/>
  <c r="AJ1475" i="1"/>
  <c r="AI1475" i="1"/>
  <c r="AH1475" i="1"/>
  <c r="AG1475" i="1"/>
  <c r="AF1475" i="1"/>
  <c r="AB1475" i="1"/>
  <c r="AJ228" i="1"/>
  <c r="AI228" i="1"/>
  <c r="AH228" i="1"/>
  <c r="AG228" i="1"/>
  <c r="AF228" i="1"/>
  <c r="AB228" i="1"/>
  <c r="AJ864" i="1"/>
  <c r="AI864" i="1"/>
  <c r="AH864" i="1"/>
  <c r="AG864" i="1"/>
  <c r="AF864" i="1"/>
  <c r="AB864" i="1"/>
  <c r="AJ1404" i="1"/>
  <c r="AI1404" i="1"/>
  <c r="AH1404" i="1"/>
  <c r="AG1404" i="1"/>
  <c r="AF1404" i="1"/>
  <c r="AB1404" i="1"/>
  <c r="AJ464" i="1"/>
  <c r="AI464" i="1"/>
  <c r="AH464" i="1"/>
  <c r="AG464" i="1"/>
  <c r="AF464" i="1"/>
  <c r="AB464" i="1"/>
  <c r="AJ704" i="1"/>
  <c r="AI704" i="1"/>
  <c r="AH704" i="1"/>
  <c r="AG704" i="1"/>
  <c r="AF704" i="1"/>
  <c r="AB704" i="1"/>
  <c r="AJ776" i="1"/>
  <c r="AI776" i="1"/>
  <c r="AH776" i="1"/>
  <c r="AG776" i="1"/>
  <c r="AF776" i="1"/>
  <c r="AB776" i="1"/>
  <c r="AJ848" i="1"/>
  <c r="AI848" i="1"/>
  <c r="AH848" i="1"/>
  <c r="AG848" i="1"/>
  <c r="AF848" i="1"/>
  <c r="AB848" i="1"/>
  <c r="AJ992" i="1"/>
  <c r="AI992" i="1"/>
  <c r="AH992" i="1"/>
  <c r="AG992" i="1"/>
  <c r="AF992" i="1"/>
  <c r="AB992" i="1"/>
  <c r="AJ1149" i="1"/>
  <c r="AI1149" i="1"/>
  <c r="AH1149" i="1"/>
  <c r="AG1149" i="1"/>
  <c r="AF1149" i="1"/>
  <c r="AB1149" i="1"/>
  <c r="AJ24" i="1"/>
  <c r="AI24" i="1"/>
  <c r="AH24" i="1"/>
  <c r="AG24" i="1"/>
  <c r="AF24" i="1"/>
  <c r="AB24" i="1"/>
  <c r="AJ1320" i="1"/>
  <c r="AI1320" i="1"/>
  <c r="AH1320" i="1"/>
  <c r="AG1320" i="1"/>
  <c r="AF1320" i="1"/>
  <c r="AB1320" i="1"/>
  <c r="AJ1594" i="1"/>
  <c r="AI1594" i="1"/>
  <c r="AH1594" i="1"/>
  <c r="AG1594" i="1"/>
  <c r="AF1594" i="1"/>
  <c r="AB1594" i="1"/>
  <c r="AJ347" i="1"/>
  <c r="AI347" i="1"/>
  <c r="AH347" i="1"/>
  <c r="AG347" i="1"/>
  <c r="AF347" i="1"/>
  <c r="AB347" i="1"/>
  <c r="AJ588" i="1"/>
  <c r="AI588" i="1"/>
  <c r="AH588" i="1"/>
  <c r="AG588" i="1"/>
  <c r="AF588" i="1"/>
  <c r="AB588" i="1"/>
  <c r="AJ828" i="1"/>
  <c r="AI828" i="1"/>
  <c r="AH828" i="1"/>
  <c r="AG828" i="1"/>
  <c r="AF828" i="1"/>
  <c r="AB828" i="1"/>
  <c r="AJ1624" i="1"/>
  <c r="AI1624" i="1"/>
  <c r="AH1624" i="1"/>
  <c r="AG1624" i="1"/>
  <c r="AF1624" i="1"/>
  <c r="AB1624" i="1"/>
  <c r="AJ185" i="1"/>
  <c r="AI185" i="1"/>
  <c r="AH185" i="1"/>
  <c r="AG185" i="1"/>
  <c r="AF185" i="1"/>
  <c r="AB185" i="1"/>
  <c r="AJ797" i="1"/>
  <c r="AI797" i="1"/>
  <c r="AH797" i="1"/>
  <c r="AG797" i="1"/>
  <c r="AF797" i="1"/>
  <c r="AB797" i="1"/>
  <c r="AJ1037" i="1"/>
  <c r="AI1037" i="1"/>
  <c r="AH1037" i="1"/>
  <c r="AG1037" i="1"/>
  <c r="AF1037" i="1"/>
  <c r="AB1037" i="1"/>
  <c r="AE159" i="1"/>
  <c r="AC159" i="1"/>
  <c r="AE315" i="1"/>
  <c r="AC315" i="1"/>
  <c r="AE281" i="1"/>
  <c r="AC281" i="1"/>
  <c r="AE843" i="1"/>
  <c r="AC843" i="1"/>
  <c r="AE1035" i="1"/>
  <c r="AC1035" i="1"/>
  <c r="AE302" i="1"/>
  <c r="AC302" i="1"/>
  <c r="AE974" i="1"/>
  <c r="AC974" i="1"/>
  <c r="AE1227" i="1"/>
  <c r="AC1227" i="1"/>
  <c r="AE1588" i="1"/>
  <c r="AC1588" i="1"/>
  <c r="AE1336" i="1"/>
  <c r="AC1336" i="1"/>
  <c r="AE1694" i="1"/>
  <c r="AC1694" i="1"/>
  <c r="AE1766" i="1"/>
  <c r="AC1766" i="1"/>
  <c r="AE809" i="1"/>
  <c r="AC809" i="1"/>
  <c r="AE953" i="1"/>
  <c r="AC953" i="1"/>
  <c r="AE1097" i="1"/>
  <c r="AC1097" i="1"/>
  <c r="AE1241" i="1"/>
  <c r="AC1241" i="1"/>
  <c r="AE1385" i="1"/>
  <c r="AC1385" i="1"/>
  <c r="AE1565" i="1"/>
  <c r="AC1565" i="1"/>
  <c r="AE1721" i="1"/>
  <c r="AC1721" i="1"/>
  <c r="AE2" i="1"/>
  <c r="AC2" i="1"/>
  <c r="AE9" i="1"/>
  <c r="AC9" i="1"/>
  <c r="AE93" i="1"/>
  <c r="AC93" i="1"/>
  <c r="AE165" i="1"/>
  <c r="AC165" i="1"/>
  <c r="AE261" i="1"/>
  <c r="AC261" i="1"/>
  <c r="AE333" i="1"/>
  <c r="AC333" i="1"/>
  <c r="AE453" i="1"/>
  <c r="AC453" i="1"/>
  <c r="AE561" i="1"/>
  <c r="AC561" i="1"/>
  <c r="AE70" i="1"/>
  <c r="AC70" i="1"/>
  <c r="AE142" i="1"/>
  <c r="AC142" i="1"/>
  <c r="AE214" i="1"/>
  <c r="AC214" i="1"/>
  <c r="AE286" i="1"/>
  <c r="AC286" i="1"/>
  <c r="AE382" i="1"/>
  <c r="AC382" i="1"/>
  <c r="AE478" i="1"/>
  <c r="AC478" i="1"/>
  <c r="AE610" i="1"/>
  <c r="AC610" i="1"/>
  <c r="AE730" i="1"/>
  <c r="AC730" i="1"/>
  <c r="AE874" i="1"/>
  <c r="AC874" i="1"/>
  <c r="AE1018" i="1"/>
  <c r="AC1018" i="1"/>
  <c r="AE71" i="1"/>
  <c r="AC71" i="1"/>
  <c r="AE155" i="1"/>
  <c r="AC155" i="1"/>
  <c r="AE239" i="1"/>
  <c r="AC239" i="1"/>
  <c r="AE311" i="1"/>
  <c r="AC311" i="1"/>
  <c r="AC419" i="1"/>
  <c r="AE419" i="1"/>
  <c r="AE621" i="1"/>
  <c r="AC621" i="1"/>
  <c r="AE1025" i="1"/>
  <c r="AC1025" i="1"/>
  <c r="AE1601" i="1"/>
  <c r="AC1601" i="1"/>
  <c r="AE502" i="1"/>
  <c r="AC502" i="1"/>
  <c r="AE29" i="1"/>
  <c r="AC29" i="1"/>
  <c r="AE701" i="1"/>
  <c r="AC701" i="1"/>
  <c r="AE1277" i="1"/>
  <c r="AC1277" i="1"/>
  <c r="AE114" i="1"/>
  <c r="AC114" i="1"/>
  <c r="AE802" i="1"/>
  <c r="AC802" i="1"/>
  <c r="AJ1407" i="1"/>
  <c r="AI1407" i="1"/>
  <c r="AH1407" i="1"/>
  <c r="AG1407" i="1"/>
  <c r="AF1407" i="1"/>
  <c r="AB1407" i="1"/>
  <c r="AJ683" i="1"/>
  <c r="AI683" i="1"/>
  <c r="AH683" i="1"/>
  <c r="AG683" i="1"/>
  <c r="AF683" i="1"/>
  <c r="AB683" i="1"/>
  <c r="AE191" i="1"/>
  <c r="AC191" i="1"/>
  <c r="AJ182" i="1"/>
  <c r="AI182" i="1"/>
  <c r="AH182" i="1"/>
  <c r="AG182" i="1"/>
  <c r="AF182" i="1"/>
  <c r="AB182" i="1"/>
  <c r="AJ1623" i="1"/>
  <c r="AI1623" i="1"/>
  <c r="AH1623" i="1"/>
  <c r="AG1623" i="1"/>
  <c r="AF1623" i="1"/>
  <c r="AB1623" i="1"/>
  <c r="AJ50" i="1"/>
  <c r="AI50" i="1"/>
  <c r="AH50" i="1"/>
  <c r="AG50" i="1"/>
  <c r="AF50" i="1"/>
  <c r="AB50" i="1"/>
  <c r="Z134" i="1"/>
  <c r="AD134" i="1"/>
  <c r="AJ206" i="1"/>
  <c r="AI206" i="1"/>
  <c r="AH206" i="1"/>
  <c r="AG206" i="1"/>
  <c r="AF206" i="1"/>
  <c r="AB206" i="1"/>
  <c r="AJ302" i="1"/>
  <c r="AI302" i="1"/>
  <c r="AH302" i="1"/>
  <c r="AG302" i="1"/>
  <c r="AF302" i="1"/>
  <c r="AB302" i="1"/>
  <c r="Z386" i="1"/>
  <c r="AD386" i="1"/>
  <c r="AJ458" i="1"/>
  <c r="AI458" i="1"/>
  <c r="AH458" i="1"/>
  <c r="AG458" i="1"/>
  <c r="AF458" i="1"/>
  <c r="AB458" i="1"/>
  <c r="AJ554" i="1"/>
  <c r="AI554" i="1"/>
  <c r="AH554" i="1"/>
  <c r="AG554" i="1"/>
  <c r="AF554" i="1"/>
  <c r="AB554" i="1"/>
  <c r="Z650" i="1"/>
  <c r="AD650" i="1"/>
  <c r="AJ734" i="1"/>
  <c r="AI734" i="1"/>
  <c r="AH734" i="1"/>
  <c r="AG734" i="1"/>
  <c r="AF734" i="1"/>
  <c r="AB734" i="1"/>
  <c r="AJ830" i="1"/>
  <c r="AI830" i="1"/>
  <c r="AH830" i="1"/>
  <c r="AG830" i="1"/>
  <c r="AF830" i="1"/>
  <c r="AB830" i="1"/>
  <c r="Z926" i="1"/>
  <c r="AD926" i="1"/>
  <c r="AJ1034" i="1"/>
  <c r="AI1034" i="1"/>
  <c r="AH1034" i="1"/>
  <c r="AG1034" i="1"/>
  <c r="AF1034" i="1"/>
  <c r="AB1034" i="1"/>
  <c r="Z1118" i="1"/>
  <c r="AD1118" i="1"/>
  <c r="AJ1202" i="1"/>
  <c r="AI1202" i="1"/>
  <c r="AH1202" i="1"/>
  <c r="AG1202" i="1"/>
  <c r="AF1202" i="1"/>
  <c r="AB1202" i="1"/>
  <c r="AJ1298" i="1"/>
  <c r="AI1298" i="1"/>
  <c r="AH1298" i="1"/>
  <c r="AG1298" i="1"/>
  <c r="AF1298" i="1"/>
  <c r="AB1298" i="1"/>
  <c r="Z1394" i="1"/>
  <c r="AD1394" i="1"/>
  <c r="AJ1502" i="1"/>
  <c r="AI1502" i="1"/>
  <c r="AH1502" i="1"/>
  <c r="AG1502" i="1"/>
  <c r="AF1502" i="1"/>
  <c r="AB1502" i="1"/>
  <c r="AJ1694" i="1"/>
  <c r="AI1694" i="1"/>
  <c r="AH1694" i="1"/>
  <c r="AG1694" i="1"/>
  <c r="AF1694" i="1"/>
  <c r="AB1694" i="1"/>
  <c r="AJ4" i="1"/>
  <c r="AI4" i="1"/>
  <c r="AH4" i="1"/>
  <c r="AG4" i="1"/>
  <c r="AF4" i="1"/>
  <c r="AB4" i="1"/>
  <c r="AJ76" i="1"/>
  <c r="AI76" i="1"/>
  <c r="AH76" i="1"/>
  <c r="AG76" i="1"/>
  <c r="AF76" i="1"/>
  <c r="AB76" i="1"/>
  <c r="AJ148" i="1"/>
  <c r="AI148" i="1"/>
  <c r="AH148" i="1"/>
  <c r="AG148" i="1"/>
  <c r="AF148" i="1"/>
  <c r="AB148" i="1"/>
  <c r="AJ220" i="1"/>
  <c r="AI220" i="1"/>
  <c r="AH220" i="1"/>
  <c r="AG220" i="1"/>
  <c r="AF220" i="1"/>
  <c r="AB220" i="1"/>
  <c r="AJ304" i="1"/>
  <c r="AI304" i="1"/>
  <c r="AH304" i="1"/>
  <c r="AG304" i="1"/>
  <c r="AF304" i="1"/>
  <c r="AB304" i="1"/>
  <c r="AJ376" i="1"/>
  <c r="AI376" i="1"/>
  <c r="AH376" i="1"/>
  <c r="AG376" i="1"/>
  <c r="AF376" i="1"/>
  <c r="AB376" i="1"/>
  <c r="AJ688" i="1"/>
  <c r="AI688" i="1"/>
  <c r="AH688" i="1"/>
  <c r="AG688" i="1"/>
  <c r="AF688" i="1"/>
  <c r="AB688" i="1"/>
  <c r="Z1000" i="1"/>
  <c r="AD1000" i="1"/>
  <c r="Z1096" i="1"/>
  <c r="AD1096" i="1"/>
  <c r="AJ1192" i="1"/>
  <c r="AI1192" i="1"/>
  <c r="AG1192" i="1"/>
  <c r="AH1192" i="1"/>
  <c r="AF1192" i="1"/>
  <c r="AB1192" i="1"/>
  <c r="AJ1288" i="1"/>
  <c r="AI1288" i="1"/>
  <c r="AH1288" i="1"/>
  <c r="AG1288" i="1"/>
  <c r="AF1288" i="1"/>
  <c r="AB1288" i="1"/>
  <c r="Z1396" i="1"/>
  <c r="AD1396" i="1"/>
  <c r="AJ1516" i="1"/>
  <c r="AI1516" i="1"/>
  <c r="AH1516" i="1"/>
  <c r="AG1516" i="1"/>
  <c r="AF1516" i="1"/>
  <c r="AB1516" i="1"/>
  <c r="Z1660" i="1"/>
  <c r="AD1660" i="1"/>
  <c r="Z53" i="1"/>
  <c r="AD53" i="1"/>
  <c r="Z293" i="1"/>
  <c r="AD293" i="1"/>
  <c r="Z689" i="1"/>
  <c r="AD689" i="1"/>
  <c r="AJ1145" i="1"/>
  <c r="AI1145" i="1"/>
  <c r="AH1145" i="1"/>
  <c r="AG1145" i="1"/>
  <c r="AF1145" i="1"/>
  <c r="AB1145" i="1"/>
  <c r="Z1421" i="1"/>
  <c r="AD1421" i="1"/>
  <c r="AJ1709" i="1"/>
  <c r="AI1709" i="1"/>
  <c r="AH1709" i="1"/>
  <c r="AG1709" i="1"/>
  <c r="AF1709" i="1"/>
  <c r="AB1709" i="1"/>
  <c r="Z1315" i="1"/>
  <c r="AD1315" i="1"/>
  <c r="Z75" i="1"/>
  <c r="AD75" i="1"/>
  <c r="Z171" i="1"/>
  <c r="AD171" i="1"/>
  <c r="AJ315" i="1"/>
  <c r="AI315" i="1"/>
  <c r="AH315" i="1"/>
  <c r="AG315" i="1"/>
  <c r="AF315" i="1"/>
  <c r="AB315" i="1"/>
  <c r="Z447" i="1"/>
  <c r="AD447" i="1"/>
  <c r="Z531" i="1"/>
  <c r="AD531" i="1"/>
  <c r="Z603" i="1"/>
  <c r="AD603" i="1"/>
  <c r="Z687" i="1"/>
  <c r="AD687" i="1"/>
  <c r="AJ759" i="1"/>
  <c r="AI759" i="1"/>
  <c r="AH759" i="1"/>
  <c r="AG759" i="1"/>
  <c r="AF759" i="1"/>
  <c r="AB759" i="1"/>
  <c r="Z855" i="1"/>
  <c r="AD855" i="1"/>
  <c r="Z963" i="1"/>
  <c r="AD963" i="1"/>
  <c r="AJ1059" i="1"/>
  <c r="AI1059" i="1"/>
  <c r="AH1059" i="1"/>
  <c r="AG1059" i="1"/>
  <c r="AF1059" i="1"/>
  <c r="AB1059" i="1"/>
  <c r="Z1287" i="1"/>
  <c r="AD1287" i="1"/>
  <c r="AJ1371" i="1"/>
  <c r="AI1371" i="1"/>
  <c r="AH1371" i="1"/>
  <c r="AG1371" i="1"/>
  <c r="AF1371" i="1"/>
  <c r="AB1371" i="1"/>
  <c r="AJ1455" i="1"/>
  <c r="AI1455" i="1"/>
  <c r="AH1455" i="1"/>
  <c r="AG1455" i="1"/>
  <c r="AF1455" i="1"/>
  <c r="AB1455" i="1"/>
  <c r="AJ1527" i="1"/>
  <c r="AI1527" i="1"/>
  <c r="AH1527" i="1"/>
  <c r="AG1527" i="1"/>
  <c r="AF1527" i="1"/>
  <c r="AB1527" i="1"/>
  <c r="AJ1599" i="1"/>
  <c r="AI1599" i="1"/>
  <c r="AH1599" i="1"/>
  <c r="AG1599" i="1"/>
  <c r="AF1599" i="1"/>
  <c r="AB1599" i="1"/>
  <c r="Z641" i="1"/>
  <c r="AD641" i="1"/>
  <c r="AJ1193" i="1"/>
  <c r="AI1193" i="1"/>
  <c r="AH1193" i="1"/>
  <c r="AG1193" i="1"/>
  <c r="AF1193" i="1"/>
  <c r="AB1193" i="1"/>
  <c r="AJ927" i="1"/>
  <c r="AI927" i="1"/>
  <c r="AH927" i="1"/>
  <c r="AG927" i="1"/>
  <c r="AF927" i="1"/>
  <c r="AB927" i="1"/>
  <c r="AJ905" i="1"/>
  <c r="AI905" i="1"/>
  <c r="AH905" i="1"/>
  <c r="AG905" i="1"/>
  <c r="AF905" i="1"/>
  <c r="AB905" i="1"/>
  <c r="AJ1169" i="1"/>
  <c r="AI1169" i="1"/>
  <c r="AH1169" i="1"/>
  <c r="AG1169" i="1"/>
  <c r="AF1169" i="1"/>
  <c r="AB1169" i="1"/>
  <c r="Z1505" i="1"/>
  <c r="AD1505" i="1"/>
  <c r="Z15" i="1"/>
  <c r="AD15" i="1"/>
  <c r="Z1661" i="1"/>
  <c r="AD1661" i="1"/>
  <c r="Z269" i="1"/>
  <c r="AD269" i="1"/>
  <c r="Z401" i="1"/>
  <c r="AD401" i="1"/>
  <c r="Z569" i="1"/>
  <c r="AD569" i="1"/>
  <c r="Z761" i="1"/>
  <c r="AD761" i="1"/>
  <c r="AJ1553" i="1"/>
  <c r="AI1553" i="1"/>
  <c r="AH1553" i="1"/>
  <c r="AG1553" i="1"/>
  <c r="AF1553" i="1"/>
  <c r="AB1553" i="1"/>
  <c r="Z80" i="1"/>
  <c r="AD80" i="1"/>
  <c r="Z31" i="1"/>
  <c r="AD31" i="1"/>
  <c r="Z115" i="1"/>
  <c r="AD115" i="1"/>
  <c r="Z199" i="1"/>
  <c r="AD199" i="1"/>
  <c r="AJ271" i="1"/>
  <c r="AI271" i="1"/>
  <c r="AH271" i="1"/>
  <c r="AG271" i="1"/>
  <c r="AF271" i="1"/>
  <c r="AB271" i="1"/>
  <c r="AJ343" i="1"/>
  <c r="AI343" i="1"/>
  <c r="AH343" i="1"/>
  <c r="AG343" i="1"/>
  <c r="AF343" i="1"/>
  <c r="AB343" i="1"/>
  <c r="AJ415" i="1"/>
  <c r="AI415" i="1"/>
  <c r="AH415" i="1"/>
  <c r="AG415" i="1"/>
  <c r="AF415" i="1"/>
  <c r="AB415" i="1"/>
  <c r="Z511" i="1"/>
  <c r="AD511" i="1"/>
  <c r="AJ595" i="1"/>
  <c r="AI595" i="1"/>
  <c r="AH595" i="1"/>
  <c r="AG595" i="1"/>
  <c r="AF595" i="1"/>
  <c r="AB595" i="1"/>
  <c r="AJ679" i="1"/>
  <c r="AI679" i="1"/>
  <c r="AH679" i="1"/>
  <c r="AF679" i="1"/>
  <c r="AG679" i="1"/>
  <c r="AB679" i="1"/>
  <c r="AJ787" i="1"/>
  <c r="AI787" i="1"/>
  <c r="AH787" i="1"/>
  <c r="AF787" i="1"/>
  <c r="AG787" i="1"/>
  <c r="AB787" i="1"/>
  <c r="Z883" i="1"/>
  <c r="AD883" i="1"/>
  <c r="AJ967" i="1"/>
  <c r="AI967" i="1"/>
  <c r="AH967" i="1"/>
  <c r="AF967" i="1"/>
  <c r="AG967" i="1"/>
  <c r="AB967" i="1"/>
  <c r="AJ1039" i="1"/>
  <c r="AI1039" i="1"/>
  <c r="AH1039" i="1"/>
  <c r="AG1039" i="1"/>
  <c r="AF1039" i="1"/>
  <c r="AB1039" i="1"/>
  <c r="AJ1135" i="1"/>
  <c r="AI1135" i="1"/>
  <c r="AH1135" i="1"/>
  <c r="AG1135" i="1"/>
  <c r="AF1135" i="1"/>
  <c r="AB1135" i="1"/>
  <c r="Z1207" i="1"/>
  <c r="AD1207" i="1"/>
  <c r="AJ1315" i="1"/>
  <c r="AI1315" i="1"/>
  <c r="AH1315" i="1"/>
  <c r="AG1315" i="1"/>
  <c r="AF1315" i="1"/>
  <c r="AB1315" i="1"/>
  <c r="Z1411" i="1"/>
  <c r="AD1411" i="1"/>
  <c r="AJ1483" i="1"/>
  <c r="AI1483" i="1"/>
  <c r="AH1483" i="1"/>
  <c r="AG1483" i="1"/>
  <c r="AF1483" i="1"/>
  <c r="AB1483" i="1"/>
  <c r="AJ1579" i="1"/>
  <c r="AI1579" i="1"/>
  <c r="AH1579" i="1"/>
  <c r="AG1579" i="1"/>
  <c r="AF1579" i="1"/>
  <c r="AB1579" i="1"/>
  <c r="Z1687" i="1"/>
  <c r="AD1687" i="1"/>
  <c r="AJ1783" i="1"/>
  <c r="AI1783" i="1"/>
  <c r="AH1783" i="1"/>
  <c r="AG1783" i="1"/>
  <c r="AF1783" i="1"/>
  <c r="AB1783" i="1"/>
  <c r="AJ152" i="1"/>
  <c r="AI152" i="1"/>
  <c r="AH152" i="1"/>
  <c r="AG152" i="1"/>
  <c r="AF152" i="1"/>
  <c r="AB152" i="1"/>
  <c r="AJ320" i="1"/>
  <c r="AI320" i="1"/>
  <c r="AH320" i="1"/>
  <c r="AG320" i="1"/>
  <c r="AF320" i="1"/>
  <c r="AB320" i="1"/>
  <c r="AJ416" i="1"/>
  <c r="AI416" i="1"/>
  <c r="AH416" i="1"/>
  <c r="AG416" i="1"/>
  <c r="AF416" i="1"/>
  <c r="AB416" i="1"/>
  <c r="Z212" i="1"/>
  <c r="AD212" i="1"/>
  <c r="Z428" i="1"/>
  <c r="AD428" i="1"/>
  <c r="AJ536" i="1"/>
  <c r="AI536" i="1"/>
  <c r="AH536" i="1"/>
  <c r="AG536" i="1"/>
  <c r="AF536" i="1"/>
  <c r="AB536" i="1"/>
  <c r="Z81" i="1"/>
  <c r="AD81" i="1"/>
  <c r="Z165" i="1"/>
  <c r="AD165" i="1"/>
  <c r="Z237" i="1"/>
  <c r="AD237" i="1"/>
  <c r="Z309" i="1"/>
  <c r="AD309" i="1"/>
  <c r="Z381" i="1"/>
  <c r="AD381" i="1"/>
  <c r="AJ1023" i="1"/>
  <c r="AI1023" i="1"/>
  <c r="AH1023" i="1"/>
  <c r="AG1023" i="1"/>
  <c r="AF1023" i="1"/>
  <c r="AB1023" i="1"/>
  <c r="Z329" i="1"/>
  <c r="AD329" i="1"/>
  <c r="Z1733" i="1"/>
  <c r="AD1733" i="1"/>
  <c r="AJ13" i="1"/>
  <c r="AI13" i="1"/>
  <c r="AH13" i="1"/>
  <c r="AG13" i="1"/>
  <c r="AF13" i="1"/>
  <c r="AB13" i="1"/>
  <c r="AJ85" i="1"/>
  <c r="AI85" i="1"/>
  <c r="AH85" i="1"/>
  <c r="AG85" i="1"/>
  <c r="AF85" i="1"/>
  <c r="AB85" i="1"/>
  <c r="AJ157" i="1"/>
  <c r="AI157" i="1"/>
  <c r="AH157" i="1"/>
  <c r="AG157" i="1"/>
  <c r="AF157" i="1"/>
  <c r="AB157" i="1"/>
  <c r="AJ229" i="1"/>
  <c r="AI229" i="1"/>
  <c r="AH229" i="1"/>
  <c r="AG229" i="1"/>
  <c r="AF229" i="1"/>
  <c r="AB229" i="1"/>
  <c r="AJ301" i="1"/>
  <c r="AI301" i="1"/>
  <c r="AH301" i="1"/>
  <c r="AG301" i="1"/>
  <c r="AF301" i="1"/>
  <c r="AB301" i="1"/>
  <c r="AJ373" i="1"/>
  <c r="AI373" i="1"/>
  <c r="AH373" i="1"/>
  <c r="AG373" i="1"/>
  <c r="AF373" i="1"/>
  <c r="AB373" i="1"/>
  <c r="AJ445" i="1"/>
  <c r="AI445" i="1"/>
  <c r="AH445" i="1"/>
  <c r="AG445" i="1"/>
  <c r="AF445" i="1"/>
  <c r="AB445" i="1"/>
  <c r="AJ517" i="1"/>
  <c r="AI517" i="1"/>
  <c r="AH517" i="1"/>
  <c r="AG517" i="1"/>
  <c r="AF517" i="1"/>
  <c r="AB517" i="1"/>
  <c r="AJ589" i="1"/>
  <c r="AI589" i="1"/>
  <c r="AG589" i="1"/>
  <c r="AH589" i="1"/>
  <c r="AF589" i="1"/>
  <c r="AB589" i="1"/>
  <c r="AJ733" i="1"/>
  <c r="AI733" i="1"/>
  <c r="AH733" i="1"/>
  <c r="AG733" i="1"/>
  <c r="AF733" i="1"/>
  <c r="AB733" i="1"/>
  <c r="AJ805" i="1"/>
  <c r="AI805" i="1"/>
  <c r="AH805" i="1"/>
  <c r="AG805" i="1"/>
  <c r="AF805" i="1"/>
  <c r="AB805" i="1"/>
  <c r="AJ877" i="1"/>
  <c r="AI877" i="1"/>
  <c r="AG877" i="1"/>
  <c r="AH877" i="1"/>
  <c r="AF877" i="1"/>
  <c r="AB877" i="1"/>
  <c r="AJ949" i="1"/>
  <c r="AI949" i="1"/>
  <c r="AH949" i="1"/>
  <c r="AG949" i="1"/>
  <c r="AF949" i="1"/>
  <c r="AB949" i="1"/>
  <c r="AJ1093" i="1"/>
  <c r="AI1093" i="1"/>
  <c r="AH1093" i="1"/>
  <c r="AG1093" i="1"/>
  <c r="AF1093" i="1"/>
  <c r="AB1093" i="1"/>
  <c r="AJ1165" i="1"/>
  <c r="AI1165" i="1"/>
  <c r="AH1165" i="1"/>
  <c r="AG1165" i="1"/>
  <c r="AF1165" i="1"/>
  <c r="AB1165" i="1"/>
  <c r="AJ1237" i="1"/>
  <c r="AI1237" i="1"/>
  <c r="AH1237" i="1"/>
  <c r="AG1237" i="1"/>
  <c r="AF1237" i="1"/>
  <c r="AB1237" i="1"/>
  <c r="AJ1309" i="1"/>
  <c r="AI1309" i="1"/>
  <c r="AH1309" i="1"/>
  <c r="AG1309" i="1"/>
  <c r="AF1309" i="1"/>
  <c r="AB1309" i="1"/>
  <c r="AJ1381" i="1"/>
  <c r="AI1381" i="1"/>
  <c r="AH1381" i="1"/>
  <c r="AG1381" i="1"/>
  <c r="AF1381" i="1"/>
  <c r="AB1381" i="1"/>
  <c r="AJ1453" i="1"/>
  <c r="AI1453" i="1"/>
  <c r="AH1453" i="1"/>
  <c r="AG1453" i="1"/>
  <c r="AF1453" i="1"/>
  <c r="AB1453" i="1"/>
  <c r="AJ1525" i="1"/>
  <c r="AI1525" i="1"/>
  <c r="AH1525" i="1"/>
  <c r="AG1525" i="1"/>
  <c r="AF1525" i="1"/>
  <c r="AB1525" i="1"/>
  <c r="AJ1669" i="1"/>
  <c r="AI1669" i="1"/>
  <c r="AG1669" i="1"/>
  <c r="AH1669" i="1"/>
  <c r="AF1669" i="1"/>
  <c r="AB1669" i="1"/>
  <c r="AJ1741" i="1"/>
  <c r="AI1741" i="1"/>
  <c r="AH1741" i="1"/>
  <c r="AG1741" i="1"/>
  <c r="AF1741" i="1"/>
  <c r="AB1741" i="1"/>
  <c r="AJ441" i="1"/>
  <c r="AI441" i="1"/>
  <c r="AH441" i="1"/>
  <c r="AF441" i="1"/>
  <c r="AG441" i="1"/>
  <c r="AB441" i="1"/>
  <c r="AJ633" i="1"/>
  <c r="AI633" i="1"/>
  <c r="AH633" i="1"/>
  <c r="AG633" i="1"/>
  <c r="AF633" i="1"/>
  <c r="AB633" i="1"/>
  <c r="AJ1089" i="1"/>
  <c r="AI1089" i="1"/>
  <c r="AH1089" i="1"/>
  <c r="AG1089" i="1"/>
  <c r="AF1089" i="1"/>
  <c r="AB1089" i="1"/>
  <c r="AJ1413" i="1"/>
  <c r="AI1413" i="1"/>
  <c r="AH1413" i="1"/>
  <c r="AG1413" i="1"/>
  <c r="AF1413" i="1"/>
  <c r="AB1413" i="1"/>
  <c r="AJ1713" i="1"/>
  <c r="AI1713" i="1"/>
  <c r="AH1713" i="1"/>
  <c r="AG1713" i="1"/>
  <c r="AF1713" i="1"/>
  <c r="AB1713" i="1"/>
  <c r="AJ94" i="1"/>
  <c r="AI94" i="1"/>
  <c r="AH94" i="1"/>
  <c r="AG94" i="1"/>
  <c r="AF94" i="1"/>
  <c r="AB94" i="1"/>
  <c r="AJ490" i="1"/>
  <c r="AI490" i="1"/>
  <c r="AH490" i="1"/>
  <c r="AG490" i="1"/>
  <c r="AF490" i="1"/>
  <c r="AB490" i="1"/>
  <c r="AJ706" i="1"/>
  <c r="AI706" i="1"/>
  <c r="AH706" i="1"/>
  <c r="AG706" i="1"/>
  <c r="AF706" i="1"/>
  <c r="AB706" i="1"/>
  <c r="AJ874" i="1"/>
  <c r="AI874" i="1"/>
  <c r="AH874" i="1"/>
  <c r="AG874" i="1"/>
  <c r="AF874" i="1"/>
  <c r="AB874" i="1"/>
  <c r="AJ1186" i="1"/>
  <c r="AI1186" i="1"/>
  <c r="AH1186" i="1"/>
  <c r="AG1186" i="1"/>
  <c r="AF1186" i="1"/>
  <c r="AB1186" i="1"/>
  <c r="AJ1366" i="1"/>
  <c r="AI1366" i="1"/>
  <c r="AH1366" i="1"/>
  <c r="AG1366" i="1"/>
  <c r="AF1366" i="1"/>
  <c r="AB1366" i="1"/>
  <c r="AJ1546" i="1"/>
  <c r="AI1546" i="1"/>
  <c r="AH1546" i="1"/>
  <c r="AG1546" i="1"/>
  <c r="AF1546" i="1"/>
  <c r="AB1546" i="1"/>
  <c r="AJ854" i="1"/>
  <c r="AI854" i="1"/>
  <c r="AH854" i="1"/>
  <c r="AG854" i="1"/>
  <c r="AF854" i="1"/>
  <c r="AB854" i="1"/>
  <c r="Z162" i="1"/>
  <c r="AD162" i="1"/>
  <c r="Z450" i="1"/>
  <c r="AD450" i="1"/>
  <c r="Z798" i="1"/>
  <c r="AD798" i="1"/>
  <c r="Z1110" i="1"/>
  <c r="AD1110" i="1"/>
  <c r="Z1458" i="1"/>
  <c r="AD1458" i="1"/>
  <c r="Z777" i="1"/>
  <c r="AD777" i="1"/>
  <c r="Z1353" i="1"/>
  <c r="AD1353" i="1"/>
  <c r="Z202" i="1"/>
  <c r="AD202" i="1"/>
  <c r="AJ922" i="1"/>
  <c r="AI922" i="1"/>
  <c r="AH922" i="1"/>
  <c r="AG922" i="1"/>
  <c r="AF922" i="1"/>
  <c r="AB922" i="1"/>
  <c r="Z1606" i="1"/>
  <c r="AD1606" i="1"/>
  <c r="Z1019" i="1"/>
  <c r="AD1019" i="1"/>
  <c r="Z1571" i="1"/>
  <c r="AD1571" i="1"/>
  <c r="Z300" i="1"/>
  <c r="AD300" i="1"/>
  <c r="Z900" i="1"/>
  <c r="AD900" i="1"/>
  <c r="Z1584" i="1"/>
  <c r="AD1584" i="1"/>
  <c r="Z270" i="1"/>
  <c r="AD270" i="1"/>
  <c r="Z594" i="1"/>
  <c r="AD594" i="1"/>
  <c r="Z870" i="1"/>
  <c r="AD870" i="1"/>
  <c r="Z1194" i="1"/>
  <c r="AD1194" i="1"/>
  <c r="AJ1542" i="1"/>
  <c r="AI1542" i="1"/>
  <c r="AH1542" i="1"/>
  <c r="AG1542" i="1"/>
  <c r="AF1542" i="1"/>
  <c r="AB1542" i="1"/>
  <c r="Z1101" i="1"/>
  <c r="AD1101" i="1"/>
  <c r="AJ1593" i="1"/>
  <c r="AI1593" i="1"/>
  <c r="AH1593" i="1"/>
  <c r="AG1593" i="1"/>
  <c r="AF1593" i="1"/>
  <c r="AB1593" i="1"/>
  <c r="Z298" i="1"/>
  <c r="AD298" i="1"/>
  <c r="Z946" i="1"/>
  <c r="AD946" i="1"/>
  <c r="Z1678" i="1"/>
  <c r="AD1678" i="1"/>
  <c r="AJ156" i="1"/>
  <c r="AI156" i="1"/>
  <c r="AH156" i="1"/>
  <c r="AG156" i="1"/>
  <c r="AF156" i="1"/>
  <c r="AB156" i="1"/>
  <c r="Z840" i="1"/>
  <c r="AD840" i="1"/>
  <c r="AJ1488" i="1"/>
  <c r="AI1488" i="1"/>
  <c r="AH1488" i="1"/>
  <c r="AG1488" i="1"/>
  <c r="AF1488" i="1"/>
  <c r="AB1488" i="1"/>
  <c r="Z102" i="1"/>
  <c r="AD102" i="1"/>
  <c r="Z318" i="1"/>
  <c r="AD318" i="1"/>
  <c r="Z546" i="1"/>
  <c r="AD546" i="1"/>
  <c r="Z786" i="1"/>
  <c r="AD786" i="1"/>
  <c r="Z1002" i="1"/>
  <c r="AD1002" i="1"/>
  <c r="Z1242" i="1"/>
  <c r="AD1242" i="1"/>
  <c r="Z1470" i="1"/>
  <c r="AD1470" i="1"/>
  <c r="Z1758" i="1"/>
  <c r="AD1758" i="1"/>
  <c r="Z609" i="1"/>
  <c r="AD609" i="1"/>
  <c r="Z789" i="1"/>
  <c r="AD789" i="1"/>
  <c r="AJ1005" i="1"/>
  <c r="AI1005" i="1"/>
  <c r="AH1005" i="1"/>
  <c r="AF1005" i="1"/>
  <c r="AG1005" i="1"/>
  <c r="AB1005" i="1"/>
  <c r="AJ1329" i="1"/>
  <c r="AI1329" i="1"/>
  <c r="AH1329" i="1"/>
  <c r="AG1329" i="1"/>
  <c r="AF1329" i="1"/>
  <c r="AB1329" i="1"/>
  <c r="AJ1737" i="1"/>
  <c r="AI1737" i="1"/>
  <c r="AH1737" i="1"/>
  <c r="AG1737" i="1"/>
  <c r="AF1737" i="1"/>
  <c r="AB1737" i="1"/>
  <c r="Z203" i="1"/>
  <c r="AD203" i="1"/>
  <c r="Z383" i="1"/>
  <c r="AD383" i="1"/>
  <c r="Z611" i="1"/>
  <c r="AD611" i="1"/>
  <c r="Z851" i="1"/>
  <c r="AD851" i="1"/>
  <c r="Z1139" i="1"/>
  <c r="AD1139" i="1"/>
  <c r="Z1319" i="1"/>
  <c r="AD1319" i="1"/>
  <c r="Z1547" i="1"/>
  <c r="AD1547" i="1"/>
  <c r="Z1703" i="1"/>
  <c r="AD1703" i="1"/>
  <c r="Z198" i="1"/>
  <c r="AD198" i="1"/>
  <c r="Z522" i="1"/>
  <c r="AD522" i="1"/>
  <c r="Z822" i="1"/>
  <c r="AD822" i="1"/>
  <c r="Z1146" i="1"/>
  <c r="AD1146" i="1"/>
  <c r="Z1446" i="1"/>
  <c r="AD1446" i="1"/>
  <c r="AJ645" i="1"/>
  <c r="AI645" i="1"/>
  <c r="AH645" i="1"/>
  <c r="AF645" i="1"/>
  <c r="AG645" i="1"/>
  <c r="AB645" i="1"/>
  <c r="Z1389" i="1"/>
  <c r="AD1389" i="1"/>
  <c r="Z250" i="1"/>
  <c r="AD250" i="1"/>
  <c r="AJ970" i="1"/>
  <c r="AI970" i="1"/>
  <c r="AH970" i="1"/>
  <c r="AG970" i="1"/>
  <c r="AF970" i="1"/>
  <c r="AB970" i="1"/>
  <c r="Z1654" i="1"/>
  <c r="AD1654" i="1"/>
  <c r="AJ287" i="1"/>
  <c r="AI287" i="1"/>
  <c r="AH287" i="1"/>
  <c r="AG287" i="1"/>
  <c r="AF287" i="1"/>
  <c r="AB287" i="1"/>
  <c r="Z755" i="1"/>
  <c r="AD755" i="1"/>
  <c r="Z1283" i="1"/>
  <c r="AD1283" i="1"/>
  <c r="Z84" i="1"/>
  <c r="AD84" i="1"/>
  <c r="AJ660" i="1"/>
  <c r="AI660" i="1"/>
  <c r="AH660" i="1"/>
  <c r="AG660" i="1"/>
  <c r="AF660" i="1"/>
  <c r="AB660" i="1"/>
  <c r="Z1284" i="1"/>
  <c r="AD1284" i="1"/>
  <c r="AJ463" i="1"/>
  <c r="AI463" i="1"/>
  <c r="AH463" i="1"/>
  <c r="AF463" i="1"/>
  <c r="AG463" i="1"/>
  <c r="AB463" i="1"/>
  <c r="AJ1219" i="1"/>
  <c r="AI1219" i="1"/>
  <c r="AH1219" i="1"/>
  <c r="AG1219" i="1"/>
  <c r="AF1219" i="1"/>
  <c r="AB1219" i="1"/>
  <c r="Z358" i="1"/>
  <c r="AD358" i="1"/>
  <c r="Z1114" i="1"/>
  <c r="AD1114" i="1"/>
  <c r="Z59" i="1"/>
  <c r="AD59" i="1"/>
  <c r="Z575" i="1"/>
  <c r="AD575" i="1"/>
  <c r="Z983" i="1"/>
  <c r="AD983" i="1"/>
  <c r="Z1583" i="1"/>
  <c r="AD1583" i="1"/>
  <c r="Z336" i="1"/>
  <c r="AD336" i="1"/>
  <c r="Z960" i="1"/>
  <c r="AD960" i="1"/>
  <c r="Z1536" i="1"/>
  <c r="AD1536" i="1"/>
  <c r="AJ632" i="1"/>
  <c r="AI632" i="1"/>
  <c r="AH632" i="1"/>
  <c r="AG632" i="1"/>
  <c r="AF632" i="1"/>
  <c r="AB632" i="1"/>
  <c r="AJ920" i="1"/>
  <c r="AI920" i="1"/>
  <c r="AH920" i="1"/>
  <c r="AG920" i="1"/>
  <c r="AF920" i="1"/>
  <c r="AB920" i="1"/>
  <c r="AJ1064" i="1"/>
  <c r="AI1064" i="1"/>
  <c r="AH1064" i="1"/>
  <c r="AG1064" i="1"/>
  <c r="AF1064" i="1"/>
  <c r="AB1064" i="1"/>
  <c r="AJ1136" i="1"/>
  <c r="AI1136" i="1"/>
  <c r="AH1136" i="1"/>
  <c r="AG1136" i="1"/>
  <c r="AF1136" i="1"/>
  <c r="AB1136" i="1"/>
  <c r="AJ1208" i="1"/>
  <c r="AI1208" i="1"/>
  <c r="AH1208" i="1"/>
  <c r="AG1208" i="1"/>
  <c r="AF1208" i="1"/>
  <c r="AB1208" i="1"/>
  <c r="AJ1280" i="1"/>
  <c r="AI1280" i="1"/>
  <c r="AH1280" i="1"/>
  <c r="AG1280" i="1"/>
  <c r="AF1280" i="1"/>
  <c r="AB1280" i="1"/>
  <c r="AJ1352" i="1"/>
  <c r="AI1352" i="1"/>
  <c r="AH1352" i="1"/>
  <c r="AG1352" i="1"/>
  <c r="AF1352" i="1"/>
  <c r="AB1352" i="1"/>
  <c r="AJ1424" i="1"/>
  <c r="AI1424" i="1"/>
  <c r="AH1424" i="1"/>
  <c r="AG1424" i="1"/>
  <c r="AF1424" i="1"/>
  <c r="AB1424" i="1"/>
  <c r="AJ1496" i="1"/>
  <c r="AI1496" i="1"/>
  <c r="AH1496" i="1"/>
  <c r="AG1496" i="1"/>
  <c r="AF1496" i="1"/>
  <c r="AB1496" i="1"/>
  <c r="AJ1568" i="1"/>
  <c r="AI1568" i="1"/>
  <c r="AH1568" i="1"/>
  <c r="AG1568" i="1"/>
  <c r="AF1568" i="1"/>
  <c r="AB1568" i="1"/>
  <c r="AJ1640" i="1"/>
  <c r="AI1640" i="1"/>
  <c r="AH1640" i="1"/>
  <c r="AG1640" i="1"/>
  <c r="AF1640" i="1"/>
  <c r="AB1640" i="1"/>
  <c r="AJ1712" i="1"/>
  <c r="AI1712" i="1"/>
  <c r="AH1712" i="1"/>
  <c r="AG1712" i="1"/>
  <c r="AF1712" i="1"/>
  <c r="AB1712" i="1"/>
  <c r="AJ1784" i="1"/>
  <c r="AI1784" i="1"/>
  <c r="AH1784" i="1"/>
  <c r="AG1784" i="1"/>
  <c r="AF1784" i="1"/>
  <c r="AB1784" i="1"/>
  <c r="AJ1725" i="1"/>
  <c r="AI1725" i="1"/>
  <c r="AH1725" i="1"/>
  <c r="AG1725" i="1"/>
  <c r="AF1725" i="1"/>
  <c r="AB1725" i="1"/>
  <c r="AJ634" i="1"/>
  <c r="AI634" i="1"/>
  <c r="AH634" i="1"/>
  <c r="AG634" i="1"/>
  <c r="AF634" i="1"/>
  <c r="AB634" i="1"/>
  <c r="AJ1510" i="1"/>
  <c r="AI1510" i="1"/>
  <c r="AH1510" i="1"/>
  <c r="AG1510" i="1"/>
  <c r="AF1510" i="1"/>
  <c r="AB1510" i="1"/>
  <c r="AJ263" i="1"/>
  <c r="AI263" i="1"/>
  <c r="AH263" i="1"/>
  <c r="AG263" i="1"/>
  <c r="AF263" i="1"/>
  <c r="AB263" i="1"/>
  <c r="AJ743" i="1"/>
  <c r="AI743" i="1"/>
  <c r="AH743" i="1"/>
  <c r="AG743" i="1"/>
  <c r="AF743" i="1"/>
  <c r="AB743" i="1"/>
  <c r="AJ1223" i="1"/>
  <c r="AI1223" i="1"/>
  <c r="AH1223" i="1"/>
  <c r="AG1223" i="1"/>
  <c r="AF1223" i="1"/>
  <c r="AB1223" i="1"/>
  <c r="AJ624" i="1"/>
  <c r="AI624" i="1"/>
  <c r="AH624" i="1"/>
  <c r="AG624" i="1"/>
  <c r="AF624" i="1"/>
  <c r="AB624" i="1"/>
  <c r="AJ1701" i="1"/>
  <c r="AI1701" i="1"/>
  <c r="AH1701" i="1"/>
  <c r="AG1701" i="1"/>
  <c r="AF1701" i="1"/>
  <c r="AB1701" i="1"/>
  <c r="AJ778" i="1"/>
  <c r="AI778" i="1"/>
  <c r="AH778" i="1"/>
  <c r="AG778" i="1"/>
  <c r="AF778" i="1"/>
  <c r="AB778" i="1"/>
  <c r="AJ731" i="1"/>
  <c r="AI731" i="1"/>
  <c r="AH731" i="1"/>
  <c r="AG731" i="1"/>
  <c r="AF731" i="1"/>
  <c r="AB731" i="1"/>
  <c r="AJ1235" i="1"/>
  <c r="AI1235" i="1"/>
  <c r="AH1235" i="1"/>
  <c r="AG1235" i="1"/>
  <c r="AF1235" i="1"/>
  <c r="AB1235" i="1"/>
  <c r="AJ72" i="1"/>
  <c r="AI72" i="1"/>
  <c r="AH72" i="1"/>
  <c r="AG72" i="1"/>
  <c r="AF72" i="1"/>
  <c r="AB72" i="1"/>
  <c r="AJ1224" i="1"/>
  <c r="AI1224" i="1"/>
  <c r="AH1224" i="1"/>
  <c r="AG1224" i="1"/>
  <c r="AF1224" i="1"/>
  <c r="AB1224" i="1"/>
  <c r="AJ48" i="1"/>
  <c r="AI48" i="1"/>
  <c r="AH48" i="1"/>
  <c r="AG48" i="1"/>
  <c r="AF48" i="1"/>
  <c r="AB48" i="1"/>
  <c r="AJ312" i="1"/>
  <c r="AI312" i="1"/>
  <c r="AH312" i="1"/>
  <c r="AG312" i="1"/>
  <c r="AF312" i="1"/>
  <c r="AB312" i="1"/>
  <c r="AJ576" i="1"/>
  <c r="AI576" i="1"/>
  <c r="AH576" i="1"/>
  <c r="AG576" i="1"/>
  <c r="AF576" i="1"/>
  <c r="AB576" i="1"/>
  <c r="AJ1092" i="1"/>
  <c r="AI1092" i="1"/>
  <c r="AH1092" i="1"/>
  <c r="AG1092" i="1"/>
  <c r="AF1092" i="1"/>
  <c r="AB1092" i="1"/>
  <c r="AJ1272" i="1"/>
  <c r="AI1272" i="1"/>
  <c r="AH1272" i="1"/>
  <c r="AG1272" i="1"/>
  <c r="AF1272" i="1"/>
  <c r="AB1272" i="1"/>
  <c r="AJ1476" i="1"/>
  <c r="AI1476" i="1"/>
  <c r="AH1476" i="1"/>
  <c r="AG1476" i="1"/>
  <c r="AF1476" i="1"/>
  <c r="AB1476" i="1"/>
  <c r="AJ1692" i="1"/>
  <c r="AI1692" i="1"/>
  <c r="AH1692" i="1"/>
  <c r="AG1692" i="1"/>
  <c r="AF1692" i="1"/>
  <c r="AB1692" i="1"/>
  <c r="AJ1648" i="1"/>
  <c r="AI1648" i="1"/>
  <c r="AH1648" i="1"/>
  <c r="AG1648" i="1"/>
  <c r="AF1648" i="1"/>
  <c r="AB1648" i="1"/>
  <c r="AJ221" i="1"/>
  <c r="AI221" i="1"/>
  <c r="AH221" i="1"/>
  <c r="AG221" i="1"/>
  <c r="AF221" i="1"/>
  <c r="AB221" i="1"/>
  <c r="AJ821" i="1"/>
  <c r="AI821" i="1"/>
  <c r="AH821" i="1"/>
  <c r="AG821" i="1"/>
  <c r="AF821" i="1"/>
  <c r="AB821" i="1"/>
  <c r="AJ1049" i="1"/>
  <c r="AI1049" i="1"/>
  <c r="AH1049" i="1"/>
  <c r="AG1049" i="1"/>
  <c r="AF1049" i="1"/>
  <c r="AB1049" i="1"/>
  <c r="Z1589" i="1"/>
  <c r="AD1589" i="1"/>
  <c r="AJ159" i="1"/>
  <c r="AI159" i="1"/>
  <c r="AH159" i="1"/>
  <c r="AG159" i="1"/>
  <c r="AF159" i="1"/>
  <c r="AB159" i="1"/>
  <c r="AE533" i="1"/>
  <c r="AC533" i="1"/>
  <c r="AJ1035" i="1"/>
  <c r="AI1035" i="1"/>
  <c r="AH1035" i="1"/>
  <c r="AG1035" i="1"/>
  <c r="AF1035" i="1"/>
  <c r="AB1035" i="1"/>
  <c r="AJ1227" i="1"/>
  <c r="AI1227" i="1"/>
  <c r="AH1227" i="1"/>
  <c r="AG1227" i="1"/>
  <c r="AF1227" i="1"/>
  <c r="AB1227" i="1"/>
  <c r="AJ1588" i="1"/>
  <c r="AI1588" i="1"/>
  <c r="AH1588" i="1"/>
  <c r="AG1588" i="1"/>
  <c r="AF1588" i="1"/>
  <c r="AB1588" i="1"/>
  <c r="AJ1336" i="1"/>
  <c r="AI1336" i="1"/>
  <c r="AH1336" i="1"/>
  <c r="AG1336" i="1"/>
  <c r="AF1336" i="1"/>
  <c r="AB1336" i="1"/>
  <c r="AJ1766" i="1"/>
  <c r="AI1766" i="1"/>
  <c r="AH1766" i="1"/>
  <c r="AG1766" i="1"/>
  <c r="AF1766" i="1"/>
  <c r="AB1766" i="1"/>
  <c r="AE17" i="1"/>
  <c r="AC17" i="1"/>
  <c r="AE101" i="1"/>
  <c r="AC101" i="1"/>
  <c r="AE197" i="1"/>
  <c r="AC197" i="1"/>
  <c r="AE269" i="1"/>
  <c r="AC269" i="1"/>
  <c r="AE353" i="1"/>
  <c r="AC353" i="1"/>
  <c r="AE437" i="1"/>
  <c r="AC437" i="1"/>
  <c r="AE569" i="1"/>
  <c r="AC569" i="1"/>
  <c r="AE677" i="1"/>
  <c r="AC677" i="1"/>
  <c r="AE42" i="1"/>
  <c r="AC42" i="1"/>
  <c r="AE126" i="1"/>
  <c r="AC126" i="1"/>
  <c r="AE222" i="1"/>
  <c r="AC222" i="1"/>
  <c r="AE294" i="1"/>
  <c r="AC294" i="1"/>
  <c r="AE366" i="1"/>
  <c r="AC366" i="1"/>
  <c r="AE438" i="1"/>
  <c r="AC438" i="1"/>
  <c r="AE510" i="1"/>
  <c r="AC510" i="1"/>
  <c r="AC582" i="1"/>
  <c r="AE582" i="1"/>
  <c r="AE654" i="1"/>
  <c r="AC654" i="1"/>
  <c r="AE726" i="1"/>
  <c r="AC726" i="1"/>
  <c r="AE798" i="1"/>
  <c r="AC798" i="1"/>
  <c r="AE870" i="1"/>
  <c r="AC870" i="1"/>
  <c r="AE681" i="1"/>
  <c r="AC681" i="1"/>
  <c r="AE753" i="1"/>
  <c r="AC753" i="1"/>
  <c r="AE825" i="1"/>
  <c r="AC825" i="1"/>
  <c r="AE897" i="1"/>
  <c r="AC897" i="1"/>
  <c r="AE969" i="1"/>
  <c r="AC969" i="1"/>
  <c r="AE1041" i="1"/>
  <c r="AC1041" i="1"/>
  <c r="AE1113" i="1"/>
  <c r="AC1113" i="1"/>
  <c r="AE1185" i="1"/>
  <c r="AC1185" i="1"/>
  <c r="AE1257" i="1"/>
  <c r="AC1257" i="1"/>
  <c r="AE1329" i="1"/>
  <c r="AC1329" i="1"/>
  <c r="AE1401" i="1"/>
  <c r="AC1401" i="1"/>
  <c r="AE1473" i="1"/>
  <c r="AC1473" i="1"/>
  <c r="AE1545" i="1"/>
  <c r="AC1545" i="1"/>
  <c r="AE1617" i="1"/>
  <c r="AC1617" i="1"/>
  <c r="AE1689" i="1"/>
  <c r="AC1689" i="1"/>
  <c r="AE1761" i="1"/>
  <c r="AC1761" i="1"/>
  <c r="AE1186" i="1"/>
  <c r="AC1186" i="1"/>
  <c r="AE1258" i="1"/>
  <c r="AC1258" i="1"/>
  <c r="AE1330" i="1"/>
  <c r="AC1330" i="1"/>
  <c r="AE1402" i="1"/>
  <c r="AC1402" i="1"/>
  <c r="AE1474" i="1"/>
  <c r="AC1474" i="1"/>
  <c r="AE1546" i="1"/>
  <c r="AC1546" i="1"/>
  <c r="AE1618" i="1"/>
  <c r="AC1618" i="1"/>
  <c r="AE1690" i="1"/>
  <c r="AC1690" i="1"/>
  <c r="AE1762" i="1"/>
  <c r="AC1762" i="1"/>
  <c r="AE527" i="1"/>
  <c r="AC527" i="1"/>
  <c r="AE599" i="1"/>
  <c r="AC599" i="1"/>
  <c r="AE671" i="1"/>
  <c r="AC671" i="1"/>
  <c r="AE743" i="1"/>
  <c r="AC743" i="1"/>
  <c r="AE815" i="1"/>
  <c r="AC815" i="1"/>
  <c r="AE887" i="1"/>
  <c r="AC887" i="1"/>
  <c r="AE959" i="1"/>
  <c r="AC959" i="1"/>
  <c r="AE1031" i="1"/>
  <c r="AC1031" i="1"/>
  <c r="AE1103" i="1"/>
  <c r="AC1103" i="1"/>
  <c r="AE1175" i="1"/>
  <c r="AC1175" i="1"/>
  <c r="AE1247" i="1"/>
  <c r="AC1247" i="1"/>
  <c r="AE1319" i="1"/>
  <c r="AC1319" i="1"/>
  <c r="AE1391" i="1"/>
  <c r="AC1391" i="1"/>
  <c r="AE1463" i="1"/>
  <c r="AC1463" i="1"/>
  <c r="AE1535" i="1"/>
  <c r="AC1535" i="1"/>
  <c r="AE1607" i="1"/>
  <c r="AC1607" i="1"/>
  <c r="AE1679" i="1"/>
  <c r="AC1679" i="1"/>
  <c r="AE1751" i="1"/>
  <c r="AC1751" i="1"/>
  <c r="AE36" i="1"/>
  <c r="AC36" i="1"/>
  <c r="AE108" i="1"/>
  <c r="AC108" i="1"/>
  <c r="AE180" i="1"/>
  <c r="AC180" i="1"/>
  <c r="AE252" i="1"/>
  <c r="AC252" i="1"/>
  <c r="AE324" i="1"/>
  <c r="AC324" i="1"/>
  <c r="AE396" i="1"/>
  <c r="AC396" i="1"/>
  <c r="AE468" i="1"/>
  <c r="AC468" i="1"/>
  <c r="AE540" i="1"/>
  <c r="AC540" i="1"/>
  <c r="AE612" i="1"/>
  <c r="AC612" i="1"/>
  <c r="AE684" i="1"/>
  <c r="AC684" i="1"/>
  <c r="AE756" i="1"/>
  <c r="AC756" i="1"/>
  <c r="AE828" i="1"/>
  <c r="AC828" i="1"/>
  <c r="AE900" i="1"/>
  <c r="AC900" i="1"/>
  <c r="AE972" i="1"/>
  <c r="AC972" i="1"/>
  <c r="AE1044" i="1"/>
  <c r="AC1044" i="1"/>
  <c r="AE1116" i="1"/>
  <c r="AC1116" i="1"/>
  <c r="AE1188" i="1"/>
  <c r="AC1188" i="1"/>
  <c r="AE1260" i="1"/>
  <c r="AC1260" i="1"/>
  <c r="AE1332" i="1"/>
  <c r="AC1332" i="1"/>
  <c r="AE1404" i="1"/>
  <c r="AC1404" i="1"/>
  <c r="AE1476" i="1"/>
  <c r="AC1476" i="1"/>
  <c r="AE1548" i="1"/>
  <c r="AC1548" i="1"/>
  <c r="AE1620" i="1"/>
  <c r="AC1620" i="1"/>
  <c r="AE1692" i="1"/>
  <c r="AC1692" i="1"/>
  <c r="AE1764" i="1"/>
  <c r="AC1764" i="1"/>
  <c r="AE49" i="1"/>
  <c r="AC49" i="1"/>
  <c r="AE121" i="1"/>
  <c r="AC121" i="1"/>
  <c r="AE193" i="1"/>
  <c r="AC193" i="1"/>
  <c r="AE265" i="1"/>
  <c r="AC265" i="1"/>
  <c r="AE337" i="1"/>
  <c r="AC337" i="1"/>
  <c r="AE409" i="1"/>
  <c r="AC409" i="1"/>
  <c r="AE481" i="1"/>
  <c r="AC481" i="1"/>
  <c r="AE553" i="1"/>
  <c r="AC553" i="1"/>
  <c r="AE625" i="1"/>
  <c r="AC625" i="1"/>
  <c r="AE697" i="1"/>
  <c r="AC697" i="1"/>
  <c r="AE769" i="1"/>
  <c r="AC769" i="1"/>
  <c r="AE841" i="1"/>
  <c r="AC841" i="1"/>
  <c r="AE913" i="1"/>
  <c r="AC913" i="1"/>
  <c r="AE985" i="1"/>
  <c r="AC985" i="1"/>
  <c r="AE1057" i="1"/>
  <c r="AC1057" i="1"/>
  <c r="AE1129" i="1"/>
  <c r="AC1129" i="1"/>
  <c r="AE1201" i="1"/>
  <c r="AC1201" i="1"/>
  <c r="AE1273" i="1"/>
  <c r="AC1273" i="1"/>
  <c r="AE1345" i="1"/>
  <c r="AC1345" i="1"/>
  <c r="AE1417" i="1"/>
  <c r="AC1417" i="1"/>
  <c r="AE1489" i="1"/>
  <c r="AC1489" i="1"/>
  <c r="AE1561" i="1"/>
  <c r="AC1561" i="1"/>
  <c r="AE1633" i="1"/>
  <c r="AC1633" i="1"/>
  <c r="AE1705" i="1"/>
  <c r="AC1705" i="1"/>
  <c r="AE1777" i="1"/>
  <c r="AC1777" i="1"/>
  <c r="AE74" i="1"/>
  <c r="AC74" i="1"/>
  <c r="AE170" i="1"/>
  <c r="AC170" i="1"/>
  <c r="AE266" i="1"/>
  <c r="AC266" i="1"/>
  <c r="AE362" i="1"/>
  <c r="AC362" i="1"/>
  <c r="AE446" i="1"/>
  <c r="AC446" i="1"/>
  <c r="AE518" i="1"/>
  <c r="AC518" i="1"/>
  <c r="AE590" i="1"/>
  <c r="AC590" i="1"/>
  <c r="AE662" i="1"/>
  <c r="AC662" i="1"/>
  <c r="AE734" i="1"/>
  <c r="AC734" i="1"/>
  <c r="AE818" i="1"/>
  <c r="AC818" i="1"/>
  <c r="AE902" i="1"/>
  <c r="AC902" i="1"/>
  <c r="AE1046" i="1"/>
  <c r="AC1046" i="1"/>
  <c r="AE1118" i="1"/>
  <c r="AC1118" i="1"/>
  <c r="AE1238" i="1"/>
  <c r="AC1238" i="1"/>
  <c r="AE1322" i="1"/>
  <c r="AC1322" i="1"/>
  <c r="AE1394" i="1"/>
  <c r="AC1394" i="1"/>
  <c r="AE1466" i="1"/>
  <c r="AC1466" i="1"/>
  <c r="AE1538" i="1"/>
  <c r="AC1538" i="1"/>
  <c r="AE1610" i="1"/>
  <c r="AC1610" i="1"/>
  <c r="AE1682" i="1"/>
  <c r="AC1682" i="1"/>
  <c r="AE27" i="1"/>
  <c r="AC27" i="1"/>
  <c r="AE123" i="1"/>
  <c r="AC123" i="1"/>
  <c r="AE219" i="1"/>
  <c r="AC219" i="1"/>
  <c r="AE363" i="1"/>
  <c r="AC363" i="1"/>
  <c r="AE483" i="1"/>
  <c r="AC483" i="1"/>
  <c r="AE555" i="1"/>
  <c r="AC555" i="1"/>
  <c r="AE627" i="1"/>
  <c r="AC627" i="1"/>
  <c r="AE711" i="1"/>
  <c r="AC711" i="1"/>
  <c r="AE795" i="1"/>
  <c r="AC795" i="1"/>
  <c r="AE915" i="1"/>
  <c r="AC915" i="1"/>
  <c r="AE1011" i="1"/>
  <c r="AC1011" i="1"/>
  <c r="AE1107" i="1"/>
  <c r="AC1107" i="1"/>
  <c r="AE1179" i="1"/>
  <c r="AC1179" i="1"/>
  <c r="AE1263" i="1"/>
  <c r="AC1263" i="1"/>
  <c r="AE1335" i="1"/>
  <c r="AC1335" i="1"/>
  <c r="AE1431" i="1"/>
  <c r="AC1431" i="1"/>
  <c r="AE1503" i="1"/>
  <c r="AC1503" i="1"/>
  <c r="AE1587" i="1"/>
  <c r="AC1587" i="1"/>
  <c r="AE1671" i="1"/>
  <c r="AC1671" i="1"/>
  <c r="AE1743" i="1"/>
  <c r="AC1743" i="1"/>
  <c r="AE28" i="1"/>
  <c r="AC28" i="1"/>
  <c r="AE100" i="1"/>
  <c r="AC100" i="1"/>
  <c r="AE172" i="1"/>
  <c r="AC172" i="1"/>
  <c r="AE244" i="1"/>
  <c r="AC244" i="1"/>
  <c r="AE316" i="1"/>
  <c r="AC316" i="1"/>
  <c r="AE388" i="1"/>
  <c r="AC388" i="1"/>
  <c r="AE460" i="1"/>
  <c r="AC460" i="1"/>
  <c r="AE532" i="1"/>
  <c r="AC532" i="1"/>
  <c r="AE604" i="1"/>
  <c r="AC604" i="1"/>
  <c r="AE676" i="1"/>
  <c r="AC676" i="1"/>
  <c r="AE748" i="1"/>
  <c r="AC748" i="1"/>
  <c r="AE832" i="1"/>
  <c r="AC832" i="1"/>
  <c r="AE904" i="1"/>
  <c r="AC904" i="1"/>
  <c r="AE988" i="1"/>
  <c r="AC988" i="1"/>
  <c r="AE1060" i="1"/>
  <c r="AC1060" i="1"/>
  <c r="AE1132" i="1"/>
  <c r="AC1132" i="1"/>
  <c r="AE1216" i="1"/>
  <c r="AC1216" i="1"/>
  <c r="AE1300" i="1"/>
  <c r="AC1300" i="1"/>
  <c r="AE1384" i="1"/>
  <c r="AC1384" i="1"/>
  <c r="AE1480" i="1"/>
  <c r="AC1480" i="1"/>
  <c r="AE1576" i="1"/>
  <c r="AC1576" i="1"/>
  <c r="AE1672" i="1"/>
  <c r="AC1672" i="1"/>
  <c r="AE1756" i="1"/>
  <c r="AC1756" i="1"/>
  <c r="AE930" i="1"/>
  <c r="AC930" i="1"/>
  <c r="AE1002" i="1"/>
  <c r="AC1002" i="1"/>
  <c r="AE1074" i="1"/>
  <c r="AC1074" i="1"/>
  <c r="AE1146" i="1"/>
  <c r="AC1146" i="1"/>
  <c r="AE1218" i="1"/>
  <c r="AC1218" i="1"/>
  <c r="AE1290" i="1"/>
  <c r="AC1290" i="1"/>
  <c r="AE1362" i="1"/>
  <c r="AC1362" i="1"/>
  <c r="AE1434" i="1"/>
  <c r="AC1434" i="1"/>
  <c r="AE1506" i="1"/>
  <c r="AC1506" i="1"/>
  <c r="AE1578" i="1"/>
  <c r="AC1578" i="1"/>
  <c r="AE1650" i="1"/>
  <c r="AC1650" i="1"/>
  <c r="AE1722" i="1"/>
  <c r="AC1722" i="1"/>
  <c r="AE7" i="1"/>
  <c r="AC7" i="1"/>
  <c r="AE79" i="1"/>
  <c r="AC79" i="1"/>
  <c r="AE151" i="1"/>
  <c r="AC151" i="1"/>
  <c r="AE223" i="1"/>
  <c r="AC223" i="1"/>
  <c r="AE295" i="1"/>
  <c r="AC295" i="1"/>
  <c r="AE367" i="1"/>
  <c r="AC367" i="1"/>
  <c r="AE439" i="1"/>
  <c r="AC439" i="1"/>
  <c r="AE511" i="1"/>
  <c r="AC511" i="1"/>
  <c r="AE583" i="1"/>
  <c r="AC583" i="1"/>
  <c r="AE655" i="1"/>
  <c r="AC655" i="1"/>
  <c r="AE727" i="1"/>
  <c r="AC727" i="1"/>
  <c r="AE799" i="1"/>
  <c r="AC799" i="1"/>
  <c r="AE871" i="1"/>
  <c r="AC871" i="1"/>
  <c r="AE943" i="1"/>
  <c r="AC943" i="1"/>
  <c r="AE1015" i="1"/>
  <c r="AC1015" i="1"/>
  <c r="AE1087" i="1"/>
  <c r="AC1087" i="1"/>
  <c r="AE1159" i="1"/>
  <c r="AC1159" i="1"/>
  <c r="AE1231" i="1"/>
  <c r="AC1231" i="1"/>
  <c r="AE1303" i="1"/>
  <c r="AC1303" i="1"/>
  <c r="AE1375" i="1"/>
  <c r="AC1375" i="1"/>
  <c r="AE1447" i="1"/>
  <c r="AC1447" i="1"/>
  <c r="AE1519" i="1"/>
  <c r="AC1519" i="1"/>
  <c r="AE1591" i="1"/>
  <c r="AC1591" i="1"/>
  <c r="AE1663" i="1"/>
  <c r="AC1663" i="1"/>
  <c r="AE1735" i="1"/>
  <c r="AC1735" i="1"/>
  <c r="AE20" i="1"/>
  <c r="AC20" i="1"/>
  <c r="AE92" i="1"/>
  <c r="AC92" i="1"/>
  <c r="AE164" i="1"/>
  <c r="AC164" i="1"/>
  <c r="AE236" i="1"/>
  <c r="AC236" i="1"/>
  <c r="AE308" i="1"/>
  <c r="AC308" i="1"/>
  <c r="AE380" i="1"/>
  <c r="AC380" i="1"/>
  <c r="AE452" i="1"/>
  <c r="AC452" i="1"/>
  <c r="AE524" i="1"/>
  <c r="AC524" i="1"/>
  <c r="AE596" i="1"/>
  <c r="AC596" i="1"/>
  <c r="AE668" i="1"/>
  <c r="AC668" i="1"/>
  <c r="AE740" i="1"/>
  <c r="AC740" i="1"/>
  <c r="AE812" i="1"/>
  <c r="AC812" i="1"/>
  <c r="AE884" i="1"/>
  <c r="AC884" i="1"/>
  <c r="AE956" i="1"/>
  <c r="AC956" i="1"/>
  <c r="AE1028" i="1"/>
  <c r="AC1028" i="1"/>
  <c r="AE1100" i="1"/>
  <c r="AC1100" i="1"/>
  <c r="AE1172" i="1"/>
  <c r="AC1172" i="1"/>
  <c r="AE1244" i="1"/>
  <c r="AC1244" i="1"/>
  <c r="AE1316" i="1"/>
  <c r="AC1316" i="1"/>
  <c r="AE1388" i="1"/>
  <c r="AC1388" i="1"/>
  <c r="AE1460" i="1"/>
  <c r="AC1460" i="1"/>
  <c r="AE1532" i="1"/>
  <c r="AC1532" i="1"/>
  <c r="AE1604" i="1"/>
  <c r="AC1604" i="1"/>
  <c r="AE1676" i="1"/>
  <c r="AC1676" i="1"/>
  <c r="AE1748" i="1"/>
  <c r="AC1748" i="1"/>
  <c r="AC59" i="1"/>
  <c r="AE59" i="1"/>
  <c r="AE1073" i="1"/>
  <c r="AC1073" i="1"/>
  <c r="AE1625" i="1"/>
  <c r="AC1625" i="1"/>
  <c r="AE562" i="1"/>
  <c r="AC562" i="1"/>
  <c r="AE137" i="1"/>
  <c r="AC137" i="1"/>
  <c r="AE737" i="1"/>
  <c r="AC737" i="1"/>
  <c r="AE1337" i="1"/>
  <c r="AC1337" i="1"/>
  <c r="AE150" i="1"/>
  <c r="AC150" i="1"/>
  <c r="AE850" i="1"/>
  <c r="AC850" i="1"/>
  <c r="AJ242" i="1"/>
  <c r="AI242" i="1"/>
  <c r="AH242" i="1"/>
  <c r="AG242" i="1"/>
  <c r="AF242" i="1"/>
  <c r="AB242" i="1"/>
  <c r="AJ1728" i="1"/>
  <c r="AI1728" i="1"/>
  <c r="AH1728" i="1"/>
  <c r="AG1728" i="1"/>
  <c r="AF1728" i="1"/>
  <c r="AB1728" i="1"/>
  <c r="AE23" i="1"/>
  <c r="AC23" i="1"/>
  <c r="AJ386" i="1"/>
  <c r="AI386" i="1"/>
  <c r="AH386" i="1"/>
  <c r="AG386" i="1"/>
  <c r="AF386" i="1"/>
  <c r="AB386" i="1"/>
  <c r="AJ926" i="1"/>
  <c r="AI926" i="1"/>
  <c r="AH926" i="1"/>
  <c r="AG926" i="1"/>
  <c r="AF926" i="1"/>
  <c r="AB926" i="1"/>
  <c r="AJ1118" i="1"/>
  <c r="AI1118" i="1"/>
  <c r="AH1118" i="1"/>
  <c r="AG1118" i="1"/>
  <c r="AF1118" i="1"/>
  <c r="AB1118" i="1"/>
  <c r="AJ1394" i="1"/>
  <c r="AI1394" i="1"/>
  <c r="AH1394" i="1"/>
  <c r="AG1394" i="1"/>
  <c r="AF1394" i="1"/>
  <c r="AB1394" i="1"/>
  <c r="AJ1610" i="1"/>
  <c r="AI1610" i="1"/>
  <c r="AG1610" i="1"/>
  <c r="AH1610" i="1"/>
  <c r="AF1610" i="1"/>
  <c r="AB1610" i="1"/>
  <c r="AJ1706" i="1"/>
  <c r="AI1706" i="1"/>
  <c r="AG1706" i="1"/>
  <c r="AH1706" i="1"/>
  <c r="AF1706" i="1"/>
  <c r="AB1706" i="1"/>
  <c r="AJ460" i="1"/>
  <c r="AI460" i="1"/>
  <c r="AH460" i="1"/>
  <c r="AG460" i="1"/>
  <c r="AF460" i="1"/>
  <c r="AB460" i="1"/>
  <c r="AJ544" i="1"/>
  <c r="AI544" i="1"/>
  <c r="AH544" i="1"/>
  <c r="AG544" i="1"/>
  <c r="AF544" i="1"/>
  <c r="AB544" i="1"/>
  <c r="AJ616" i="1"/>
  <c r="AI616" i="1"/>
  <c r="AH616" i="1"/>
  <c r="AG616" i="1"/>
  <c r="AF616" i="1"/>
  <c r="AB616" i="1"/>
  <c r="AJ700" i="1"/>
  <c r="AI700" i="1"/>
  <c r="AH700" i="1"/>
  <c r="AG700" i="1"/>
  <c r="AF700" i="1"/>
  <c r="AB700" i="1"/>
  <c r="AJ772" i="1"/>
  <c r="AI772" i="1"/>
  <c r="AH772" i="1"/>
  <c r="AG772" i="1"/>
  <c r="AF772" i="1"/>
  <c r="AB772" i="1"/>
  <c r="AJ856" i="1"/>
  <c r="AI856" i="1"/>
  <c r="AH856" i="1"/>
  <c r="AG856" i="1"/>
  <c r="AF856" i="1"/>
  <c r="AB856" i="1"/>
  <c r="AJ928" i="1"/>
  <c r="AI928" i="1"/>
  <c r="AH928" i="1"/>
  <c r="AG928" i="1"/>
  <c r="AF928" i="1"/>
  <c r="AB928" i="1"/>
  <c r="AJ1000" i="1"/>
  <c r="AI1000" i="1"/>
  <c r="AH1000" i="1"/>
  <c r="AG1000" i="1"/>
  <c r="AF1000" i="1"/>
  <c r="AB1000" i="1"/>
  <c r="AJ1096" i="1"/>
  <c r="AI1096" i="1"/>
  <c r="AH1096" i="1"/>
  <c r="AG1096" i="1"/>
  <c r="AF1096" i="1"/>
  <c r="AB1096" i="1"/>
  <c r="AJ1204" i="1"/>
  <c r="AI1204" i="1"/>
  <c r="AH1204" i="1"/>
  <c r="AG1204" i="1"/>
  <c r="AF1204" i="1"/>
  <c r="AB1204" i="1"/>
  <c r="AJ1396" i="1"/>
  <c r="AI1396" i="1"/>
  <c r="AH1396" i="1"/>
  <c r="AG1396" i="1"/>
  <c r="AF1396" i="1"/>
  <c r="AB1396" i="1"/>
  <c r="AJ1660" i="1"/>
  <c r="AI1660" i="1"/>
  <c r="AH1660" i="1"/>
  <c r="AG1660" i="1"/>
  <c r="AF1660" i="1"/>
  <c r="AB1660" i="1"/>
  <c r="AJ53" i="1"/>
  <c r="AI53" i="1"/>
  <c r="AH53" i="1"/>
  <c r="AG53" i="1"/>
  <c r="AF53" i="1"/>
  <c r="AB53" i="1"/>
  <c r="AJ293" i="1"/>
  <c r="AI293" i="1"/>
  <c r="AH293" i="1"/>
  <c r="AG293" i="1"/>
  <c r="AF293" i="1"/>
  <c r="AB293" i="1"/>
  <c r="AJ689" i="1"/>
  <c r="AI689" i="1"/>
  <c r="AH689" i="1"/>
  <c r="AG689" i="1"/>
  <c r="AF689" i="1"/>
  <c r="AB689" i="1"/>
  <c r="AJ1421" i="1"/>
  <c r="AI1421" i="1"/>
  <c r="AH1421" i="1"/>
  <c r="AG1421" i="1"/>
  <c r="AF1421" i="1"/>
  <c r="AB1421" i="1"/>
  <c r="AJ75" i="1"/>
  <c r="AI75" i="1"/>
  <c r="AH75" i="1"/>
  <c r="AG75" i="1"/>
  <c r="AF75" i="1"/>
  <c r="AB75" i="1"/>
  <c r="AJ171" i="1"/>
  <c r="AI171" i="1"/>
  <c r="AH171" i="1"/>
  <c r="AG171" i="1"/>
  <c r="AF171" i="1"/>
  <c r="AB171" i="1"/>
  <c r="AJ327" i="1"/>
  <c r="AI327" i="1"/>
  <c r="AH327" i="1"/>
  <c r="AG327" i="1"/>
  <c r="AF327" i="1"/>
  <c r="AB327" i="1"/>
  <c r="AJ447" i="1"/>
  <c r="AI447" i="1"/>
  <c r="AH447" i="1"/>
  <c r="AG447" i="1"/>
  <c r="AF447" i="1"/>
  <c r="AB447" i="1"/>
  <c r="AJ531" i="1"/>
  <c r="AI531" i="1"/>
  <c r="AH531" i="1"/>
  <c r="AG531" i="1"/>
  <c r="AF531" i="1"/>
  <c r="AB531" i="1"/>
  <c r="AJ603" i="1"/>
  <c r="AI603" i="1"/>
  <c r="AH603" i="1"/>
  <c r="AG603" i="1"/>
  <c r="AF603" i="1"/>
  <c r="AB603" i="1"/>
  <c r="AJ687" i="1"/>
  <c r="AH687" i="1"/>
  <c r="AI687" i="1"/>
  <c r="AG687" i="1"/>
  <c r="AF687" i="1"/>
  <c r="AB687" i="1"/>
  <c r="AJ855" i="1"/>
  <c r="AI855" i="1"/>
  <c r="AH855" i="1"/>
  <c r="AG855" i="1"/>
  <c r="AF855" i="1"/>
  <c r="AB855" i="1"/>
  <c r="AJ963" i="1"/>
  <c r="AI963" i="1"/>
  <c r="AH963" i="1"/>
  <c r="AG963" i="1"/>
  <c r="AF963" i="1"/>
  <c r="AB963" i="1"/>
  <c r="AJ1215" i="1"/>
  <c r="AI1215" i="1"/>
  <c r="AH1215" i="1"/>
  <c r="AG1215" i="1"/>
  <c r="AF1215" i="1"/>
  <c r="AB1215" i="1"/>
  <c r="AJ1287" i="1"/>
  <c r="AI1287" i="1"/>
  <c r="AH1287" i="1"/>
  <c r="AG1287" i="1"/>
  <c r="AF1287" i="1"/>
  <c r="AB1287" i="1"/>
  <c r="AJ1611" i="1"/>
  <c r="AI1611" i="1"/>
  <c r="AH1611" i="1"/>
  <c r="AG1611" i="1"/>
  <c r="AF1611" i="1"/>
  <c r="AB1611" i="1"/>
  <c r="AJ1767" i="1"/>
  <c r="AI1767" i="1"/>
  <c r="AH1767" i="1"/>
  <c r="AG1767" i="1"/>
  <c r="AF1767" i="1"/>
  <c r="AB1767" i="1"/>
  <c r="AI641" i="1"/>
  <c r="AJ641" i="1"/>
  <c r="AH641" i="1"/>
  <c r="AG641" i="1"/>
  <c r="AF641" i="1"/>
  <c r="AB641" i="1"/>
  <c r="AJ1505" i="1"/>
  <c r="AI1505" i="1"/>
  <c r="AH1505" i="1"/>
  <c r="AG1505" i="1"/>
  <c r="AF1505" i="1"/>
  <c r="AB1505" i="1"/>
  <c r="AJ269" i="1"/>
  <c r="AI269" i="1"/>
  <c r="AH269" i="1"/>
  <c r="AG269" i="1"/>
  <c r="AF269" i="1"/>
  <c r="AB269" i="1"/>
  <c r="AJ401" i="1"/>
  <c r="AI401" i="1"/>
  <c r="AH401" i="1"/>
  <c r="AG401" i="1"/>
  <c r="AF401" i="1"/>
  <c r="AB401" i="1"/>
  <c r="AJ569" i="1"/>
  <c r="AI569" i="1"/>
  <c r="AH569" i="1"/>
  <c r="AG569" i="1"/>
  <c r="AF569" i="1"/>
  <c r="AB569" i="1"/>
  <c r="AJ761" i="1"/>
  <c r="AI761" i="1"/>
  <c r="AH761" i="1"/>
  <c r="AG761" i="1"/>
  <c r="AF761" i="1"/>
  <c r="AB761" i="1"/>
  <c r="AJ1625" i="1"/>
  <c r="AI1625" i="1"/>
  <c r="AH1625" i="1"/>
  <c r="AG1625" i="1"/>
  <c r="AF1625" i="1"/>
  <c r="AB1625" i="1"/>
  <c r="AJ31" i="1"/>
  <c r="AI31" i="1"/>
  <c r="AH31" i="1"/>
  <c r="AG31" i="1"/>
  <c r="AF31" i="1"/>
  <c r="AB31" i="1"/>
  <c r="AJ115" i="1"/>
  <c r="AI115" i="1"/>
  <c r="AH115" i="1"/>
  <c r="AG115" i="1"/>
  <c r="AF115" i="1"/>
  <c r="AB115" i="1"/>
  <c r="AJ199" i="1"/>
  <c r="AI199" i="1"/>
  <c r="AH199" i="1"/>
  <c r="AG199" i="1"/>
  <c r="AF199" i="1"/>
  <c r="AB199" i="1"/>
  <c r="AJ427" i="1"/>
  <c r="AI427" i="1"/>
  <c r="AH427" i="1"/>
  <c r="AF427" i="1"/>
  <c r="AG427" i="1"/>
  <c r="AB427" i="1"/>
  <c r="AJ511" i="1"/>
  <c r="AI511" i="1"/>
  <c r="AH511" i="1"/>
  <c r="AG511" i="1"/>
  <c r="AF511" i="1"/>
  <c r="AB511" i="1"/>
  <c r="AJ799" i="1"/>
  <c r="AI799" i="1"/>
  <c r="AH799" i="1"/>
  <c r="AG799" i="1"/>
  <c r="AF799" i="1"/>
  <c r="AB799" i="1"/>
  <c r="AJ883" i="1"/>
  <c r="AI883" i="1"/>
  <c r="AH883" i="1"/>
  <c r="AG883" i="1"/>
  <c r="AF883" i="1"/>
  <c r="AB883" i="1"/>
  <c r="AJ1207" i="1"/>
  <c r="AI1207" i="1"/>
  <c r="AH1207" i="1"/>
  <c r="AG1207" i="1"/>
  <c r="AF1207" i="1"/>
  <c r="AB1207" i="1"/>
  <c r="AJ1327" i="1"/>
  <c r="AI1327" i="1"/>
  <c r="AH1327" i="1"/>
  <c r="AG1327" i="1"/>
  <c r="AF1327" i="1"/>
  <c r="AB1327" i="1"/>
  <c r="AJ1411" i="1"/>
  <c r="AI1411" i="1"/>
  <c r="AH1411" i="1"/>
  <c r="AG1411" i="1"/>
  <c r="AF1411" i="1"/>
  <c r="AB1411" i="1"/>
  <c r="AJ1591" i="1"/>
  <c r="AI1591" i="1"/>
  <c r="AH1591" i="1"/>
  <c r="AG1591" i="1"/>
  <c r="AF1591" i="1"/>
  <c r="AB1591" i="1"/>
  <c r="AJ1687" i="1"/>
  <c r="AI1687" i="1"/>
  <c r="AH1687" i="1"/>
  <c r="AG1687" i="1"/>
  <c r="AF1687" i="1"/>
  <c r="AB1687" i="1"/>
  <c r="AJ440" i="1"/>
  <c r="AI440" i="1"/>
  <c r="AH440" i="1"/>
  <c r="AG440" i="1"/>
  <c r="AF440" i="1"/>
  <c r="AB440" i="1"/>
  <c r="AJ212" i="1"/>
  <c r="AI212" i="1"/>
  <c r="AH212" i="1"/>
  <c r="AF212" i="1"/>
  <c r="AG212" i="1"/>
  <c r="AB212" i="1"/>
  <c r="AJ428" i="1"/>
  <c r="AI428" i="1"/>
  <c r="AH428" i="1"/>
  <c r="AG428" i="1"/>
  <c r="AF428" i="1"/>
  <c r="AB428" i="1"/>
  <c r="AJ560" i="1"/>
  <c r="AI560" i="1"/>
  <c r="AH560" i="1"/>
  <c r="AG560" i="1"/>
  <c r="AF560" i="1"/>
  <c r="AB560" i="1"/>
  <c r="AJ81" i="1"/>
  <c r="AI81" i="1"/>
  <c r="AH81" i="1"/>
  <c r="AG81" i="1"/>
  <c r="AF81" i="1"/>
  <c r="AB81" i="1"/>
  <c r="AJ165" i="1"/>
  <c r="AI165" i="1"/>
  <c r="AH165" i="1"/>
  <c r="AG165" i="1"/>
  <c r="AF165" i="1"/>
  <c r="AB165" i="1"/>
  <c r="AJ237" i="1"/>
  <c r="AI237" i="1"/>
  <c r="AH237" i="1"/>
  <c r="AG237" i="1"/>
  <c r="AF237" i="1"/>
  <c r="AB237" i="1"/>
  <c r="AJ309" i="1"/>
  <c r="AI309" i="1"/>
  <c r="AH309" i="1"/>
  <c r="AF309" i="1"/>
  <c r="AG309" i="1"/>
  <c r="AB309" i="1"/>
  <c r="AJ381" i="1"/>
  <c r="AI381" i="1"/>
  <c r="AH381" i="1"/>
  <c r="AG381" i="1"/>
  <c r="AF381" i="1"/>
  <c r="AB381" i="1"/>
  <c r="AJ385" i="1"/>
  <c r="AI385" i="1"/>
  <c r="AH385" i="1"/>
  <c r="AG385" i="1"/>
  <c r="AF385" i="1"/>
  <c r="AB385" i="1"/>
  <c r="AJ889" i="1"/>
  <c r="AI889" i="1"/>
  <c r="AH889" i="1"/>
  <c r="AG889" i="1"/>
  <c r="AF889" i="1"/>
  <c r="AB889" i="1"/>
  <c r="AJ1033" i="1"/>
  <c r="AI1033" i="1"/>
  <c r="AH1033" i="1"/>
  <c r="AG1033" i="1"/>
  <c r="AF1033" i="1"/>
  <c r="AB1033" i="1"/>
  <c r="AJ1321" i="1"/>
  <c r="AI1321" i="1"/>
  <c r="AH1321" i="1"/>
  <c r="AG1321" i="1"/>
  <c r="AF1321" i="1"/>
  <c r="AB1321" i="1"/>
  <c r="AJ1681" i="1"/>
  <c r="AI1681" i="1"/>
  <c r="AH1681" i="1"/>
  <c r="AG1681" i="1"/>
  <c r="AF1681" i="1"/>
  <c r="AB1681" i="1"/>
  <c r="AJ1437" i="1"/>
  <c r="AI1437" i="1"/>
  <c r="AH1437" i="1"/>
  <c r="AG1437" i="1"/>
  <c r="AF1437" i="1"/>
  <c r="AB1437" i="1"/>
  <c r="AJ1749" i="1"/>
  <c r="AI1749" i="1"/>
  <c r="AH1749" i="1"/>
  <c r="AG1749" i="1"/>
  <c r="AF1749" i="1"/>
  <c r="AB1749" i="1"/>
  <c r="AJ162" i="1"/>
  <c r="AI162" i="1"/>
  <c r="AH162" i="1"/>
  <c r="AG162" i="1"/>
  <c r="AF162" i="1"/>
  <c r="AB162" i="1"/>
  <c r="AJ450" i="1"/>
  <c r="AI450" i="1"/>
  <c r="AH450" i="1"/>
  <c r="AG450" i="1"/>
  <c r="AF450" i="1"/>
  <c r="AB450" i="1"/>
  <c r="AJ798" i="1"/>
  <c r="AI798" i="1"/>
  <c r="AH798" i="1"/>
  <c r="AG798" i="1"/>
  <c r="AF798" i="1"/>
  <c r="AB798" i="1"/>
  <c r="AJ1110" i="1"/>
  <c r="AI1110" i="1"/>
  <c r="AH1110" i="1"/>
  <c r="AG1110" i="1"/>
  <c r="AF1110" i="1"/>
  <c r="AB1110" i="1"/>
  <c r="AJ1458" i="1"/>
  <c r="AI1458" i="1"/>
  <c r="AH1458" i="1"/>
  <c r="AG1458" i="1"/>
  <c r="AF1458" i="1"/>
  <c r="AB1458" i="1"/>
  <c r="AJ777" i="1"/>
  <c r="AI777" i="1"/>
  <c r="AH777" i="1"/>
  <c r="AG777" i="1"/>
  <c r="AF777" i="1"/>
  <c r="AB777" i="1"/>
  <c r="AJ1353" i="1"/>
  <c r="AI1353" i="1"/>
  <c r="AH1353" i="1"/>
  <c r="AG1353" i="1"/>
  <c r="AF1353" i="1"/>
  <c r="AB1353" i="1"/>
  <c r="AJ202" i="1"/>
  <c r="AI202" i="1"/>
  <c r="AH202" i="1"/>
  <c r="AG202" i="1"/>
  <c r="AF202" i="1"/>
  <c r="AB202" i="1"/>
  <c r="AJ1606" i="1"/>
  <c r="AI1606" i="1"/>
  <c r="AH1606" i="1"/>
  <c r="AG1606" i="1"/>
  <c r="AF1606" i="1"/>
  <c r="AB1606" i="1"/>
  <c r="AJ1019" i="1"/>
  <c r="AI1019" i="1"/>
  <c r="AH1019" i="1"/>
  <c r="AG1019" i="1"/>
  <c r="AF1019" i="1"/>
  <c r="AB1019" i="1"/>
  <c r="AJ1571" i="1"/>
  <c r="AI1571" i="1"/>
  <c r="AH1571" i="1"/>
  <c r="AG1571" i="1"/>
  <c r="AF1571" i="1"/>
  <c r="AB1571" i="1"/>
  <c r="AJ300" i="1"/>
  <c r="AI300" i="1"/>
  <c r="AH300" i="1"/>
  <c r="AG300" i="1"/>
  <c r="AF300" i="1"/>
  <c r="AB300" i="1"/>
  <c r="AJ900" i="1"/>
  <c r="AI900" i="1"/>
  <c r="AH900" i="1"/>
  <c r="AG900" i="1"/>
  <c r="AF900" i="1"/>
  <c r="AB900" i="1"/>
  <c r="AJ1584" i="1"/>
  <c r="AI1584" i="1"/>
  <c r="AH1584" i="1"/>
  <c r="AG1584" i="1"/>
  <c r="AF1584" i="1"/>
  <c r="AB1584" i="1"/>
  <c r="AJ270" i="1"/>
  <c r="AI270" i="1"/>
  <c r="AH270" i="1"/>
  <c r="AG270" i="1"/>
  <c r="AF270" i="1"/>
  <c r="AB270" i="1"/>
  <c r="AJ594" i="1"/>
  <c r="AI594" i="1"/>
  <c r="AH594" i="1"/>
  <c r="AG594" i="1"/>
  <c r="AF594" i="1"/>
  <c r="AB594" i="1"/>
  <c r="AJ870" i="1"/>
  <c r="AI870" i="1"/>
  <c r="AH870" i="1"/>
  <c r="AG870" i="1"/>
  <c r="AF870" i="1"/>
  <c r="AB870" i="1"/>
  <c r="AJ1194" i="1"/>
  <c r="AI1194" i="1"/>
  <c r="AH1194" i="1"/>
  <c r="AG1194" i="1"/>
  <c r="AF1194" i="1"/>
  <c r="AB1194" i="1"/>
  <c r="AJ1101" i="1"/>
  <c r="AI1101" i="1"/>
  <c r="AH1101" i="1"/>
  <c r="AG1101" i="1"/>
  <c r="AF1101" i="1"/>
  <c r="AB1101" i="1"/>
  <c r="AJ298" i="1"/>
  <c r="AI298" i="1"/>
  <c r="AH298" i="1"/>
  <c r="AG298" i="1"/>
  <c r="AF298" i="1"/>
  <c r="AB298" i="1"/>
  <c r="AJ946" i="1"/>
  <c r="AI946" i="1"/>
  <c r="AH946" i="1"/>
  <c r="AG946" i="1"/>
  <c r="AF946" i="1"/>
  <c r="AB946" i="1"/>
  <c r="AJ1678" i="1"/>
  <c r="AI1678" i="1"/>
  <c r="AH1678" i="1"/>
  <c r="AG1678" i="1"/>
  <c r="AF1678" i="1"/>
  <c r="AB1678" i="1"/>
  <c r="AJ840" i="1"/>
  <c r="AI840" i="1"/>
  <c r="AH840" i="1"/>
  <c r="AG840" i="1"/>
  <c r="AF840" i="1"/>
  <c r="AB840" i="1"/>
  <c r="AJ102" i="1"/>
  <c r="AI102" i="1"/>
  <c r="AH102" i="1"/>
  <c r="AG102" i="1"/>
  <c r="AF102" i="1"/>
  <c r="AB102" i="1"/>
  <c r="AJ318" i="1"/>
  <c r="AI318" i="1"/>
  <c r="AH318" i="1"/>
  <c r="AG318" i="1"/>
  <c r="AF318" i="1"/>
  <c r="AB318" i="1"/>
  <c r="AJ546" i="1"/>
  <c r="AI546" i="1"/>
  <c r="AH546" i="1"/>
  <c r="AG546" i="1"/>
  <c r="AF546" i="1"/>
  <c r="AB546" i="1"/>
  <c r="AJ786" i="1"/>
  <c r="AI786" i="1"/>
  <c r="AH786" i="1"/>
  <c r="AG786" i="1"/>
  <c r="AF786" i="1"/>
  <c r="AB786" i="1"/>
  <c r="AJ1002" i="1"/>
  <c r="AI1002" i="1"/>
  <c r="AH1002" i="1"/>
  <c r="AG1002" i="1"/>
  <c r="AF1002" i="1"/>
  <c r="AB1002" i="1"/>
  <c r="AJ1242" i="1"/>
  <c r="AI1242" i="1"/>
  <c r="AH1242" i="1"/>
  <c r="AG1242" i="1"/>
  <c r="AF1242" i="1"/>
  <c r="AB1242" i="1"/>
  <c r="AJ1470" i="1"/>
  <c r="AI1470" i="1"/>
  <c r="AH1470" i="1"/>
  <c r="AG1470" i="1"/>
  <c r="AF1470" i="1"/>
  <c r="AB1470" i="1"/>
  <c r="AJ1758" i="1"/>
  <c r="AI1758" i="1"/>
  <c r="AH1758" i="1"/>
  <c r="AG1758" i="1"/>
  <c r="AF1758" i="1"/>
  <c r="AB1758" i="1"/>
  <c r="AJ609" i="1"/>
  <c r="AI609" i="1"/>
  <c r="AH609" i="1"/>
  <c r="AF609" i="1"/>
  <c r="AG609" i="1"/>
  <c r="AB609" i="1"/>
  <c r="AJ789" i="1"/>
  <c r="AI789" i="1"/>
  <c r="AH789" i="1"/>
  <c r="AG789" i="1"/>
  <c r="AF789" i="1"/>
  <c r="AB789" i="1"/>
  <c r="AJ203" i="1"/>
  <c r="AI203" i="1"/>
  <c r="AH203" i="1"/>
  <c r="AG203" i="1"/>
  <c r="AF203" i="1"/>
  <c r="AB203" i="1"/>
  <c r="AJ383" i="1"/>
  <c r="AI383" i="1"/>
  <c r="AH383" i="1"/>
  <c r="AG383" i="1"/>
  <c r="AF383" i="1"/>
  <c r="AB383" i="1"/>
  <c r="AJ611" i="1"/>
  <c r="AI611" i="1"/>
  <c r="AH611" i="1"/>
  <c r="AG611" i="1"/>
  <c r="AF611" i="1"/>
  <c r="AB611" i="1"/>
  <c r="AJ851" i="1"/>
  <c r="AI851" i="1"/>
  <c r="AH851" i="1"/>
  <c r="AG851" i="1"/>
  <c r="AF851" i="1"/>
  <c r="AB851" i="1"/>
  <c r="AJ1139" i="1"/>
  <c r="AI1139" i="1"/>
  <c r="AH1139" i="1"/>
  <c r="AG1139" i="1"/>
  <c r="AF1139" i="1"/>
  <c r="AB1139" i="1"/>
  <c r="AJ1319" i="1"/>
  <c r="AI1319" i="1"/>
  <c r="AH1319" i="1"/>
  <c r="AG1319" i="1"/>
  <c r="AF1319" i="1"/>
  <c r="AB1319" i="1"/>
  <c r="AJ1547" i="1"/>
  <c r="AI1547" i="1"/>
  <c r="AH1547" i="1"/>
  <c r="AG1547" i="1"/>
  <c r="AF1547" i="1"/>
  <c r="AB1547" i="1"/>
  <c r="AJ1703" i="1"/>
  <c r="AI1703" i="1"/>
  <c r="AG1703" i="1"/>
  <c r="AH1703" i="1"/>
  <c r="AF1703" i="1"/>
  <c r="AB1703" i="1"/>
  <c r="AJ198" i="1"/>
  <c r="AI198" i="1"/>
  <c r="AH198" i="1"/>
  <c r="AG198" i="1"/>
  <c r="AF198" i="1"/>
  <c r="AB198" i="1"/>
  <c r="AJ522" i="1"/>
  <c r="AI522" i="1"/>
  <c r="AH522" i="1"/>
  <c r="AG522" i="1"/>
  <c r="AF522" i="1"/>
  <c r="AB522" i="1"/>
  <c r="AJ822" i="1"/>
  <c r="AI822" i="1"/>
  <c r="AH822" i="1"/>
  <c r="AG822" i="1"/>
  <c r="AF822" i="1"/>
  <c r="AB822" i="1"/>
  <c r="AJ1146" i="1"/>
  <c r="AI1146" i="1"/>
  <c r="AH1146" i="1"/>
  <c r="AG1146" i="1"/>
  <c r="AF1146" i="1"/>
  <c r="AB1146" i="1"/>
  <c r="AJ1446" i="1"/>
  <c r="AH1446" i="1"/>
  <c r="AI1446" i="1"/>
  <c r="AG1446" i="1"/>
  <c r="AF1446" i="1"/>
  <c r="AB1446" i="1"/>
  <c r="AJ1389" i="1"/>
  <c r="AI1389" i="1"/>
  <c r="AH1389" i="1"/>
  <c r="AG1389" i="1"/>
  <c r="AF1389" i="1"/>
  <c r="AB1389" i="1"/>
  <c r="AJ250" i="1"/>
  <c r="AI250" i="1"/>
  <c r="AH250" i="1"/>
  <c r="AG250" i="1"/>
  <c r="AF250" i="1"/>
  <c r="AB250" i="1"/>
  <c r="AJ1654" i="1"/>
  <c r="AI1654" i="1"/>
  <c r="AH1654" i="1"/>
  <c r="AG1654" i="1"/>
  <c r="AF1654" i="1"/>
  <c r="AB1654" i="1"/>
  <c r="AJ755" i="1"/>
  <c r="AI755" i="1"/>
  <c r="AH755" i="1"/>
  <c r="AG755" i="1"/>
  <c r="AF755" i="1"/>
  <c r="AB755" i="1"/>
  <c r="AJ1283" i="1"/>
  <c r="AI1283" i="1"/>
  <c r="AH1283" i="1"/>
  <c r="AG1283" i="1"/>
  <c r="AF1283" i="1"/>
  <c r="AB1283" i="1"/>
  <c r="AJ84" i="1"/>
  <c r="AI84" i="1"/>
  <c r="AH84" i="1"/>
  <c r="AG84" i="1"/>
  <c r="AF84" i="1"/>
  <c r="AB84" i="1"/>
  <c r="AJ1284" i="1"/>
  <c r="AI1284" i="1"/>
  <c r="AH1284" i="1"/>
  <c r="AG1284" i="1"/>
  <c r="AF1284" i="1"/>
  <c r="AB1284" i="1"/>
  <c r="AJ358" i="1"/>
  <c r="AI358" i="1"/>
  <c r="AH358" i="1"/>
  <c r="AG358" i="1"/>
  <c r="AF358" i="1"/>
  <c r="AB358" i="1"/>
  <c r="AJ1114" i="1"/>
  <c r="AI1114" i="1"/>
  <c r="AH1114" i="1"/>
  <c r="AG1114" i="1"/>
  <c r="AF1114" i="1"/>
  <c r="AB1114" i="1"/>
  <c r="AJ59" i="1"/>
  <c r="AI59" i="1"/>
  <c r="AH59" i="1"/>
  <c r="AG59" i="1"/>
  <c r="AF59" i="1"/>
  <c r="AB59" i="1"/>
  <c r="AJ575" i="1"/>
  <c r="AI575" i="1"/>
  <c r="AH575" i="1"/>
  <c r="AG575" i="1"/>
  <c r="AF575" i="1"/>
  <c r="AB575" i="1"/>
  <c r="AJ983" i="1"/>
  <c r="AI983" i="1"/>
  <c r="AH983" i="1"/>
  <c r="AG983" i="1"/>
  <c r="AF983" i="1"/>
  <c r="AB983" i="1"/>
  <c r="AJ1583" i="1"/>
  <c r="AI1583" i="1"/>
  <c r="AH1583" i="1"/>
  <c r="AG1583" i="1"/>
  <c r="AF1583" i="1"/>
  <c r="AB1583" i="1"/>
  <c r="AJ336" i="1"/>
  <c r="AI336" i="1"/>
  <c r="AH336" i="1"/>
  <c r="AG336" i="1"/>
  <c r="AF336" i="1"/>
  <c r="AB336" i="1"/>
  <c r="AJ960" i="1"/>
  <c r="AI960" i="1"/>
  <c r="AH960" i="1"/>
  <c r="AG960" i="1"/>
  <c r="AF960" i="1"/>
  <c r="AB960" i="1"/>
  <c r="AJ1536" i="1"/>
  <c r="AI1536" i="1"/>
  <c r="AH1536" i="1"/>
  <c r="AG1536" i="1"/>
  <c r="AF1536" i="1"/>
  <c r="AB1536" i="1"/>
  <c r="AJ548" i="1"/>
  <c r="AI548" i="1"/>
  <c r="AH548" i="1"/>
  <c r="AG548" i="1"/>
  <c r="AF548" i="1"/>
  <c r="AB548" i="1"/>
  <c r="AJ644" i="1"/>
  <c r="AI644" i="1"/>
  <c r="AH644" i="1"/>
  <c r="AG644" i="1"/>
  <c r="AF644" i="1"/>
  <c r="AB644" i="1"/>
  <c r="AJ1436" i="1"/>
  <c r="AI1436" i="1"/>
  <c r="AH1436" i="1"/>
  <c r="AG1436" i="1"/>
  <c r="AF1436" i="1"/>
  <c r="AB1436" i="1"/>
  <c r="AJ335" i="1"/>
  <c r="AI335" i="1"/>
  <c r="AH335" i="1"/>
  <c r="AG335" i="1"/>
  <c r="AF335" i="1"/>
  <c r="AB335" i="1"/>
  <c r="AJ1440" i="1"/>
  <c r="AI1440" i="1"/>
  <c r="AH1440" i="1"/>
  <c r="AG1440" i="1"/>
  <c r="AF1440" i="1"/>
  <c r="AB1440" i="1"/>
  <c r="AJ348" i="1"/>
  <c r="AI348" i="1"/>
  <c r="AH348" i="1"/>
  <c r="AG348" i="1"/>
  <c r="AF348" i="1"/>
  <c r="AB348" i="1"/>
  <c r="AJ876" i="1"/>
  <c r="AI876" i="1"/>
  <c r="AH876" i="1"/>
  <c r="AG876" i="1"/>
  <c r="AF876" i="1"/>
  <c r="AB876" i="1"/>
  <c r="AJ1296" i="1"/>
  <c r="AI1296" i="1"/>
  <c r="AH1296" i="1"/>
  <c r="AG1296" i="1"/>
  <c r="AF1296" i="1"/>
  <c r="AB1296" i="1"/>
  <c r="AJ1716" i="1"/>
  <c r="AI1716" i="1"/>
  <c r="AH1716" i="1"/>
  <c r="AG1716" i="1"/>
  <c r="AF1716" i="1"/>
  <c r="AB1716" i="1"/>
  <c r="AJ833" i="1"/>
  <c r="AI833" i="1"/>
  <c r="AH833" i="1"/>
  <c r="AG833" i="1"/>
  <c r="AF833" i="1"/>
  <c r="AB833" i="1"/>
  <c r="AJ1661" i="1"/>
  <c r="AI1661" i="1"/>
  <c r="AH1661" i="1"/>
  <c r="AG1661" i="1"/>
  <c r="AF1661" i="1"/>
  <c r="AB1661" i="1"/>
  <c r="AE207" i="1"/>
  <c r="AC207" i="1"/>
  <c r="AE327" i="1"/>
  <c r="AC327" i="1"/>
  <c r="AE845" i="1"/>
  <c r="AC845" i="1"/>
  <c r="AE867" i="1"/>
  <c r="AC867" i="1"/>
  <c r="AE110" i="1"/>
  <c r="AC110" i="1"/>
  <c r="AE374" i="1"/>
  <c r="AC374" i="1"/>
  <c r="AE986" i="1"/>
  <c r="AC986" i="1"/>
  <c r="AE1359" i="1"/>
  <c r="AC1359" i="1"/>
  <c r="AE1732" i="1"/>
  <c r="AC1732" i="1"/>
  <c r="AE1432" i="1"/>
  <c r="AC1432" i="1"/>
  <c r="AE1706" i="1"/>
  <c r="AC1706" i="1"/>
  <c r="AE1778" i="1"/>
  <c r="AC1778" i="1"/>
  <c r="AE689" i="1"/>
  <c r="AC689" i="1"/>
  <c r="AE821" i="1"/>
  <c r="AC821" i="1"/>
  <c r="AE965" i="1"/>
  <c r="AC965" i="1"/>
  <c r="AE1109" i="1"/>
  <c r="AC1109" i="1"/>
  <c r="AE1253" i="1"/>
  <c r="AC1253" i="1"/>
  <c r="AE1421" i="1"/>
  <c r="AC1421" i="1"/>
  <c r="AE1577" i="1"/>
  <c r="AC1577" i="1"/>
  <c r="AE1733" i="1"/>
  <c r="AC1733" i="1"/>
  <c r="AE21" i="1"/>
  <c r="AC21" i="1"/>
  <c r="AE105" i="1"/>
  <c r="AC105" i="1"/>
  <c r="AE177" i="1"/>
  <c r="AC177" i="1"/>
  <c r="AE273" i="1"/>
  <c r="AC273" i="1"/>
  <c r="AE345" i="1"/>
  <c r="AC345" i="1"/>
  <c r="AE465" i="1"/>
  <c r="AC465" i="1"/>
  <c r="AE597" i="1"/>
  <c r="AC597" i="1"/>
  <c r="AE10" i="1"/>
  <c r="AC10" i="1"/>
  <c r="AE82" i="1"/>
  <c r="AC82" i="1"/>
  <c r="AE154" i="1"/>
  <c r="AC154" i="1"/>
  <c r="AE226" i="1"/>
  <c r="AC226" i="1"/>
  <c r="AE298" i="1"/>
  <c r="AC298" i="1"/>
  <c r="AE394" i="1"/>
  <c r="AC394" i="1"/>
  <c r="AE490" i="1"/>
  <c r="AC490" i="1"/>
  <c r="AE622" i="1"/>
  <c r="AC622" i="1"/>
  <c r="AE742" i="1"/>
  <c r="AC742" i="1"/>
  <c r="AE886" i="1"/>
  <c r="AC886" i="1"/>
  <c r="AE1030" i="1"/>
  <c r="AC1030" i="1"/>
  <c r="AE95" i="1"/>
  <c r="AC95" i="1"/>
  <c r="AE167" i="1"/>
  <c r="AC167" i="1"/>
  <c r="AE251" i="1"/>
  <c r="AC251" i="1"/>
  <c r="AE323" i="1"/>
  <c r="AC323" i="1"/>
  <c r="AE443" i="1"/>
  <c r="AC443" i="1"/>
  <c r="AE83" i="1"/>
  <c r="AC83" i="1"/>
  <c r="AE1121" i="1"/>
  <c r="AC1121" i="1"/>
  <c r="AE1649" i="1"/>
  <c r="AC1649" i="1"/>
  <c r="AE586" i="1"/>
  <c r="AC586" i="1"/>
  <c r="AE161" i="1"/>
  <c r="AC161" i="1"/>
  <c r="AE785" i="1"/>
  <c r="AC785" i="1"/>
  <c r="AE1361" i="1"/>
  <c r="AC1361" i="1"/>
  <c r="AE162" i="1"/>
  <c r="AC162" i="1"/>
  <c r="AE898" i="1"/>
  <c r="AC898" i="1"/>
  <c r="AJ857" i="1"/>
  <c r="AI857" i="1"/>
  <c r="AH857" i="1"/>
  <c r="AG857" i="1"/>
  <c r="AF857" i="1"/>
  <c r="AB857" i="1"/>
  <c r="AJ625" i="1"/>
  <c r="AI625" i="1"/>
  <c r="AG625" i="1"/>
  <c r="AH625" i="1"/>
  <c r="AF625" i="1"/>
  <c r="AB625" i="1"/>
  <c r="AJ1786" i="1"/>
  <c r="AI1786" i="1"/>
  <c r="AH1786" i="1"/>
  <c r="AG1786" i="1"/>
  <c r="AF1786" i="1"/>
  <c r="AB1786" i="1"/>
  <c r="AJ134" i="1"/>
  <c r="AI134" i="1"/>
  <c r="AH134" i="1"/>
  <c r="AG134" i="1"/>
  <c r="AF134" i="1"/>
  <c r="AB134" i="1"/>
  <c r="AJ650" i="1"/>
  <c r="AI650" i="1"/>
  <c r="AH650" i="1"/>
  <c r="AG650" i="1"/>
  <c r="AF650" i="1"/>
  <c r="AB650" i="1"/>
  <c r="AJ62" i="1"/>
  <c r="AI62" i="1"/>
  <c r="AH62" i="1"/>
  <c r="AG62" i="1"/>
  <c r="AF62" i="1"/>
  <c r="AB62" i="1"/>
  <c r="AJ218" i="1"/>
  <c r="AI218" i="1"/>
  <c r="AH218" i="1"/>
  <c r="AG218" i="1"/>
  <c r="AF218" i="1"/>
  <c r="AB218" i="1"/>
  <c r="AJ314" i="1"/>
  <c r="AI314" i="1"/>
  <c r="AH314" i="1"/>
  <c r="AG314" i="1"/>
  <c r="AF314" i="1"/>
  <c r="AB314" i="1"/>
  <c r="AJ470" i="1"/>
  <c r="AI470" i="1"/>
  <c r="AH470" i="1"/>
  <c r="AG470" i="1"/>
  <c r="AF470" i="1"/>
  <c r="AB470" i="1"/>
  <c r="AJ566" i="1"/>
  <c r="AI566" i="1"/>
  <c r="AH566" i="1"/>
  <c r="AG566" i="1"/>
  <c r="AF566" i="1"/>
  <c r="AB566" i="1"/>
  <c r="AJ746" i="1"/>
  <c r="AI746" i="1"/>
  <c r="AG746" i="1"/>
  <c r="AH746" i="1"/>
  <c r="AF746" i="1"/>
  <c r="AB746" i="1"/>
  <c r="AJ938" i="1"/>
  <c r="AI938" i="1"/>
  <c r="AG938" i="1"/>
  <c r="AH938" i="1"/>
  <c r="AF938" i="1"/>
  <c r="AB938" i="1"/>
  <c r="AJ1046" i="1"/>
  <c r="AI1046" i="1"/>
  <c r="AH1046" i="1"/>
  <c r="AG1046" i="1"/>
  <c r="AF1046" i="1"/>
  <c r="AB1046" i="1"/>
  <c r="AJ1214" i="1"/>
  <c r="AI1214" i="1"/>
  <c r="AG1214" i="1"/>
  <c r="AH1214" i="1"/>
  <c r="AF1214" i="1"/>
  <c r="AB1214" i="1"/>
  <c r="AJ1310" i="1"/>
  <c r="AI1310" i="1"/>
  <c r="AH1310" i="1"/>
  <c r="AG1310" i="1"/>
  <c r="AF1310" i="1"/>
  <c r="AB1310" i="1"/>
  <c r="AJ1406" i="1"/>
  <c r="AI1406" i="1"/>
  <c r="AH1406" i="1"/>
  <c r="AG1406" i="1"/>
  <c r="AF1406" i="1"/>
  <c r="AB1406" i="1"/>
  <c r="AJ1514" i="1"/>
  <c r="AI1514" i="1"/>
  <c r="AH1514" i="1"/>
  <c r="AG1514" i="1"/>
  <c r="AF1514" i="1"/>
  <c r="AB1514" i="1"/>
  <c r="AJ16" i="1"/>
  <c r="AI16" i="1"/>
  <c r="AH16" i="1"/>
  <c r="AG16" i="1"/>
  <c r="AF16" i="1"/>
  <c r="AB16" i="1"/>
  <c r="AJ88" i="1"/>
  <c r="AI88" i="1"/>
  <c r="AH88" i="1"/>
  <c r="AG88" i="1"/>
  <c r="AF88" i="1"/>
  <c r="AB88" i="1"/>
  <c r="AJ160" i="1"/>
  <c r="AI160" i="1"/>
  <c r="AH160" i="1"/>
  <c r="AG160" i="1"/>
  <c r="AF160" i="1"/>
  <c r="AB160" i="1"/>
  <c r="AJ232" i="1"/>
  <c r="AI232" i="1"/>
  <c r="AH232" i="1"/>
  <c r="AG232" i="1"/>
  <c r="AF232" i="1"/>
  <c r="AB232" i="1"/>
  <c r="AJ316" i="1"/>
  <c r="AI316" i="1"/>
  <c r="AH316" i="1"/>
  <c r="AG316" i="1"/>
  <c r="AF316" i="1"/>
  <c r="AB316" i="1"/>
  <c r="AJ388" i="1"/>
  <c r="AI388" i="1"/>
  <c r="AH388" i="1"/>
  <c r="AG388" i="1"/>
  <c r="AF388" i="1"/>
  <c r="AB388" i="1"/>
  <c r="AJ1300" i="1"/>
  <c r="AI1300" i="1"/>
  <c r="AH1300" i="1"/>
  <c r="AG1300" i="1"/>
  <c r="AF1300" i="1"/>
  <c r="AB1300" i="1"/>
  <c r="AJ1528" i="1"/>
  <c r="AI1528" i="1"/>
  <c r="AH1528" i="1"/>
  <c r="AG1528" i="1"/>
  <c r="AF1528" i="1"/>
  <c r="AB1528" i="1"/>
  <c r="AJ1756" i="1"/>
  <c r="AI1756" i="1"/>
  <c r="AH1756" i="1"/>
  <c r="AG1756" i="1"/>
  <c r="AF1756" i="1"/>
  <c r="AB1756" i="1"/>
  <c r="AJ1181" i="1"/>
  <c r="AI1181" i="1"/>
  <c r="AH1181" i="1"/>
  <c r="AG1181" i="1"/>
  <c r="AF1181" i="1"/>
  <c r="AB1181" i="1"/>
  <c r="AJ2" i="1"/>
  <c r="AI2" i="1"/>
  <c r="AH2" i="1"/>
  <c r="AG2" i="1"/>
  <c r="AF2" i="1"/>
  <c r="AB2" i="1"/>
  <c r="AJ771" i="1"/>
  <c r="AI771" i="1"/>
  <c r="AH771" i="1"/>
  <c r="AG771" i="1"/>
  <c r="AF771" i="1"/>
  <c r="AB771" i="1"/>
  <c r="AJ1071" i="1"/>
  <c r="AI1071" i="1"/>
  <c r="AH1071" i="1"/>
  <c r="AG1071" i="1"/>
  <c r="AF1071" i="1"/>
  <c r="AB1071" i="1"/>
  <c r="AJ1143" i="1"/>
  <c r="AI1143" i="1"/>
  <c r="AH1143" i="1"/>
  <c r="AG1143" i="1"/>
  <c r="AF1143" i="1"/>
  <c r="AB1143" i="1"/>
  <c r="AJ1395" i="1"/>
  <c r="AI1395" i="1"/>
  <c r="AH1395" i="1"/>
  <c r="AG1395" i="1"/>
  <c r="AF1395" i="1"/>
  <c r="AB1395" i="1"/>
  <c r="AJ1467" i="1"/>
  <c r="AI1467" i="1"/>
  <c r="AH1467" i="1"/>
  <c r="AG1467" i="1"/>
  <c r="AF1467" i="1"/>
  <c r="AB1467" i="1"/>
  <c r="AJ1539" i="1"/>
  <c r="AI1539" i="1"/>
  <c r="AH1539" i="1"/>
  <c r="AG1539" i="1"/>
  <c r="AF1539" i="1"/>
  <c r="AB1539" i="1"/>
  <c r="AJ1695" i="1"/>
  <c r="AI1695" i="1"/>
  <c r="AH1695" i="1"/>
  <c r="AG1695" i="1"/>
  <c r="AF1695" i="1"/>
  <c r="AB1695" i="1"/>
  <c r="AJ677" i="1"/>
  <c r="AI677" i="1"/>
  <c r="AH677" i="1"/>
  <c r="AG677" i="1"/>
  <c r="AF677" i="1"/>
  <c r="AB677" i="1"/>
  <c r="AJ1253" i="1"/>
  <c r="AI1253" i="1"/>
  <c r="AH1253" i="1"/>
  <c r="AG1253" i="1"/>
  <c r="AF1253" i="1"/>
  <c r="AB1253" i="1"/>
  <c r="AJ953" i="1"/>
  <c r="AI953" i="1"/>
  <c r="AH953" i="1"/>
  <c r="AG953" i="1"/>
  <c r="AF953" i="1"/>
  <c r="AB953" i="1"/>
  <c r="AJ1229" i="1"/>
  <c r="AI1229" i="1"/>
  <c r="AH1229" i="1"/>
  <c r="AG1229" i="1"/>
  <c r="AF1229" i="1"/>
  <c r="AB1229" i="1"/>
  <c r="AJ1541" i="1"/>
  <c r="AI1541" i="1"/>
  <c r="AH1541" i="1"/>
  <c r="AG1541" i="1"/>
  <c r="AF1541" i="1"/>
  <c r="AB1541" i="1"/>
  <c r="AJ425" i="1"/>
  <c r="AI425" i="1"/>
  <c r="AH425" i="1"/>
  <c r="AG425" i="1"/>
  <c r="AF425" i="1"/>
  <c r="AB425" i="1"/>
  <c r="Z200" i="1"/>
  <c r="AD200" i="1"/>
  <c r="AJ43" i="1"/>
  <c r="AI43" i="1"/>
  <c r="AH43" i="1"/>
  <c r="AG43" i="1"/>
  <c r="AF43" i="1"/>
  <c r="AB43" i="1"/>
  <c r="AJ283" i="1"/>
  <c r="AI283" i="1"/>
  <c r="AH283" i="1"/>
  <c r="AG283" i="1"/>
  <c r="AF283" i="1"/>
  <c r="AB283" i="1"/>
  <c r="AJ355" i="1"/>
  <c r="AI355" i="1"/>
  <c r="AH355" i="1"/>
  <c r="AG355" i="1"/>
  <c r="AF355" i="1"/>
  <c r="AB355" i="1"/>
  <c r="AJ607" i="1"/>
  <c r="AI607" i="1"/>
  <c r="AH607" i="1"/>
  <c r="AF607" i="1"/>
  <c r="AG607" i="1"/>
  <c r="AB607" i="1"/>
  <c r="AJ691" i="1"/>
  <c r="AI691" i="1"/>
  <c r="AH691" i="1"/>
  <c r="AG691" i="1"/>
  <c r="AF691" i="1"/>
  <c r="AB691" i="1"/>
  <c r="AJ895" i="1"/>
  <c r="AI895" i="1"/>
  <c r="AH895" i="1"/>
  <c r="AF895" i="1"/>
  <c r="AG895" i="1"/>
  <c r="AB895" i="1"/>
  <c r="AJ979" i="1"/>
  <c r="AI979" i="1"/>
  <c r="AH979" i="1"/>
  <c r="AG979" i="1"/>
  <c r="AF979" i="1"/>
  <c r="AB979" i="1"/>
  <c r="AJ1051" i="1"/>
  <c r="AI1051" i="1"/>
  <c r="AH1051" i="1"/>
  <c r="AG1051" i="1"/>
  <c r="AF1051" i="1"/>
  <c r="AB1051" i="1"/>
  <c r="AJ1495" i="1"/>
  <c r="AI1495" i="1"/>
  <c r="AH1495" i="1"/>
  <c r="AG1495" i="1"/>
  <c r="AF1495" i="1"/>
  <c r="AB1495" i="1"/>
  <c r="AJ20" i="1"/>
  <c r="AI20" i="1"/>
  <c r="AH20" i="1"/>
  <c r="AG20" i="1"/>
  <c r="AF20" i="1"/>
  <c r="AB20" i="1"/>
  <c r="AJ200" i="1"/>
  <c r="AI200" i="1"/>
  <c r="AH200" i="1"/>
  <c r="AG200" i="1"/>
  <c r="AF200" i="1"/>
  <c r="AB200" i="1"/>
  <c r="AJ344" i="1"/>
  <c r="AI344" i="1"/>
  <c r="AH344" i="1"/>
  <c r="AF344" i="1"/>
  <c r="AG344" i="1"/>
  <c r="AB344" i="1"/>
  <c r="AJ245" i="1"/>
  <c r="AI245" i="1"/>
  <c r="AH245" i="1"/>
  <c r="AG245" i="1"/>
  <c r="AF245" i="1"/>
  <c r="AB245" i="1"/>
  <c r="AJ25" i="1"/>
  <c r="AI25" i="1"/>
  <c r="AH25" i="1"/>
  <c r="AG25" i="1"/>
  <c r="AF25" i="1"/>
  <c r="AB25" i="1"/>
  <c r="AJ97" i="1"/>
  <c r="AI97" i="1"/>
  <c r="AH97" i="1"/>
  <c r="AG97" i="1"/>
  <c r="AF97" i="1"/>
  <c r="AB97" i="1"/>
  <c r="AJ169" i="1"/>
  <c r="AI169" i="1"/>
  <c r="AH169" i="1"/>
  <c r="AG169" i="1"/>
  <c r="AF169" i="1"/>
  <c r="AB169" i="1"/>
  <c r="AJ241" i="1"/>
  <c r="AI241" i="1"/>
  <c r="AH241" i="1"/>
  <c r="AG241" i="1"/>
  <c r="AF241" i="1"/>
  <c r="AB241" i="1"/>
  <c r="AJ313" i="1"/>
  <c r="AI313" i="1"/>
  <c r="AH313" i="1"/>
  <c r="AG313" i="1"/>
  <c r="AF313" i="1"/>
  <c r="AB313" i="1"/>
  <c r="AJ457" i="1"/>
  <c r="AI457" i="1"/>
  <c r="AH457" i="1"/>
  <c r="AG457" i="1"/>
  <c r="AF457" i="1"/>
  <c r="AB457" i="1"/>
  <c r="AJ529" i="1"/>
  <c r="AI529" i="1"/>
  <c r="AG529" i="1"/>
  <c r="AH529" i="1"/>
  <c r="AF529" i="1"/>
  <c r="AB529" i="1"/>
  <c r="AJ601" i="1"/>
  <c r="AI601" i="1"/>
  <c r="AH601" i="1"/>
  <c r="AG601" i="1"/>
  <c r="AF601" i="1"/>
  <c r="AB601" i="1"/>
  <c r="AJ673" i="1"/>
  <c r="AI673" i="1"/>
  <c r="AH673" i="1"/>
  <c r="AG673" i="1"/>
  <c r="AF673" i="1"/>
  <c r="AB673" i="1"/>
  <c r="AJ745" i="1"/>
  <c r="AI745" i="1"/>
  <c r="AG745" i="1"/>
  <c r="AH745" i="1"/>
  <c r="AF745" i="1"/>
  <c r="AB745" i="1"/>
  <c r="AJ817" i="1"/>
  <c r="AI817" i="1"/>
  <c r="AH817" i="1"/>
  <c r="AG817" i="1"/>
  <c r="AF817" i="1"/>
  <c r="AB817" i="1"/>
  <c r="AJ961" i="1"/>
  <c r="AI961" i="1"/>
  <c r="AH961" i="1"/>
  <c r="AG961" i="1"/>
  <c r="AF961" i="1"/>
  <c r="AB961" i="1"/>
  <c r="AJ1105" i="1"/>
  <c r="AI1105" i="1"/>
  <c r="AH1105" i="1"/>
  <c r="AG1105" i="1"/>
  <c r="AF1105" i="1"/>
  <c r="AB1105" i="1"/>
  <c r="AJ1177" i="1"/>
  <c r="AI1177" i="1"/>
  <c r="AH1177" i="1"/>
  <c r="AG1177" i="1"/>
  <c r="AF1177" i="1"/>
  <c r="AB1177" i="1"/>
  <c r="AJ1249" i="1"/>
  <c r="AI1249" i="1"/>
  <c r="AH1249" i="1"/>
  <c r="AG1249" i="1"/>
  <c r="AF1249" i="1"/>
  <c r="AB1249" i="1"/>
  <c r="AJ1393" i="1"/>
  <c r="AI1393" i="1"/>
  <c r="AH1393" i="1"/>
  <c r="AG1393" i="1"/>
  <c r="AF1393" i="1"/>
  <c r="AB1393" i="1"/>
  <c r="AJ1465" i="1"/>
  <c r="AI1465" i="1"/>
  <c r="AH1465" i="1"/>
  <c r="AG1465" i="1"/>
  <c r="AF1465" i="1"/>
  <c r="AB1465" i="1"/>
  <c r="AJ1537" i="1"/>
  <c r="AI1537" i="1"/>
  <c r="AH1537" i="1"/>
  <c r="AG1537" i="1"/>
  <c r="AF1537" i="1"/>
  <c r="AB1537" i="1"/>
  <c r="AJ1609" i="1"/>
  <c r="AI1609" i="1"/>
  <c r="AH1609" i="1"/>
  <c r="AG1609" i="1"/>
  <c r="AF1609" i="1"/>
  <c r="AB1609" i="1"/>
  <c r="AJ1753" i="1"/>
  <c r="AI1753" i="1"/>
  <c r="AG1753" i="1"/>
  <c r="AH1753" i="1"/>
  <c r="AF1753" i="1"/>
  <c r="AB1753" i="1"/>
  <c r="AJ1554" i="1"/>
  <c r="AI1554" i="1"/>
  <c r="AH1554" i="1"/>
  <c r="AG1554" i="1"/>
  <c r="AF1554" i="1"/>
  <c r="AB1554" i="1"/>
  <c r="AJ489" i="1"/>
  <c r="AI489" i="1"/>
  <c r="AH489" i="1"/>
  <c r="AG489" i="1"/>
  <c r="AF489" i="1"/>
  <c r="AB489" i="1"/>
  <c r="AJ669" i="1"/>
  <c r="AI669" i="1"/>
  <c r="AH669" i="1"/>
  <c r="AG669" i="1"/>
  <c r="AF669" i="1"/>
  <c r="AB669" i="1"/>
  <c r="AJ873" i="1"/>
  <c r="AI873" i="1"/>
  <c r="AH873" i="1"/>
  <c r="AF873" i="1"/>
  <c r="AG873" i="1"/>
  <c r="AB873" i="1"/>
  <c r="AJ1137" i="1"/>
  <c r="AI1137" i="1"/>
  <c r="AH1137" i="1"/>
  <c r="AG1137" i="1"/>
  <c r="AF1137" i="1"/>
  <c r="AB1137" i="1"/>
  <c r="AJ142" i="1"/>
  <c r="AI142" i="1"/>
  <c r="AH142" i="1"/>
  <c r="AG142" i="1"/>
  <c r="AF142" i="1"/>
  <c r="AB142" i="1"/>
  <c r="AJ346" i="1"/>
  <c r="AI346" i="1"/>
  <c r="AH346" i="1"/>
  <c r="AG346" i="1"/>
  <c r="AF346" i="1"/>
  <c r="AB346" i="1"/>
  <c r="AJ550" i="1"/>
  <c r="AI550" i="1"/>
  <c r="AH550" i="1"/>
  <c r="AG550" i="1"/>
  <c r="AF550" i="1"/>
  <c r="AB550" i="1"/>
  <c r="AJ718" i="1"/>
  <c r="AI718" i="1"/>
  <c r="AH718" i="1"/>
  <c r="AG718" i="1"/>
  <c r="AF718" i="1"/>
  <c r="AB718" i="1"/>
  <c r="AJ898" i="1"/>
  <c r="AI898" i="1"/>
  <c r="AH898" i="1"/>
  <c r="AG898" i="1"/>
  <c r="AF898" i="1"/>
  <c r="AB898" i="1"/>
  <c r="AJ1030" i="1"/>
  <c r="AI1030" i="1"/>
  <c r="AH1030" i="1"/>
  <c r="AG1030" i="1"/>
  <c r="AF1030" i="1"/>
  <c r="AB1030" i="1"/>
  <c r="AJ1222" i="1"/>
  <c r="AI1222" i="1"/>
  <c r="AH1222" i="1"/>
  <c r="AG1222" i="1"/>
  <c r="AF1222" i="1"/>
  <c r="AB1222" i="1"/>
  <c r="AJ1414" i="1"/>
  <c r="AI1414" i="1"/>
  <c r="AH1414" i="1"/>
  <c r="AG1414" i="1"/>
  <c r="AF1414" i="1"/>
  <c r="AB1414" i="1"/>
  <c r="AJ1570" i="1"/>
  <c r="AI1570" i="1"/>
  <c r="AH1570" i="1"/>
  <c r="AG1570" i="1"/>
  <c r="AF1570" i="1"/>
  <c r="AB1570" i="1"/>
  <c r="AJ530" i="1"/>
  <c r="AI530" i="1"/>
  <c r="AH530" i="1"/>
  <c r="AG530" i="1"/>
  <c r="AF530" i="1"/>
  <c r="AB530" i="1"/>
  <c r="AJ1598" i="1"/>
  <c r="AI1598" i="1"/>
  <c r="AG1598" i="1"/>
  <c r="AH1598" i="1"/>
  <c r="AF1598" i="1"/>
  <c r="AB1598" i="1"/>
  <c r="AJ1518" i="1"/>
  <c r="AI1518" i="1"/>
  <c r="AH1518" i="1"/>
  <c r="AG1518" i="1"/>
  <c r="AF1518" i="1"/>
  <c r="AB1518" i="1"/>
  <c r="AJ1401" i="1"/>
  <c r="AI1401" i="1"/>
  <c r="AH1401" i="1"/>
  <c r="AG1401" i="1"/>
  <c r="AF1401" i="1"/>
  <c r="AB1401" i="1"/>
  <c r="AJ23" i="1"/>
  <c r="AI23" i="1"/>
  <c r="AH23" i="1"/>
  <c r="AG23" i="1"/>
  <c r="AF23" i="1"/>
  <c r="AB23" i="1"/>
  <c r="AJ371" i="1"/>
  <c r="AI371" i="1"/>
  <c r="AH371" i="1"/>
  <c r="AG371" i="1"/>
  <c r="AF371" i="1"/>
  <c r="AB371" i="1"/>
  <c r="AJ1267" i="1"/>
  <c r="AI1267" i="1"/>
  <c r="AH1267" i="1"/>
  <c r="AG1267" i="1"/>
  <c r="AF1267" i="1"/>
  <c r="AB1267" i="1"/>
  <c r="AJ716" i="1"/>
  <c r="AI716" i="1"/>
  <c r="AH716" i="1"/>
  <c r="AG716" i="1"/>
  <c r="AF716" i="1"/>
  <c r="AB716" i="1"/>
  <c r="AJ788" i="1"/>
  <c r="AI788" i="1"/>
  <c r="AH788" i="1"/>
  <c r="AG788" i="1"/>
  <c r="AF788" i="1"/>
  <c r="AB788" i="1"/>
  <c r="AJ860" i="1"/>
  <c r="AI860" i="1"/>
  <c r="AH860" i="1"/>
  <c r="AG860" i="1"/>
  <c r="AF860" i="1"/>
  <c r="AB860" i="1"/>
  <c r="AJ932" i="1"/>
  <c r="AI932" i="1"/>
  <c r="AH932" i="1"/>
  <c r="AG932" i="1"/>
  <c r="AF932" i="1"/>
  <c r="AB932" i="1"/>
  <c r="AJ1004" i="1"/>
  <c r="AI1004" i="1"/>
  <c r="AH1004" i="1"/>
  <c r="AG1004" i="1"/>
  <c r="AF1004" i="1"/>
  <c r="AB1004" i="1"/>
  <c r="AJ1076" i="1"/>
  <c r="AI1076" i="1"/>
  <c r="AH1076" i="1"/>
  <c r="AG1076" i="1"/>
  <c r="AF1076" i="1"/>
  <c r="AB1076" i="1"/>
  <c r="AJ1148" i="1"/>
  <c r="AI1148" i="1"/>
  <c r="AH1148" i="1"/>
  <c r="AG1148" i="1"/>
  <c r="AF1148" i="1"/>
  <c r="AB1148" i="1"/>
  <c r="AJ1220" i="1"/>
  <c r="AI1220" i="1"/>
  <c r="AH1220" i="1"/>
  <c r="AG1220" i="1"/>
  <c r="AF1220" i="1"/>
  <c r="AB1220" i="1"/>
  <c r="AJ1292" i="1"/>
  <c r="AI1292" i="1"/>
  <c r="AH1292" i="1"/>
  <c r="AG1292" i="1"/>
  <c r="AF1292" i="1"/>
  <c r="AB1292" i="1"/>
  <c r="AJ1364" i="1"/>
  <c r="AI1364" i="1"/>
  <c r="AH1364" i="1"/>
  <c r="AG1364" i="1"/>
  <c r="AF1364" i="1"/>
  <c r="AB1364" i="1"/>
  <c r="AJ1508" i="1"/>
  <c r="AI1508" i="1"/>
  <c r="AH1508" i="1"/>
  <c r="AG1508" i="1"/>
  <c r="AF1508" i="1"/>
  <c r="AB1508" i="1"/>
  <c r="AJ1580" i="1"/>
  <c r="AI1580" i="1"/>
  <c r="AH1580" i="1"/>
  <c r="AG1580" i="1"/>
  <c r="AF1580" i="1"/>
  <c r="AB1580" i="1"/>
  <c r="AJ1652" i="1"/>
  <c r="AI1652" i="1"/>
  <c r="AH1652" i="1"/>
  <c r="AG1652" i="1"/>
  <c r="AF1652" i="1"/>
  <c r="AB1652" i="1"/>
  <c r="AJ1724" i="1"/>
  <c r="AI1724" i="1"/>
  <c r="AH1724" i="1"/>
  <c r="AG1724" i="1"/>
  <c r="AF1724" i="1"/>
  <c r="AB1724" i="1"/>
  <c r="AJ477" i="1"/>
  <c r="AI477" i="1"/>
  <c r="AH477" i="1"/>
  <c r="AG477" i="1"/>
  <c r="AF477" i="1"/>
  <c r="AB477" i="1"/>
  <c r="AJ1245" i="1"/>
  <c r="AI1245" i="1"/>
  <c r="AH1245" i="1"/>
  <c r="AG1245" i="1"/>
  <c r="AF1245" i="1"/>
  <c r="AB1245" i="1"/>
  <c r="AJ58" i="1"/>
  <c r="AI58" i="1"/>
  <c r="AH58" i="1"/>
  <c r="AG58" i="1"/>
  <c r="AF58" i="1"/>
  <c r="AB58" i="1"/>
  <c r="AJ754" i="1"/>
  <c r="AI754" i="1"/>
  <c r="AH754" i="1"/>
  <c r="AG754" i="1"/>
  <c r="AF754" i="1"/>
  <c r="AB754" i="1"/>
  <c r="AJ1630" i="1"/>
  <c r="AI1630" i="1"/>
  <c r="AH1630" i="1"/>
  <c r="AG1630" i="1"/>
  <c r="AF1630" i="1"/>
  <c r="AB1630" i="1"/>
  <c r="AJ827" i="1"/>
  <c r="AI827" i="1"/>
  <c r="AH827" i="1"/>
  <c r="AG827" i="1"/>
  <c r="AF827" i="1"/>
  <c r="AB827" i="1"/>
  <c r="AJ1307" i="1"/>
  <c r="AI1307" i="1"/>
  <c r="AH1307" i="1"/>
  <c r="AG1307" i="1"/>
  <c r="AF1307" i="1"/>
  <c r="AB1307" i="1"/>
  <c r="AJ120" i="1"/>
  <c r="AI120" i="1"/>
  <c r="AH120" i="1"/>
  <c r="AG120" i="1"/>
  <c r="AF120" i="1"/>
  <c r="AB120" i="1"/>
  <c r="AJ708" i="1"/>
  <c r="AI708" i="1"/>
  <c r="AH708" i="1"/>
  <c r="AG708" i="1"/>
  <c r="AF708" i="1"/>
  <c r="AB708" i="1"/>
  <c r="AJ130" i="1"/>
  <c r="AI130" i="1"/>
  <c r="AH130" i="1"/>
  <c r="AG130" i="1"/>
  <c r="AF130" i="1"/>
  <c r="AB130" i="1"/>
  <c r="AJ910" i="1"/>
  <c r="AI910" i="1"/>
  <c r="AH910" i="1"/>
  <c r="AG910" i="1"/>
  <c r="AF910" i="1"/>
  <c r="AB910" i="1"/>
  <c r="AJ1738" i="1"/>
  <c r="AI1738" i="1"/>
  <c r="AH1738" i="1"/>
  <c r="AG1738" i="1"/>
  <c r="AF1738" i="1"/>
  <c r="AB1738" i="1"/>
  <c r="AJ455" i="1"/>
  <c r="AI455" i="1"/>
  <c r="AH455" i="1"/>
  <c r="AG455" i="1"/>
  <c r="AF455" i="1"/>
  <c r="AB455" i="1"/>
  <c r="AJ803" i="1"/>
  <c r="AI803" i="1"/>
  <c r="AH803" i="1"/>
  <c r="AG803" i="1"/>
  <c r="AF803" i="1"/>
  <c r="AB803" i="1"/>
  <c r="AJ1343" i="1"/>
  <c r="AI1343" i="1"/>
  <c r="AH1343" i="1"/>
  <c r="AG1343" i="1"/>
  <c r="AF1343" i="1"/>
  <c r="AB1343" i="1"/>
  <c r="AJ192" i="1"/>
  <c r="AI192" i="1"/>
  <c r="AH192" i="1"/>
  <c r="AG192" i="1"/>
  <c r="AF192" i="1"/>
  <c r="AB192" i="1"/>
  <c r="AJ696" i="1"/>
  <c r="AI696" i="1"/>
  <c r="AH696" i="1"/>
  <c r="AG696" i="1"/>
  <c r="AF696" i="1"/>
  <c r="AB696" i="1"/>
  <c r="AJ1332" i="1"/>
  <c r="AI1332" i="1"/>
  <c r="AH1332" i="1"/>
  <c r="AG1332" i="1"/>
  <c r="AF1332" i="1"/>
  <c r="AB1332" i="1"/>
  <c r="AJ108" i="1"/>
  <c r="AI108" i="1"/>
  <c r="AH108" i="1"/>
  <c r="AG108" i="1"/>
  <c r="AF108" i="1"/>
  <c r="AB108" i="1"/>
  <c r="AJ636" i="1"/>
  <c r="AI636" i="1"/>
  <c r="AH636" i="1"/>
  <c r="AG636" i="1"/>
  <c r="AF636" i="1"/>
  <c r="AB636" i="1"/>
  <c r="AJ1140" i="1"/>
  <c r="AI1140" i="1"/>
  <c r="AH1140" i="1"/>
  <c r="AG1140" i="1"/>
  <c r="AF1140" i="1"/>
  <c r="AB1140" i="1"/>
  <c r="AJ1500" i="1"/>
  <c r="AI1500" i="1"/>
  <c r="AH1500" i="1"/>
  <c r="AG1500" i="1"/>
  <c r="AF1500" i="1"/>
  <c r="AB1500" i="1"/>
  <c r="AJ1768" i="1"/>
  <c r="AI1768" i="1"/>
  <c r="AH1768" i="1"/>
  <c r="AG1768" i="1"/>
  <c r="AF1768" i="1"/>
  <c r="AB1768" i="1"/>
  <c r="AJ281" i="1"/>
  <c r="AI281" i="1"/>
  <c r="AH281" i="1"/>
  <c r="AG281" i="1"/>
  <c r="AF281" i="1"/>
  <c r="AB281" i="1"/>
  <c r="AJ845" i="1"/>
  <c r="AI845" i="1"/>
  <c r="AH845" i="1"/>
  <c r="AG845" i="1"/>
  <c r="AF845" i="1"/>
  <c r="AB845" i="1"/>
  <c r="AJ1289" i="1"/>
  <c r="AI1289" i="1"/>
  <c r="AH1289" i="1"/>
  <c r="AG1289" i="1"/>
  <c r="AF1289" i="1"/>
  <c r="AB1289" i="1"/>
  <c r="AJ1733" i="1"/>
  <c r="AI1733" i="1"/>
  <c r="AH1733" i="1"/>
  <c r="AG1733" i="1"/>
  <c r="AF1733" i="1"/>
  <c r="AB1733" i="1"/>
  <c r="AJ207" i="1"/>
  <c r="AI207" i="1"/>
  <c r="AH207" i="1"/>
  <c r="AG207" i="1"/>
  <c r="AF207" i="1"/>
  <c r="AB207" i="1"/>
  <c r="AE1469" i="1"/>
  <c r="AC1469" i="1"/>
  <c r="AJ867" i="1"/>
  <c r="AI867" i="1"/>
  <c r="AH867" i="1"/>
  <c r="AG867" i="1"/>
  <c r="AF867" i="1"/>
  <c r="AB867" i="1"/>
  <c r="AE41" i="1"/>
  <c r="AC41" i="1"/>
  <c r="AE113" i="1"/>
  <c r="AC113" i="1"/>
  <c r="AE209" i="1"/>
  <c r="AC209" i="1"/>
  <c r="AE293" i="1"/>
  <c r="AC293" i="1"/>
  <c r="AE365" i="1"/>
  <c r="AC365" i="1"/>
  <c r="AE461" i="1"/>
  <c r="AC461" i="1"/>
  <c r="AE581" i="1"/>
  <c r="AC581" i="1"/>
  <c r="AE54" i="1"/>
  <c r="AC54" i="1"/>
  <c r="AE138" i="1"/>
  <c r="AC138" i="1"/>
  <c r="AE234" i="1"/>
  <c r="AC234" i="1"/>
  <c r="AE306" i="1"/>
  <c r="AC306" i="1"/>
  <c r="AE378" i="1"/>
  <c r="AC378" i="1"/>
  <c r="AE450" i="1"/>
  <c r="AC450" i="1"/>
  <c r="AE522" i="1"/>
  <c r="AC522" i="1"/>
  <c r="AE594" i="1"/>
  <c r="AC594" i="1"/>
  <c r="AE666" i="1"/>
  <c r="AC666" i="1"/>
  <c r="AE738" i="1"/>
  <c r="AC738" i="1"/>
  <c r="AE810" i="1"/>
  <c r="AC810" i="1"/>
  <c r="AE882" i="1"/>
  <c r="AC882" i="1"/>
  <c r="AE693" i="1"/>
  <c r="AC693" i="1"/>
  <c r="AE765" i="1"/>
  <c r="AC765" i="1"/>
  <c r="AE837" i="1"/>
  <c r="AC837" i="1"/>
  <c r="AE909" i="1"/>
  <c r="AC909" i="1"/>
  <c r="AE981" i="1"/>
  <c r="AC981" i="1"/>
  <c r="AE1053" i="1"/>
  <c r="AC1053" i="1"/>
  <c r="AE1125" i="1"/>
  <c r="AC1125" i="1"/>
  <c r="AE1197" i="1"/>
  <c r="AC1197" i="1"/>
  <c r="AE1269" i="1"/>
  <c r="AC1269" i="1"/>
  <c r="AE1341" i="1"/>
  <c r="AC1341" i="1"/>
  <c r="AE1413" i="1"/>
  <c r="AC1413" i="1"/>
  <c r="AE1485" i="1"/>
  <c r="AC1485" i="1"/>
  <c r="AE1557" i="1"/>
  <c r="AC1557" i="1"/>
  <c r="AE1629" i="1"/>
  <c r="AC1629" i="1"/>
  <c r="AE1701" i="1"/>
  <c r="AC1701" i="1"/>
  <c r="AE1773" i="1"/>
  <c r="AC1773" i="1"/>
  <c r="AE1198" i="1"/>
  <c r="AC1198" i="1"/>
  <c r="AE1270" i="1"/>
  <c r="AC1270" i="1"/>
  <c r="AE1342" i="1"/>
  <c r="AC1342" i="1"/>
  <c r="AE1414" i="1"/>
  <c r="AC1414" i="1"/>
  <c r="AE1486" i="1"/>
  <c r="AC1486" i="1"/>
  <c r="AE1558" i="1"/>
  <c r="AC1558" i="1"/>
  <c r="AE1630" i="1"/>
  <c r="AC1630" i="1"/>
  <c r="AE1702" i="1"/>
  <c r="AC1702" i="1"/>
  <c r="AE1774" i="1"/>
  <c r="AC1774" i="1"/>
  <c r="AE539" i="1"/>
  <c r="AC539" i="1"/>
  <c r="AE611" i="1"/>
  <c r="AC611" i="1"/>
  <c r="AE683" i="1"/>
  <c r="AC683" i="1"/>
  <c r="AE755" i="1"/>
  <c r="AC755" i="1"/>
  <c r="AE827" i="1"/>
  <c r="AC827" i="1"/>
  <c r="AE899" i="1"/>
  <c r="AC899" i="1"/>
  <c r="AE971" i="1"/>
  <c r="AC971" i="1"/>
  <c r="AE1043" i="1"/>
  <c r="AC1043" i="1"/>
  <c r="AE1115" i="1"/>
  <c r="AC1115" i="1"/>
  <c r="AE1187" i="1"/>
  <c r="AC1187" i="1"/>
  <c r="AE1259" i="1"/>
  <c r="AC1259" i="1"/>
  <c r="AE1331" i="1"/>
  <c r="AC1331" i="1"/>
  <c r="AE1403" i="1"/>
  <c r="AC1403" i="1"/>
  <c r="AE1475" i="1"/>
  <c r="AC1475" i="1"/>
  <c r="AE1547" i="1"/>
  <c r="AC1547" i="1"/>
  <c r="AE1619" i="1"/>
  <c r="AC1619" i="1"/>
  <c r="AE1691" i="1"/>
  <c r="AC1691" i="1"/>
  <c r="AE1763" i="1"/>
  <c r="AC1763" i="1"/>
  <c r="AE48" i="1"/>
  <c r="AC48" i="1"/>
  <c r="AE120" i="1"/>
  <c r="AC120" i="1"/>
  <c r="AE192" i="1"/>
  <c r="AC192" i="1"/>
  <c r="AE264" i="1"/>
  <c r="AC264" i="1"/>
  <c r="AE336" i="1"/>
  <c r="AC336" i="1"/>
  <c r="AE408" i="1"/>
  <c r="AC408" i="1"/>
  <c r="AE480" i="1"/>
  <c r="AC480" i="1"/>
  <c r="AE552" i="1"/>
  <c r="AC552" i="1"/>
  <c r="AE624" i="1"/>
  <c r="AC624" i="1"/>
  <c r="AE696" i="1"/>
  <c r="AC696" i="1"/>
  <c r="AE768" i="1"/>
  <c r="AC768" i="1"/>
  <c r="AE840" i="1"/>
  <c r="AC840" i="1"/>
  <c r="AE912" i="1"/>
  <c r="AC912" i="1"/>
  <c r="AE984" i="1"/>
  <c r="AC984" i="1"/>
  <c r="AE1056" i="1"/>
  <c r="AC1056" i="1"/>
  <c r="AE1128" i="1"/>
  <c r="AC1128" i="1"/>
  <c r="AE1200" i="1"/>
  <c r="AC1200" i="1"/>
  <c r="AE1272" i="1"/>
  <c r="AC1272" i="1"/>
  <c r="AE1344" i="1"/>
  <c r="AC1344" i="1"/>
  <c r="AE1416" i="1"/>
  <c r="AC1416" i="1"/>
  <c r="AE1488" i="1"/>
  <c r="AC1488" i="1"/>
  <c r="AE1560" i="1"/>
  <c r="AC1560" i="1"/>
  <c r="AE1632" i="1"/>
  <c r="AC1632" i="1"/>
  <c r="AE1704" i="1"/>
  <c r="AC1704" i="1"/>
  <c r="AE1776" i="1"/>
  <c r="AC1776" i="1"/>
  <c r="AE61" i="1"/>
  <c r="AC61" i="1"/>
  <c r="AE133" i="1"/>
  <c r="AC133" i="1"/>
  <c r="AE205" i="1"/>
  <c r="AC205" i="1"/>
  <c r="AE277" i="1"/>
  <c r="AC277" i="1"/>
  <c r="AE349" i="1"/>
  <c r="AC349" i="1"/>
  <c r="AE421" i="1"/>
  <c r="AC421" i="1"/>
  <c r="AE493" i="1"/>
  <c r="AC493" i="1"/>
  <c r="AE565" i="1"/>
  <c r="AC565" i="1"/>
  <c r="AE637" i="1"/>
  <c r="AC637" i="1"/>
  <c r="AE709" i="1"/>
  <c r="AC709" i="1"/>
  <c r="AE781" i="1"/>
  <c r="AC781" i="1"/>
  <c r="AE853" i="1"/>
  <c r="AC853" i="1"/>
  <c r="AE925" i="1"/>
  <c r="AC925" i="1"/>
  <c r="AE997" i="1"/>
  <c r="AC997" i="1"/>
  <c r="AE1069" i="1"/>
  <c r="AC1069" i="1"/>
  <c r="AE1141" i="1"/>
  <c r="AC1141" i="1"/>
  <c r="AE1213" i="1"/>
  <c r="AC1213" i="1"/>
  <c r="AE1285" i="1"/>
  <c r="AC1285" i="1"/>
  <c r="AE1357" i="1"/>
  <c r="AC1357" i="1"/>
  <c r="AE1429" i="1"/>
  <c r="AC1429" i="1"/>
  <c r="AE1501" i="1"/>
  <c r="AC1501" i="1"/>
  <c r="AE1573" i="1"/>
  <c r="AC1573" i="1"/>
  <c r="AE1645" i="1"/>
  <c r="AC1645" i="1"/>
  <c r="AE1717" i="1"/>
  <c r="AC1717" i="1"/>
  <c r="AE1789" i="1"/>
  <c r="AC1789" i="1"/>
  <c r="AE86" i="1"/>
  <c r="AC86" i="1"/>
  <c r="AE182" i="1"/>
  <c r="AC182" i="1"/>
  <c r="AE290" i="1"/>
  <c r="AC290" i="1"/>
  <c r="AE386" i="1"/>
  <c r="AC386" i="1"/>
  <c r="AE458" i="1"/>
  <c r="AC458" i="1"/>
  <c r="AE530" i="1"/>
  <c r="AC530" i="1"/>
  <c r="AE602" i="1"/>
  <c r="AC602" i="1"/>
  <c r="AE674" i="1"/>
  <c r="AC674" i="1"/>
  <c r="AE746" i="1"/>
  <c r="AC746" i="1"/>
  <c r="AE830" i="1"/>
  <c r="AC830" i="1"/>
  <c r="AE926" i="1"/>
  <c r="AC926" i="1"/>
  <c r="AE1058" i="1"/>
  <c r="AC1058" i="1"/>
  <c r="AE1130" i="1"/>
  <c r="AC1130" i="1"/>
  <c r="AE1250" i="1"/>
  <c r="AC1250" i="1"/>
  <c r="AE1334" i="1"/>
  <c r="AC1334" i="1"/>
  <c r="AE1406" i="1"/>
  <c r="AC1406" i="1"/>
  <c r="AE1478" i="1"/>
  <c r="AC1478" i="1"/>
  <c r="AE1550" i="1"/>
  <c r="AC1550" i="1"/>
  <c r="AE1622" i="1"/>
  <c r="AC1622" i="1"/>
  <c r="AE1718" i="1"/>
  <c r="AC1718" i="1"/>
  <c r="AE39" i="1"/>
  <c r="AC39" i="1"/>
  <c r="AE135" i="1"/>
  <c r="AC135" i="1"/>
  <c r="AE243" i="1"/>
  <c r="AC243" i="1"/>
  <c r="AE387" i="1"/>
  <c r="AC387" i="1"/>
  <c r="AE495" i="1"/>
  <c r="AC495" i="1"/>
  <c r="AE567" i="1"/>
  <c r="AC567" i="1"/>
  <c r="AE639" i="1"/>
  <c r="AC639" i="1"/>
  <c r="AE735" i="1"/>
  <c r="AC735" i="1"/>
  <c r="AE807" i="1"/>
  <c r="AC807" i="1"/>
  <c r="AE939" i="1"/>
  <c r="AC939" i="1"/>
  <c r="AE1047" i="1"/>
  <c r="AC1047" i="1"/>
  <c r="AE1119" i="1"/>
  <c r="AC1119" i="1"/>
  <c r="AE1191" i="1"/>
  <c r="AC1191" i="1"/>
  <c r="AE1275" i="1"/>
  <c r="AC1275" i="1"/>
  <c r="AE1347" i="1"/>
  <c r="AC1347" i="1"/>
  <c r="AE1443" i="1"/>
  <c r="AC1443" i="1"/>
  <c r="AE1515" i="1"/>
  <c r="AC1515" i="1"/>
  <c r="AE1599" i="1"/>
  <c r="AC1599" i="1"/>
  <c r="AE1683" i="1"/>
  <c r="AC1683" i="1"/>
  <c r="AE1755" i="1"/>
  <c r="AC1755" i="1"/>
  <c r="AE40" i="1"/>
  <c r="AC40" i="1"/>
  <c r="AE112" i="1"/>
  <c r="AC112" i="1"/>
  <c r="AE184" i="1"/>
  <c r="AC184" i="1"/>
  <c r="AE256" i="1"/>
  <c r="AC256" i="1"/>
  <c r="AE328" i="1"/>
  <c r="AC328" i="1"/>
  <c r="AE400" i="1"/>
  <c r="AC400" i="1"/>
  <c r="AE472" i="1"/>
  <c r="AC472" i="1"/>
  <c r="AE544" i="1"/>
  <c r="AC544" i="1"/>
  <c r="AE616" i="1"/>
  <c r="AC616" i="1"/>
  <c r="AE688" i="1"/>
  <c r="AC688" i="1"/>
  <c r="AE760" i="1"/>
  <c r="AC760" i="1"/>
  <c r="AE844" i="1"/>
  <c r="AC844" i="1"/>
  <c r="AE916" i="1"/>
  <c r="AC916" i="1"/>
  <c r="AE1000" i="1"/>
  <c r="AC1000" i="1"/>
  <c r="AE1072" i="1"/>
  <c r="AC1072" i="1"/>
  <c r="AE1156" i="1"/>
  <c r="AC1156" i="1"/>
  <c r="AE1228" i="1"/>
  <c r="AC1228" i="1"/>
  <c r="AE1312" i="1"/>
  <c r="AC1312" i="1"/>
  <c r="AE1396" i="1"/>
  <c r="AC1396" i="1"/>
  <c r="AE1516" i="1"/>
  <c r="AC1516" i="1"/>
  <c r="AE1612" i="1"/>
  <c r="AC1612" i="1"/>
  <c r="AE1684" i="1"/>
  <c r="AC1684" i="1"/>
  <c r="AE1768" i="1"/>
  <c r="AC1768" i="1"/>
  <c r="AE942" i="1"/>
  <c r="AC942" i="1"/>
  <c r="AE1014" i="1"/>
  <c r="AC1014" i="1"/>
  <c r="AE1086" i="1"/>
  <c r="AC1086" i="1"/>
  <c r="AE1158" i="1"/>
  <c r="AC1158" i="1"/>
  <c r="AE1230" i="1"/>
  <c r="AC1230" i="1"/>
  <c r="AE1302" i="1"/>
  <c r="AC1302" i="1"/>
  <c r="AE1374" i="1"/>
  <c r="AC1374" i="1"/>
  <c r="AE1446" i="1"/>
  <c r="AC1446" i="1"/>
  <c r="AE1518" i="1"/>
  <c r="AC1518" i="1"/>
  <c r="AE1590" i="1"/>
  <c r="AC1590" i="1"/>
  <c r="AE1662" i="1"/>
  <c r="AC1662" i="1"/>
  <c r="AE1734" i="1"/>
  <c r="AC1734" i="1"/>
  <c r="AE19" i="1"/>
  <c r="AC19" i="1"/>
  <c r="AE91" i="1"/>
  <c r="AC91" i="1"/>
  <c r="AE163" i="1"/>
  <c r="AC163" i="1"/>
  <c r="AE235" i="1"/>
  <c r="AC235" i="1"/>
  <c r="AE307" i="1"/>
  <c r="AC307" i="1"/>
  <c r="AE379" i="1"/>
  <c r="AC379" i="1"/>
  <c r="AE451" i="1"/>
  <c r="AC451" i="1"/>
  <c r="AE523" i="1"/>
  <c r="AC523" i="1"/>
  <c r="AE595" i="1"/>
  <c r="AC595" i="1"/>
  <c r="AE667" i="1"/>
  <c r="AC667" i="1"/>
  <c r="AE739" i="1"/>
  <c r="AC739" i="1"/>
  <c r="AE811" i="1"/>
  <c r="AC811" i="1"/>
  <c r="AE883" i="1"/>
  <c r="AC883" i="1"/>
  <c r="AE955" i="1"/>
  <c r="AC955" i="1"/>
  <c r="AE1027" i="1"/>
  <c r="AC1027" i="1"/>
  <c r="AE1099" i="1"/>
  <c r="AC1099" i="1"/>
  <c r="AE1171" i="1"/>
  <c r="AC1171" i="1"/>
  <c r="AE1243" i="1"/>
  <c r="AC1243" i="1"/>
  <c r="AE1315" i="1"/>
  <c r="AC1315" i="1"/>
  <c r="AE1387" i="1"/>
  <c r="AC1387" i="1"/>
  <c r="AE1459" i="1"/>
  <c r="AC1459" i="1"/>
  <c r="AE1531" i="1"/>
  <c r="AC1531" i="1"/>
  <c r="AE1603" i="1"/>
  <c r="AC1603" i="1"/>
  <c r="AE1675" i="1"/>
  <c r="AC1675" i="1"/>
  <c r="AE1747" i="1"/>
  <c r="AC1747" i="1"/>
  <c r="AE32" i="1"/>
  <c r="AC32" i="1"/>
  <c r="AE104" i="1"/>
  <c r="AC104" i="1"/>
  <c r="AE176" i="1"/>
  <c r="AC176" i="1"/>
  <c r="AE248" i="1"/>
  <c r="AC248" i="1"/>
  <c r="AE320" i="1"/>
  <c r="AC320" i="1"/>
  <c r="AE392" i="1"/>
  <c r="AC392" i="1"/>
  <c r="AE464" i="1"/>
  <c r="AC464" i="1"/>
  <c r="AE536" i="1"/>
  <c r="AC536" i="1"/>
  <c r="AE608" i="1"/>
  <c r="AC608" i="1"/>
  <c r="AE680" i="1"/>
  <c r="AC680" i="1"/>
  <c r="AE752" i="1"/>
  <c r="AC752" i="1"/>
  <c r="AE824" i="1"/>
  <c r="AC824" i="1"/>
  <c r="AE896" i="1"/>
  <c r="AC896" i="1"/>
  <c r="AE968" i="1"/>
  <c r="AC968" i="1"/>
  <c r="AE1040" i="1"/>
  <c r="AC1040" i="1"/>
  <c r="AE1112" i="1"/>
  <c r="AC1112" i="1"/>
  <c r="AE1184" i="1"/>
  <c r="AC1184" i="1"/>
  <c r="AE1256" i="1"/>
  <c r="AC1256" i="1"/>
  <c r="AE1328" i="1"/>
  <c r="AC1328" i="1"/>
  <c r="AE1400" i="1"/>
  <c r="AC1400" i="1"/>
  <c r="AE1472" i="1"/>
  <c r="AC1472" i="1"/>
  <c r="AE1544" i="1"/>
  <c r="AC1544" i="1"/>
  <c r="AE1616" i="1"/>
  <c r="AC1616" i="1"/>
  <c r="AE1688" i="1"/>
  <c r="AC1688" i="1"/>
  <c r="AE1760" i="1"/>
  <c r="AC1760" i="1"/>
  <c r="AE215" i="1"/>
  <c r="AC215" i="1"/>
  <c r="AE1181" i="1"/>
  <c r="AC1181" i="1"/>
  <c r="AE1697" i="1"/>
  <c r="AC1697" i="1"/>
  <c r="AE658" i="1"/>
  <c r="AC658" i="1"/>
  <c r="AE1397" i="1"/>
  <c r="AC1397" i="1"/>
  <c r="AE189" i="1"/>
  <c r="AC189" i="1"/>
  <c r="AE910" i="1"/>
  <c r="AC910" i="1"/>
  <c r="AJ1070" i="1"/>
  <c r="AI1070" i="1"/>
  <c r="AH1070" i="1"/>
  <c r="AG1070" i="1"/>
  <c r="AF1070" i="1"/>
  <c r="AB1070" i="1"/>
  <c r="Z231" i="1"/>
  <c r="AD231" i="1"/>
  <c r="AJ230" i="1"/>
  <c r="AI230" i="1"/>
  <c r="AH230" i="1"/>
  <c r="AG230" i="1"/>
  <c r="AF230" i="1"/>
  <c r="AB230" i="1"/>
  <c r="AJ398" i="1"/>
  <c r="AI398" i="1"/>
  <c r="AH398" i="1"/>
  <c r="AG398" i="1"/>
  <c r="AF398" i="1"/>
  <c r="AB398" i="1"/>
  <c r="AJ1130" i="1"/>
  <c r="AI1130" i="1"/>
  <c r="AH1130" i="1"/>
  <c r="AG1130" i="1"/>
  <c r="AF1130" i="1"/>
  <c r="AB1130" i="1"/>
  <c r="AJ1718" i="1"/>
  <c r="AI1718" i="1"/>
  <c r="AH1718" i="1"/>
  <c r="AG1718" i="1"/>
  <c r="AF1718" i="1"/>
  <c r="AB1718" i="1"/>
  <c r="AJ556" i="1"/>
  <c r="AI556" i="1"/>
  <c r="AH556" i="1"/>
  <c r="AG556" i="1"/>
  <c r="AF556" i="1"/>
  <c r="AB556" i="1"/>
  <c r="AJ712" i="1"/>
  <c r="AI712" i="1"/>
  <c r="AH712" i="1"/>
  <c r="AG712" i="1"/>
  <c r="AF712" i="1"/>
  <c r="AB712" i="1"/>
  <c r="AJ868" i="1"/>
  <c r="AI868" i="1"/>
  <c r="AH868" i="1"/>
  <c r="AG868" i="1"/>
  <c r="AF868" i="1"/>
  <c r="AB868" i="1"/>
  <c r="AJ1012" i="1"/>
  <c r="AI1012" i="1"/>
  <c r="AH1012" i="1"/>
  <c r="AG1012" i="1"/>
  <c r="AF1012" i="1"/>
  <c r="AB1012" i="1"/>
  <c r="AJ1420" i="1"/>
  <c r="AI1420" i="1"/>
  <c r="AH1420" i="1"/>
  <c r="AG1420" i="1"/>
  <c r="AF1420" i="1"/>
  <c r="AB1420" i="1"/>
  <c r="AJ1672" i="1"/>
  <c r="AI1672" i="1"/>
  <c r="AH1672" i="1"/>
  <c r="AG1672" i="1"/>
  <c r="AF1672" i="1"/>
  <c r="AB1672" i="1"/>
  <c r="AJ65" i="1"/>
  <c r="AI65" i="1"/>
  <c r="AH65" i="1"/>
  <c r="AG65" i="1"/>
  <c r="AF65" i="1"/>
  <c r="AB65" i="1"/>
  <c r="AJ1529" i="1"/>
  <c r="AI1529" i="1"/>
  <c r="AH1529" i="1"/>
  <c r="AG1529" i="1"/>
  <c r="AF1529" i="1"/>
  <c r="AB1529" i="1"/>
  <c r="Z1745" i="1"/>
  <c r="AD1745" i="1"/>
  <c r="AJ183" i="1"/>
  <c r="AI183" i="1"/>
  <c r="AH183" i="1"/>
  <c r="AG183" i="1"/>
  <c r="AF183" i="1"/>
  <c r="AB183" i="1"/>
  <c r="AJ543" i="1"/>
  <c r="AI543" i="1"/>
  <c r="AH543" i="1"/>
  <c r="AG543" i="1"/>
  <c r="AF543" i="1"/>
  <c r="AB543" i="1"/>
  <c r="AJ699" i="1"/>
  <c r="AI699" i="1"/>
  <c r="AH699" i="1"/>
  <c r="AG699" i="1"/>
  <c r="AF699" i="1"/>
  <c r="AB699" i="1"/>
  <c r="AJ879" i="1"/>
  <c r="AI879" i="1"/>
  <c r="AH879" i="1"/>
  <c r="AG879" i="1"/>
  <c r="AF879" i="1"/>
  <c r="AB879" i="1"/>
  <c r="AJ89" i="1"/>
  <c r="AI89" i="1"/>
  <c r="AH89" i="1"/>
  <c r="AG89" i="1"/>
  <c r="AF89" i="1"/>
  <c r="AB89" i="1"/>
  <c r="AJ977" i="1"/>
  <c r="AI977" i="1"/>
  <c r="AH977" i="1"/>
  <c r="AG977" i="1"/>
  <c r="AF977" i="1"/>
  <c r="AB977" i="1"/>
  <c r="AJ211" i="1"/>
  <c r="AI211" i="1"/>
  <c r="AH211" i="1"/>
  <c r="AG211" i="1"/>
  <c r="AF211" i="1"/>
  <c r="AB211" i="1"/>
  <c r="AJ523" i="1"/>
  <c r="AI523" i="1"/>
  <c r="AH523" i="1"/>
  <c r="AG523" i="1"/>
  <c r="AF523" i="1"/>
  <c r="AB523" i="1"/>
  <c r="AJ703" i="1"/>
  <c r="AI703" i="1"/>
  <c r="AH703" i="1"/>
  <c r="AG703" i="1"/>
  <c r="AF703" i="1"/>
  <c r="AB703" i="1"/>
  <c r="AJ907" i="1"/>
  <c r="AI907" i="1"/>
  <c r="AH907" i="1"/>
  <c r="AG907" i="1"/>
  <c r="AF907" i="1"/>
  <c r="AB907" i="1"/>
  <c r="AJ1231" i="1"/>
  <c r="AI1231" i="1"/>
  <c r="AH1231" i="1"/>
  <c r="AG1231" i="1"/>
  <c r="AF1231" i="1"/>
  <c r="AB1231" i="1"/>
  <c r="AJ1423" i="1"/>
  <c r="AH1423" i="1"/>
  <c r="AI1423" i="1"/>
  <c r="AG1423" i="1"/>
  <c r="AF1423" i="1"/>
  <c r="AB1423" i="1"/>
  <c r="AJ1603" i="1"/>
  <c r="AI1603" i="1"/>
  <c r="AH1603" i="1"/>
  <c r="AF1603" i="1"/>
  <c r="AG1603" i="1"/>
  <c r="AB1603" i="1"/>
  <c r="AJ44" i="1"/>
  <c r="AI44" i="1"/>
  <c r="AH44" i="1"/>
  <c r="AG44" i="1"/>
  <c r="AF44" i="1"/>
  <c r="AB44" i="1"/>
  <c r="AJ8" i="1"/>
  <c r="AI8" i="1"/>
  <c r="AH8" i="1"/>
  <c r="AG8" i="1"/>
  <c r="AF8" i="1"/>
  <c r="AB8" i="1"/>
  <c r="AJ452" i="1"/>
  <c r="AI452" i="1"/>
  <c r="AH452" i="1"/>
  <c r="AG452" i="1"/>
  <c r="AF452" i="1"/>
  <c r="AB452" i="1"/>
  <c r="AJ177" i="1"/>
  <c r="AI177" i="1"/>
  <c r="AH177" i="1"/>
  <c r="AG177" i="1"/>
  <c r="AF177" i="1"/>
  <c r="AB177" i="1"/>
  <c r="AJ321" i="1"/>
  <c r="AI321" i="1"/>
  <c r="AH321" i="1"/>
  <c r="AG321" i="1"/>
  <c r="AF321" i="1"/>
  <c r="AB321" i="1"/>
  <c r="AJ1432" i="1"/>
  <c r="AI1432" i="1"/>
  <c r="AH1432" i="1"/>
  <c r="AF1432" i="1"/>
  <c r="AG1432" i="1"/>
  <c r="AB1432" i="1"/>
  <c r="AJ757" i="1"/>
  <c r="AI757" i="1"/>
  <c r="AG757" i="1"/>
  <c r="AH757" i="1"/>
  <c r="AF757" i="1"/>
  <c r="AB757" i="1"/>
  <c r="AJ190" i="1"/>
  <c r="AI190" i="1"/>
  <c r="AH190" i="1"/>
  <c r="AG190" i="1"/>
  <c r="AF190" i="1"/>
  <c r="AB190" i="1"/>
  <c r="AJ210" i="1"/>
  <c r="AI210" i="1"/>
  <c r="AH210" i="1"/>
  <c r="AG210" i="1"/>
  <c r="AF210" i="1"/>
  <c r="AB210" i="1"/>
  <c r="AJ510" i="1"/>
  <c r="AI510" i="1"/>
  <c r="AH510" i="1"/>
  <c r="AG510" i="1"/>
  <c r="AF510" i="1"/>
  <c r="AB510" i="1"/>
  <c r="AJ846" i="1"/>
  <c r="AI846" i="1"/>
  <c r="AH846" i="1"/>
  <c r="AG846" i="1"/>
  <c r="AF846" i="1"/>
  <c r="AB846" i="1"/>
  <c r="AJ1170" i="1"/>
  <c r="AI1170" i="1"/>
  <c r="AH1170" i="1"/>
  <c r="AG1170" i="1"/>
  <c r="AF1170" i="1"/>
  <c r="AB1170" i="1"/>
  <c r="AJ1530" i="1"/>
  <c r="AI1530" i="1"/>
  <c r="AH1530" i="1"/>
  <c r="AG1530" i="1"/>
  <c r="AF1530" i="1"/>
  <c r="AB1530" i="1"/>
  <c r="AJ909" i="1"/>
  <c r="AI909" i="1"/>
  <c r="AH909" i="1"/>
  <c r="AG909" i="1"/>
  <c r="AF909" i="1"/>
  <c r="AB909" i="1"/>
  <c r="AJ1461" i="1"/>
  <c r="AI1461" i="1"/>
  <c r="AH1461" i="1"/>
  <c r="AG1461" i="1"/>
  <c r="AF1461" i="1"/>
  <c r="AB1461" i="1"/>
  <c r="AJ322" i="1"/>
  <c r="AI322" i="1"/>
  <c r="AH322" i="1"/>
  <c r="AG322" i="1"/>
  <c r="AF322" i="1"/>
  <c r="AB322" i="1"/>
  <c r="AJ1054" i="1"/>
  <c r="AI1054" i="1"/>
  <c r="AH1054" i="1"/>
  <c r="AG1054" i="1"/>
  <c r="AF1054" i="1"/>
  <c r="AB1054" i="1"/>
  <c r="AJ1666" i="1"/>
  <c r="AI1666" i="1"/>
  <c r="AH1666" i="1"/>
  <c r="AG1666" i="1"/>
  <c r="AF1666" i="1"/>
  <c r="AB1666" i="1"/>
  <c r="AJ1115" i="1"/>
  <c r="AI1115" i="1"/>
  <c r="AH1115" i="1"/>
  <c r="AG1115" i="1"/>
  <c r="AF1115" i="1"/>
  <c r="AB1115" i="1"/>
  <c r="AJ1679" i="1"/>
  <c r="AI1679" i="1"/>
  <c r="AH1679" i="1"/>
  <c r="AG1679" i="1"/>
  <c r="AF1679" i="1"/>
  <c r="AB1679" i="1"/>
  <c r="AJ408" i="1"/>
  <c r="AI408" i="1"/>
  <c r="AH408" i="1"/>
  <c r="AG408" i="1"/>
  <c r="AF408" i="1"/>
  <c r="AB408" i="1"/>
  <c r="AJ996" i="1"/>
  <c r="AI996" i="1"/>
  <c r="AH996" i="1"/>
  <c r="AG996" i="1"/>
  <c r="AF996" i="1"/>
  <c r="AB996" i="1"/>
  <c r="AJ1704" i="1"/>
  <c r="AI1704" i="1"/>
  <c r="AH1704" i="1"/>
  <c r="AG1704" i="1"/>
  <c r="AF1704" i="1"/>
  <c r="AB1704" i="1"/>
  <c r="AJ330" i="1"/>
  <c r="AI330" i="1"/>
  <c r="AH330" i="1"/>
  <c r="AG330" i="1"/>
  <c r="AF330" i="1"/>
  <c r="AB330" i="1"/>
  <c r="AJ642" i="1"/>
  <c r="AI642" i="1"/>
  <c r="AH642" i="1"/>
  <c r="AG642" i="1"/>
  <c r="AF642" i="1"/>
  <c r="AB642" i="1"/>
  <c r="AJ930" i="1"/>
  <c r="AI930" i="1"/>
  <c r="AH930" i="1"/>
  <c r="AG930" i="1"/>
  <c r="AF930" i="1"/>
  <c r="AB930" i="1"/>
  <c r="AJ1254" i="1"/>
  <c r="AI1254" i="1"/>
  <c r="AH1254" i="1"/>
  <c r="AG1254" i="1"/>
  <c r="AF1254" i="1"/>
  <c r="AB1254" i="1"/>
  <c r="AJ1590" i="1"/>
  <c r="AI1590" i="1"/>
  <c r="AH1590" i="1"/>
  <c r="AG1590" i="1"/>
  <c r="AF1590" i="1"/>
  <c r="AB1590" i="1"/>
  <c r="AJ1209" i="1"/>
  <c r="AI1209" i="1"/>
  <c r="AH1209" i="1"/>
  <c r="AG1209" i="1"/>
  <c r="AF1209" i="1"/>
  <c r="AB1209" i="1"/>
  <c r="AJ1689" i="1"/>
  <c r="AI1689" i="1"/>
  <c r="AH1689" i="1"/>
  <c r="AG1689" i="1"/>
  <c r="AF1689" i="1"/>
  <c r="AB1689" i="1"/>
  <c r="AJ394" i="1"/>
  <c r="AI394" i="1"/>
  <c r="AH394" i="1"/>
  <c r="AG394" i="1"/>
  <c r="AF394" i="1"/>
  <c r="AB394" i="1"/>
  <c r="AJ1090" i="1"/>
  <c r="AI1090" i="1"/>
  <c r="AH1090" i="1"/>
  <c r="AG1090" i="1"/>
  <c r="AF1090" i="1"/>
  <c r="AB1090" i="1"/>
  <c r="AJ1774" i="1"/>
  <c r="AI1774" i="1"/>
  <c r="AH1774" i="1"/>
  <c r="AG1774" i="1"/>
  <c r="AF1774" i="1"/>
  <c r="AB1774" i="1"/>
  <c r="AJ276" i="1"/>
  <c r="AI276" i="1"/>
  <c r="AH276" i="1"/>
  <c r="AG276" i="1"/>
  <c r="AF276" i="1"/>
  <c r="AB276" i="1"/>
  <c r="AJ924" i="1"/>
  <c r="AI924" i="1"/>
  <c r="AH924" i="1"/>
  <c r="AG924" i="1"/>
  <c r="AF924" i="1"/>
  <c r="AB924" i="1"/>
  <c r="AJ1608" i="1"/>
  <c r="AI1608" i="1"/>
  <c r="AH1608" i="1"/>
  <c r="AG1608" i="1"/>
  <c r="AF1608" i="1"/>
  <c r="AB1608" i="1"/>
  <c r="AJ150" i="1"/>
  <c r="AI150" i="1"/>
  <c r="AH150" i="1"/>
  <c r="AG150" i="1"/>
  <c r="AF150" i="1"/>
  <c r="AB150" i="1"/>
  <c r="AJ342" i="1"/>
  <c r="AI342" i="1"/>
  <c r="AH342" i="1"/>
  <c r="AG342" i="1"/>
  <c r="AF342" i="1"/>
  <c r="AB342" i="1"/>
  <c r="AJ810" i="1"/>
  <c r="AI810" i="1"/>
  <c r="AH810" i="1"/>
  <c r="AG810" i="1"/>
  <c r="AF810" i="1"/>
  <c r="AB810" i="1"/>
  <c r="AJ1050" i="1"/>
  <c r="AI1050" i="1"/>
  <c r="AH1050" i="1"/>
  <c r="AG1050" i="1"/>
  <c r="AF1050" i="1"/>
  <c r="AB1050" i="1"/>
  <c r="AJ1278" i="1"/>
  <c r="AI1278" i="1"/>
  <c r="AH1278" i="1"/>
  <c r="AG1278" i="1"/>
  <c r="AF1278" i="1"/>
  <c r="AB1278" i="1"/>
  <c r="AJ453" i="1"/>
  <c r="AI453" i="1"/>
  <c r="AH453" i="1"/>
  <c r="AG453" i="1"/>
  <c r="AF453" i="1"/>
  <c r="AB453" i="1"/>
  <c r="AJ621" i="1"/>
  <c r="AI621" i="1"/>
  <c r="AH621" i="1"/>
  <c r="AF621" i="1"/>
  <c r="AG621" i="1"/>
  <c r="AB621" i="1"/>
  <c r="AJ813" i="1"/>
  <c r="AI813" i="1"/>
  <c r="AH813" i="1"/>
  <c r="AG813" i="1"/>
  <c r="AF813" i="1"/>
  <c r="AB813" i="1"/>
  <c r="AJ1053" i="1"/>
  <c r="AI1053" i="1"/>
  <c r="AH1053" i="1"/>
  <c r="AF1053" i="1"/>
  <c r="AG1053" i="1"/>
  <c r="AB1053" i="1"/>
  <c r="AJ239" i="1"/>
  <c r="AI239" i="1"/>
  <c r="AH239" i="1"/>
  <c r="AG239" i="1"/>
  <c r="AF239" i="1"/>
  <c r="AB239" i="1"/>
  <c r="AJ407" i="1"/>
  <c r="AI407" i="1"/>
  <c r="AH407" i="1"/>
  <c r="AG407" i="1"/>
  <c r="AF407" i="1"/>
  <c r="AB407" i="1"/>
  <c r="AJ635" i="1"/>
  <c r="AI635" i="1"/>
  <c r="AH635" i="1"/>
  <c r="AG635" i="1"/>
  <c r="AF635" i="1"/>
  <c r="AB635" i="1"/>
  <c r="AJ899" i="1"/>
  <c r="AI899" i="1"/>
  <c r="AH899" i="1"/>
  <c r="AG899" i="1"/>
  <c r="AF899" i="1"/>
  <c r="AB899" i="1"/>
  <c r="AJ1163" i="1"/>
  <c r="AI1163" i="1"/>
  <c r="AH1163" i="1"/>
  <c r="AG1163" i="1"/>
  <c r="AF1163" i="1"/>
  <c r="AB1163" i="1"/>
  <c r="AJ1367" i="1"/>
  <c r="AI1367" i="1"/>
  <c r="AH1367" i="1"/>
  <c r="AG1367" i="1"/>
  <c r="AF1367" i="1"/>
  <c r="AB1367" i="1"/>
  <c r="AJ1559" i="1"/>
  <c r="AI1559" i="1"/>
  <c r="AH1559" i="1"/>
  <c r="AG1559" i="1"/>
  <c r="AF1559" i="1"/>
  <c r="AB1559" i="1"/>
  <c r="AJ1775" i="1"/>
  <c r="AI1775" i="1"/>
  <c r="AH1775" i="1"/>
  <c r="AG1775" i="1"/>
  <c r="AF1775" i="1"/>
  <c r="AB1775" i="1"/>
  <c r="AJ258" i="1"/>
  <c r="AI258" i="1"/>
  <c r="AH258" i="1"/>
  <c r="AG258" i="1"/>
  <c r="AF258" i="1"/>
  <c r="AB258" i="1"/>
  <c r="AJ558" i="1"/>
  <c r="AI558" i="1"/>
  <c r="AH558" i="1"/>
  <c r="AG558" i="1"/>
  <c r="AF558" i="1"/>
  <c r="AB558" i="1"/>
  <c r="AJ882" i="1"/>
  <c r="AI882" i="1"/>
  <c r="AH882" i="1"/>
  <c r="AG882" i="1"/>
  <c r="AF882" i="1"/>
  <c r="AB882" i="1"/>
  <c r="AJ1182" i="1"/>
  <c r="AI1182" i="1"/>
  <c r="AH1182" i="1"/>
  <c r="AG1182" i="1"/>
  <c r="AF1182" i="1"/>
  <c r="AB1182" i="1"/>
  <c r="AJ1494" i="1"/>
  <c r="AI1494" i="1"/>
  <c r="AH1494" i="1"/>
  <c r="AG1494" i="1"/>
  <c r="AF1494" i="1"/>
  <c r="AB1494" i="1"/>
  <c r="AJ921" i="1"/>
  <c r="AI921" i="1"/>
  <c r="AH921" i="1"/>
  <c r="AG921" i="1"/>
  <c r="AF921" i="1"/>
  <c r="AB921" i="1"/>
  <c r="AJ1485" i="1"/>
  <c r="AI1485" i="1"/>
  <c r="AH1485" i="1"/>
  <c r="AG1485" i="1"/>
  <c r="AF1485" i="1"/>
  <c r="AB1485" i="1"/>
  <c r="AJ370" i="1"/>
  <c r="AI370" i="1"/>
  <c r="AH370" i="1"/>
  <c r="AG370" i="1"/>
  <c r="AF370" i="1"/>
  <c r="AB370" i="1"/>
  <c r="AJ1066" i="1"/>
  <c r="AI1066" i="1"/>
  <c r="AH1066" i="1"/>
  <c r="AG1066" i="1"/>
  <c r="AF1066" i="1"/>
  <c r="AB1066" i="1"/>
  <c r="AJ1714" i="1"/>
  <c r="AI1714" i="1"/>
  <c r="AH1714" i="1"/>
  <c r="AG1714" i="1"/>
  <c r="AF1714" i="1"/>
  <c r="AB1714" i="1"/>
  <c r="AJ839" i="1"/>
  <c r="AI839" i="1"/>
  <c r="AH839" i="1"/>
  <c r="AG839" i="1"/>
  <c r="AF839" i="1"/>
  <c r="AB839" i="1"/>
  <c r="AJ1379" i="1"/>
  <c r="AI1379" i="1"/>
  <c r="AH1379" i="1"/>
  <c r="AG1379" i="1"/>
  <c r="AF1379" i="1"/>
  <c r="AB1379" i="1"/>
  <c r="AJ168" i="1"/>
  <c r="AI168" i="1"/>
  <c r="AH168" i="1"/>
  <c r="AG168" i="1"/>
  <c r="AF168" i="1"/>
  <c r="AB168" i="1"/>
  <c r="AJ768" i="1"/>
  <c r="AI768" i="1"/>
  <c r="AH768" i="1"/>
  <c r="AG768" i="1"/>
  <c r="AF768" i="1"/>
  <c r="AB768" i="1"/>
  <c r="AJ1392" i="1"/>
  <c r="AI1392" i="1"/>
  <c r="AH1392" i="1"/>
  <c r="AG1392" i="1"/>
  <c r="AF1392" i="1"/>
  <c r="AB1392" i="1"/>
  <c r="AJ945" i="1"/>
  <c r="AI945" i="1"/>
  <c r="AH945" i="1"/>
  <c r="AF945" i="1"/>
  <c r="AG945" i="1"/>
  <c r="AB945" i="1"/>
  <c r="AJ478" i="1"/>
  <c r="AI478" i="1"/>
  <c r="AH478" i="1"/>
  <c r="AG478" i="1"/>
  <c r="AF478" i="1"/>
  <c r="AB478" i="1"/>
  <c r="AJ1234" i="1"/>
  <c r="AI1234" i="1"/>
  <c r="AH1234" i="1"/>
  <c r="AG1234" i="1"/>
  <c r="AF1234" i="1"/>
  <c r="AB1234" i="1"/>
  <c r="AJ143" i="1"/>
  <c r="AI143" i="1"/>
  <c r="AH143" i="1"/>
  <c r="AG143" i="1"/>
  <c r="AF143" i="1"/>
  <c r="AB143" i="1"/>
  <c r="AJ647" i="1"/>
  <c r="AI647" i="1"/>
  <c r="AH647" i="1"/>
  <c r="AG647" i="1"/>
  <c r="AF647" i="1"/>
  <c r="AB647" i="1"/>
  <c r="AJ1067" i="1"/>
  <c r="AI1067" i="1"/>
  <c r="AH1067" i="1"/>
  <c r="AG1067" i="1"/>
  <c r="AF1067" i="1"/>
  <c r="AB1067" i="1"/>
  <c r="AJ1715" i="1"/>
  <c r="AI1715" i="1"/>
  <c r="AH1715" i="1"/>
  <c r="AG1715" i="1"/>
  <c r="AF1715" i="1"/>
  <c r="AB1715" i="1"/>
  <c r="AJ444" i="1"/>
  <c r="AI444" i="1"/>
  <c r="AH444" i="1"/>
  <c r="AG444" i="1"/>
  <c r="AF444" i="1"/>
  <c r="AB444" i="1"/>
  <c r="AJ1056" i="1"/>
  <c r="AI1056" i="1"/>
  <c r="AH1056" i="1"/>
  <c r="AG1056" i="1"/>
  <c r="AF1056" i="1"/>
  <c r="AB1056" i="1"/>
  <c r="AJ1656" i="1"/>
  <c r="AI1656" i="1"/>
  <c r="AH1656" i="1"/>
  <c r="AG1656" i="1"/>
  <c r="AF1656" i="1"/>
  <c r="AB1656" i="1"/>
  <c r="AJ1160" i="1"/>
  <c r="AI1160" i="1"/>
  <c r="AH1160" i="1"/>
  <c r="AG1160" i="1"/>
  <c r="AF1160" i="1"/>
  <c r="AB1160" i="1"/>
  <c r="AJ1520" i="1"/>
  <c r="AI1520" i="1"/>
  <c r="AH1520" i="1"/>
  <c r="AG1520" i="1"/>
  <c r="AF1520" i="1"/>
  <c r="AB1520" i="1"/>
  <c r="AJ1592" i="1"/>
  <c r="AI1592" i="1"/>
  <c r="AH1592" i="1"/>
  <c r="AG1592" i="1"/>
  <c r="AF1592" i="1"/>
  <c r="AB1592" i="1"/>
  <c r="AJ1736" i="1"/>
  <c r="AI1736" i="1"/>
  <c r="AH1736" i="1"/>
  <c r="AG1736" i="1"/>
  <c r="AF1736" i="1"/>
  <c r="AB1736" i="1"/>
  <c r="AJ717" i="1"/>
  <c r="AI717" i="1"/>
  <c r="AH717" i="1"/>
  <c r="AF717" i="1"/>
  <c r="AG717" i="1"/>
  <c r="AB717" i="1"/>
  <c r="AJ1762" i="1"/>
  <c r="AI1762" i="1"/>
  <c r="AH1762" i="1"/>
  <c r="AG1762" i="1"/>
  <c r="AF1762" i="1"/>
  <c r="AB1762" i="1"/>
  <c r="AJ1560" i="1"/>
  <c r="AI1560" i="1"/>
  <c r="AH1560" i="1"/>
  <c r="AG1560" i="1"/>
  <c r="AF1560" i="1"/>
  <c r="AB1560" i="1"/>
  <c r="AJ1416" i="1"/>
  <c r="AI1416" i="1"/>
  <c r="AH1416" i="1"/>
  <c r="AG1416" i="1"/>
  <c r="AF1416" i="1"/>
  <c r="AB1416" i="1"/>
  <c r="AJ1344" i="1"/>
  <c r="AI1344" i="1"/>
  <c r="AH1344" i="1"/>
  <c r="AG1344" i="1"/>
  <c r="AF1344" i="1"/>
  <c r="AB1344" i="1"/>
  <c r="AJ329" i="1"/>
  <c r="AI329" i="1"/>
  <c r="AH329" i="1"/>
  <c r="AG329" i="1"/>
  <c r="AF329" i="1"/>
  <c r="AB329" i="1"/>
  <c r="AJ869" i="1"/>
  <c r="AI869" i="1"/>
  <c r="AH869" i="1"/>
  <c r="AG869" i="1"/>
  <c r="AF869" i="1"/>
  <c r="AB869" i="1"/>
  <c r="AJ1325" i="1"/>
  <c r="AI1325" i="1"/>
  <c r="AH1325" i="1"/>
  <c r="AG1325" i="1"/>
  <c r="AF1325" i="1"/>
  <c r="AB1325" i="1"/>
  <c r="AJ1745" i="1"/>
  <c r="AI1745" i="1"/>
  <c r="AH1745" i="1"/>
  <c r="AG1745" i="1"/>
  <c r="AF1745" i="1"/>
  <c r="AB1745" i="1"/>
  <c r="AE231" i="1"/>
  <c r="AC231" i="1"/>
  <c r="AE375" i="1"/>
  <c r="AC375" i="1"/>
  <c r="AE14" i="1"/>
  <c r="AC14" i="1"/>
  <c r="AE891" i="1"/>
  <c r="AC891" i="1"/>
  <c r="AE158" i="1"/>
  <c r="AC158" i="1"/>
  <c r="AE770" i="1"/>
  <c r="AC770" i="1"/>
  <c r="AE1022" i="1"/>
  <c r="AC1022" i="1"/>
  <c r="AE1383" i="1"/>
  <c r="AC1383" i="1"/>
  <c r="AE796" i="1"/>
  <c r="AC796" i="1"/>
  <c r="AE1468" i="1"/>
  <c r="AC1468" i="1"/>
  <c r="AE1202" i="1"/>
  <c r="AC1202" i="1"/>
  <c r="AE1780" i="1"/>
  <c r="AC1780" i="1"/>
  <c r="AE713" i="1"/>
  <c r="AC713" i="1"/>
  <c r="AE857" i="1"/>
  <c r="AC857" i="1"/>
  <c r="AE1001" i="1"/>
  <c r="AC1001" i="1"/>
  <c r="AE1145" i="1"/>
  <c r="AC1145" i="1"/>
  <c r="AE1289" i="1"/>
  <c r="AC1289" i="1"/>
  <c r="AE1433" i="1"/>
  <c r="AC1433" i="1"/>
  <c r="AE1589" i="1"/>
  <c r="AC1589" i="1"/>
  <c r="AE1745" i="1"/>
  <c r="AC1745" i="1"/>
  <c r="AE33" i="1"/>
  <c r="AC33" i="1"/>
  <c r="AE117" i="1"/>
  <c r="AC117" i="1"/>
  <c r="AE213" i="1"/>
  <c r="AC213" i="1"/>
  <c r="AE285" i="1"/>
  <c r="AC285" i="1"/>
  <c r="AE369" i="1"/>
  <c r="AC369" i="1"/>
  <c r="AE477" i="1"/>
  <c r="AC477" i="1"/>
  <c r="AE609" i="1"/>
  <c r="AC609" i="1"/>
  <c r="AE22" i="1"/>
  <c r="AC22" i="1"/>
  <c r="AE94" i="1"/>
  <c r="AC94" i="1"/>
  <c r="AE166" i="1"/>
  <c r="AC166" i="1"/>
  <c r="AE238" i="1"/>
  <c r="AC238" i="1"/>
  <c r="AE310" i="1"/>
  <c r="AC310" i="1"/>
  <c r="AE406" i="1"/>
  <c r="AC406" i="1"/>
  <c r="AE514" i="1"/>
  <c r="AC514" i="1"/>
  <c r="AE634" i="1"/>
  <c r="AC634" i="1"/>
  <c r="AE778" i="1"/>
  <c r="AC778" i="1"/>
  <c r="AE922" i="1"/>
  <c r="AC922" i="1"/>
  <c r="AE1066" i="1"/>
  <c r="AC1066" i="1"/>
  <c r="AE11" i="1"/>
  <c r="AC11" i="1"/>
  <c r="AE107" i="1"/>
  <c r="AC107" i="1"/>
  <c r="AE179" i="1"/>
  <c r="AC179" i="1"/>
  <c r="AE263" i="1"/>
  <c r="AC263" i="1"/>
  <c r="AE335" i="1"/>
  <c r="AC335" i="1"/>
  <c r="AE455" i="1"/>
  <c r="AC455" i="1"/>
  <c r="AC347" i="1"/>
  <c r="AE347" i="1"/>
  <c r="AE1217" i="1"/>
  <c r="AC1217" i="1"/>
  <c r="AE57" i="1"/>
  <c r="AC57" i="1"/>
  <c r="AE706" i="1"/>
  <c r="AC706" i="1"/>
  <c r="AE413" i="1"/>
  <c r="AC413" i="1"/>
  <c r="AE893" i="1"/>
  <c r="AC893" i="1"/>
  <c r="AE357" i="1"/>
  <c r="AC357" i="1"/>
  <c r="AE946" i="1"/>
  <c r="AC946" i="1"/>
  <c r="AJ962" i="1"/>
  <c r="AI962" i="1"/>
  <c r="AH962" i="1"/>
  <c r="AG962" i="1"/>
  <c r="AF962" i="1"/>
  <c r="AB962" i="1"/>
  <c r="AE178" i="1"/>
  <c r="AC178" i="1"/>
  <c r="AJ146" i="1"/>
  <c r="AI146" i="1"/>
  <c r="AH146" i="1"/>
  <c r="AG146" i="1"/>
  <c r="AF146" i="1"/>
  <c r="AB146" i="1"/>
  <c r="AJ326" i="1"/>
  <c r="AI326" i="1"/>
  <c r="AH326" i="1"/>
  <c r="AG326" i="1"/>
  <c r="AF326" i="1"/>
  <c r="AB326" i="1"/>
  <c r="AJ482" i="1"/>
  <c r="AI482" i="1"/>
  <c r="AH482" i="1"/>
  <c r="AG482" i="1"/>
  <c r="AF482" i="1"/>
  <c r="AB482" i="1"/>
  <c r="AJ662" i="1"/>
  <c r="AI662" i="1"/>
  <c r="AH662" i="1"/>
  <c r="AG662" i="1"/>
  <c r="AF662" i="1"/>
  <c r="AB662" i="1"/>
  <c r="AJ842" i="1"/>
  <c r="AI842" i="1"/>
  <c r="AH842" i="1"/>
  <c r="AG842" i="1"/>
  <c r="AF842" i="1"/>
  <c r="AB842" i="1"/>
  <c r="AJ1058" i="1"/>
  <c r="AI1058" i="1"/>
  <c r="AH1058" i="1"/>
  <c r="AG1058" i="1"/>
  <c r="AF1058" i="1"/>
  <c r="AB1058" i="1"/>
  <c r="AJ1622" i="1"/>
  <c r="AI1622" i="1"/>
  <c r="AH1622" i="1"/>
  <c r="AG1622" i="1"/>
  <c r="AF1622" i="1"/>
  <c r="AB1622" i="1"/>
  <c r="AJ328" i="1"/>
  <c r="AI328" i="1"/>
  <c r="AH328" i="1"/>
  <c r="AG328" i="1"/>
  <c r="AF328" i="1"/>
  <c r="AB328" i="1"/>
  <c r="AJ472" i="1"/>
  <c r="AI472" i="1"/>
  <c r="AH472" i="1"/>
  <c r="AG472" i="1"/>
  <c r="AF472" i="1"/>
  <c r="AB472" i="1"/>
  <c r="AJ640" i="1"/>
  <c r="AI640" i="1"/>
  <c r="AH640" i="1"/>
  <c r="AG640" i="1"/>
  <c r="AF640" i="1"/>
  <c r="AB640" i="1"/>
  <c r="AJ940" i="1"/>
  <c r="AI940" i="1"/>
  <c r="AH940" i="1"/>
  <c r="AG940" i="1"/>
  <c r="AF940" i="1"/>
  <c r="AB940" i="1"/>
  <c r="AJ1108" i="1"/>
  <c r="AI1108" i="1"/>
  <c r="AH1108" i="1"/>
  <c r="AG1108" i="1"/>
  <c r="AF1108" i="1"/>
  <c r="AB1108" i="1"/>
  <c r="AJ1540" i="1"/>
  <c r="AI1540" i="1"/>
  <c r="AH1540" i="1"/>
  <c r="AG1540" i="1"/>
  <c r="AF1540" i="1"/>
  <c r="AB1540" i="1"/>
  <c r="Z1780" i="1"/>
  <c r="AD1780" i="1"/>
  <c r="AJ305" i="1"/>
  <c r="AI305" i="1"/>
  <c r="AH305" i="1"/>
  <c r="AG305" i="1"/>
  <c r="AF305" i="1"/>
  <c r="AB305" i="1"/>
  <c r="AJ1205" i="1"/>
  <c r="AI1205" i="1"/>
  <c r="AH1205" i="1"/>
  <c r="AG1205" i="1"/>
  <c r="AF1205" i="1"/>
  <c r="AB1205" i="1"/>
  <c r="AJ521" i="1"/>
  <c r="AI521" i="1"/>
  <c r="AH521" i="1"/>
  <c r="AG521" i="1"/>
  <c r="AF521" i="1"/>
  <c r="AB521" i="1"/>
  <c r="AJ87" i="1"/>
  <c r="AI87" i="1"/>
  <c r="AH87" i="1"/>
  <c r="AG87" i="1"/>
  <c r="AF87" i="1"/>
  <c r="AB87" i="1"/>
  <c r="AJ339" i="1"/>
  <c r="AI339" i="1"/>
  <c r="AH339" i="1"/>
  <c r="AG339" i="1"/>
  <c r="AF339" i="1"/>
  <c r="AB339" i="1"/>
  <c r="AJ459" i="1"/>
  <c r="AI459" i="1"/>
  <c r="AH459" i="1"/>
  <c r="AF459" i="1"/>
  <c r="AG459" i="1"/>
  <c r="AB459" i="1"/>
  <c r="AJ615" i="1"/>
  <c r="AI615" i="1"/>
  <c r="AH615" i="1"/>
  <c r="AG615" i="1"/>
  <c r="AF615" i="1"/>
  <c r="AB615" i="1"/>
  <c r="AJ975" i="1"/>
  <c r="AI975" i="1"/>
  <c r="AH975" i="1"/>
  <c r="AG975" i="1"/>
  <c r="AF975" i="1"/>
  <c r="AB975" i="1"/>
  <c r="AJ1155" i="1"/>
  <c r="AI1155" i="1"/>
  <c r="AH1155" i="1"/>
  <c r="AG1155" i="1"/>
  <c r="AF1155" i="1"/>
  <c r="AB1155" i="1"/>
  <c r="AJ1299" i="1"/>
  <c r="AI1299" i="1"/>
  <c r="AH1299" i="1"/>
  <c r="AG1299" i="1"/>
  <c r="AF1299" i="1"/>
  <c r="AB1299" i="1"/>
  <c r="AJ1707" i="1"/>
  <c r="AI1707" i="1"/>
  <c r="AH1707" i="1"/>
  <c r="AG1707" i="1"/>
  <c r="AF1707" i="1"/>
  <c r="AB1707" i="1"/>
  <c r="AJ809" i="1"/>
  <c r="AI809" i="1"/>
  <c r="AH809" i="1"/>
  <c r="AG809" i="1"/>
  <c r="AF809" i="1"/>
  <c r="AB809" i="1"/>
  <c r="AJ1277" i="1"/>
  <c r="AI1277" i="1"/>
  <c r="AH1277" i="1"/>
  <c r="AG1277" i="1"/>
  <c r="AF1277" i="1"/>
  <c r="AB1277" i="1"/>
  <c r="AJ317" i="1"/>
  <c r="AI317" i="1"/>
  <c r="AH317" i="1"/>
  <c r="AG317" i="1"/>
  <c r="AF317" i="1"/>
  <c r="AB317" i="1"/>
  <c r="AJ593" i="1"/>
  <c r="AI593" i="1"/>
  <c r="AH593" i="1"/>
  <c r="AG593" i="1"/>
  <c r="AF593" i="1"/>
  <c r="AB593" i="1"/>
  <c r="AJ1673" i="1"/>
  <c r="AI1673" i="1"/>
  <c r="AH1673" i="1"/>
  <c r="AG1673" i="1"/>
  <c r="AF1673" i="1"/>
  <c r="AB1673" i="1"/>
  <c r="AJ127" i="1"/>
  <c r="AI127" i="1"/>
  <c r="AH127" i="1"/>
  <c r="AG127" i="1"/>
  <c r="AF127" i="1"/>
  <c r="AB127" i="1"/>
  <c r="AJ439" i="1"/>
  <c r="AI439" i="1"/>
  <c r="AH439" i="1"/>
  <c r="AG439" i="1"/>
  <c r="AF439" i="1"/>
  <c r="AB439" i="1"/>
  <c r="AJ811" i="1"/>
  <c r="AI811" i="1"/>
  <c r="AH811" i="1"/>
  <c r="AG811" i="1"/>
  <c r="AF811" i="1"/>
  <c r="AB811" i="1"/>
  <c r="AJ1147" i="1"/>
  <c r="AI1147" i="1"/>
  <c r="AH1147" i="1"/>
  <c r="AG1147" i="1"/>
  <c r="AF1147" i="1"/>
  <c r="AB1147" i="1"/>
  <c r="AJ1339" i="1"/>
  <c r="AI1339" i="1"/>
  <c r="AH1339" i="1"/>
  <c r="AG1339" i="1"/>
  <c r="AF1339" i="1"/>
  <c r="AB1339" i="1"/>
  <c r="AJ1507" i="1"/>
  <c r="AI1507" i="1"/>
  <c r="AH1507" i="1"/>
  <c r="AG1507" i="1"/>
  <c r="AF1507" i="1"/>
  <c r="AB1507" i="1"/>
  <c r="AJ1711" i="1"/>
  <c r="AI1711" i="1"/>
  <c r="AH1711" i="1"/>
  <c r="AG1711" i="1"/>
  <c r="AF1711" i="1"/>
  <c r="AB1711" i="1"/>
  <c r="AJ476" i="1"/>
  <c r="AI476" i="1"/>
  <c r="AH476" i="1"/>
  <c r="AG476" i="1"/>
  <c r="AF476" i="1"/>
  <c r="AB476" i="1"/>
  <c r="AJ224" i="1"/>
  <c r="AI224" i="1"/>
  <c r="AH224" i="1"/>
  <c r="AG224" i="1"/>
  <c r="AF224" i="1"/>
  <c r="AB224" i="1"/>
  <c r="AJ105" i="1"/>
  <c r="AI105" i="1"/>
  <c r="AH105" i="1"/>
  <c r="AG105" i="1"/>
  <c r="AF105" i="1"/>
  <c r="AB105" i="1"/>
  <c r="AJ249" i="1"/>
  <c r="AI249" i="1"/>
  <c r="AH249" i="1"/>
  <c r="AG249" i="1"/>
  <c r="AF249" i="1"/>
  <c r="AB249" i="1"/>
  <c r="AJ393" i="1"/>
  <c r="AI393" i="1"/>
  <c r="AH393" i="1"/>
  <c r="AF393" i="1"/>
  <c r="AG393" i="1"/>
  <c r="AB393" i="1"/>
  <c r="Z1228" i="1"/>
  <c r="AD1228" i="1"/>
  <c r="AJ973" i="1"/>
  <c r="AI973" i="1"/>
  <c r="AG973" i="1"/>
  <c r="AH973" i="1"/>
  <c r="AF973" i="1"/>
  <c r="AB973" i="1"/>
  <c r="AJ418" i="1"/>
  <c r="AI418" i="1"/>
  <c r="AH418" i="1"/>
  <c r="AG418" i="1"/>
  <c r="AF418" i="1"/>
  <c r="AB418" i="1"/>
  <c r="AJ582" i="1"/>
  <c r="AI582" i="1"/>
  <c r="AH582" i="1"/>
  <c r="AG582" i="1"/>
  <c r="AF582" i="1"/>
  <c r="AB582" i="1"/>
  <c r="AJ74" i="1"/>
  <c r="AI74" i="1"/>
  <c r="AH74" i="1"/>
  <c r="AG74" i="1"/>
  <c r="AF74" i="1"/>
  <c r="AB74" i="1"/>
  <c r="AJ158" i="1"/>
  <c r="AI158" i="1"/>
  <c r="AH158" i="1"/>
  <c r="AG158" i="1"/>
  <c r="AF158" i="1"/>
  <c r="AB158" i="1"/>
  <c r="AJ494" i="1"/>
  <c r="AI494" i="1"/>
  <c r="AH494" i="1"/>
  <c r="AG494" i="1"/>
  <c r="AF494" i="1"/>
  <c r="AB494" i="1"/>
  <c r="AJ578" i="1"/>
  <c r="AI578" i="1"/>
  <c r="AH578" i="1"/>
  <c r="AG578" i="1"/>
  <c r="AF578" i="1"/>
  <c r="AB578" i="1"/>
  <c r="AJ674" i="1"/>
  <c r="AI674" i="1"/>
  <c r="AH674" i="1"/>
  <c r="AG674" i="1"/>
  <c r="AF674" i="1"/>
  <c r="AB674" i="1"/>
  <c r="AJ770" i="1"/>
  <c r="AI770" i="1"/>
  <c r="AH770" i="1"/>
  <c r="AG770" i="1"/>
  <c r="AF770" i="1"/>
  <c r="AB770" i="1"/>
  <c r="AJ950" i="1"/>
  <c r="AI950" i="1"/>
  <c r="AG950" i="1"/>
  <c r="AH950" i="1"/>
  <c r="AF950" i="1"/>
  <c r="AB950" i="1"/>
  <c r="AJ1142" i="1"/>
  <c r="AI1142" i="1"/>
  <c r="AH1142" i="1"/>
  <c r="AG1142" i="1"/>
  <c r="AF1142" i="1"/>
  <c r="AB1142" i="1"/>
  <c r="AJ1238" i="1"/>
  <c r="AI1238" i="1"/>
  <c r="AG1238" i="1"/>
  <c r="AH1238" i="1"/>
  <c r="AF1238" i="1"/>
  <c r="AB1238" i="1"/>
  <c r="AJ1322" i="1"/>
  <c r="AI1322" i="1"/>
  <c r="AG1322" i="1"/>
  <c r="AH1322" i="1"/>
  <c r="AF1322" i="1"/>
  <c r="AB1322" i="1"/>
  <c r="AJ1418" i="1"/>
  <c r="AI1418" i="1"/>
  <c r="AH1418" i="1"/>
  <c r="AG1418" i="1"/>
  <c r="AF1418" i="1"/>
  <c r="AB1418" i="1"/>
  <c r="AJ1526" i="1"/>
  <c r="AI1526" i="1"/>
  <c r="AH1526" i="1"/>
  <c r="AG1526" i="1"/>
  <c r="AF1526" i="1"/>
  <c r="AB1526" i="1"/>
  <c r="AJ1730" i="1"/>
  <c r="AI1730" i="1"/>
  <c r="AH1730" i="1"/>
  <c r="AG1730" i="1"/>
  <c r="AF1730" i="1"/>
  <c r="AB1730" i="1"/>
  <c r="AJ28" i="1"/>
  <c r="AI28" i="1"/>
  <c r="AH28" i="1"/>
  <c r="AG28" i="1"/>
  <c r="AF28" i="1"/>
  <c r="AB28" i="1"/>
  <c r="AJ100" i="1"/>
  <c r="AI100" i="1"/>
  <c r="AH100" i="1"/>
  <c r="AG100" i="1"/>
  <c r="AF100" i="1"/>
  <c r="AB100" i="1"/>
  <c r="AJ172" i="1"/>
  <c r="AI172" i="1"/>
  <c r="AH172" i="1"/>
  <c r="AG172" i="1"/>
  <c r="AF172" i="1"/>
  <c r="AB172" i="1"/>
  <c r="AJ244" i="1"/>
  <c r="AI244" i="1"/>
  <c r="AH244" i="1"/>
  <c r="AG244" i="1"/>
  <c r="AF244" i="1"/>
  <c r="AB244" i="1"/>
  <c r="AJ400" i="1"/>
  <c r="AI400" i="1"/>
  <c r="AH400" i="1"/>
  <c r="AG400" i="1"/>
  <c r="AF400" i="1"/>
  <c r="AB400" i="1"/>
  <c r="AJ784" i="1"/>
  <c r="AI784" i="1"/>
  <c r="AH784" i="1"/>
  <c r="AG784" i="1"/>
  <c r="AF784" i="1"/>
  <c r="AB784" i="1"/>
  <c r="AJ1036" i="1"/>
  <c r="AI1036" i="1"/>
  <c r="AH1036" i="1"/>
  <c r="AG1036" i="1"/>
  <c r="AF1036" i="1"/>
  <c r="AB1036" i="1"/>
  <c r="AJ1216" i="1"/>
  <c r="AI1216" i="1"/>
  <c r="AG1216" i="1"/>
  <c r="AH1216" i="1"/>
  <c r="AF1216" i="1"/>
  <c r="AB1216" i="1"/>
  <c r="AJ1324" i="1"/>
  <c r="AI1324" i="1"/>
  <c r="AH1324" i="1"/>
  <c r="AG1324" i="1"/>
  <c r="AF1324" i="1"/>
  <c r="AB1324" i="1"/>
  <c r="AJ785" i="1"/>
  <c r="AI785" i="1"/>
  <c r="AH785" i="1"/>
  <c r="AG785" i="1"/>
  <c r="AF785" i="1"/>
  <c r="AB785" i="1"/>
  <c r="AJ1720" i="1"/>
  <c r="AI1720" i="1"/>
  <c r="AH1720" i="1"/>
  <c r="AG1720" i="1"/>
  <c r="AF1720" i="1"/>
  <c r="AB1720" i="1"/>
  <c r="AJ783" i="1"/>
  <c r="AI783" i="1"/>
  <c r="AH783" i="1"/>
  <c r="AG783" i="1"/>
  <c r="AF783" i="1"/>
  <c r="AB783" i="1"/>
  <c r="AJ987" i="1"/>
  <c r="AI987" i="1"/>
  <c r="AH987" i="1"/>
  <c r="AF987" i="1"/>
  <c r="AG987" i="1"/>
  <c r="AB987" i="1"/>
  <c r="AJ1083" i="1"/>
  <c r="AI1083" i="1"/>
  <c r="AH1083" i="1"/>
  <c r="AG1083" i="1"/>
  <c r="AF1083" i="1"/>
  <c r="AB1083" i="1"/>
  <c r="AJ1239" i="1"/>
  <c r="AI1239" i="1"/>
  <c r="AH1239" i="1"/>
  <c r="AG1239" i="1"/>
  <c r="AF1239" i="1"/>
  <c r="AB1239" i="1"/>
  <c r="AJ1311" i="1"/>
  <c r="AI1311" i="1"/>
  <c r="AH1311" i="1"/>
  <c r="AG1311" i="1"/>
  <c r="AF1311" i="1"/>
  <c r="AB1311" i="1"/>
  <c r="AJ1479" i="1"/>
  <c r="AI1479" i="1"/>
  <c r="AH1479" i="1"/>
  <c r="AG1479" i="1"/>
  <c r="AF1479" i="1"/>
  <c r="AB1479" i="1"/>
  <c r="AJ1635" i="1"/>
  <c r="AI1635" i="1"/>
  <c r="AH1635" i="1"/>
  <c r="AG1635" i="1"/>
  <c r="AF1635" i="1"/>
  <c r="AB1635" i="1"/>
  <c r="AJ1791" i="1"/>
  <c r="AI1791" i="1"/>
  <c r="AH1791" i="1"/>
  <c r="AG1791" i="1"/>
  <c r="AF1791" i="1"/>
  <c r="AB1791" i="1"/>
  <c r="AJ1301" i="1"/>
  <c r="AI1301" i="1"/>
  <c r="AH1301" i="1"/>
  <c r="AG1301" i="1"/>
  <c r="AF1301" i="1"/>
  <c r="AB1301" i="1"/>
  <c r="Z1289" i="1"/>
  <c r="AD1289" i="1"/>
  <c r="AJ965" i="1"/>
  <c r="AI965" i="1"/>
  <c r="AH965" i="1"/>
  <c r="AG965" i="1"/>
  <c r="AF965" i="1"/>
  <c r="AB965" i="1"/>
  <c r="AJ1697" i="1"/>
  <c r="AI1697" i="1"/>
  <c r="AH1697" i="1"/>
  <c r="AG1697" i="1"/>
  <c r="AF1697" i="1"/>
  <c r="AB1697" i="1"/>
  <c r="AJ55" i="1"/>
  <c r="AI55" i="1"/>
  <c r="AH55" i="1"/>
  <c r="AG55" i="1"/>
  <c r="AF55" i="1"/>
  <c r="AB55" i="1"/>
  <c r="AJ139" i="1"/>
  <c r="AI139" i="1"/>
  <c r="AH139" i="1"/>
  <c r="AG139" i="1"/>
  <c r="AF139" i="1"/>
  <c r="AB139" i="1"/>
  <c r="AJ295" i="1"/>
  <c r="AI295" i="1"/>
  <c r="AH295" i="1"/>
  <c r="AG295" i="1"/>
  <c r="AF295" i="1"/>
  <c r="AB295" i="1"/>
  <c r="AJ367" i="1"/>
  <c r="AI367" i="1"/>
  <c r="AH367" i="1"/>
  <c r="AG367" i="1"/>
  <c r="AF367" i="1"/>
  <c r="AB367" i="1"/>
  <c r="AJ535" i="1"/>
  <c r="AI535" i="1"/>
  <c r="AH535" i="1"/>
  <c r="AF535" i="1"/>
  <c r="AG535" i="1"/>
  <c r="AB535" i="1"/>
  <c r="AJ619" i="1"/>
  <c r="AI619" i="1"/>
  <c r="AH619" i="1"/>
  <c r="AG619" i="1"/>
  <c r="AF619" i="1"/>
  <c r="AB619" i="1"/>
  <c r="AJ991" i="1"/>
  <c r="AI991" i="1"/>
  <c r="AH991" i="1"/>
  <c r="AG991" i="1"/>
  <c r="AF991" i="1"/>
  <c r="AB991" i="1"/>
  <c r="AJ1063" i="1"/>
  <c r="AI1063" i="1"/>
  <c r="AH1063" i="1"/>
  <c r="AG1063" i="1"/>
  <c r="AF1063" i="1"/>
  <c r="AB1063" i="1"/>
  <c r="AJ1243" i="1"/>
  <c r="AI1243" i="1"/>
  <c r="AH1243" i="1"/>
  <c r="AG1243" i="1"/>
  <c r="AF1243" i="1"/>
  <c r="AB1243" i="1"/>
  <c r="AJ1351" i="1"/>
  <c r="AI1351" i="1"/>
  <c r="AH1351" i="1"/>
  <c r="AG1351" i="1"/>
  <c r="AF1351" i="1"/>
  <c r="AB1351" i="1"/>
  <c r="AJ1435" i="1"/>
  <c r="AI1435" i="1"/>
  <c r="AH1435" i="1"/>
  <c r="AG1435" i="1"/>
  <c r="AF1435" i="1"/>
  <c r="AB1435" i="1"/>
  <c r="AJ248" i="1"/>
  <c r="AI248" i="1"/>
  <c r="AH248" i="1"/>
  <c r="AG248" i="1"/>
  <c r="AF248" i="1"/>
  <c r="AB248" i="1"/>
  <c r="AJ356" i="1"/>
  <c r="AI356" i="1"/>
  <c r="AH356" i="1"/>
  <c r="AG356" i="1"/>
  <c r="AF356" i="1"/>
  <c r="AB356" i="1"/>
  <c r="AJ488" i="1"/>
  <c r="AI488" i="1"/>
  <c r="AH488" i="1"/>
  <c r="AG488" i="1"/>
  <c r="AF488" i="1"/>
  <c r="AB488" i="1"/>
  <c r="AJ32" i="1"/>
  <c r="AI32" i="1"/>
  <c r="AH32" i="1"/>
  <c r="AF32" i="1"/>
  <c r="AG32" i="1"/>
  <c r="AB32" i="1"/>
  <c r="AJ236" i="1"/>
  <c r="AI236" i="1"/>
  <c r="AH236" i="1"/>
  <c r="AF236" i="1"/>
  <c r="AG236" i="1"/>
  <c r="AB236" i="1"/>
  <c r="AJ572" i="1"/>
  <c r="AI572" i="1"/>
  <c r="AH572" i="1"/>
  <c r="AG572" i="1"/>
  <c r="AF572" i="1"/>
  <c r="AB572" i="1"/>
  <c r="AJ189" i="1"/>
  <c r="AI189" i="1"/>
  <c r="AH189" i="1"/>
  <c r="AG189" i="1"/>
  <c r="AF189" i="1"/>
  <c r="AB189" i="1"/>
  <c r="AJ333" i="1"/>
  <c r="AI333" i="1"/>
  <c r="AH333" i="1"/>
  <c r="AG333" i="1"/>
  <c r="AF333" i="1"/>
  <c r="AB333" i="1"/>
  <c r="AJ405" i="1"/>
  <c r="AI405" i="1"/>
  <c r="AH405" i="1"/>
  <c r="AF405" i="1"/>
  <c r="AG405" i="1"/>
  <c r="AB405" i="1"/>
  <c r="AJ1025" i="1"/>
  <c r="AI1025" i="1"/>
  <c r="AH1025" i="1"/>
  <c r="AG1025" i="1"/>
  <c r="AF1025" i="1"/>
  <c r="AB1025" i="1"/>
  <c r="AJ1781" i="1"/>
  <c r="AI1781" i="1"/>
  <c r="AH1781" i="1"/>
  <c r="AG1781" i="1"/>
  <c r="AF1781" i="1"/>
  <c r="AB1781" i="1"/>
  <c r="AJ37" i="1"/>
  <c r="AI37" i="1"/>
  <c r="AH37" i="1"/>
  <c r="AG37" i="1"/>
  <c r="AF37" i="1"/>
  <c r="AB37" i="1"/>
  <c r="AJ109" i="1"/>
  <c r="AI109" i="1"/>
  <c r="AH109" i="1"/>
  <c r="AG109" i="1"/>
  <c r="AF109" i="1"/>
  <c r="AB109" i="1"/>
  <c r="AJ181" i="1"/>
  <c r="AI181" i="1"/>
  <c r="AH181" i="1"/>
  <c r="AG181" i="1"/>
  <c r="AF181" i="1"/>
  <c r="AB181" i="1"/>
  <c r="AJ253" i="1"/>
  <c r="AI253" i="1"/>
  <c r="AH253" i="1"/>
  <c r="AG253" i="1"/>
  <c r="AF253" i="1"/>
  <c r="AB253" i="1"/>
  <c r="AJ325" i="1"/>
  <c r="AI325" i="1"/>
  <c r="AH325" i="1"/>
  <c r="AG325" i="1"/>
  <c r="AF325" i="1"/>
  <c r="AB325" i="1"/>
  <c r="AJ397" i="1"/>
  <c r="AI397" i="1"/>
  <c r="AH397" i="1"/>
  <c r="AG397" i="1"/>
  <c r="AF397" i="1"/>
  <c r="AB397" i="1"/>
  <c r="AJ469" i="1"/>
  <c r="AI469" i="1"/>
  <c r="AG469" i="1"/>
  <c r="AH469" i="1"/>
  <c r="AF469" i="1"/>
  <c r="AB469" i="1"/>
  <c r="AJ541" i="1"/>
  <c r="AI541" i="1"/>
  <c r="AH541" i="1"/>
  <c r="AG541" i="1"/>
  <c r="AF541" i="1"/>
  <c r="AB541" i="1"/>
  <c r="AJ613" i="1"/>
  <c r="AI613" i="1"/>
  <c r="AH613" i="1"/>
  <c r="AG613" i="1"/>
  <c r="AF613" i="1"/>
  <c r="AB613" i="1"/>
  <c r="AJ685" i="1"/>
  <c r="AI685" i="1"/>
  <c r="AH685" i="1"/>
  <c r="AG685" i="1"/>
  <c r="AF685" i="1"/>
  <c r="AB685" i="1"/>
  <c r="AJ829" i="1"/>
  <c r="AI829" i="1"/>
  <c r="AH829" i="1"/>
  <c r="AG829" i="1"/>
  <c r="AF829" i="1"/>
  <c r="AB829" i="1"/>
  <c r="AJ901" i="1"/>
  <c r="AI901" i="1"/>
  <c r="AG901" i="1"/>
  <c r="AH901" i="1"/>
  <c r="AF901" i="1"/>
  <c r="AB901" i="1"/>
  <c r="AJ1045" i="1"/>
  <c r="AI1045" i="1"/>
  <c r="AH1045" i="1"/>
  <c r="AG1045" i="1"/>
  <c r="AF1045" i="1"/>
  <c r="AB1045" i="1"/>
  <c r="AJ1117" i="1"/>
  <c r="AI1117" i="1"/>
  <c r="AH1117" i="1"/>
  <c r="AG1117" i="1"/>
  <c r="AF1117" i="1"/>
  <c r="AB1117" i="1"/>
  <c r="AJ1189" i="1"/>
  <c r="AI1189" i="1"/>
  <c r="AH1189" i="1"/>
  <c r="AG1189" i="1"/>
  <c r="AF1189" i="1"/>
  <c r="AB1189" i="1"/>
  <c r="AJ1261" i="1"/>
  <c r="AI1261" i="1"/>
  <c r="AH1261" i="1"/>
  <c r="AG1261" i="1"/>
  <c r="AF1261" i="1"/>
  <c r="AB1261" i="1"/>
  <c r="AJ1333" i="1"/>
  <c r="AI1333" i="1"/>
  <c r="AH1333" i="1"/>
  <c r="AG1333" i="1"/>
  <c r="AF1333" i="1"/>
  <c r="AB1333" i="1"/>
  <c r="AJ1405" i="1"/>
  <c r="AI1405" i="1"/>
  <c r="AH1405" i="1"/>
  <c r="AG1405" i="1"/>
  <c r="AF1405" i="1"/>
  <c r="AB1405" i="1"/>
  <c r="AJ1477" i="1"/>
  <c r="AI1477" i="1"/>
  <c r="AH1477" i="1"/>
  <c r="AG1477" i="1"/>
  <c r="AF1477" i="1"/>
  <c r="AB1477" i="1"/>
  <c r="AJ1549" i="1"/>
  <c r="AI1549" i="1"/>
  <c r="AH1549" i="1"/>
  <c r="AG1549" i="1"/>
  <c r="AF1549" i="1"/>
  <c r="AB1549" i="1"/>
  <c r="AJ1621" i="1"/>
  <c r="AI1621" i="1"/>
  <c r="AH1621" i="1"/>
  <c r="AG1621" i="1"/>
  <c r="AF1621" i="1"/>
  <c r="AB1621" i="1"/>
  <c r="AJ1693" i="1"/>
  <c r="AI1693" i="1"/>
  <c r="AH1693" i="1"/>
  <c r="AG1693" i="1"/>
  <c r="AF1693" i="1"/>
  <c r="AB1693" i="1"/>
  <c r="AJ1765" i="1"/>
  <c r="AI1765" i="1"/>
  <c r="AH1765" i="1"/>
  <c r="AG1765" i="1"/>
  <c r="AF1765" i="1"/>
  <c r="AB1765" i="1"/>
  <c r="AJ1602" i="1"/>
  <c r="AI1602" i="1"/>
  <c r="AH1602" i="1"/>
  <c r="AG1602" i="1"/>
  <c r="AF1602" i="1"/>
  <c r="AB1602" i="1"/>
  <c r="AJ513" i="1"/>
  <c r="AI513" i="1"/>
  <c r="AH513" i="1"/>
  <c r="AF513" i="1"/>
  <c r="AG513" i="1"/>
  <c r="AB513" i="1"/>
  <c r="AJ705" i="1"/>
  <c r="AI705" i="1"/>
  <c r="AH705" i="1"/>
  <c r="AG705" i="1"/>
  <c r="AF705" i="1"/>
  <c r="AB705" i="1"/>
  <c r="AJ897" i="1"/>
  <c r="AI897" i="1"/>
  <c r="AH897" i="1"/>
  <c r="AG897" i="1"/>
  <c r="AF897" i="1"/>
  <c r="AB897" i="1"/>
  <c r="AJ1197" i="1"/>
  <c r="AI1197" i="1"/>
  <c r="AH1197" i="1"/>
  <c r="AG1197" i="1"/>
  <c r="AF1197" i="1"/>
  <c r="AB1197" i="1"/>
  <c r="AJ1497" i="1"/>
  <c r="AI1497" i="1"/>
  <c r="AH1497" i="1"/>
  <c r="AG1497" i="1"/>
  <c r="AF1497" i="1"/>
  <c r="AB1497" i="1"/>
  <c r="AJ1785" i="1"/>
  <c r="AI1785" i="1"/>
  <c r="AH1785" i="1"/>
  <c r="AG1785" i="1"/>
  <c r="AF1785" i="1"/>
  <c r="AB1785" i="1"/>
  <c r="AJ574" i="1"/>
  <c r="AI574" i="1"/>
  <c r="AH574" i="1"/>
  <c r="AG574" i="1"/>
  <c r="AF574" i="1"/>
  <c r="AB574" i="1"/>
  <c r="AJ766" i="1"/>
  <c r="AI766" i="1"/>
  <c r="AH766" i="1"/>
  <c r="AG766" i="1"/>
  <c r="AF766" i="1"/>
  <c r="AB766" i="1"/>
  <c r="AJ934" i="1"/>
  <c r="AI934" i="1"/>
  <c r="AH934" i="1"/>
  <c r="AG934" i="1"/>
  <c r="AF934" i="1"/>
  <c r="AB934" i="1"/>
  <c r="AJ1078" i="1"/>
  <c r="AI1078" i="1"/>
  <c r="AH1078" i="1"/>
  <c r="AG1078" i="1"/>
  <c r="AF1078" i="1"/>
  <c r="AB1078" i="1"/>
  <c r="AJ1246" i="1"/>
  <c r="AI1246" i="1"/>
  <c r="AH1246" i="1"/>
  <c r="AG1246" i="1"/>
  <c r="AF1246" i="1"/>
  <c r="AB1246" i="1"/>
  <c r="AJ1426" i="1"/>
  <c r="AI1426" i="1"/>
  <c r="AH1426" i="1"/>
  <c r="AG1426" i="1"/>
  <c r="AF1426" i="1"/>
  <c r="AB1426" i="1"/>
  <c r="AJ1618" i="1"/>
  <c r="AI1618" i="1"/>
  <c r="AH1618" i="1"/>
  <c r="AG1618" i="1"/>
  <c r="AF1618" i="1"/>
  <c r="AB1618" i="1"/>
  <c r="AJ590" i="1"/>
  <c r="AI590" i="1"/>
  <c r="AH590" i="1"/>
  <c r="AG590" i="1"/>
  <c r="AF590" i="1"/>
  <c r="AB590" i="1"/>
  <c r="AJ1646" i="1"/>
  <c r="AI1646" i="1"/>
  <c r="AG1646" i="1"/>
  <c r="AH1646" i="1"/>
  <c r="AF1646" i="1"/>
  <c r="AB1646" i="1"/>
  <c r="AJ1104" i="1"/>
  <c r="AI1104" i="1"/>
  <c r="AH1104" i="1"/>
  <c r="AG1104" i="1"/>
  <c r="AF1104" i="1"/>
  <c r="AB1104" i="1"/>
  <c r="AJ372" i="1"/>
  <c r="AI372" i="1"/>
  <c r="AH372" i="1"/>
  <c r="AG372" i="1"/>
  <c r="AF372" i="1"/>
  <c r="AB372" i="1"/>
  <c r="AJ942" i="1"/>
  <c r="AI942" i="1"/>
  <c r="AH942" i="1"/>
  <c r="AG942" i="1"/>
  <c r="AF942" i="1"/>
  <c r="AB942" i="1"/>
  <c r="AJ1162" i="1"/>
  <c r="AI1162" i="1"/>
  <c r="AH1162" i="1"/>
  <c r="AG1162" i="1"/>
  <c r="AF1162" i="1"/>
  <c r="AB1162" i="1"/>
  <c r="AJ1128" i="1"/>
  <c r="AI1128" i="1"/>
  <c r="AH1128" i="1"/>
  <c r="AG1128" i="1"/>
  <c r="AF1128" i="1"/>
  <c r="AB1128" i="1"/>
  <c r="AJ1764" i="1"/>
  <c r="AI1764" i="1"/>
  <c r="AH1764" i="1"/>
  <c r="AG1764" i="1"/>
  <c r="AF1764" i="1"/>
  <c r="AB1764" i="1"/>
  <c r="AJ584" i="1"/>
  <c r="AI584" i="1"/>
  <c r="AH584" i="1"/>
  <c r="AG584" i="1"/>
  <c r="AF584" i="1"/>
  <c r="AB584" i="1"/>
  <c r="AJ656" i="1"/>
  <c r="AI656" i="1"/>
  <c r="AH656" i="1"/>
  <c r="AG656" i="1"/>
  <c r="AF656" i="1"/>
  <c r="AB656" i="1"/>
  <c r="AJ728" i="1"/>
  <c r="AI728" i="1"/>
  <c r="AH728" i="1"/>
  <c r="AG728" i="1"/>
  <c r="AF728" i="1"/>
  <c r="AB728" i="1"/>
  <c r="AJ800" i="1"/>
  <c r="AI800" i="1"/>
  <c r="AH800" i="1"/>
  <c r="AG800" i="1"/>
  <c r="AF800" i="1"/>
  <c r="AB800" i="1"/>
  <c r="AJ872" i="1"/>
  <c r="AI872" i="1"/>
  <c r="AH872" i="1"/>
  <c r="AG872" i="1"/>
  <c r="AF872" i="1"/>
  <c r="AB872" i="1"/>
  <c r="AJ944" i="1"/>
  <c r="AI944" i="1"/>
  <c r="AH944" i="1"/>
  <c r="AG944" i="1"/>
  <c r="AF944" i="1"/>
  <c r="AB944" i="1"/>
  <c r="AJ1016" i="1"/>
  <c r="AI1016" i="1"/>
  <c r="AH1016" i="1"/>
  <c r="AG1016" i="1"/>
  <c r="AF1016" i="1"/>
  <c r="AB1016" i="1"/>
  <c r="AJ1088" i="1"/>
  <c r="AI1088" i="1"/>
  <c r="AH1088" i="1"/>
  <c r="AG1088" i="1"/>
  <c r="AF1088" i="1"/>
  <c r="AB1088" i="1"/>
  <c r="AJ1232" i="1"/>
  <c r="AI1232" i="1"/>
  <c r="AH1232" i="1"/>
  <c r="AG1232" i="1"/>
  <c r="AF1232" i="1"/>
  <c r="AB1232" i="1"/>
  <c r="AJ1304" i="1"/>
  <c r="AI1304" i="1"/>
  <c r="AH1304" i="1"/>
  <c r="AG1304" i="1"/>
  <c r="AF1304" i="1"/>
  <c r="AB1304" i="1"/>
  <c r="AJ1376" i="1"/>
  <c r="AI1376" i="1"/>
  <c r="AH1376" i="1"/>
  <c r="AG1376" i="1"/>
  <c r="AF1376" i="1"/>
  <c r="AB1376" i="1"/>
  <c r="AJ1448" i="1"/>
  <c r="AI1448" i="1"/>
  <c r="AH1448" i="1"/>
  <c r="AG1448" i="1"/>
  <c r="AF1448" i="1"/>
  <c r="AB1448" i="1"/>
  <c r="AJ1664" i="1"/>
  <c r="AI1664" i="1"/>
  <c r="AH1664" i="1"/>
  <c r="AG1664" i="1"/>
  <c r="AF1664" i="1"/>
  <c r="AB1664" i="1"/>
  <c r="AJ1341" i="1"/>
  <c r="AI1341" i="1"/>
  <c r="AH1341" i="1"/>
  <c r="AG1341" i="1"/>
  <c r="AF1341" i="1"/>
  <c r="AB1341" i="1"/>
  <c r="AJ178" i="1"/>
  <c r="AI178" i="1"/>
  <c r="AH178" i="1"/>
  <c r="AG178" i="1"/>
  <c r="AF178" i="1"/>
  <c r="AB178" i="1"/>
  <c r="AJ886" i="1"/>
  <c r="AI886" i="1"/>
  <c r="AH886" i="1"/>
  <c r="AG886" i="1"/>
  <c r="AF886" i="1"/>
  <c r="AB886" i="1"/>
  <c r="AJ419" i="1"/>
  <c r="AI419" i="1"/>
  <c r="AH419" i="1"/>
  <c r="AG419" i="1"/>
  <c r="AF419" i="1"/>
  <c r="AB419" i="1"/>
  <c r="AJ887" i="1"/>
  <c r="AI887" i="1"/>
  <c r="AH887" i="1"/>
  <c r="AG887" i="1"/>
  <c r="AF887" i="1"/>
  <c r="AB887" i="1"/>
  <c r="AJ1403" i="1"/>
  <c r="AI1403" i="1"/>
  <c r="AH1403" i="1"/>
  <c r="AG1403" i="1"/>
  <c r="AF1403" i="1"/>
  <c r="AB1403" i="1"/>
  <c r="AJ216" i="1"/>
  <c r="AI216" i="1"/>
  <c r="AH216" i="1"/>
  <c r="AG216" i="1"/>
  <c r="AF216" i="1"/>
  <c r="AB216" i="1"/>
  <c r="AJ816" i="1"/>
  <c r="AI816" i="1"/>
  <c r="AH816" i="1"/>
  <c r="AG816" i="1"/>
  <c r="AF816" i="1"/>
  <c r="AB816" i="1"/>
  <c r="AJ262" i="1"/>
  <c r="AI262" i="1"/>
  <c r="AH262" i="1"/>
  <c r="AG262" i="1"/>
  <c r="AF262" i="1"/>
  <c r="AB262" i="1"/>
  <c r="AJ1042" i="1"/>
  <c r="AI1042" i="1"/>
  <c r="AH1042" i="1"/>
  <c r="AG1042" i="1"/>
  <c r="AF1042" i="1"/>
  <c r="AB1042" i="1"/>
  <c r="AJ35" i="1"/>
  <c r="AI35" i="1"/>
  <c r="AH35" i="1"/>
  <c r="AG35" i="1"/>
  <c r="AF35" i="1"/>
  <c r="AB35" i="1"/>
  <c r="AJ503" i="1"/>
  <c r="AI503" i="1"/>
  <c r="AH503" i="1"/>
  <c r="AG503" i="1"/>
  <c r="AF503" i="1"/>
  <c r="AB503" i="1"/>
  <c r="AJ875" i="1"/>
  <c r="AI875" i="1"/>
  <c r="AH875" i="1"/>
  <c r="AG875" i="1"/>
  <c r="AF875" i="1"/>
  <c r="AB875" i="1"/>
  <c r="AJ1439" i="1"/>
  <c r="AI1439" i="1"/>
  <c r="AH1439" i="1"/>
  <c r="AG1439" i="1"/>
  <c r="AF1439" i="1"/>
  <c r="AB1439" i="1"/>
  <c r="AJ288" i="1"/>
  <c r="AI288" i="1"/>
  <c r="AH288" i="1"/>
  <c r="AG288" i="1"/>
  <c r="AF288" i="1"/>
  <c r="AB288" i="1"/>
  <c r="AJ792" i="1"/>
  <c r="AI792" i="1"/>
  <c r="AH792" i="1"/>
  <c r="AG792" i="1"/>
  <c r="AF792" i="1"/>
  <c r="AB792" i="1"/>
  <c r="AJ144" i="1"/>
  <c r="AI144" i="1"/>
  <c r="AH144" i="1"/>
  <c r="AG144" i="1"/>
  <c r="AF144" i="1"/>
  <c r="AB144" i="1"/>
  <c r="AJ396" i="1"/>
  <c r="AI396" i="1"/>
  <c r="AH396" i="1"/>
  <c r="AG396" i="1"/>
  <c r="AF396" i="1"/>
  <c r="AB396" i="1"/>
  <c r="AJ672" i="1"/>
  <c r="AI672" i="1"/>
  <c r="AH672" i="1"/>
  <c r="AG672" i="1"/>
  <c r="AF672" i="1"/>
  <c r="AB672" i="1"/>
  <c r="AJ912" i="1"/>
  <c r="AI912" i="1"/>
  <c r="AH912" i="1"/>
  <c r="AG912" i="1"/>
  <c r="AF912" i="1"/>
  <c r="AB912" i="1"/>
  <c r="AJ1164" i="1"/>
  <c r="AI1164" i="1"/>
  <c r="AH1164" i="1"/>
  <c r="AG1164" i="1"/>
  <c r="AF1164" i="1"/>
  <c r="AB1164" i="1"/>
  <c r="AJ1548" i="1"/>
  <c r="AI1548" i="1"/>
  <c r="AH1548" i="1"/>
  <c r="AG1548" i="1"/>
  <c r="AF1548" i="1"/>
  <c r="AB1548" i="1"/>
  <c r="AJ1752" i="1"/>
  <c r="AI1752" i="1"/>
  <c r="AH1752" i="1"/>
  <c r="AG1752" i="1"/>
  <c r="AF1752" i="1"/>
  <c r="AB1752" i="1"/>
  <c r="AJ1180" i="1"/>
  <c r="AI1180" i="1"/>
  <c r="AH1180" i="1"/>
  <c r="AG1180" i="1"/>
  <c r="AF1180" i="1"/>
  <c r="AB1180" i="1"/>
  <c r="AJ45" i="1"/>
  <c r="AI45" i="1"/>
  <c r="AH45" i="1"/>
  <c r="AG45" i="1"/>
  <c r="AF45" i="1"/>
  <c r="AB45" i="1"/>
  <c r="AJ461" i="1"/>
  <c r="AI461" i="1"/>
  <c r="AH461" i="1"/>
  <c r="AG461" i="1"/>
  <c r="AF461" i="1"/>
  <c r="AB461" i="1"/>
  <c r="AJ881" i="1"/>
  <c r="AI881" i="1"/>
  <c r="AH881" i="1"/>
  <c r="AG881" i="1"/>
  <c r="AF881" i="1"/>
  <c r="AB881" i="1"/>
  <c r="AJ231" i="1"/>
  <c r="AI231" i="1"/>
  <c r="AH231" i="1"/>
  <c r="AG231" i="1"/>
  <c r="AF231" i="1"/>
  <c r="AB231" i="1"/>
  <c r="AJ375" i="1"/>
  <c r="AI375" i="1"/>
  <c r="AH375" i="1"/>
  <c r="AG375" i="1"/>
  <c r="AF375" i="1"/>
  <c r="AB375" i="1"/>
  <c r="AJ891" i="1"/>
  <c r="AI891" i="1"/>
  <c r="AH891" i="1"/>
  <c r="AF891" i="1"/>
  <c r="AG891" i="1"/>
  <c r="AB891" i="1"/>
  <c r="AJ1780" i="1"/>
  <c r="AI1780" i="1"/>
  <c r="AH1780" i="1"/>
  <c r="AG1780" i="1"/>
  <c r="AF1780" i="1"/>
  <c r="AB1780" i="1"/>
  <c r="AE53" i="1"/>
  <c r="AC53" i="1"/>
  <c r="AE125" i="1"/>
  <c r="AC125" i="1"/>
  <c r="AE221" i="1"/>
  <c r="AC221" i="1"/>
  <c r="AE305" i="1"/>
  <c r="AC305" i="1"/>
  <c r="AE377" i="1"/>
  <c r="AC377" i="1"/>
  <c r="AE473" i="1"/>
  <c r="AC473" i="1"/>
  <c r="AE593" i="1"/>
  <c r="AC593" i="1"/>
  <c r="AE66" i="1"/>
  <c r="AC66" i="1"/>
  <c r="AE174" i="1"/>
  <c r="AC174" i="1"/>
  <c r="AE246" i="1"/>
  <c r="AC246" i="1"/>
  <c r="AE318" i="1"/>
  <c r="AC318" i="1"/>
  <c r="AE390" i="1"/>
  <c r="AC390" i="1"/>
  <c r="AE462" i="1"/>
  <c r="AC462" i="1"/>
  <c r="AE534" i="1"/>
  <c r="AC534" i="1"/>
  <c r="AE606" i="1"/>
  <c r="AC606" i="1"/>
  <c r="AE678" i="1"/>
  <c r="AC678" i="1"/>
  <c r="AE750" i="1"/>
  <c r="AC750" i="1"/>
  <c r="AE822" i="1"/>
  <c r="AC822" i="1"/>
  <c r="AE633" i="1"/>
  <c r="AC633" i="1"/>
  <c r="AE705" i="1"/>
  <c r="AC705" i="1"/>
  <c r="AE777" i="1"/>
  <c r="AC777" i="1"/>
  <c r="AE849" i="1"/>
  <c r="AC849" i="1"/>
  <c r="AE921" i="1"/>
  <c r="AC921" i="1"/>
  <c r="AE993" i="1"/>
  <c r="AC993" i="1"/>
  <c r="AE1065" i="1"/>
  <c r="AC1065" i="1"/>
  <c r="AE1137" i="1"/>
  <c r="AC1137" i="1"/>
  <c r="AE1209" i="1"/>
  <c r="AC1209" i="1"/>
  <c r="AE1281" i="1"/>
  <c r="AC1281" i="1"/>
  <c r="AE1353" i="1"/>
  <c r="AC1353" i="1"/>
  <c r="AE1425" i="1"/>
  <c r="AC1425" i="1"/>
  <c r="AE1497" i="1"/>
  <c r="AC1497" i="1"/>
  <c r="AE1569" i="1"/>
  <c r="AC1569" i="1"/>
  <c r="AE1641" i="1"/>
  <c r="AC1641" i="1"/>
  <c r="AE1713" i="1"/>
  <c r="AC1713" i="1"/>
  <c r="AE1785" i="1"/>
  <c r="AC1785" i="1"/>
  <c r="AE1210" i="1"/>
  <c r="AC1210" i="1"/>
  <c r="AE1282" i="1"/>
  <c r="AC1282" i="1"/>
  <c r="AE1354" i="1"/>
  <c r="AC1354" i="1"/>
  <c r="AE1426" i="1"/>
  <c r="AC1426" i="1"/>
  <c r="AE1498" i="1"/>
  <c r="AC1498" i="1"/>
  <c r="AE1570" i="1"/>
  <c r="AC1570" i="1"/>
  <c r="AE1642" i="1"/>
  <c r="AC1642" i="1"/>
  <c r="AE1714" i="1"/>
  <c r="AC1714" i="1"/>
  <c r="AE1786" i="1"/>
  <c r="AC1786" i="1"/>
  <c r="AE551" i="1"/>
  <c r="AC551" i="1"/>
  <c r="AE623" i="1"/>
  <c r="AC623" i="1"/>
  <c r="AE695" i="1"/>
  <c r="AC695" i="1"/>
  <c r="AE767" i="1"/>
  <c r="AC767" i="1"/>
  <c r="AE839" i="1"/>
  <c r="AC839" i="1"/>
  <c r="AE911" i="1"/>
  <c r="AC911" i="1"/>
  <c r="AE983" i="1"/>
  <c r="AC983" i="1"/>
  <c r="AE1055" i="1"/>
  <c r="AC1055" i="1"/>
  <c r="AE1127" i="1"/>
  <c r="AC1127" i="1"/>
  <c r="AE1199" i="1"/>
  <c r="AC1199" i="1"/>
  <c r="AE1271" i="1"/>
  <c r="AC1271" i="1"/>
  <c r="AE1343" i="1"/>
  <c r="AC1343" i="1"/>
  <c r="AE1415" i="1"/>
  <c r="AC1415" i="1"/>
  <c r="AE1487" i="1"/>
  <c r="AC1487" i="1"/>
  <c r="AE1559" i="1"/>
  <c r="AC1559" i="1"/>
  <c r="AE1631" i="1"/>
  <c r="AC1631" i="1"/>
  <c r="AE1703" i="1"/>
  <c r="AC1703" i="1"/>
  <c r="AE1775" i="1"/>
  <c r="AC1775" i="1"/>
  <c r="AE60" i="1"/>
  <c r="AC60" i="1"/>
  <c r="AE132" i="1"/>
  <c r="AC132" i="1"/>
  <c r="AE204" i="1"/>
  <c r="AC204" i="1"/>
  <c r="AE276" i="1"/>
  <c r="AC276" i="1"/>
  <c r="AE348" i="1"/>
  <c r="AC348" i="1"/>
  <c r="AE420" i="1"/>
  <c r="AC420" i="1"/>
  <c r="AE492" i="1"/>
  <c r="AC492" i="1"/>
  <c r="AE564" i="1"/>
  <c r="AC564" i="1"/>
  <c r="AE636" i="1"/>
  <c r="AC636" i="1"/>
  <c r="AE708" i="1"/>
  <c r="AC708" i="1"/>
  <c r="AE780" i="1"/>
  <c r="AC780" i="1"/>
  <c r="AE852" i="1"/>
  <c r="AC852" i="1"/>
  <c r="AE924" i="1"/>
  <c r="AC924" i="1"/>
  <c r="AE996" i="1"/>
  <c r="AC996" i="1"/>
  <c r="AE1068" i="1"/>
  <c r="AC1068" i="1"/>
  <c r="AE1140" i="1"/>
  <c r="AC1140" i="1"/>
  <c r="AE1212" i="1"/>
  <c r="AC1212" i="1"/>
  <c r="AE1284" i="1"/>
  <c r="AC1284" i="1"/>
  <c r="AE1356" i="1"/>
  <c r="AC1356" i="1"/>
  <c r="AE1428" i="1"/>
  <c r="AC1428" i="1"/>
  <c r="AE1500" i="1"/>
  <c r="AC1500" i="1"/>
  <c r="AE1572" i="1"/>
  <c r="AC1572" i="1"/>
  <c r="AE1644" i="1"/>
  <c r="AC1644" i="1"/>
  <c r="AE1716" i="1"/>
  <c r="AC1716" i="1"/>
  <c r="AE1788" i="1"/>
  <c r="AC1788" i="1"/>
  <c r="AE73" i="1"/>
  <c r="AC73" i="1"/>
  <c r="AE145" i="1"/>
  <c r="AC145" i="1"/>
  <c r="AE217" i="1"/>
  <c r="AC217" i="1"/>
  <c r="AE289" i="1"/>
  <c r="AC289" i="1"/>
  <c r="AE361" i="1"/>
  <c r="AC361" i="1"/>
  <c r="AE433" i="1"/>
  <c r="AC433" i="1"/>
  <c r="AE505" i="1"/>
  <c r="AC505" i="1"/>
  <c r="AE577" i="1"/>
  <c r="AC577" i="1"/>
  <c r="AE649" i="1"/>
  <c r="AC649" i="1"/>
  <c r="AE721" i="1"/>
  <c r="AC721" i="1"/>
  <c r="AE793" i="1"/>
  <c r="AC793" i="1"/>
  <c r="AE865" i="1"/>
  <c r="AC865" i="1"/>
  <c r="AE937" i="1"/>
  <c r="AC937" i="1"/>
  <c r="AE1009" i="1"/>
  <c r="AC1009" i="1"/>
  <c r="AE1081" i="1"/>
  <c r="AC1081" i="1"/>
  <c r="AE1153" i="1"/>
  <c r="AC1153" i="1"/>
  <c r="AE1225" i="1"/>
  <c r="AC1225" i="1"/>
  <c r="AE1297" i="1"/>
  <c r="AC1297" i="1"/>
  <c r="AE1369" i="1"/>
  <c r="AC1369" i="1"/>
  <c r="AE1441" i="1"/>
  <c r="AC1441" i="1"/>
  <c r="AE1513" i="1"/>
  <c r="AC1513" i="1"/>
  <c r="AE1585" i="1"/>
  <c r="AC1585" i="1"/>
  <c r="AE1657" i="1"/>
  <c r="AC1657" i="1"/>
  <c r="AE1729" i="1"/>
  <c r="AC1729" i="1"/>
  <c r="AE26" i="1"/>
  <c r="AC26" i="1"/>
  <c r="AE98" i="1"/>
  <c r="AC98" i="1"/>
  <c r="AE194" i="1"/>
  <c r="AC194" i="1"/>
  <c r="AE314" i="1"/>
  <c r="AC314" i="1"/>
  <c r="AE398" i="1"/>
  <c r="AC398" i="1"/>
  <c r="AE470" i="1"/>
  <c r="AC470" i="1"/>
  <c r="AE542" i="1"/>
  <c r="AC542" i="1"/>
  <c r="AE614" i="1"/>
  <c r="AC614" i="1"/>
  <c r="AE686" i="1"/>
  <c r="AC686" i="1"/>
  <c r="AE758" i="1"/>
  <c r="AC758" i="1"/>
  <c r="AE842" i="1"/>
  <c r="AC842" i="1"/>
  <c r="AE950" i="1"/>
  <c r="AC950" i="1"/>
  <c r="AE1070" i="1"/>
  <c r="AC1070" i="1"/>
  <c r="AE1154" i="1"/>
  <c r="AC1154" i="1"/>
  <c r="AE1262" i="1"/>
  <c r="AC1262" i="1"/>
  <c r="AE1346" i="1"/>
  <c r="AC1346" i="1"/>
  <c r="AE1418" i="1"/>
  <c r="AC1418" i="1"/>
  <c r="AE1490" i="1"/>
  <c r="AC1490" i="1"/>
  <c r="AE1562" i="1"/>
  <c r="AC1562" i="1"/>
  <c r="AE1634" i="1"/>
  <c r="AC1634" i="1"/>
  <c r="AE1742" i="1"/>
  <c r="AC1742" i="1"/>
  <c r="AE51" i="1"/>
  <c r="AC51" i="1"/>
  <c r="AE147" i="1"/>
  <c r="AC147" i="1"/>
  <c r="AE279" i="1"/>
  <c r="AC279" i="1"/>
  <c r="AE399" i="1"/>
  <c r="AC399" i="1"/>
  <c r="AE507" i="1"/>
  <c r="AC507" i="1"/>
  <c r="AE579" i="1"/>
  <c r="AC579" i="1"/>
  <c r="AE651" i="1"/>
  <c r="AC651" i="1"/>
  <c r="AE747" i="1"/>
  <c r="AC747" i="1"/>
  <c r="AE831" i="1"/>
  <c r="AC831" i="1"/>
  <c r="AE951" i="1"/>
  <c r="AC951" i="1"/>
  <c r="AE1059" i="1"/>
  <c r="AC1059" i="1"/>
  <c r="AE1131" i="1"/>
  <c r="AC1131" i="1"/>
  <c r="AE1203" i="1"/>
  <c r="AC1203" i="1"/>
  <c r="AE1287" i="1"/>
  <c r="AC1287" i="1"/>
  <c r="AE1371" i="1"/>
  <c r="AC1371" i="1"/>
  <c r="AE1455" i="1"/>
  <c r="AC1455" i="1"/>
  <c r="AE1527" i="1"/>
  <c r="AC1527" i="1"/>
  <c r="AE1611" i="1"/>
  <c r="AC1611" i="1"/>
  <c r="AE1695" i="1"/>
  <c r="AC1695" i="1"/>
  <c r="AE1767" i="1"/>
  <c r="AC1767" i="1"/>
  <c r="AE52" i="1"/>
  <c r="AC52" i="1"/>
  <c r="AE124" i="1"/>
  <c r="AC124" i="1"/>
  <c r="AE196" i="1"/>
  <c r="AC196" i="1"/>
  <c r="AE268" i="1"/>
  <c r="AC268" i="1"/>
  <c r="AE340" i="1"/>
  <c r="AC340" i="1"/>
  <c r="AE412" i="1"/>
  <c r="AC412" i="1"/>
  <c r="AE484" i="1"/>
  <c r="AC484" i="1"/>
  <c r="AE556" i="1"/>
  <c r="AC556" i="1"/>
  <c r="AE628" i="1"/>
  <c r="AC628" i="1"/>
  <c r="AE700" i="1"/>
  <c r="AC700" i="1"/>
  <c r="AE772" i="1"/>
  <c r="AC772" i="1"/>
  <c r="AE856" i="1"/>
  <c r="AC856" i="1"/>
  <c r="AE928" i="1"/>
  <c r="AC928" i="1"/>
  <c r="AE1012" i="1"/>
  <c r="AC1012" i="1"/>
  <c r="AE1084" i="1"/>
  <c r="AC1084" i="1"/>
  <c r="AE1168" i="1"/>
  <c r="AC1168" i="1"/>
  <c r="AE1240" i="1"/>
  <c r="AC1240" i="1"/>
  <c r="AE1324" i="1"/>
  <c r="AC1324" i="1"/>
  <c r="AE1408" i="1"/>
  <c r="AC1408" i="1"/>
  <c r="AE1528" i="1"/>
  <c r="AC1528" i="1"/>
  <c r="AE1624" i="1"/>
  <c r="AC1624" i="1"/>
  <c r="AE1696" i="1"/>
  <c r="AC1696" i="1"/>
  <c r="AE1792" i="1"/>
  <c r="AC1792" i="1"/>
  <c r="AE954" i="1"/>
  <c r="AC954" i="1"/>
  <c r="AE1026" i="1"/>
  <c r="AC1026" i="1"/>
  <c r="AE1098" i="1"/>
  <c r="AC1098" i="1"/>
  <c r="AE1170" i="1"/>
  <c r="AC1170" i="1"/>
  <c r="AE1242" i="1"/>
  <c r="AC1242" i="1"/>
  <c r="AE1314" i="1"/>
  <c r="AC1314" i="1"/>
  <c r="AE1386" i="1"/>
  <c r="AC1386" i="1"/>
  <c r="AE1458" i="1"/>
  <c r="AC1458" i="1"/>
  <c r="AE1530" i="1"/>
  <c r="AC1530" i="1"/>
  <c r="AE1602" i="1"/>
  <c r="AC1602" i="1"/>
  <c r="AE1674" i="1"/>
  <c r="AC1674" i="1"/>
  <c r="AE1746" i="1"/>
  <c r="AC1746" i="1"/>
  <c r="AE31" i="1"/>
  <c r="AC31" i="1"/>
  <c r="AE103" i="1"/>
  <c r="AC103" i="1"/>
  <c r="AE175" i="1"/>
  <c r="AC175" i="1"/>
  <c r="AE247" i="1"/>
  <c r="AC247" i="1"/>
  <c r="AE319" i="1"/>
  <c r="AC319" i="1"/>
  <c r="AE391" i="1"/>
  <c r="AC391" i="1"/>
  <c r="AE463" i="1"/>
  <c r="AC463" i="1"/>
  <c r="AE535" i="1"/>
  <c r="AC535" i="1"/>
  <c r="AE607" i="1"/>
  <c r="AC607" i="1"/>
  <c r="AE679" i="1"/>
  <c r="AC679" i="1"/>
  <c r="AE751" i="1"/>
  <c r="AC751" i="1"/>
  <c r="AE823" i="1"/>
  <c r="AC823" i="1"/>
  <c r="AE895" i="1"/>
  <c r="AC895" i="1"/>
  <c r="AE967" i="1"/>
  <c r="AC967" i="1"/>
  <c r="AE1039" i="1"/>
  <c r="AC1039" i="1"/>
  <c r="AE1111" i="1"/>
  <c r="AC1111" i="1"/>
  <c r="AE1183" i="1"/>
  <c r="AC1183" i="1"/>
  <c r="AE1255" i="1"/>
  <c r="AC1255" i="1"/>
  <c r="AE1327" i="1"/>
  <c r="AC1327" i="1"/>
  <c r="AE1399" i="1"/>
  <c r="AC1399" i="1"/>
  <c r="AE1471" i="1"/>
  <c r="AC1471" i="1"/>
  <c r="AE1543" i="1"/>
  <c r="AC1543" i="1"/>
  <c r="AE1615" i="1"/>
  <c r="AC1615" i="1"/>
  <c r="AE1687" i="1"/>
  <c r="AC1687" i="1"/>
  <c r="AE1759" i="1"/>
  <c r="AC1759" i="1"/>
  <c r="AE44" i="1"/>
  <c r="AC44" i="1"/>
  <c r="AE116" i="1"/>
  <c r="AC116" i="1"/>
  <c r="AE188" i="1"/>
  <c r="AC188" i="1"/>
  <c r="AE260" i="1"/>
  <c r="AC260" i="1"/>
  <c r="AE332" i="1"/>
  <c r="AC332" i="1"/>
  <c r="AE404" i="1"/>
  <c r="AC404" i="1"/>
  <c r="AE476" i="1"/>
  <c r="AC476" i="1"/>
  <c r="AE548" i="1"/>
  <c r="AC548" i="1"/>
  <c r="AE620" i="1"/>
  <c r="AC620" i="1"/>
  <c r="AE692" i="1"/>
  <c r="AC692" i="1"/>
  <c r="AE764" i="1"/>
  <c r="AC764" i="1"/>
  <c r="AE836" i="1"/>
  <c r="AC836" i="1"/>
  <c r="AE908" i="1"/>
  <c r="AC908" i="1"/>
  <c r="AE980" i="1"/>
  <c r="AC980" i="1"/>
  <c r="AE1052" i="1"/>
  <c r="AC1052" i="1"/>
  <c r="AE1124" i="1"/>
  <c r="AC1124" i="1"/>
  <c r="AE1196" i="1"/>
  <c r="AC1196" i="1"/>
  <c r="AE1268" i="1"/>
  <c r="AC1268" i="1"/>
  <c r="AE1340" i="1"/>
  <c r="AC1340" i="1"/>
  <c r="AE1412" i="1"/>
  <c r="AC1412" i="1"/>
  <c r="AE1484" i="1"/>
  <c r="AC1484" i="1"/>
  <c r="AE1556" i="1"/>
  <c r="AC1556" i="1"/>
  <c r="AE1628" i="1"/>
  <c r="AC1628" i="1"/>
  <c r="AE1700" i="1"/>
  <c r="AC1700" i="1"/>
  <c r="AE1772" i="1"/>
  <c r="AC1772" i="1"/>
  <c r="AE359" i="1"/>
  <c r="AC359" i="1"/>
  <c r="AE509" i="1"/>
  <c r="AC509" i="1"/>
  <c r="AE1265" i="1"/>
  <c r="AC1265" i="1"/>
  <c r="AE201" i="1"/>
  <c r="AC201" i="1"/>
  <c r="AE766" i="1"/>
  <c r="AC766" i="1"/>
  <c r="AE449" i="1"/>
  <c r="AC449" i="1"/>
  <c r="AE941" i="1"/>
  <c r="AC941" i="1"/>
  <c r="AE1493" i="1"/>
  <c r="AC1493" i="1"/>
  <c r="AE429" i="1"/>
  <c r="AC429" i="1"/>
  <c r="AE1006" i="1"/>
  <c r="AC1006" i="1"/>
  <c r="AJ410" i="1"/>
  <c r="AI410" i="1"/>
  <c r="AH410" i="1"/>
  <c r="AG410" i="1"/>
  <c r="AF410" i="1"/>
  <c r="AB410" i="1"/>
  <c r="AJ782" i="1"/>
  <c r="AI782" i="1"/>
  <c r="AH782" i="1"/>
  <c r="AG782" i="1"/>
  <c r="AF782" i="1"/>
  <c r="AB782" i="1"/>
  <c r="AJ1334" i="1"/>
  <c r="AI1334" i="1"/>
  <c r="AH1334" i="1"/>
  <c r="AG1334" i="1"/>
  <c r="AF1334" i="1"/>
  <c r="AB1334" i="1"/>
  <c r="AJ1742" i="1"/>
  <c r="AI1742" i="1"/>
  <c r="AH1742" i="1"/>
  <c r="AG1742" i="1"/>
  <c r="AF1742" i="1"/>
  <c r="AB1742" i="1"/>
  <c r="AJ724" i="1"/>
  <c r="AI724" i="1"/>
  <c r="AH724" i="1"/>
  <c r="AG724" i="1"/>
  <c r="AF724" i="1"/>
  <c r="AB724" i="1"/>
  <c r="AJ1444" i="1"/>
  <c r="AI1444" i="1"/>
  <c r="AH1444" i="1"/>
  <c r="AG1444" i="1"/>
  <c r="AF1444" i="1"/>
  <c r="AB1444" i="1"/>
  <c r="AJ149" i="1"/>
  <c r="AI149" i="1"/>
  <c r="AH149" i="1"/>
  <c r="AG149" i="1"/>
  <c r="AF149" i="1"/>
  <c r="AB149" i="1"/>
  <c r="AJ351" i="1"/>
  <c r="AI351" i="1"/>
  <c r="AH351" i="1"/>
  <c r="AG351" i="1"/>
  <c r="AF351" i="1"/>
  <c r="AB351" i="1"/>
  <c r="AJ711" i="1"/>
  <c r="AI711" i="1"/>
  <c r="AH711" i="1"/>
  <c r="AG711" i="1"/>
  <c r="AF711" i="1"/>
  <c r="AB711" i="1"/>
  <c r="AJ101" i="1"/>
  <c r="AI101" i="1"/>
  <c r="AH101" i="1"/>
  <c r="AG101" i="1"/>
  <c r="AF101" i="1"/>
  <c r="AB101" i="1"/>
  <c r="AJ1109" i="1"/>
  <c r="AI1109" i="1"/>
  <c r="AH1109" i="1"/>
  <c r="AG1109" i="1"/>
  <c r="AF1109" i="1"/>
  <c r="AB1109" i="1"/>
  <c r="AJ67" i="1"/>
  <c r="AI67" i="1"/>
  <c r="AH67" i="1"/>
  <c r="AG67" i="1"/>
  <c r="AF67" i="1"/>
  <c r="AB67" i="1"/>
  <c r="AJ379" i="1"/>
  <c r="AI379" i="1"/>
  <c r="AH379" i="1"/>
  <c r="AG379" i="1"/>
  <c r="AF379" i="1"/>
  <c r="AB379" i="1"/>
  <c r="AJ715" i="1"/>
  <c r="AI715" i="1"/>
  <c r="AH715" i="1"/>
  <c r="AF715" i="1"/>
  <c r="AG715" i="1"/>
  <c r="AB715" i="1"/>
  <c r="AJ117" i="1"/>
  <c r="AI117" i="1"/>
  <c r="AH117" i="1"/>
  <c r="AF117" i="1"/>
  <c r="AG117" i="1"/>
  <c r="AB117" i="1"/>
  <c r="AJ1057" i="1"/>
  <c r="AI1057" i="1"/>
  <c r="AH1057" i="1"/>
  <c r="AG1057" i="1"/>
  <c r="AF1057" i="1"/>
  <c r="AB1057" i="1"/>
  <c r="AJ1345" i="1"/>
  <c r="AI1345" i="1"/>
  <c r="AH1345" i="1"/>
  <c r="AG1345" i="1"/>
  <c r="AF1345" i="1"/>
  <c r="AB1345" i="1"/>
  <c r="AJ1258" i="1"/>
  <c r="AI1258" i="1"/>
  <c r="AH1258" i="1"/>
  <c r="AG1258" i="1"/>
  <c r="AF1258" i="1"/>
  <c r="AB1258" i="1"/>
  <c r="AJ1358" i="1"/>
  <c r="AI1358" i="1"/>
  <c r="AH1358" i="1"/>
  <c r="AG1358" i="1"/>
  <c r="AF1358" i="1"/>
  <c r="AB1358" i="1"/>
  <c r="AJ906" i="1"/>
  <c r="AI906" i="1"/>
  <c r="AH906" i="1"/>
  <c r="AG906" i="1"/>
  <c r="AF906" i="1"/>
  <c r="AB906" i="1"/>
  <c r="AJ1569" i="1"/>
  <c r="AI1569" i="1"/>
  <c r="AH1569" i="1"/>
  <c r="AG1569" i="1"/>
  <c r="AF1569" i="1"/>
  <c r="AB1569" i="1"/>
  <c r="AJ1763" i="1"/>
  <c r="AI1763" i="1"/>
  <c r="AH1763" i="1"/>
  <c r="AG1763" i="1"/>
  <c r="AF1763" i="1"/>
  <c r="AB1763" i="1"/>
  <c r="AJ378" i="1"/>
  <c r="AI378" i="1"/>
  <c r="AH378" i="1"/>
  <c r="AG378" i="1"/>
  <c r="AF378" i="1"/>
  <c r="AB378" i="1"/>
  <c r="AJ1674" i="1"/>
  <c r="AI1674" i="1"/>
  <c r="AH1674" i="1"/>
  <c r="AG1674" i="1"/>
  <c r="AF1674" i="1"/>
  <c r="AB1674" i="1"/>
  <c r="AJ1210" i="1"/>
  <c r="AI1210" i="1"/>
  <c r="AH1210" i="1"/>
  <c r="AG1210" i="1"/>
  <c r="AF1210" i="1"/>
  <c r="AB1210" i="1"/>
  <c r="AJ174" i="1"/>
  <c r="AI174" i="1"/>
  <c r="AH174" i="1"/>
  <c r="AG174" i="1"/>
  <c r="AF174" i="1"/>
  <c r="AB174" i="1"/>
  <c r="AJ1098" i="1"/>
  <c r="AI1098" i="1"/>
  <c r="AH1098" i="1"/>
  <c r="AG1098" i="1"/>
  <c r="AF1098" i="1"/>
  <c r="AB1098" i="1"/>
  <c r="AJ657" i="1"/>
  <c r="AI657" i="1"/>
  <c r="AH657" i="1"/>
  <c r="AF657" i="1"/>
  <c r="AG657" i="1"/>
  <c r="AB657" i="1"/>
  <c r="AJ71" i="1"/>
  <c r="AI71" i="1"/>
  <c r="AH71" i="1"/>
  <c r="AG71" i="1"/>
  <c r="AF71" i="1"/>
  <c r="AB71" i="1"/>
  <c r="AJ1187" i="1"/>
  <c r="AI1187" i="1"/>
  <c r="AH1187" i="1"/>
  <c r="AG1187" i="1"/>
  <c r="AF1187" i="1"/>
  <c r="AB1187" i="1"/>
  <c r="AJ306" i="1"/>
  <c r="AI306" i="1"/>
  <c r="AH306" i="1"/>
  <c r="AG306" i="1"/>
  <c r="AF306" i="1"/>
  <c r="AB306" i="1"/>
  <c r="AJ1578" i="1"/>
  <c r="AI1578" i="1"/>
  <c r="AH1578" i="1"/>
  <c r="AG1578" i="1"/>
  <c r="AF1578" i="1"/>
  <c r="AB1578" i="1"/>
  <c r="AJ240" i="1"/>
  <c r="AI240" i="1"/>
  <c r="AH240" i="1"/>
  <c r="AG240" i="1"/>
  <c r="AF240" i="1"/>
  <c r="AB240" i="1"/>
  <c r="AJ227" i="1"/>
  <c r="AI227" i="1"/>
  <c r="AH227" i="1"/>
  <c r="AG227" i="1"/>
  <c r="AF227" i="1"/>
  <c r="AB227" i="1"/>
  <c r="AJ552" i="1"/>
  <c r="AI552" i="1"/>
  <c r="AH552" i="1"/>
  <c r="AG552" i="1"/>
  <c r="AF552" i="1"/>
  <c r="AB552" i="1"/>
  <c r="AJ596" i="1"/>
  <c r="AI596" i="1"/>
  <c r="AH596" i="1"/>
  <c r="AG596" i="1"/>
  <c r="AF596" i="1"/>
  <c r="AB596" i="1"/>
  <c r="AJ884" i="1"/>
  <c r="AI884" i="1"/>
  <c r="AH884" i="1"/>
  <c r="AG884" i="1"/>
  <c r="AF884" i="1"/>
  <c r="AB884" i="1"/>
  <c r="AJ1748" i="1"/>
  <c r="AI1748" i="1"/>
  <c r="AH1748" i="1"/>
  <c r="AG1748" i="1"/>
  <c r="AF1748" i="1"/>
  <c r="AB1748" i="1"/>
  <c r="AJ1102" i="1"/>
  <c r="AI1102" i="1"/>
  <c r="AH1102" i="1"/>
  <c r="AG1102" i="1"/>
  <c r="AF1102" i="1"/>
  <c r="AB1102" i="1"/>
  <c r="AJ720" i="1"/>
  <c r="AI720" i="1"/>
  <c r="AH720" i="1"/>
  <c r="AG720" i="1"/>
  <c r="AF720" i="1"/>
  <c r="AB720" i="1"/>
  <c r="AJ93" i="1"/>
  <c r="AI93" i="1"/>
  <c r="AH93" i="1"/>
  <c r="AG93" i="1"/>
  <c r="AF93" i="1"/>
  <c r="AB93" i="1"/>
  <c r="AE15" i="1"/>
  <c r="AC15" i="1"/>
  <c r="AE675" i="1"/>
  <c r="AC675" i="1"/>
  <c r="AE1034" i="1"/>
  <c r="AC1034" i="1"/>
  <c r="AE1226" i="1"/>
  <c r="AC1226" i="1"/>
  <c r="AE1013" i="1"/>
  <c r="AC1013" i="1"/>
  <c r="AE1757" i="1"/>
  <c r="AC1757" i="1"/>
  <c r="AE129" i="1"/>
  <c r="AC129" i="1"/>
  <c r="AE489" i="1"/>
  <c r="AC489" i="1"/>
  <c r="AE250" i="1"/>
  <c r="AC250" i="1"/>
  <c r="AE646" i="1"/>
  <c r="AC646" i="1"/>
  <c r="AE119" i="1"/>
  <c r="AC119" i="1"/>
  <c r="AE395" i="1"/>
  <c r="AC395" i="1"/>
  <c r="AE749" i="1"/>
  <c r="AC749" i="1"/>
  <c r="AE405" i="1"/>
  <c r="AC405" i="1"/>
  <c r="AE497" i="1"/>
  <c r="AC497" i="1"/>
  <c r="AE1505" i="1"/>
  <c r="AC1505" i="1"/>
  <c r="AE1042" i="1"/>
  <c r="AC1042" i="1"/>
  <c r="AJ14" i="1"/>
  <c r="AI14" i="1"/>
  <c r="AH14" i="1"/>
  <c r="AG14" i="1"/>
  <c r="AF14" i="1"/>
  <c r="AB14" i="1"/>
  <c r="AJ170" i="1"/>
  <c r="AI170" i="1"/>
  <c r="AH170" i="1"/>
  <c r="AG170" i="1"/>
  <c r="AF170" i="1"/>
  <c r="AB170" i="1"/>
  <c r="AJ338" i="1"/>
  <c r="AI338" i="1"/>
  <c r="AH338" i="1"/>
  <c r="AG338" i="1"/>
  <c r="AF338" i="1"/>
  <c r="AB338" i="1"/>
  <c r="AJ506" i="1"/>
  <c r="AI506" i="1"/>
  <c r="AH506" i="1"/>
  <c r="AG506" i="1"/>
  <c r="AF506" i="1"/>
  <c r="AB506" i="1"/>
  <c r="AJ602" i="1"/>
  <c r="AI602" i="1"/>
  <c r="AH602" i="1"/>
  <c r="AG602" i="1"/>
  <c r="AF602" i="1"/>
  <c r="AB602" i="1"/>
  <c r="Z782" i="1"/>
  <c r="AD782" i="1"/>
  <c r="Z878" i="1"/>
  <c r="AD878" i="1"/>
  <c r="AJ974" i="1"/>
  <c r="AI974" i="1"/>
  <c r="AG974" i="1"/>
  <c r="AH974" i="1"/>
  <c r="AF974" i="1"/>
  <c r="AB974" i="1"/>
  <c r="AJ1154" i="1"/>
  <c r="AI1154" i="1"/>
  <c r="AH1154" i="1"/>
  <c r="AG1154" i="1"/>
  <c r="AF1154" i="1"/>
  <c r="AB1154" i="1"/>
  <c r="AJ1250" i="1"/>
  <c r="AI1250" i="1"/>
  <c r="AH1250" i="1"/>
  <c r="AG1250" i="1"/>
  <c r="AF1250" i="1"/>
  <c r="AB1250" i="1"/>
  <c r="AJ1346" i="1"/>
  <c r="AI1346" i="1"/>
  <c r="AH1346" i="1"/>
  <c r="AG1346" i="1"/>
  <c r="AF1346" i="1"/>
  <c r="AB1346" i="1"/>
  <c r="AJ1442" i="1"/>
  <c r="AI1442" i="1"/>
  <c r="AH1442" i="1"/>
  <c r="AG1442" i="1"/>
  <c r="AF1442" i="1"/>
  <c r="AB1442" i="1"/>
  <c r="AJ1538" i="1"/>
  <c r="AI1538" i="1"/>
  <c r="AH1538" i="1"/>
  <c r="AG1538" i="1"/>
  <c r="AF1538" i="1"/>
  <c r="AB1538" i="1"/>
  <c r="AJ40" i="1"/>
  <c r="AI40" i="1"/>
  <c r="AH40" i="1"/>
  <c r="AG40" i="1"/>
  <c r="AF40" i="1"/>
  <c r="AB40" i="1"/>
  <c r="AJ112" i="1"/>
  <c r="AI112" i="1"/>
  <c r="AH112" i="1"/>
  <c r="AG112" i="1"/>
  <c r="AF112" i="1"/>
  <c r="AB112" i="1"/>
  <c r="Z184" i="1"/>
  <c r="AD184" i="1"/>
  <c r="AJ340" i="1"/>
  <c r="AI340" i="1"/>
  <c r="AH340" i="1"/>
  <c r="AG340" i="1"/>
  <c r="AF340" i="1"/>
  <c r="AB340" i="1"/>
  <c r="AJ412" i="1"/>
  <c r="AI412" i="1"/>
  <c r="AH412" i="1"/>
  <c r="AG412" i="1"/>
  <c r="AF412" i="1"/>
  <c r="AB412" i="1"/>
  <c r="AJ496" i="1"/>
  <c r="AI496" i="1"/>
  <c r="AH496" i="1"/>
  <c r="AG496" i="1"/>
  <c r="AF496" i="1"/>
  <c r="AB496" i="1"/>
  <c r="Z568" i="1"/>
  <c r="AD568" i="1"/>
  <c r="Z652" i="1"/>
  <c r="AD652" i="1"/>
  <c r="Z724" i="1"/>
  <c r="AD724" i="1"/>
  <c r="AJ880" i="1"/>
  <c r="AI880" i="1"/>
  <c r="AH880" i="1"/>
  <c r="AG880" i="1"/>
  <c r="AF880" i="1"/>
  <c r="AB880" i="1"/>
  <c r="Z952" i="1"/>
  <c r="AD952" i="1"/>
  <c r="AJ1048" i="1"/>
  <c r="AI1048" i="1"/>
  <c r="AG1048" i="1"/>
  <c r="AH1048" i="1"/>
  <c r="AF1048" i="1"/>
  <c r="AB1048" i="1"/>
  <c r="AJ1132" i="1"/>
  <c r="AI1132" i="1"/>
  <c r="AH1132" i="1"/>
  <c r="AG1132" i="1"/>
  <c r="AF1132" i="1"/>
  <c r="AB1132" i="1"/>
  <c r="AJ1240" i="1"/>
  <c r="AI1240" i="1"/>
  <c r="AH1240" i="1"/>
  <c r="AG1240" i="1"/>
  <c r="AF1240" i="1"/>
  <c r="AB1240" i="1"/>
  <c r="AJ1348" i="1"/>
  <c r="AI1348" i="1"/>
  <c r="AH1348" i="1"/>
  <c r="AG1348" i="1"/>
  <c r="AF1348" i="1"/>
  <c r="AB1348" i="1"/>
  <c r="AJ1552" i="1"/>
  <c r="AI1552" i="1"/>
  <c r="AH1552" i="1"/>
  <c r="AG1552" i="1"/>
  <c r="AF1552" i="1"/>
  <c r="AB1552" i="1"/>
  <c r="AJ1696" i="1"/>
  <c r="AI1696" i="1"/>
  <c r="AH1696" i="1"/>
  <c r="AG1696" i="1"/>
  <c r="AF1696" i="1"/>
  <c r="AB1696" i="1"/>
  <c r="AJ929" i="1"/>
  <c r="AI929" i="1"/>
  <c r="AH929" i="1"/>
  <c r="AG929" i="1"/>
  <c r="AF929" i="1"/>
  <c r="AB929" i="1"/>
  <c r="Z1241" i="1"/>
  <c r="AD1241" i="1"/>
  <c r="AJ723" i="1"/>
  <c r="AI723" i="1"/>
  <c r="AH723" i="1"/>
  <c r="AG723" i="1"/>
  <c r="AF723" i="1"/>
  <c r="AB723" i="1"/>
  <c r="AJ795" i="1"/>
  <c r="AI795" i="1"/>
  <c r="AH795" i="1"/>
  <c r="AG795" i="1"/>
  <c r="AF795" i="1"/>
  <c r="AB795" i="1"/>
  <c r="AJ999" i="1"/>
  <c r="AI999" i="1"/>
  <c r="AH999" i="1"/>
  <c r="AG999" i="1"/>
  <c r="AF999" i="1"/>
  <c r="AB999" i="1"/>
  <c r="AJ1095" i="1"/>
  <c r="AI1095" i="1"/>
  <c r="AH1095" i="1"/>
  <c r="AG1095" i="1"/>
  <c r="AF1095" i="1"/>
  <c r="AB1095" i="1"/>
  <c r="AJ1167" i="1"/>
  <c r="AI1167" i="1"/>
  <c r="AH1167" i="1"/>
  <c r="AG1167" i="1"/>
  <c r="AF1167" i="1"/>
  <c r="AB1167" i="1"/>
  <c r="AJ1323" i="1"/>
  <c r="AI1323" i="1"/>
  <c r="AH1323" i="1"/>
  <c r="AG1323" i="1"/>
  <c r="AF1323" i="1"/>
  <c r="AB1323" i="1"/>
  <c r="AJ1419" i="1"/>
  <c r="AI1419" i="1"/>
  <c r="AH1419" i="1"/>
  <c r="AG1419" i="1"/>
  <c r="AF1419" i="1"/>
  <c r="AB1419" i="1"/>
  <c r="AJ1491" i="1"/>
  <c r="AI1491" i="1"/>
  <c r="AH1491" i="1"/>
  <c r="AG1491" i="1"/>
  <c r="AF1491" i="1"/>
  <c r="AB1491" i="1"/>
  <c r="Z1563" i="1"/>
  <c r="AD1563" i="1"/>
  <c r="AJ1719" i="1"/>
  <c r="AI1719" i="1"/>
  <c r="AH1719" i="1"/>
  <c r="AG1719" i="1"/>
  <c r="AF1719" i="1"/>
  <c r="AB1719" i="1"/>
  <c r="Z857" i="1"/>
  <c r="AD857" i="1"/>
  <c r="AJ1409" i="1"/>
  <c r="AI1409" i="1"/>
  <c r="AH1409" i="1"/>
  <c r="AG1409" i="1"/>
  <c r="AF1409" i="1"/>
  <c r="AB1409" i="1"/>
  <c r="Z1492" i="1"/>
  <c r="AD1492" i="1"/>
  <c r="AJ1061" i="1"/>
  <c r="AI1061" i="1"/>
  <c r="AH1061" i="1"/>
  <c r="AG1061" i="1"/>
  <c r="AF1061" i="1"/>
  <c r="AB1061" i="1"/>
  <c r="Z893" i="1"/>
  <c r="AD893" i="1"/>
  <c r="Z1255" i="1"/>
  <c r="AD1255" i="1"/>
  <c r="AJ151" i="1"/>
  <c r="AI151" i="1"/>
  <c r="AH151" i="1"/>
  <c r="AG151" i="1"/>
  <c r="AF151" i="1"/>
  <c r="AB151" i="1"/>
  <c r="AJ307" i="1"/>
  <c r="AI307" i="1"/>
  <c r="AH307" i="1"/>
  <c r="AG307" i="1"/>
  <c r="AF307" i="1"/>
  <c r="AB307" i="1"/>
  <c r="Z379" i="1"/>
  <c r="AD379" i="1"/>
  <c r="AJ727" i="1"/>
  <c r="AI727" i="1"/>
  <c r="AH727" i="1"/>
  <c r="AG727" i="1"/>
  <c r="AF727" i="1"/>
  <c r="AB727" i="1"/>
  <c r="AJ835" i="1"/>
  <c r="AI835" i="1"/>
  <c r="AH835" i="1"/>
  <c r="AG835" i="1"/>
  <c r="AF835" i="1"/>
  <c r="AB835" i="1"/>
  <c r="AJ1003" i="1"/>
  <c r="AI1003" i="1"/>
  <c r="AH1003" i="1"/>
  <c r="AF1003" i="1"/>
  <c r="AG1003" i="1"/>
  <c r="AB1003" i="1"/>
  <c r="AJ1075" i="1"/>
  <c r="AI1075" i="1"/>
  <c r="AH1075" i="1"/>
  <c r="AG1075" i="1"/>
  <c r="AF1075" i="1"/>
  <c r="AB1075" i="1"/>
  <c r="AJ1363" i="1"/>
  <c r="AI1363" i="1"/>
  <c r="AH1363" i="1"/>
  <c r="AG1363" i="1"/>
  <c r="AF1363" i="1"/>
  <c r="AB1363" i="1"/>
  <c r="AJ1543" i="1"/>
  <c r="AI1543" i="1"/>
  <c r="AH1543" i="1"/>
  <c r="AG1543" i="1"/>
  <c r="AF1543" i="1"/>
  <c r="AB1543" i="1"/>
  <c r="AJ1627" i="1"/>
  <c r="AI1627" i="1"/>
  <c r="AH1627" i="1"/>
  <c r="AG1627" i="1"/>
  <c r="AF1627" i="1"/>
  <c r="AB1627" i="1"/>
  <c r="AJ1735" i="1"/>
  <c r="AI1735" i="1"/>
  <c r="AH1735" i="1"/>
  <c r="AG1735" i="1"/>
  <c r="AF1735" i="1"/>
  <c r="AB1735" i="1"/>
  <c r="AJ68" i="1"/>
  <c r="AI68" i="1"/>
  <c r="AH68" i="1"/>
  <c r="AG68" i="1"/>
  <c r="AF68" i="1"/>
  <c r="AB68" i="1"/>
  <c r="AJ260" i="1"/>
  <c r="AI260" i="1"/>
  <c r="AH260" i="1"/>
  <c r="AF260" i="1"/>
  <c r="AG260" i="1"/>
  <c r="AB260" i="1"/>
  <c r="AJ368" i="1"/>
  <c r="AI368" i="1"/>
  <c r="AH368" i="1"/>
  <c r="AG368" i="1"/>
  <c r="AF368" i="1"/>
  <c r="AB368" i="1"/>
  <c r="AJ1565" i="1"/>
  <c r="AI1565" i="1"/>
  <c r="AH1565" i="1"/>
  <c r="AG1565" i="1"/>
  <c r="AF1565" i="1"/>
  <c r="AB1565" i="1"/>
  <c r="AJ272" i="1"/>
  <c r="AI272" i="1"/>
  <c r="AH272" i="1"/>
  <c r="AG272" i="1"/>
  <c r="AF272" i="1"/>
  <c r="AB272" i="1"/>
  <c r="AJ500" i="1"/>
  <c r="AI500" i="1"/>
  <c r="AH500" i="1"/>
  <c r="AG500" i="1"/>
  <c r="AF500" i="1"/>
  <c r="AB500" i="1"/>
  <c r="Z93" i="1"/>
  <c r="AD93" i="1"/>
  <c r="AJ417" i="1"/>
  <c r="AI417" i="1"/>
  <c r="AH417" i="1"/>
  <c r="AG417" i="1"/>
  <c r="AF417" i="1"/>
  <c r="AB417" i="1"/>
  <c r="AJ49" i="1"/>
  <c r="AI49" i="1"/>
  <c r="AH49" i="1"/>
  <c r="AG49" i="1"/>
  <c r="AF49" i="1"/>
  <c r="AB49" i="1"/>
  <c r="AJ121" i="1"/>
  <c r="AI121" i="1"/>
  <c r="AH121" i="1"/>
  <c r="AG121" i="1"/>
  <c r="AF121" i="1"/>
  <c r="AB121" i="1"/>
  <c r="AJ193" i="1"/>
  <c r="AI193" i="1"/>
  <c r="AH193" i="1"/>
  <c r="AG193" i="1"/>
  <c r="AF193" i="1"/>
  <c r="AB193" i="1"/>
  <c r="AJ265" i="1"/>
  <c r="AI265" i="1"/>
  <c r="AH265" i="1"/>
  <c r="AG265" i="1"/>
  <c r="AF265" i="1"/>
  <c r="AB265" i="1"/>
  <c r="AJ337" i="1"/>
  <c r="AI337" i="1"/>
  <c r="AH337" i="1"/>
  <c r="AG337" i="1"/>
  <c r="AF337" i="1"/>
  <c r="AB337" i="1"/>
  <c r="AJ409" i="1"/>
  <c r="AI409" i="1"/>
  <c r="AH409" i="1"/>
  <c r="AG409" i="1"/>
  <c r="AF409" i="1"/>
  <c r="AB409" i="1"/>
  <c r="AJ481" i="1"/>
  <c r="AI481" i="1"/>
  <c r="AG481" i="1"/>
  <c r="AH481" i="1"/>
  <c r="AF481" i="1"/>
  <c r="AB481" i="1"/>
  <c r="AJ553" i="1"/>
  <c r="AI553" i="1"/>
  <c r="AH553" i="1"/>
  <c r="AG553" i="1"/>
  <c r="AF553" i="1"/>
  <c r="AB553" i="1"/>
  <c r="Z625" i="1"/>
  <c r="AD625" i="1"/>
  <c r="AJ769" i="1"/>
  <c r="AI769" i="1"/>
  <c r="AH769" i="1"/>
  <c r="AG769" i="1"/>
  <c r="AF769" i="1"/>
  <c r="AB769" i="1"/>
  <c r="AJ841" i="1"/>
  <c r="AI841" i="1"/>
  <c r="AH841" i="1"/>
  <c r="AG841" i="1"/>
  <c r="AF841" i="1"/>
  <c r="AB841" i="1"/>
  <c r="Z913" i="1"/>
  <c r="AD913" i="1"/>
  <c r="AJ985" i="1"/>
  <c r="AI985" i="1"/>
  <c r="AH985" i="1"/>
  <c r="AG985" i="1"/>
  <c r="AF985" i="1"/>
  <c r="AB985" i="1"/>
  <c r="Z1057" i="1"/>
  <c r="AD1057" i="1"/>
  <c r="AJ1129" i="1"/>
  <c r="AI1129" i="1"/>
  <c r="AH1129" i="1"/>
  <c r="AG1129" i="1"/>
  <c r="AF1129" i="1"/>
  <c r="AB1129" i="1"/>
  <c r="Z1201" i="1"/>
  <c r="AD1201" i="1"/>
  <c r="AJ1273" i="1"/>
  <c r="AI1273" i="1"/>
  <c r="AH1273" i="1"/>
  <c r="AG1273" i="1"/>
  <c r="AF1273" i="1"/>
  <c r="AB1273" i="1"/>
  <c r="Z1345" i="1"/>
  <c r="AD1345" i="1"/>
  <c r="AJ1417" i="1"/>
  <c r="AI1417" i="1"/>
  <c r="AH1417" i="1"/>
  <c r="AG1417" i="1"/>
  <c r="AF1417" i="1"/>
  <c r="AB1417" i="1"/>
  <c r="AJ1561" i="1"/>
  <c r="AI1561" i="1"/>
  <c r="AH1561" i="1"/>
  <c r="AG1561" i="1"/>
  <c r="AF1561" i="1"/>
  <c r="AB1561" i="1"/>
  <c r="AJ1633" i="1"/>
  <c r="AI1633" i="1"/>
  <c r="AH1633" i="1"/>
  <c r="AG1633" i="1"/>
  <c r="AF1633" i="1"/>
  <c r="AB1633" i="1"/>
  <c r="AJ1705" i="1"/>
  <c r="AI1705" i="1"/>
  <c r="AG1705" i="1"/>
  <c r="AH1705" i="1"/>
  <c r="AF1705" i="1"/>
  <c r="AB1705" i="1"/>
  <c r="AJ1777" i="1"/>
  <c r="AI1777" i="1"/>
  <c r="AH1777" i="1"/>
  <c r="AG1777" i="1"/>
  <c r="AF1777" i="1"/>
  <c r="AB1777" i="1"/>
  <c r="AJ1638" i="1"/>
  <c r="AI1638" i="1"/>
  <c r="AH1638" i="1"/>
  <c r="AG1638" i="1"/>
  <c r="AF1638" i="1"/>
  <c r="AB1638" i="1"/>
  <c r="AJ537" i="1"/>
  <c r="AI537" i="1"/>
  <c r="AH537" i="1"/>
  <c r="AF537" i="1"/>
  <c r="AG537" i="1"/>
  <c r="AB537" i="1"/>
  <c r="AJ741" i="1"/>
  <c r="AI741" i="1"/>
  <c r="AH741" i="1"/>
  <c r="AG741" i="1"/>
  <c r="AF741" i="1"/>
  <c r="AB741" i="1"/>
  <c r="AJ933" i="1"/>
  <c r="AI933" i="1"/>
  <c r="AH933" i="1"/>
  <c r="AF933" i="1"/>
  <c r="AG933" i="1"/>
  <c r="AB933" i="1"/>
  <c r="AJ1233" i="1"/>
  <c r="AI1233" i="1"/>
  <c r="AH1233" i="1"/>
  <c r="AG1233" i="1"/>
  <c r="AF1233" i="1"/>
  <c r="AB1233" i="1"/>
  <c r="AJ1545" i="1"/>
  <c r="AI1545" i="1"/>
  <c r="AH1545" i="1"/>
  <c r="AG1545" i="1"/>
  <c r="AF1545" i="1"/>
  <c r="AB1545" i="1"/>
  <c r="AJ10" i="1"/>
  <c r="AI10" i="1"/>
  <c r="AH10" i="1"/>
  <c r="AG10" i="1"/>
  <c r="AF10" i="1"/>
  <c r="AB10" i="1"/>
  <c r="AJ226" i="1"/>
  <c r="AI226" i="1"/>
  <c r="AH226" i="1"/>
  <c r="AG226" i="1"/>
  <c r="AF226" i="1"/>
  <c r="AB226" i="1"/>
  <c r="AJ442" i="1"/>
  <c r="AI442" i="1"/>
  <c r="AH442" i="1"/>
  <c r="AG442" i="1"/>
  <c r="AF442" i="1"/>
  <c r="AB442" i="1"/>
  <c r="AJ610" i="1"/>
  <c r="AI610" i="1"/>
  <c r="AH610" i="1"/>
  <c r="AG610" i="1"/>
  <c r="AF610" i="1"/>
  <c r="AB610" i="1"/>
  <c r="AJ814" i="1"/>
  <c r="AI814" i="1"/>
  <c r="AH814" i="1"/>
  <c r="AG814" i="1"/>
  <c r="AF814" i="1"/>
  <c r="AB814" i="1"/>
  <c r="AJ958" i="1"/>
  <c r="AI958" i="1"/>
  <c r="AH958" i="1"/>
  <c r="AG958" i="1"/>
  <c r="AF958" i="1"/>
  <c r="AB958" i="1"/>
  <c r="AJ1126" i="1"/>
  <c r="AI1126" i="1"/>
  <c r="AH1126" i="1"/>
  <c r="AG1126" i="1"/>
  <c r="AF1126" i="1"/>
  <c r="AB1126" i="1"/>
  <c r="Z1258" i="1"/>
  <c r="AD1258" i="1"/>
  <c r="AJ1462" i="1"/>
  <c r="AI1462" i="1"/>
  <c r="AH1462" i="1"/>
  <c r="AG1462" i="1"/>
  <c r="AF1462" i="1"/>
  <c r="AB1462" i="1"/>
  <c r="AJ1642" i="1"/>
  <c r="AI1642" i="1"/>
  <c r="AH1642" i="1"/>
  <c r="AG1642" i="1"/>
  <c r="AF1642" i="1"/>
  <c r="AB1642" i="1"/>
  <c r="AJ626" i="1"/>
  <c r="AI626" i="1"/>
  <c r="AH626" i="1"/>
  <c r="AG626" i="1"/>
  <c r="AF626" i="1"/>
  <c r="AB626" i="1"/>
  <c r="AJ1266" i="1"/>
  <c r="AI1266" i="1"/>
  <c r="AH1266" i="1"/>
  <c r="AG1266" i="1"/>
  <c r="AF1266" i="1"/>
  <c r="AB1266" i="1"/>
  <c r="AJ12" i="1"/>
  <c r="AI12" i="1"/>
  <c r="AH12" i="1"/>
  <c r="AG12" i="1"/>
  <c r="AF12" i="1"/>
  <c r="AB12" i="1"/>
  <c r="AJ1318" i="1"/>
  <c r="AI1318" i="1"/>
  <c r="AH1318" i="1"/>
  <c r="AG1318" i="1"/>
  <c r="AF1318" i="1"/>
  <c r="AB1318" i="1"/>
  <c r="AJ492" i="1"/>
  <c r="AI492" i="1"/>
  <c r="AH492" i="1"/>
  <c r="AG492" i="1"/>
  <c r="AF492" i="1"/>
  <c r="AB492" i="1"/>
  <c r="AJ222" i="1"/>
  <c r="AI222" i="1"/>
  <c r="AH222" i="1"/>
  <c r="AG222" i="1"/>
  <c r="AF222" i="1"/>
  <c r="AB222" i="1"/>
  <c r="AJ426" i="1"/>
  <c r="AI426" i="1"/>
  <c r="AH426" i="1"/>
  <c r="AG426" i="1"/>
  <c r="AF426" i="1"/>
  <c r="AB426" i="1"/>
  <c r="AJ525" i="1"/>
  <c r="AI525" i="1"/>
  <c r="AH525" i="1"/>
  <c r="AG525" i="1"/>
  <c r="AF525" i="1"/>
  <c r="AB525" i="1"/>
  <c r="AJ1161" i="1"/>
  <c r="AI1161" i="1"/>
  <c r="AH1161" i="1"/>
  <c r="AG1161" i="1"/>
  <c r="AF1161" i="1"/>
  <c r="AB1161" i="1"/>
  <c r="AJ1290" i="1"/>
  <c r="AI1290" i="1"/>
  <c r="AH1290" i="1"/>
  <c r="AG1290" i="1"/>
  <c r="AF1290" i="1"/>
  <c r="AB1290" i="1"/>
  <c r="AJ1650" i="1"/>
  <c r="AI1650" i="1"/>
  <c r="AH1650" i="1"/>
  <c r="AG1650" i="1"/>
  <c r="AF1650" i="1"/>
  <c r="AB1650" i="1"/>
  <c r="AJ1519" i="1"/>
  <c r="AI1519" i="1"/>
  <c r="AH1519" i="1"/>
  <c r="AG1519" i="1"/>
  <c r="AF1519" i="1"/>
  <c r="AB1519" i="1"/>
  <c r="AJ668" i="1"/>
  <c r="AI668" i="1"/>
  <c r="AH668" i="1"/>
  <c r="AG668" i="1"/>
  <c r="AF668" i="1"/>
  <c r="AB668" i="1"/>
  <c r="AJ740" i="1"/>
  <c r="AI740" i="1"/>
  <c r="AH740" i="1"/>
  <c r="AG740" i="1"/>
  <c r="AF740" i="1"/>
  <c r="AB740" i="1"/>
  <c r="AJ812" i="1"/>
  <c r="AI812" i="1"/>
  <c r="AH812" i="1"/>
  <c r="AG812" i="1"/>
  <c r="AF812" i="1"/>
  <c r="AB812" i="1"/>
  <c r="AJ956" i="1"/>
  <c r="AI956" i="1"/>
  <c r="AH956" i="1"/>
  <c r="AG956" i="1"/>
  <c r="AF956" i="1"/>
  <c r="AB956" i="1"/>
  <c r="AJ1028" i="1"/>
  <c r="AI1028" i="1"/>
  <c r="AH1028" i="1"/>
  <c r="AG1028" i="1"/>
  <c r="AF1028" i="1"/>
  <c r="AB1028" i="1"/>
  <c r="AJ1100" i="1"/>
  <c r="AI1100" i="1"/>
  <c r="AH1100" i="1"/>
  <c r="AG1100" i="1"/>
  <c r="AF1100" i="1"/>
  <c r="AB1100" i="1"/>
  <c r="AJ1172" i="1"/>
  <c r="AI1172" i="1"/>
  <c r="AH1172" i="1"/>
  <c r="AG1172" i="1"/>
  <c r="AF1172" i="1"/>
  <c r="AB1172" i="1"/>
  <c r="AJ1244" i="1"/>
  <c r="AI1244" i="1"/>
  <c r="AH1244" i="1"/>
  <c r="AG1244" i="1"/>
  <c r="AF1244" i="1"/>
  <c r="AB1244" i="1"/>
  <c r="AJ1316" i="1"/>
  <c r="AI1316" i="1"/>
  <c r="AH1316" i="1"/>
  <c r="AG1316" i="1"/>
  <c r="AF1316" i="1"/>
  <c r="AB1316" i="1"/>
  <c r="AJ1388" i="1"/>
  <c r="AI1388" i="1"/>
  <c r="AH1388" i="1"/>
  <c r="AG1388" i="1"/>
  <c r="AF1388" i="1"/>
  <c r="AB1388" i="1"/>
  <c r="Z1460" i="1"/>
  <c r="AD1460" i="1"/>
  <c r="AJ1532" i="1"/>
  <c r="AI1532" i="1"/>
  <c r="AH1532" i="1"/>
  <c r="AG1532" i="1"/>
  <c r="AF1532" i="1"/>
  <c r="AB1532" i="1"/>
  <c r="AJ1604" i="1"/>
  <c r="AI1604" i="1"/>
  <c r="AH1604" i="1"/>
  <c r="AG1604" i="1"/>
  <c r="AF1604" i="1"/>
  <c r="AB1604" i="1"/>
  <c r="AJ1676" i="1"/>
  <c r="AI1676" i="1"/>
  <c r="AH1676" i="1"/>
  <c r="AG1676" i="1"/>
  <c r="AF1676" i="1"/>
  <c r="AB1676" i="1"/>
  <c r="Z1748" i="1"/>
  <c r="AD1748" i="1"/>
  <c r="AJ849" i="1"/>
  <c r="AI849" i="1"/>
  <c r="AH849" i="1"/>
  <c r="AG849" i="1"/>
  <c r="AF849" i="1"/>
  <c r="AB849" i="1"/>
  <c r="AJ1449" i="1"/>
  <c r="AI1449" i="1"/>
  <c r="AH1449" i="1"/>
  <c r="AG1449" i="1"/>
  <c r="AF1449" i="1"/>
  <c r="AB1449" i="1"/>
  <c r="AJ286" i="1"/>
  <c r="AI286" i="1"/>
  <c r="AH286" i="1"/>
  <c r="AG286" i="1"/>
  <c r="AF286" i="1"/>
  <c r="AB286" i="1"/>
  <c r="Z1102" i="1"/>
  <c r="AD1102" i="1"/>
  <c r="AJ515" i="1"/>
  <c r="AI515" i="1"/>
  <c r="AH515" i="1"/>
  <c r="AG515" i="1"/>
  <c r="AF515" i="1"/>
  <c r="AB515" i="1"/>
  <c r="AJ959" i="1"/>
  <c r="AI959" i="1"/>
  <c r="AH959" i="1"/>
  <c r="AG959" i="1"/>
  <c r="AF959" i="1"/>
  <c r="AB959" i="1"/>
  <c r="AJ1487" i="1"/>
  <c r="AI1487" i="1"/>
  <c r="AH1487" i="1"/>
  <c r="AG1487" i="1"/>
  <c r="AF1487" i="1"/>
  <c r="AB1487" i="1"/>
  <c r="AJ324" i="1"/>
  <c r="AI324" i="1"/>
  <c r="AH324" i="1"/>
  <c r="AG324" i="1"/>
  <c r="AF324" i="1"/>
  <c r="AB324" i="1"/>
  <c r="AJ936" i="1"/>
  <c r="AI936" i="1"/>
  <c r="AH936" i="1"/>
  <c r="AG936" i="1"/>
  <c r="AF936" i="1"/>
  <c r="AB936" i="1"/>
  <c r="AJ1680" i="1"/>
  <c r="AI1680" i="1"/>
  <c r="AH1680" i="1"/>
  <c r="AG1680" i="1"/>
  <c r="AF1680" i="1"/>
  <c r="AB1680" i="1"/>
  <c r="AJ406" i="1"/>
  <c r="AI406" i="1"/>
  <c r="AH406" i="1"/>
  <c r="AG406" i="1"/>
  <c r="AF406" i="1"/>
  <c r="AB406" i="1"/>
  <c r="AJ1198" i="1"/>
  <c r="AI1198" i="1"/>
  <c r="AH1198" i="1"/>
  <c r="AG1198" i="1"/>
  <c r="AF1198" i="1"/>
  <c r="AB1198" i="1"/>
  <c r="AJ107" i="1"/>
  <c r="AI107" i="1"/>
  <c r="AH107" i="1"/>
  <c r="AG107" i="1"/>
  <c r="AF107" i="1"/>
  <c r="AB107" i="1"/>
  <c r="AJ539" i="1"/>
  <c r="AI539" i="1"/>
  <c r="AH539" i="1"/>
  <c r="AG539" i="1"/>
  <c r="AF539" i="1"/>
  <c r="AB539" i="1"/>
  <c r="AJ971" i="1"/>
  <c r="AI971" i="1"/>
  <c r="AH971" i="1"/>
  <c r="AG971" i="1"/>
  <c r="AF971" i="1"/>
  <c r="AB971" i="1"/>
  <c r="AJ1535" i="1"/>
  <c r="AI1535" i="1"/>
  <c r="AH1535" i="1"/>
  <c r="AG1535" i="1"/>
  <c r="AF1535" i="1"/>
  <c r="AB1535" i="1"/>
  <c r="AJ384" i="1"/>
  <c r="AI384" i="1"/>
  <c r="AH384" i="1"/>
  <c r="AG384" i="1"/>
  <c r="AF384" i="1"/>
  <c r="AB384" i="1"/>
  <c r="AJ888" i="1"/>
  <c r="AI888" i="1"/>
  <c r="AH888" i="1"/>
  <c r="AG888" i="1"/>
  <c r="AF888" i="1"/>
  <c r="AB888" i="1"/>
  <c r="AJ1524" i="1"/>
  <c r="AI1524" i="1"/>
  <c r="AH1524" i="1"/>
  <c r="AG1524" i="1"/>
  <c r="AF1524" i="1"/>
  <c r="AB1524" i="1"/>
  <c r="AJ204" i="1"/>
  <c r="AI204" i="1"/>
  <c r="AH204" i="1"/>
  <c r="AG204" i="1"/>
  <c r="AF204" i="1"/>
  <c r="AB204" i="1"/>
  <c r="AJ432" i="1"/>
  <c r="AI432" i="1"/>
  <c r="AH432" i="1"/>
  <c r="AG432" i="1"/>
  <c r="AF432" i="1"/>
  <c r="AB432" i="1"/>
  <c r="Z720" i="1"/>
  <c r="AD720" i="1"/>
  <c r="AJ972" i="1"/>
  <c r="AI972" i="1"/>
  <c r="AH972" i="1"/>
  <c r="AG972" i="1"/>
  <c r="AF972" i="1"/>
  <c r="AB972" i="1"/>
  <c r="AJ1176" i="1"/>
  <c r="AI1176" i="1"/>
  <c r="AH1176" i="1"/>
  <c r="AG1176" i="1"/>
  <c r="AF1176" i="1"/>
  <c r="AB1176" i="1"/>
  <c r="AJ1368" i="1"/>
  <c r="AI1368" i="1"/>
  <c r="AH1368" i="1"/>
  <c r="AG1368" i="1"/>
  <c r="AF1368" i="1"/>
  <c r="AB1368" i="1"/>
  <c r="AJ1572" i="1"/>
  <c r="AI1572" i="1"/>
  <c r="AH1572" i="1"/>
  <c r="AG1572" i="1"/>
  <c r="AF1572" i="1"/>
  <c r="AB1572" i="1"/>
  <c r="Z1596" i="1"/>
  <c r="AD1596" i="1"/>
  <c r="AJ1312" i="1"/>
  <c r="AI1312" i="1"/>
  <c r="AH1312" i="1"/>
  <c r="AG1312" i="1"/>
  <c r="AF1312" i="1"/>
  <c r="AB1312" i="1"/>
  <c r="AJ17" i="1"/>
  <c r="AI17" i="1"/>
  <c r="AH17" i="1"/>
  <c r="AG17" i="1"/>
  <c r="AF17" i="1"/>
  <c r="AB17" i="1"/>
  <c r="AJ533" i="1"/>
  <c r="AI533" i="1"/>
  <c r="AH533" i="1"/>
  <c r="AG533" i="1"/>
  <c r="AF533" i="1"/>
  <c r="AB533" i="1"/>
  <c r="AJ917" i="1"/>
  <c r="AI917" i="1"/>
  <c r="AH917" i="1"/>
  <c r="AG917" i="1"/>
  <c r="AF917" i="1"/>
  <c r="AB917" i="1"/>
  <c r="AJ1373" i="1"/>
  <c r="AI1373" i="1"/>
  <c r="AH1373" i="1"/>
  <c r="AG1373" i="1"/>
  <c r="AF1373" i="1"/>
  <c r="AB1373" i="1"/>
  <c r="AJ15" i="1"/>
  <c r="AI15" i="1"/>
  <c r="AH15" i="1"/>
  <c r="AG15" i="1"/>
  <c r="AF15" i="1"/>
  <c r="AB15" i="1"/>
  <c r="AJ255" i="1"/>
  <c r="AI255" i="1"/>
  <c r="AH255" i="1"/>
  <c r="AG255" i="1"/>
  <c r="AF255" i="1"/>
  <c r="AB255" i="1"/>
  <c r="AJ423" i="1"/>
  <c r="AI423" i="1"/>
  <c r="AH423" i="1"/>
  <c r="AG423" i="1"/>
  <c r="AF423" i="1"/>
  <c r="AB423" i="1"/>
  <c r="AJ675" i="1"/>
  <c r="AI675" i="1"/>
  <c r="AH675" i="1"/>
  <c r="AF675" i="1"/>
  <c r="AG675" i="1"/>
  <c r="AB675" i="1"/>
  <c r="AJ878" i="1"/>
  <c r="AI878" i="1"/>
  <c r="AG878" i="1"/>
  <c r="AH878" i="1"/>
  <c r="AF878" i="1"/>
  <c r="AB878" i="1"/>
  <c r="AJ1563" i="1"/>
  <c r="AI1563" i="1"/>
  <c r="AH1563" i="1"/>
  <c r="AG1563" i="1"/>
  <c r="AF1563" i="1"/>
  <c r="AB1563" i="1"/>
  <c r="AJ964" i="1"/>
  <c r="AI964" i="1"/>
  <c r="AH964" i="1"/>
  <c r="AG964" i="1"/>
  <c r="AF964" i="1"/>
  <c r="AB964" i="1"/>
  <c r="AJ1492" i="1"/>
  <c r="AI1492" i="1"/>
  <c r="AH1492" i="1"/>
  <c r="AG1492" i="1"/>
  <c r="AF1492" i="1"/>
  <c r="AB1492" i="1"/>
  <c r="AJ1226" i="1"/>
  <c r="AI1226" i="1"/>
  <c r="AH1226" i="1"/>
  <c r="AG1226" i="1"/>
  <c r="AF1226" i="1"/>
  <c r="AB1226" i="1"/>
  <c r="AE65" i="1"/>
  <c r="AC65" i="1"/>
  <c r="AE149" i="1"/>
  <c r="AC149" i="1"/>
  <c r="AE233" i="1"/>
  <c r="AC233" i="1"/>
  <c r="AE317" i="1"/>
  <c r="AC317" i="1"/>
  <c r="AE389" i="1"/>
  <c r="AC389" i="1"/>
  <c r="AE485" i="1"/>
  <c r="AC485" i="1"/>
  <c r="AE617" i="1"/>
  <c r="AC617" i="1"/>
  <c r="AE6" i="1"/>
  <c r="AC6" i="1"/>
  <c r="AE78" i="1"/>
  <c r="AC78" i="1"/>
  <c r="AE186" i="1"/>
  <c r="AC186" i="1"/>
  <c r="AE258" i="1"/>
  <c r="AC258" i="1"/>
  <c r="AE330" i="1"/>
  <c r="AC330" i="1"/>
  <c r="AE402" i="1"/>
  <c r="AC402" i="1"/>
  <c r="AE474" i="1"/>
  <c r="AC474" i="1"/>
  <c r="AE546" i="1"/>
  <c r="AC546" i="1"/>
  <c r="AC618" i="1"/>
  <c r="AE618" i="1"/>
  <c r="AE690" i="1"/>
  <c r="AC690" i="1"/>
  <c r="AE762" i="1"/>
  <c r="AC762" i="1"/>
  <c r="AE834" i="1"/>
  <c r="AC834" i="1"/>
  <c r="AE645" i="1"/>
  <c r="AC645" i="1"/>
  <c r="AE717" i="1"/>
  <c r="AC717" i="1"/>
  <c r="AE789" i="1"/>
  <c r="AC789" i="1"/>
  <c r="AE861" i="1"/>
  <c r="AC861" i="1"/>
  <c r="AE933" i="1"/>
  <c r="AC933" i="1"/>
  <c r="AE1005" i="1"/>
  <c r="AC1005" i="1"/>
  <c r="AE1077" i="1"/>
  <c r="AC1077" i="1"/>
  <c r="AE1149" i="1"/>
  <c r="AC1149" i="1"/>
  <c r="AE1221" i="1"/>
  <c r="AC1221" i="1"/>
  <c r="AE1293" i="1"/>
  <c r="AC1293" i="1"/>
  <c r="AE1365" i="1"/>
  <c r="AC1365" i="1"/>
  <c r="AE1437" i="1"/>
  <c r="AC1437" i="1"/>
  <c r="AE1509" i="1"/>
  <c r="AC1509" i="1"/>
  <c r="AE1581" i="1"/>
  <c r="AC1581" i="1"/>
  <c r="AE1653" i="1"/>
  <c r="AC1653" i="1"/>
  <c r="AE1725" i="1"/>
  <c r="AC1725" i="1"/>
  <c r="AE1150" i="1"/>
  <c r="AC1150" i="1"/>
  <c r="AE1222" i="1"/>
  <c r="AC1222" i="1"/>
  <c r="AE1294" i="1"/>
  <c r="AC1294" i="1"/>
  <c r="AE1366" i="1"/>
  <c r="AC1366" i="1"/>
  <c r="AE1438" i="1"/>
  <c r="AC1438" i="1"/>
  <c r="AE1510" i="1"/>
  <c r="AC1510" i="1"/>
  <c r="AE1582" i="1"/>
  <c r="AC1582" i="1"/>
  <c r="AE1654" i="1"/>
  <c r="AC1654" i="1"/>
  <c r="AE1726" i="1"/>
  <c r="AC1726" i="1"/>
  <c r="AE491" i="1"/>
  <c r="AC491" i="1"/>
  <c r="AE563" i="1"/>
  <c r="AC563" i="1"/>
  <c r="AE635" i="1"/>
  <c r="AC635" i="1"/>
  <c r="AE707" i="1"/>
  <c r="AC707" i="1"/>
  <c r="AE779" i="1"/>
  <c r="AC779" i="1"/>
  <c r="AE851" i="1"/>
  <c r="AC851" i="1"/>
  <c r="AE923" i="1"/>
  <c r="AC923" i="1"/>
  <c r="AE995" i="1"/>
  <c r="AC995" i="1"/>
  <c r="AE1067" i="1"/>
  <c r="AC1067" i="1"/>
  <c r="AE1139" i="1"/>
  <c r="AC1139" i="1"/>
  <c r="AE1211" i="1"/>
  <c r="AC1211" i="1"/>
  <c r="AE1283" i="1"/>
  <c r="AC1283" i="1"/>
  <c r="AE1355" i="1"/>
  <c r="AC1355" i="1"/>
  <c r="AE1427" i="1"/>
  <c r="AC1427" i="1"/>
  <c r="AE1499" i="1"/>
  <c r="AC1499" i="1"/>
  <c r="AE1571" i="1"/>
  <c r="AC1571" i="1"/>
  <c r="AE1643" i="1"/>
  <c r="AC1643" i="1"/>
  <c r="AE1715" i="1"/>
  <c r="AC1715" i="1"/>
  <c r="AE1787" i="1"/>
  <c r="AC1787" i="1"/>
  <c r="AE72" i="1"/>
  <c r="AC72" i="1"/>
  <c r="AE144" i="1"/>
  <c r="AC144" i="1"/>
  <c r="AE216" i="1"/>
  <c r="AC216" i="1"/>
  <c r="AE288" i="1"/>
  <c r="AC288" i="1"/>
  <c r="AE360" i="1"/>
  <c r="AC360" i="1"/>
  <c r="AE432" i="1"/>
  <c r="AC432" i="1"/>
  <c r="AE504" i="1"/>
  <c r="AC504" i="1"/>
  <c r="AE576" i="1"/>
  <c r="AC576" i="1"/>
  <c r="AE648" i="1"/>
  <c r="AC648" i="1"/>
  <c r="AE720" i="1"/>
  <c r="AC720" i="1"/>
  <c r="AE792" i="1"/>
  <c r="AC792" i="1"/>
  <c r="AE864" i="1"/>
  <c r="AC864" i="1"/>
  <c r="AE936" i="1"/>
  <c r="AC936" i="1"/>
  <c r="AE1008" i="1"/>
  <c r="AC1008" i="1"/>
  <c r="AE1080" i="1"/>
  <c r="AC1080" i="1"/>
  <c r="AE1152" i="1"/>
  <c r="AC1152" i="1"/>
  <c r="AE1224" i="1"/>
  <c r="AC1224" i="1"/>
  <c r="AE1296" i="1"/>
  <c r="AC1296" i="1"/>
  <c r="AE1368" i="1"/>
  <c r="AC1368" i="1"/>
  <c r="AE1440" i="1"/>
  <c r="AC1440" i="1"/>
  <c r="AE1512" i="1"/>
  <c r="AC1512" i="1"/>
  <c r="AE1584" i="1"/>
  <c r="AC1584" i="1"/>
  <c r="AE1656" i="1"/>
  <c r="AC1656" i="1"/>
  <c r="AE1728" i="1"/>
  <c r="AC1728" i="1"/>
  <c r="AE13" i="1"/>
  <c r="AC13" i="1"/>
  <c r="AE85" i="1"/>
  <c r="AC85" i="1"/>
  <c r="AE157" i="1"/>
  <c r="AC157" i="1"/>
  <c r="AE229" i="1"/>
  <c r="AC229" i="1"/>
  <c r="AE301" i="1"/>
  <c r="AC301" i="1"/>
  <c r="AE373" i="1"/>
  <c r="AC373" i="1"/>
  <c r="AE445" i="1"/>
  <c r="AC445" i="1"/>
  <c r="AE517" i="1"/>
  <c r="AC517" i="1"/>
  <c r="AE589" i="1"/>
  <c r="AC589" i="1"/>
  <c r="AE661" i="1"/>
  <c r="AC661" i="1"/>
  <c r="AE733" i="1"/>
  <c r="AC733" i="1"/>
  <c r="AE805" i="1"/>
  <c r="AC805" i="1"/>
  <c r="AE877" i="1"/>
  <c r="AC877" i="1"/>
  <c r="AE949" i="1"/>
  <c r="AC949" i="1"/>
  <c r="AE1021" i="1"/>
  <c r="AC1021" i="1"/>
  <c r="AE1093" i="1"/>
  <c r="AC1093" i="1"/>
  <c r="AE1165" i="1"/>
  <c r="AC1165" i="1"/>
  <c r="AE1237" i="1"/>
  <c r="AC1237" i="1"/>
  <c r="AE1309" i="1"/>
  <c r="AC1309" i="1"/>
  <c r="AE1381" i="1"/>
  <c r="AC1381" i="1"/>
  <c r="AE1453" i="1"/>
  <c r="AC1453" i="1"/>
  <c r="AE1525" i="1"/>
  <c r="AC1525" i="1"/>
  <c r="AE1597" i="1"/>
  <c r="AC1597" i="1"/>
  <c r="AE1669" i="1"/>
  <c r="AC1669" i="1"/>
  <c r="AE1741" i="1"/>
  <c r="AC1741" i="1"/>
  <c r="AE38" i="1"/>
  <c r="AC38" i="1"/>
  <c r="AE122" i="1"/>
  <c r="AC122" i="1"/>
  <c r="AE206" i="1"/>
  <c r="AC206" i="1"/>
  <c r="AE326" i="1"/>
  <c r="AC326" i="1"/>
  <c r="AE410" i="1"/>
  <c r="AC410" i="1"/>
  <c r="AE482" i="1"/>
  <c r="AC482" i="1"/>
  <c r="AE554" i="1"/>
  <c r="AC554" i="1"/>
  <c r="AE626" i="1"/>
  <c r="AC626" i="1"/>
  <c r="AE698" i="1"/>
  <c r="AC698" i="1"/>
  <c r="AE782" i="1"/>
  <c r="AC782" i="1"/>
  <c r="AE854" i="1"/>
  <c r="AC854" i="1"/>
  <c r="AE962" i="1"/>
  <c r="AC962" i="1"/>
  <c r="AE1082" i="1"/>
  <c r="AC1082" i="1"/>
  <c r="AE1178" i="1"/>
  <c r="AC1178" i="1"/>
  <c r="AE1274" i="1"/>
  <c r="AC1274" i="1"/>
  <c r="AE1358" i="1"/>
  <c r="AC1358" i="1"/>
  <c r="AE1430" i="1"/>
  <c r="AC1430" i="1"/>
  <c r="AE1502" i="1"/>
  <c r="AC1502" i="1"/>
  <c r="AE1574" i="1"/>
  <c r="AC1574" i="1"/>
  <c r="AE1646" i="1"/>
  <c r="AC1646" i="1"/>
  <c r="AE1754" i="1"/>
  <c r="AC1754" i="1"/>
  <c r="AE75" i="1"/>
  <c r="AC75" i="1"/>
  <c r="AE171" i="1"/>
  <c r="AC171" i="1"/>
  <c r="AE291" i="1"/>
  <c r="AC291" i="1"/>
  <c r="AE411" i="1"/>
  <c r="AC411" i="1"/>
  <c r="AE519" i="1"/>
  <c r="AC519" i="1"/>
  <c r="AE591" i="1"/>
  <c r="AC591" i="1"/>
  <c r="AE663" i="1"/>
  <c r="AC663" i="1"/>
  <c r="AE759" i="1"/>
  <c r="AC759" i="1"/>
  <c r="AE855" i="1"/>
  <c r="AC855" i="1"/>
  <c r="AE963" i="1"/>
  <c r="AC963" i="1"/>
  <c r="AE1071" i="1"/>
  <c r="AC1071" i="1"/>
  <c r="AE1143" i="1"/>
  <c r="AC1143" i="1"/>
  <c r="AE1215" i="1"/>
  <c r="AC1215" i="1"/>
  <c r="AE1299" i="1"/>
  <c r="AC1299" i="1"/>
  <c r="AE1395" i="1"/>
  <c r="AC1395" i="1"/>
  <c r="AE1467" i="1"/>
  <c r="AC1467" i="1"/>
  <c r="AE1539" i="1"/>
  <c r="AC1539" i="1"/>
  <c r="AE1635" i="1"/>
  <c r="AC1635" i="1"/>
  <c r="AE1707" i="1"/>
  <c r="AC1707" i="1"/>
  <c r="AE1791" i="1"/>
  <c r="AC1791" i="1"/>
  <c r="AE64" i="1"/>
  <c r="AC64" i="1"/>
  <c r="AE136" i="1"/>
  <c r="AC136" i="1"/>
  <c r="AE208" i="1"/>
  <c r="AC208" i="1"/>
  <c r="AE280" i="1"/>
  <c r="AC280" i="1"/>
  <c r="AE352" i="1"/>
  <c r="AC352" i="1"/>
  <c r="AE424" i="1"/>
  <c r="AC424" i="1"/>
  <c r="AE496" i="1"/>
  <c r="AC496" i="1"/>
  <c r="AE568" i="1"/>
  <c r="AC568" i="1"/>
  <c r="AE640" i="1"/>
  <c r="AC640" i="1"/>
  <c r="AE712" i="1"/>
  <c r="AC712" i="1"/>
  <c r="AE784" i="1"/>
  <c r="AC784" i="1"/>
  <c r="AE868" i="1"/>
  <c r="AC868" i="1"/>
  <c r="AE940" i="1"/>
  <c r="AC940" i="1"/>
  <c r="AE1024" i="1"/>
  <c r="AC1024" i="1"/>
  <c r="AE1096" i="1"/>
  <c r="AC1096" i="1"/>
  <c r="AE1180" i="1"/>
  <c r="AC1180" i="1"/>
  <c r="AE1264" i="1"/>
  <c r="AC1264" i="1"/>
  <c r="AE1348" i="1"/>
  <c r="AC1348" i="1"/>
  <c r="AE1420" i="1"/>
  <c r="AC1420" i="1"/>
  <c r="AE1540" i="1"/>
  <c r="AC1540" i="1"/>
  <c r="AE1636" i="1"/>
  <c r="AC1636" i="1"/>
  <c r="AE1708" i="1"/>
  <c r="AC1708" i="1"/>
  <c r="AE894" i="1"/>
  <c r="AC894" i="1"/>
  <c r="AE966" i="1"/>
  <c r="AC966" i="1"/>
  <c r="AE1038" i="1"/>
  <c r="AC1038" i="1"/>
  <c r="AE1110" i="1"/>
  <c r="AC1110" i="1"/>
  <c r="AE1182" i="1"/>
  <c r="AC1182" i="1"/>
  <c r="AE1254" i="1"/>
  <c r="AC1254" i="1"/>
  <c r="AE1326" i="1"/>
  <c r="AC1326" i="1"/>
  <c r="AE1398" i="1"/>
  <c r="AC1398" i="1"/>
  <c r="AE1470" i="1"/>
  <c r="AC1470" i="1"/>
  <c r="AE1542" i="1"/>
  <c r="AC1542" i="1"/>
  <c r="AE1614" i="1"/>
  <c r="AC1614" i="1"/>
  <c r="AE1686" i="1"/>
  <c r="AC1686" i="1"/>
  <c r="AE1758" i="1"/>
  <c r="AC1758" i="1"/>
  <c r="AE43" i="1"/>
  <c r="AC43" i="1"/>
  <c r="AE115" i="1"/>
  <c r="AC115" i="1"/>
  <c r="AE187" i="1"/>
  <c r="AC187" i="1"/>
  <c r="AE259" i="1"/>
  <c r="AC259" i="1"/>
  <c r="AE331" i="1"/>
  <c r="AC331" i="1"/>
  <c r="AE403" i="1"/>
  <c r="AC403" i="1"/>
  <c r="AE475" i="1"/>
  <c r="AC475" i="1"/>
  <c r="AE547" i="1"/>
  <c r="AC547" i="1"/>
  <c r="AE619" i="1"/>
  <c r="AC619" i="1"/>
  <c r="AE691" i="1"/>
  <c r="AC691" i="1"/>
  <c r="AE763" i="1"/>
  <c r="AC763" i="1"/>
  <c r="AE835" i="1"/>
  <c r="AC835" i="1"/>
  <c r="AE907" i="1"/>
  <c r="AC907" i="1"/>
  <c r="AE979" i="1"/>
  <c r="AC979" i="1"/>
  <c r="AE1051" i="1"/>
  <c r="AC1051" i="1"/>
  <c r="AE1123" i="1"/>
  <c r="AC1123" i="1"/>
  <c r="AE1195" i="1"/>
  <c r="AC1195" i="1"/>
  <c r="AE1267" i="1"/>
  <c r="AC1267" i="1"/>
  <c r="AE1339" i="1"/>
  <c r="AC1339" i="1"/>
  <c r="AE1411" i="1"/>
  <c r="AC1411" i="1"/>
  <c r="AE1483" i="1"/>
  <c r="AC1483" i="1"/>
  <c r="AE1555" i="1"/>
  <c r="AC1555" i="1"/>
  <c r="AE1627" i="1"/>
  <c r="AC1627" i="1"/>
  <c r="AE1699" i="1"/>
  <c r="AC1699" i="1"/>
  <c r="AE1771" i="1"/>
  <c r="AC1771" i="1"/>
  <c r="AE56" i="1"/>
  <c r="AC56" i="1"/>
  <c r="AE128" i="1"/>
  <c r="AC128" i="1"/>
  <c r="AE200" i="1"/>
  <c r="AC200" i="1"/>
  <c r="AE272" i="1"/>
  <c r="AC272" i="1"/>
  <c r="AE344" i="1"/>
  <c r="AC344" i="1"/>
  <c r="AE416" i="1"/>
  <c r="AC416" i="1"/>
  <c r="AE488" i="1"/>
  <c r="AC488" i="1"/>
  <c r="AE560" i="1"/>
  <c r="AC560" i="1"/>
  <c r="AE632" i="1"/>
  <c r="AC632" i="1"/>
  <c r="AE704" i="1"/>
  <c r="AC704" i="1"/>
  <c r="AE776" i="1"/>
  <c r="AC776" i="1"/>
  <c r="AE848" i="1"/>
  <c r="AC848" i="1"/>
  <c r="AE920" i="1"/>
  <c r="AC920" i="1"/>
  <c r="AE992" i="1"/>
  <c r="AC992" i="1"/>
  <c r="AE1064" i="1"/>
  <c r="AC1064" i="1"/>
  <c r="AE1136" i="1"/>
  <c r="AC1136" i="1"/>
  <c r="AE1208" i="1"/>
  <c r="AC1208" i="1"/>
  <c r="AE1280" i="1"/>
  <c r="AC1280" i="1"/>
  <c r="AE1352" i="1"/>
  <c r="AC1352" i="1"/>
  <c r="AE1424" i="1"/>
  <c r="AC1424" i="1"/>
  <c r="AE1496" i="1"/>
  <c r="AC1496" i="1"/>
  <c r="AE1568" i="1"/>
  <c r="AC1568" i="1"/>
  <c r="AE1640" i="1"/>
  <c r="AC1640" i="1"/>
  <c r="AE1712" i="1"/>
  <c r="AC1712" i="1"/>
  <c r="AE1784" i="1"/>
  <c r="AC1784" i="1"/>
  <c r="AE431" i="1"/>
  <c r="AC431" i="1"/>
  <c r="AE797" i="1"/>
  <c r="AC797" i="1"/>
  <c r="AE1349" i="1"/>
  <c r="AC1349" i="1"/>
  <c r="AE441" i="1"/>
  <c r="AC441" i="1"/>
  <c r="AE862" i="1"/>
  <c r="AC862" i="1"/>
  <c r="AE1037" i="1"/>
  <c r="AC1037" i="1"/>
  <c r="AE1553" i="1"/>
  <c r="AC1553" i="1"/>
  <c r="AE550" i="1"/>
  <c r="AC550" i="1"/>
  <c r="AE1090" i="1"/>
  <c r="AC1090" i="1"/>
  <c r="Z247" i="1"/>
  <c r="Z1351" i="1"/>
  <c r="Z1550" i="1"/>
  <c r="Z63" i="1"/>
  <c r="Z113" i="1"/>
  <c r="Z236" i="1"/>
  <c r="Z267" i="1"/>
  <c r="Z1649" i="1"/>
  <c r="Z74" i="1"/>
  <c r="Z578" i="1"/>
  <c r="Z758" i="1"/>
  <c r="Z950" i="1"/>
  <c r="Z1238" i="1"/>
  <c r="Z1322" i="1"/>
  <c r="Z1418" i="1"/>
  <c r="Z1526" i="1"/>
  <c r="Z28" i="1"/>
  <c r="Z100" i="1"/>
  <c r="Z172" i="1"/>
  <c r="Z244" i="1"/>
  <c r="Z400" i="1"/>
  <c r="Z784" i="1"/>
  <c r="Z1216" i="1"/>
  <c r="Z1324" i="1"/>
  <c r="Z785" i="1"/>
  <c r="Z1779" i="1"/>
  <c r="Z461" i="1"/>
  <c r="Z751" i="1"/>
  <c r="Z303" i="1"/>
  <c r="Z375" i="1"/>
  <c r="Z686" i="1"/>
  <c r="Z1325" i="1"/>
  <c r="Z581" i="1"/>
  <c r="Z5" i="1"/>
  <c r="Z173" i="1"/>
  <c r="Z437" i="1"/>
  <c r="Z1613" i="1"/>
  <c r="Z27" i="1"/>
  <c r="Z123" i="1"/>
  <c r="Z219" i="1"/>
  <c r="Z363" i="1"/>
  <c r="Z495" i="1"/>
  <c r="Z413" i="1"/>
  <c r="Z1397" i="1"/>
  <c r="Z1637" i="1"/>
  <c r="Z891" i="1"/>
  <c r="Z125" i="1"/>
  <c r="Z353" i="1"/>
  <c r="Z473" i="1"/>
  <c r="Z701" i="1"/>
  <c r="Z1157" i="1"/>
  <c r="Z559" i="1"/>
  <c r="Z643" i="1"/>
  <c r="Z21" i="1"/>
  <c r="Z629" i="1"/>
  <c r="Z6" i="1"/>
  <c r="Z294" i="1"/>
  <c r="Z630" i="1"/>
  <c r="Z954" i="1"/>
  <c r="Z1686" i="1"/>
  <c r="Z1077" i="1"/>
  <c r="Z1665" i="1"/>
  <c r="Z538" i="1"/>
  <c r="Z1282" i="1"/>
  <c r="Z431" i="1"/>
  <c r="Z1331" i="1"/>
  <c r="Z600" i="1"/>
  <c r="Z1236" i="1"/>
  <c r="Z54" i="1"/>
  <c r="Z438" i="1"/>
  <c r="Z738" i="1"/>
  <c r="Z1014" i="1"/>
  <c r="Z1374" i="1"/>
  <c r="Z1734" i="1"/>
  <c r="Z1365" i="1"/>
  <c r="Z22" i="1"/>
  <c r="Z586" i="1"/>
  <c r="Z1199" i="1"/>
  <c r="Z1116" i="1"/>
  <c r="Z18" i="1"/>
  <c r="Z654" i="1"/>
  <c r="Z894" i="1"/>
  <c r="Z1122" i="1"/>
  <c r="Z1362" i="1"/>
  <c r="Z1626" i="1"/>
  <c r="Z681" i="1"/>
  <c r="Z861" i="1"/>
  <c r="Z1533" i="1"/>
  <c r="Z95" i="1"/>
  <c r="Z299" i="1"/>
  <c r="Z467" i="1"/>
  <c r="Z719" i="1"/>
  <c r="Z995" i="1"/>
  <c r="Z1247" i="1"/>
  <c r="Z1415" i="1"/>
  <c r="Z1655" i="1"/>
  <c r="Z30" i="1"/>
  <c r="Z366" i="1"/>
  <c r="Z666" i="1"/>
  <c r="Z1125" i="1"/>
  <c r="Z1677" i="1"/>
  <c r="Z622" i="1"/>
  <c r="Z1306" i="1"/>
  <c r="Z47" i="1"/>
  <c r="Z551" i="1"/>
  <c r="Z1007" i="1"/>
  <c r="Z1523" i="1"/>
  <c r="Z360" i="1"/>
  <c r="Z948" i="1"/>
  <c r="Z1632" i="1"/>
  <c r="Z34" i="1"/>
  <c r="Z730" i="1"/>
  <c r="Z1474" i="1"/>
  <c r="Z311" i="1"/>
  <c r="Z791" i="1"/>
  <c r="Z1259" i="1"/>
  <c r="Z36" i="1"/>
  <c r="Z648" i="1"/>
  <c r="Z448" i="1"/>
  <c r="Z916" i="1"/>
  <c r="Z704" i="1"/>
  <c r="Z1320" i="1"/>
  <c r="Z604" i="1"/>
  <c r="Z334" i="1"/>
  <c r="Z992" i="1"/>
  <c r="Z1586" i="1"/>
  <c r="Z188" i="1"/>
  <c r="Z1131" i="1"/>
  <c r="Z848" i="1"/>
  <c r="Z760" i="1"/>
  <c r="Z1683" i="1"/>
  <c r="Z661" i="1"/>
  <c r="Z347" i="1"/>
  <c r="Z775" i="1"/>
  <c r="Z86" i="1"/>
  <c r="Z170" i="1"/>
  <c r="Z338" i="1"/>
  <c r="Z532" i="1"/>
  <c r="Z1755" i="1"/>
  <c r="Z1597" i="1"/>
  <c r="Z19" i="1"/>
  <c r="Z1021" i="1"/>
  <c r="Z1506" i="1"/>
  <c r="Z1018" i="1"/>
  <c r="Z776" i="1"/>
  <c r="Z1149" i="1"/>
  <c r="Z24" i="1"/>
  <c r="Z1594" i="1"/>
  <c r="Z588" i="1"/>
  <c r="Z828" i="1"/>
  <c r="Z843" i="1"/>
  <c r="Z821" i="1"/>
  <c r="Z185" i="1"/>
  <c r="Z844" i="1"/>
  <c r="Z1744" i="1"/>
  <c r="Z1203" i="1"/>
  <c r="Z1037" i="1"/>
  <c r="Z837" i="1"/>
  <c r="Z1624" i="1"/>
  <c r="Z146" i="1"/>
  <c r="Z398" i="1"/>
  <c r="Z662" i="1"/>
  <c r="Z842" i="1"/>
  <c r="Z1130" i="1"/>
  <c r="Z1622" i="1"/>
  <c r="Z1718" i="1"/>
  <c r="Z460" i="1"/>
  <c r="Z544" i="1"/>
  <c r="Z616" i="1"/>
  <c r="Z700" i="1"/>
  <c r="Z772" i="1"/>
  <c r="Z856" i="1"/>
  <c r="Z928" i="1"/>
  <c r="Z1012" i="1"/>
  <c r="Z1108" i="1"/>
  <c r="Z1204" i="1"/>
  <c r="Z1420" i="1"/>
  <c r="Z1672" i="1"/>
  <c r="Z65" i="1"/>
  <c r="Z305" i="1"/>
  <c r="Z713" i="1"/>
  <c r="Z1529" i="1"/>
  <c r="Z1625" i="1"/>
  <c r="Z87" i="1"/>
  <c r="Z183" i="1"/>
  <c r="Z339" i="1"/>
  <c r="Z459" i="1"/>
  <c r="Z543" i="1"/>
  <c r="Z615" i="1"/>
  <c r="Z699" i="1"/>
  <c r="Z879" i="1"/>
  <c r="Z975" i="1"/>
  <c r="Z1215" i="1"/>
  <c r="Z1299" i="1"/>
  <c r="Z1611" i="1"/>
  <c r="Z1767" i="1"/>
  <c r="Z89" i="1"/>
  <c r="Z317" i="1"/>
  <c r="Z593" i="1"/>
  <c r="Z977" i="1"/>
  <c r="Z1673" i="1"/>
  <c r="Z703" i="1"/>
  <c r="Z127" i="1"/>
  <c r="Z211" i="1"/>
  <c r="Z427" i="1"/>
  <c r="Z523" i="1"/>
  <c r="Z811" i="1"/>
  <c r="Z1147" i="1"/>
  <c r="Z1219" i="1"/>
  <c r="Z1339" i="1"/>
  <c r="Z1423" i="1"/>
  <c r="Z1591" i="1"/>
  <c r="Z1699" i="1"/>
  <c r="Z476" i="1"/>
  <c r="Z8" i="1"/>
  <c r="Z224" i="1"/>
  <c r="Z452" i="1"/>
  <c r="Z560" i="1"/>
  <c r="Z1373" i="1"/>
  <c r="Z105" i="1"/>
  <c r="Z177" i="1"/>
  <c r="Z249" i="1"/>
  <c r="Z321" i="1"/>
  <c r="Z393" i="1"/>
  <c r="Z675" i="1"/>
  <c r="Z385" i="1"/>
  <c r="Z889" i="1"/>
  <c r="Z1033" i="1"/>
  <c r="Z1321" i="1"/>
  <c r="Z1681" i="1"/>
  <c r="Z1437" i="1"/>
  <c r="Z187" i="1"/>
  <c r="Z1227" i="1"/>
  <c r="Z1433" i="1"/>
  <c r="Z1610" i="1"/>
  <c r="Z727" i="1"/>
  <c r="Z1742" i="1"/>
  <c r="Z242" i="1"/>
  <c r="Z410" i="1"/>
  <c r="Z854" i="1"/>
  <c r="Z1634" i="1"/>
  <c r="Z1120" i="1"/>
  <c r="Z1444" i="1"/>
  <c r="Z1684" i="1"/>
  <c r="Z1792" i="1"/>
  <c r="Z149" i="1"/>
  <c r="Z389" i="1"/>
  <c r="Z1577" i="1"/>
  <c r="Z3" i="1"/>
  <c r="Z99" i="1"/>
  <c r="Z195" i="1"/>
  <c r="Z351" i="1"/>
  <c r="Z483" i="1"/>
  <c r="Z555" i="1"/>
  <c r="Z627" i="1"/>
  <c r="Z711" i="1"/>
  <c r="Z903" i="1"/>
  <c r="Z1155" i="1"/>
  <c r="Z1407" i="1"/>
  <c r="Z1551" i="1"/>
  <c r="Z1707" i="1"/>
  <c r="Z809" i="1"/>
  <c r="Z1277" i="1"/>
  <c r="Z1601" i="1"/>
  <c r="Z101" i="1"/>
  <c r="Z341" i="1"/>
  <c r="Z449" i="1"/>
  <c r="Z617" i="1"/>
  <c r="Z1109" i="1"/>
  <c r="Z799" i="1"/>
  <c r="Z941" i="1"/>
  <c r="Z223" i="1"/>
  <c r="Z451" i="1"/>
  <c r="Z715" i="1"/>
  <c r="Z823" i="1"/>
  <c r="Z919" i="1"/>
  <c r="Z1159" i="1"/>
  <c r="Z1519" i="1"/>
  <c r="Z1615" i="1"/>
  <c r="Z1723" i="1"/>
  <c r="Z56" i="1"/>
  <c r="Z464" i="1"/>
  <c r="Z9" i="1"/>
  <c r="Z117" i="1"/>
  <c r="Z261" i="1"/>
  <c r="Z533" i="1"/>
  <c r="Z757" i="1"/>
  <c r="Z973" i="1"/>
  <c r="Z1154" i="1"/>
  <c r="Z1250" i="1"/>
  <c r="Z40" i="1"/>
  <c r="Z112" i="1"/>
  <c r="Z340" i="1"/>
  <c r="Z412" i="1"/>
  <c r="Z880" i="1"/>
  <c r="Z1240" i="1"/>
  <c r="Z1348" i="1"/>
  <c r="Z1552" i="1"/>
  <c r="Z795" i="1"/>
  <c r="Z999" i="1"/>
  <c r="Z1095" i="1"/>
  <c r="Z1167" i="1"/>
  <c r="Z1719" i="1"/>
  <c r="Z1409" i="1"/>
  <c r="Z1061" i="1"/>
  <c r="Z797" i="1"/>
  <c r="Z151" i="1"/>
  <c r="Z547" i="1"/>
  <c r="Z1003" i="1"/>
  <c r="Z1363" i="1"/>
  <c r="Z260" i="1"/>
  <c r="Z368" i="1"/>
  <c r="Z272" i="1"/>
  <c r="Z500" i="1"/>
  <c r="Z49" i="1"/>
  <c r="Z121" i="1"/>
  <c r="Z193" i="1"/>
  <c r="Z265" i="1"/>
  <c r="Z337" i="1"/>
  <c r="Z409" i="1"/>
  <c r="Z481" i="1"/>
  <c r="Z553" i="1"/>
  <c r="Z769" i="1"/>
  <c r="Z841" i="1"/>
  <c r="Z985" i="1"/>
  <c r="Z1129" i="1"/>
  <c r="Z1417" i="1"/>
  <c r="Z1561" i="1"/>
  <c r="Z1633" i="1"/>
  <c r="Z1705" i="1"/>
  <c r="Z1777" i="1"/>
  <c r="Z1638" i="1"/>
  <c r="Z537" i="1"/>
  <c r="Z741" i="1"/>
  <c r="Z933" i="1"/>
  <c r="Z1233" i="1"/>
  <c r="Z668" i="1"/>
  <c r="Z740" i="1"/>
  <c r="Z812" i="1"/>
  <c r="Z956" i="1"/>
  <c r="Z1028" i="1"/>
  <c r="Z1100" i="1"/>
  <c r="Z1172" i="1"/>
  <c r="Z1244" i="1"/>
  <c r="Z1316" i="1"/>
  <c r="Z1388" i="1"/>
  <c r="Z1532" i="1"/>
  <c r="Z1604" i="1"/>
  <c r="Z1676" i="1"/>
  <c r="Z849" i="1"/>
  <c r="Z1449" i="1"/>
  <c r="Z286" i="1"/>
  <c r="Z515" i="1"/>
  <c r="Z959" i="1"/>
  <c r="Z1487" i="1"/>
  <c r="Z324" i="1"/>
  <c r="Z936" i="1"/>
  <c r="Z1680" i="1"/>
  <c r="Z406" i="1"/>
  <c r="Z1198" i="1"/>
  <c r="Z107" i="1"/>
  <c r="Z539" i="1"/>
  <c r="Z971" i="1"/>
  <c r="Z1535" i="1"/>
  <c r="Z384" i="1"/>
  <c r="Z888" i="1"/>
  <c r="Z1524" i="1"/>
  <c r="Z204" i="1"/>
  <c r="Z432" i="1"/>
  <c r="Z972" i="1"/>
  <c r="Z1176" i="1"/>
  <c r="Z1368" i="1"/>
  <c r="Z1572" i="1"/>
  <c r="Z1048" i="1"/>
  <c r="Z1323" i="1"/>
  <c r="Z1226" i="1"/>
  <c r="Z736" i="1"/>
  <c r="Z1531" i="1"/>
  <c r="Z279" i="1"/>
  <c r="Z964" i="1"/>
  <c r="Z1132" i="1"/>
  <c r="Z1491" i="1"/>
  <c r="Z1123" i="1"/>
  <c r="Z1735" i="1"/>
  <c r="Z255" i="1"/>
  <c r="Z417" i="1"/>
  <c r="Z1290" i="1"/>
  <c r="Z917" i="1"/>
  <c r="Z352" i="1"/>
  <c r="Z508" i="1"/>
  <c r="Z580" i="1"/>
  <c r="Z664" i="1"/>
  <c r="Z820" i="1"/>
  <c r="Z892" i="1"/>
  <c r="Z1264" i="1"/>
  <c r="Z1576" i="1"/>
  <c r="Z1073" i="1"/>
  <c r="Z787" i="1"/>
  <c r="Z1659" i="1"/>
  <c r="Z1731" i="1"/>
  <c r="Z1085" i="1"/>
  <c r="Z962" i="1"/>
  <c r="Z38" i="1"/>
  <c r="Z194" i="1"/>
  <c r="Z362" i="1"/>
  <c r="Z446" i="1"/>
  <c r="Z626" i="1"/>
  <c r="Z806" i="1"/>
  <c r="Z902" i="1"/>
  <c r="Z1419" i="1"/>
  <c r="Z835" i="1"/>
  <c r="Z122" i="1"/>
  <c r="Z290" i="1"/>
  <c r="Z542" i="1"/>
  <c r="Z638" i="1"/>
  <c r="Z1106" i="1"/>
  <c r="Z1190" i="1"/>
  <c r="Z1286" i="1"/>
  <c r="Z1682" i="1"/>
  <c r="Z1084" i="1"/>
  <c r="Z1636" i="1"/>
  <c r="Z41" i="1"/>
  <c r="Z209" i="1"/>
  <c r="Z653" i="1"/>
  <c r="Z51" i="1"/>
  <c r="Z147" i="1"/>
  <c r="Z291" i="1"/>
  <c r="Z411" i="1"/>
  <c r="Z519" i="1"/>
  <c r="Z591" i="1"/>
  <c r="Z663" i="1"/>
  <c r="Z951" i="1"/>
  <c r="Z1275" i="1"/>
  <c r="Z1443" i="1"/>
  <c r="Z605" i="1"/>
  <c r="Z1481" i="1"/>
  <c r="Z257" i="1"/>
  <c r="Z377" i="1"/>
  <c r="Z509" i="1"/>
  <c r="Z749" i="1"/>
  <c r="Z103" i="1"/>
  <c r="Z499" i="1"/>
  <c r="Z667" i="1"/>
  <c r="Z871" i="1"/>
  <c r="Z1195" i="1"/>
  <c r="Z1399" i="1"/>
  <c r="Z1771" i="1"/>
  <c r="Z128" i="1"/>
  <c r="Z404" i="1"/>
  <c r="Z1049" i="1"/>
  <c r="Z69" i="1"/>
  <c r="Z153" i="1"/>
  <c r="Z225" i="1"/>
  <c r="Z297" i="1"/>
  <c r="Z369" i="1"/>
  <c r="Z1749" i="1"/>
  <c r="Z1082" i="1"/>
  <c r="Z210" i="1"/>
  <c r="Z510" i="1"/>
  <c r="Z846" i="1"/>
  <c r="Z1170" i="1"/>
  <c r="Z1530" i="1"/>
  <c r="Z909" i="1"/>
  <c r="Z1461" i="1"/>
  <c r="Z322" i="1"/>
  <c r="Z1054" i="1"/>
  <c r="Z1666" i="1"/>
  <c r="Z1115" i="1"/>
  <c r="Z1679" i="1"/>
  <c r="Z408" i="1"/>
  <c r="Z996" i="1"/>
  <c r="Z1704" i="1"/>
  <c r="Z330" i="1"/>
  <c r="Z642" i="1"/>
  <c r="Z930" i="1"/>
  <c r="Z1254" i="1"/>
  <c r="Z1590" i="1"/>
  <c r="Z1209" i="1"/>
  <c r="Z1689" i="1"/>
  <c r="Z394" i="1"/>
  <c r="Z1090" i="1"/>
  <c r="Z1774" i="1"/>
  <c r="Z276" i="1"/>
  <c r="Z924" i="1"/>
  <c r="Z1608" i="1"/>
  <c r="Z150" i="1"/>
  <c r="Z342" i="1"/>
  <c r="Z582" i="1"/>
  <c r="Z810" i="1"/>
  <c r="Z1050" i="1"/>
  <c r="Z1278" i="1"/>
  <c r="Z453" i="1"/>
  <c r="Z621" i="1"/>
  <c r="Z813" i="1"/>
  <c r="Z1053" i="1"/>
  <c r="Z239" i="1"/>
  <c r="Z407" i="1"/>
  <c r="Z635" i="1"/>
  <c r="Z899" i="1"/>
  <c r="Z1163" i="1"/>
  <c r="Z1367" i="1"/>
  <c r="Z1559" i="1"/>
  <c r="Z1775" i="1"/>
  <c r="Z258" i="1"/>
  <c r="Z558" i="1"/>
  <c r="Z882" i="1"/>
  <c r="Z1182" i="1"/>
  <c r="Z1494" i="1"/>
  <c r="Z921" i="1"/>
  <c r="Z1485" i="1"/>
  <c r="Z370" i="1"/>
  <c r="Z1066" i="1"/>
  <c r="Z1714" i="1"/>
  <c r="Z839" i="1"/>
  <c r="Z1379" i="1"/>
  <c r="Z168" i="1"/>
  <c r="Z768" i="1"/>
  <c r="Z1392" i="1"/>
  <c r="Z945" i="1"/>
  <c r="Z478" i="1"/>
  <c r="Z1234" i="1"/>
  <c r="Z143" i="1"/>
  <c r="Z647" i="1"/>
  <c r="Z1067" i="1"/>
  <c r="Z1715" i="1"/>
  <c r="Z444" i="1"/>
  <c r="Z1056" i="1"/>
  <c r="Z1656" i="1"/>
  <c r="Z548" i="1"/>
  <c r="Z644" i="1"/>
  <c r="Z1436" i="1"/>
  <c r="Z335" i="1"/>
  <c r="Z1440" i="1"/>
  <c r="Z348" i="1"/>
  <c r="Z876" i="1"/>
  <c r="Z1296" i="1"/>
  <c r="Z1716" i="1"/>
  <c r="Z327" i="1"/>
  <c r="Z374" i="1"/>
  <c r="Z1706" i="1"/>
  <c r="Z190" i="1"/>
  <c r="Z418" i="1"/>
  <c r="Z1346" i="1"/>
  <c r="Z246" i="1"/>
  <c r="Z570" i="1"/>
  <c r="Z906" i="1"/>
  <c r="Z1218" i="1"/>
  <c r="Z1614" i="1"/>
  <c r="Z1017" i="1"/>
  <c r="Z1569" i="1"/>
  <c r="Z430" i="1"/>
  <c r="Z1174" i="1"/>
  <c r="Z1726" i="1"/>
  <c r="Z1211" i="1"/>
  <c r="Z1763" i="1"/>
  <c r="Z504" i="1"/>
  <c r="Z1788" i="1"/>
  <c r="Z378" i="1"/>
  <c r="Z690" i="1"/>
  <c r="Z978" i="1"/>
  <c r="Z1302" i="1"/>
  <c r="Z1674" i="1"/>
  <c r="Z1293" i="1"/>
  <c r="Z1773" i="1"/>
  <c r="Z502" i="1"/>
  <c r="Z1210" i="1"/>
  <c r="Z191" i="1"/>
  <c r="Z1008" i="1"/>
  <c r="Z1728" i="1"/>
  <c r="Z174" i="1"/>
  <c r="Z390" i="1"/>
  <c r="Z618" i="1"/>
  <c r="Z858" i="1"/>
  <c r="Z1098" i="1"/>
  <c r="Z1314" i="1"/>
  <c r="Z1566" i="1"/>
  <c r="Z501" i="1"/>
  <c r="Z657" i="1"/>
  <c r="Z825" i="1"/>
  <c r="Z1113" i="1"/>
  <c r="Z1473" i="1"/>
  <c r="Z71" i="1"/>
  <c r="Z275" i="1"/>
  <c r="Z443" i="1"/>
  <c r="Z683" i="1"/>
  <c r="Z947" i="1"/>
  <c r="Z1187" i="1"/>
  <c r="Z1391" i="1"/>
  <c r="Z1595" i="1"/>
  <c r="Z306" i="1"/>
  <c r="Z606" i="1"/>
  <c r="Z1230" i="1"/>
  <c r="Z1578" i="1"/>
  <c r="Z1041" i="1"/>
  <c r="Z1581" i="1"/>
  <c r="Z514" i="1"/>
  <c r="Z1786" i="1"/>
  <c r="Z479" i="1"/>
  <c r="Z923" i="1"/>
  <c r="Z1451" i="1"/>
  <c r="Z240" i="1"/>
  <c r="Z852" i="1"/>
  <c r="Z1512" i="1"/>
  <c r="Z631" i="1"/>
  <c r="Z1557" i="1"/>
  <c r="Z598" i="1"/>
  <c r="Z1354" i="1"/>
  <c r="Z227" i="1"/>
  <c r="Z707" i="1"/>
  <c r="Z1151" i="1"/>
  <c r="Z1787" i="1"/>
  <c r="Z552" i="1"/>
  <c r="Z1160" i="1"/>
  <c r="Z1520" i="1"/>
  <c r="Z1592" i="1"/>
  <c r="Z1736" i="1"/>
  <c r="Z717" i="1"/>
  <c r="Z1762" i="1"/>
  <c r="Z1560" i="1"/>
  <c r="Z1416" i="1"/>
  <c r="Z1344" i="1"/>
  <c r="Z1022" i="1"/>
  <c r="Z1383" i="1"/>
  <c r="Z796" i="1"/>
  <c r="Z1357" i="1"/>
  <c r="Z1573" i="1"/>
  <c r="Z1789" i="1"/>
  <c r="Z1617" i="1"/>
  <c r="Z994" i="1"/>
  <c r="Z680" i="1"/>
  <c r="Z1400" i="1"/>
  <c r="Z1544" i="1"/>
  <c r="Z1644" i="1"/>
  <c r="Z1574" i="1"/>
  <c r="Z1670" i="1"/>
  <c r="Z64" i="1"/>
  <c r="Z136" i="1"/>
  <c r="Z292" i="1"/>
  <c r="Z364" i="1"/>
  <c r="Z436" i="1"/>
  <c r="Z592" i="1"/>
  <c r="Z1276" i="1"/>
  <c r="Z1480" i="1"/>
  <c r="Z1097" i="1"/>
  <c r="Z1685" i="1"/>
  <c r="Z833" i="1"/>
  <c r="Z747" i="1"/>
  <c r="Z831" i="1"/>
  <c r="Z939" i="1"/>
  <c r="Z1047" i="1"/>
  <c r="Z1335" i="1"/>
  <c r="Z1503" i="1"/>
  <c r="Z1587" i="1"/>
  <c r="Z1671" i="1"/>
  <c r="Z1133" i="1"/>
  <c r="Z665" i="1"/>
  <c r="Z1121" i="1"/>
  <c r="Z1327" i="1"/>
  <c r="Z1217" i="1"/>
  <c r="Z1783" i="1"/>
  <c r="Z175" i="1"/>
  <c r="Z259" i="1"/>
  <c r="Z331" i="1"/>
  <c r="Z403" i="1"/>
  <c r="Z655" i="1"/>
  <c r="Z763" i="1"/>
  <c r="Z955" i="1"/>
  <c r="Z1027" i="1"/>
  <c r="Z1567" i="1"/>
  <c r="Z1651" i="1"/>
  <c r="Z296" i="1"/>
  <c r="Z392" i="1"/>
  <c r="Z423" i="1"/>
  <c r="Z164" i="1"/>
  <c r="Z332" i="1"/>
  <c r="Z524" i="1"/>
  <c r="Z141" i="1"/>
  <c r="Z1648" i="1"/>
  <c r="Z73" i="1"/>
  <c r="Z145" i="1"/>
  <c r="Z217" i="1"/>
  <c r="Z289" i="1"/>
  <c r="Z361" i="1"/>
  <c r="Z433" i="1"/>
  <c r="Z505" i="1"/>
  <c r="Z577" i="1"/>
  <c r="Z649" i="1"/>
  <c r="Z865" i="1"/>
  <c r="Z937" i="1"/>
  <c r="Z1009" i="1"/>
  <c r="Z1081" i="1"/>
  <c r="Z1153" i="1"/>
  <c r="Z1297" i="1"/>
  <c r="Z1585" i="1"/>
  <c r="Z1657" i="1"/>
  <c r="Z1729" i="1"/>
  <c r="Z597" i="1"/>
  <c r="Z801" i="1"/>
  <c r="Z1029" i="1"/>
  <c r="Z1377" i="1"/>
  <c r="Z1641" i="1"/>
  <c r="Z70" i="1"/>
  <c r="Z310" i="1"/>
  <c r="Z466" i="1"/>
  <c r="Z682" i="1"/>
  <c r="Z862" i="1"/>
  <c r="Z1006" i="1"/>
  <c r="Z1150" i="1"/>
  <c r="Z1522" i="1"/>
  <c r="Z722" i="1"/>
  <c r="Z1454" i="1"/>
  <c r="Z678" i="1"/>
  <c r="Z1761" i="1"/>
  <c r="Z684" i="1"/>
  <c r="Z1434" i="1"/>
  <c r="Z693" i="1"/>
  <c r="Z118" i="1"/>
  <c r="Z1438" i="1"/>
  <c r="Z1158" i="1"/>
  <c r="Z549" i="1"/>
  <c r="Z885" i="1"/>
  <c r="Z119" i="1"/>
  <c r="Z1722" i="1"/>
  <c r="Z1402" i="1"/>
  <c r="Z468" i="1"/>
  <c r="Z1740" i="1"/>
  <c r="Z907" i="1"/>
  <c r="Z756" i="1"/>
  <c r="Z620" i="1"/>
  <c r="Z692" i="1"/>
  <c r="Z764" i="1"/>
  <c r="Z836" i="1"/>
  <c r="Z908" i="1"/>
  <c r="Z980" i="1"/>
  <c r="Z1052" i="1"/>
  <c r="Z1124" i="1"/>
  <c r="Z1196" i="1"/>
  <c r="Z1340" i="1"/>
  <c r="Z1412" i="1"/>
  <c r="Z1484" i="1"/>
  <c r="Z1556" i="1"/>
  <c r="Z1628" i="1"/>
  <c r="Z1700" i="1"/>
  <c r="Z1772" i="1"/>
  <c r="Z1065" i="1"/>
  <c r="Z1629" i="1"/>
  <c r="Z526" i="1"/>
  <c r="Z1378" i="1"/>
  <c r="Z167" i="1"/>
  <c r="Z659" i="1"/>
  <c r="Z1103" i="1"/>
  <c r="Z1727" i="1"/>
  <c r="Z1188" i="1"/>
  <c r="Z670" i="1"/>
  <c r="Z1450" i="1"/>
  <c r="Z251" i="1"/>
  <c r="Z671" i="1"/>
  <c r="Z1127" i="1"/>
  <c r="Z1739" i="1"/>
  <c r="Z516" i="1"/>
  <c r="Z1080" i="1"/>
  <c r="Z1776" i="1"/>
  <c r="Z264" i="1"/>
  <c r="Z540" i="1"/>
  <c r="Z1068" i="1"/>
  <c r="Z1260" i="1"/>
  <c r="Z1452" i="1"/>
  <c r="Z256" i="1"/>
  <c r="Z114" i="1"/>
  <c r="Z402" i="1"/>
  <c r="Z726" i="1"/>
  <c r="Z1062" i="1"/>
  <c r="Z1398" i="1"/>
  <c r="Z465" i="1"/>
  <c r="Z106" i="1"/>
  <c r="Z790" i="1"/>
  <c r="Z935" i="1"/>
  <c r="Z1511" i="1"/>
  <c r="Z804" i="1"/>
  <c r="Z1464" i="1"/>
  <c r="Z186" i="1"/>
  <c r="Z534" i="1"/>
  <c r="Z834" i="1"/>
  <c r="Z1482" i="1"/>
  <c r="Z1509" i="1"/>
  <c r="Z214" i="1"/>
  <c r="Z802" i="1"/>
  <c r="Z60" i="1"/>
  <c r="Z1380" i="1"/>
  <c r="Z78" i="1"/>
  <c r="Z282" i="1"/>
  <c r="Z498" i="1"/>
  <c r="Z750" i="1"/>
  <c r="Z966" i="1"/>
  <c r="Z1206" i="1"/>
  <c r="Z1422" i="1"/>
  <c r="Z1710" i="1"/>
  <c r="Z585" i="1"/>
  <c r="Z753" i="1"/>
  <c r="Z957" i="1"/>
  <c r="Z1281" i="1"/>
  <c r="Z1653" i="1"/>
  <c r="Z179" i="1"/>
  <c r="Z359" i="1"/>
  <c r="Z563" i="1"/>
  <c r="Z815" i="1"/>
  <c r="Z1091" i="1"/>
  <c r="Z1295" i="1"/>
  <c r="Z1499" i="1"/>
  <c r="Z1691" i="1"/>
  <c r="Z138" i="1"/>
  <c r="Z474" i="1"/>
  <c r="Z762" i="1"/>
  <c r="Z1086" i="1"/>
  <c r="Z1410" i="1"/>
  <c r="Z1782" i="1"/>
  <c r="Z1269" i="1"/>
  <c r="Z166" i="1"/>
  <c r="Z838" i="1"/>
  <c r="Z1534" i="1"/>
  <c r="Z215" i="1"/>
  <c r="Z695" i="1"/>
  <c r="Z1175" i="1"/>
  <c r="Z1751" i="1"/>
  <c r="Z564" i="1"/>
  <c r="Z1152" i="1"/>
  <c r="Z238" i="1"/>
  <c r="Z982" i="1"/>
  <c r="Z491" i="1"/>
  <c r="Z911" i="1"/>
  <c r="Z1475" i="1"/>
  <c r="Z228" i="1"/>
  <c r="Z864" i="1"/>
  <c r="Z1404" i="1"/>
  <c r="Z440" i="1"/>
  <c r="Z137" i="1"/>
  <c r="Z535" i="1"/>
  <c r="Z783" i="1"/>
  <c r="Z1083" i="1"/>
  <c r="Z1395" i="1"/>
  <c r="Z1467" i="1"/>
  <c r="Z1539" i="1"/>
  <c r="Z1635" i="1"/>
  <c r="Z1301" i="1"/>
  <c r="Z965" i="1"/>
  <c r="Z1541" i="1"/>
  <c r="Z425" i="1"/>
  <c r="Z55" i="1"/>
  <c r="Z295" i="1"/>
  <c r="Z367" i="1"/>
  <c r="Z619" i="1"/>
  <c r="Z991" i="1"/>
  <c r="Z1063" i="1"/>
  <c r="Z248" i="1"/>
  <c r="Z356" i="1"/>
  <c r="Z326" i="1"/>
  <c r="Z1058" i="1"/>
  <c r="Z328" i="1"/>
  <c r="Z640" i="1"/>
  <c r="Z940" i="1"/>
  <c r="Z1540" i="1"/>
  <c r="Z472" i="1"/>
  <c r="Z868" i="1"/>
  <c r="Z1769" i="1"/>
  <c r="Z712" i="1"/>
  <c r="Z556" i="1"/>
  <c r="Z1205" i="1"/>
  <c r="Z26" i="1"/>
  <c r="Z98" i="1"/>
  <c r="Z710" i="1"/>
  <c r="Z998" i="1"/>
  <c r="Z1094" i="1"/>
  <c r="Z1178" i="1"/>
  <c r="Z1370" i="1"/>
  <c r="Z1478" i="1"/>
  <c r="Z976" i="1"/>
  <c r="Z1060" i="1"/>
  <c r="Z1372" i="1"/>
  <c r="Z1708" i="1"/>
  <c r="Z29" i="1"/>
  <c r="Z197" i="1"/>
  <c r="Z497" i="1"/>
  <c r="Z1361" i="1"/>
  <c r="Z39" i="1"/>
  <c r="Z135" i="1"/>
  <c r="Z243" i="1"/>
  <c r="Z399" i="1"/>
  <c r="Z507" i="1"/>
  <c r="Z579" i="1"/>
  <c r="Z651" i="1"/>
  <c r="Z1263" i="1"/>
  <c r="Z1431" i="1"/>
  <c r="Z557" i="1"/>
  <c r="Z1517" i="1"/>
  <c r="Z1457" i="1"/>
  <c r="Z1757" i="1"/>
  <c r="Z233" i="1"/>
  <c r="Z365" i="1"/>
  <c r="Z485" i="1"/>
  <c r="Z737" i="1"/>
  <c r="Z1663" i="1"/>
  <c r="Z91" i="1"/>
  <c r="Z571" i="1"/>
  <c r="Z1183" i="1"/>
  <c r="Z1291" i="1"/>
  <c r="Z1387" i="1"/>
  <c r="Z1459" i="1"/>
  <c r="Z1326" i="1"/>
  <c r="Z208" i="1"/>
  <c r="Z520" i="1"/>
  <c r="Z676" i="1"/>
  <c r="Z748" i="1"/>
  <c r="Z904" i="1"/>
  <c r="Z1119" i="1"/>
  <c r="Z1191" i="1"/>
  <c r="Z1743" i="1"/>
  <c r="Z1111" i="1"/>
  <c r="Z721" i="1"/>
  <c r="Z793" i="1"/>
  <c r="Z1225" i="1"/>
  <c r="Z1369" i="1"/>
  <c r="Z1441" i="1"/>
  <c r="Z1513" i="1"/>
  <c r="Z1746" i="1"/>
  <c r="Z1598" i="1"/>
  <c r="Z482" i="1"/>
  <c r="Z1790" i="1"/>
  <c r="Z832" i="1"/>
  <c r="Z1267" i="1"/>
  <c r="Z1156" i="1"/>
  <c r="Z110" i="1"/>
  <c r="Z986" i="1"/>
  <c r="Z1359" i="1"/>
  <c r="Z1732" i="1"/>
  <c r="Z1432" i="1"/>
  <c r="Z1778" i="1"/>
  <c r="Z572" i="1"/>
  <c r="Z37" i="1"/>
  <c r="Z109" i="1"/>
  <c r="Z181" i="1"/>
  <c r="Z253" i="1"/>
  <c r="Z325" i="1"/>
  <c r="Z397" i="1"/>
  <c r="Z469" i="1"/>
  <c r="Z541" i="1"/>
  <c r="Z613" i="1"/>
  <c r="Z685" i="1"/>
  <c r="Z829" i="1"/>
  <c r="Z901" i="1"/>
  <c r="Z1045" i="1"/>
  <c r="Z1117" i="1"/>
  <c r="Z1189" i="1"/>
  <c r="Z1261" i="1"/>
  <c r="Z1333" i="1"/>
  <c r="Z1405" i="1"/>
  <c r="Z1477" i="1"/>
  <c r="Z1549" i="1"/>
  <c r="Z1621" i="1"/>
  <c r="Z1693" i="1"/>
  <c r="Z1765" i="1"/>
  <c r="Z1602" i="1"/>
  <c r="Z513" i="1"/>
  <c r="Z705" i="1"/>
  <c r="Z897" i="1"/>
  <c r="Z1197" i="1"/>
  <c r="Z1497" i="1"/>
  <c r="Z1785" i="1"/>
  <c r="Z574" i="1"/>
  <c r="Z766" i="1"/>
  <c r="Z934" i="1"/>
  <c r="Z1078" i="1"/>
  <c r="Z1246" i="1"/>
  <c r="Z1426" i="1"/>
  <c r="Z1618" i="1"/>
  <c r="Z554" i="1"/>
  <c r="Z1334" i="1"/>
  <c r="Z1518" i="1"/>
  <c r="Z1401" i="1"/>
  <c r="Z23" i="1"/>
  <c r="Z371" i="1"/>
  <c r="Z583" i="1"/>
  <c r="Z1375" i="1"/>
  <c r="Z584" i="1"/>
  <c r="Z656" i="1"/>
  <c r="Z728" i="1"/>
  <c r="Z800" i="1"/>
  <c r="Z872" i="1"/>
  <c r="Z944" i="1"/>
  <c r="Z1016" i="1"/>
  <c r="Z1088" i="1"/>
  <c r="Z1232" i="1"/>
  <c r="Z1304" i="1"/>
  <c r="Z1376" i="1"/>
  <c r="Z1448" i="1"/>
  <c r="Z1664" i="1"/>
  <c r="Z1341" i="1"/>
  <c r="Z178" i="1"/>
  <c r="Z886" i="1"/>
  <c r="Z419" i="1"/>
  <c r="Z887" i="1"/>
  <c r="Z1403" i="1"/>
  <c r="Z216" i="1"/>
  <c r="Z816" i="1"/>
  <c r="Z262" i="1"/>
  <c r="Z1042" i="1"/>
  <c r="Z35" i="1"/>
  <c r="Z503" i="1"/>
  <c r="Z875" i="1"/>
  <c r="Z1439" i="1"/>
  <c r="Z288" i="1"/>
  <c r="Z792" i="1"/>
  <c r="Z144" i="1"/>
  <c r="Z396" i="1"/>
  <c r="Z672" i="1"/>
  <c r="Z912" i="1"/>
  <c r="Z1164" i="1"/>
  <c r="Z1548" i="1"/>
  <c r="Z677" i="1"/>
  <c r="Z1471" i="1"/>
  <c r="Z1337" i="1"/>
  <c r="Z1781" i="1"/>
  <c r="Z14" i="1"/>
  <c r="Z158" i="1"/>
  <c r="Z770" i="1"/>
  <c r="Z1468" i="1"/>
  <c r="Z1202" i="1"/>
  <c r="Z494" i="1"/>
  <c r="Z590" i="1"/>
  <c r="Z1538" i="1"/>
  <c r="Z496" i="1"/>
  <c r="Z1036" i="1"/>
  <c r="Z929" i="1"/>
  <c r="Z7" i="1"/>
  <c r="Z1239" i="1"/>
  <c r="Z1311" i="1"/>
  <c r="Z1479" i="1"/>
  <c r="Z1791" i="1"/>
  <c r="Z1697" i="1"/>
  <c r="Z845" i="1"/>
  <c r="Z1035" i="1"/>
  <c r="Z307" i="1"/>
  <c r="Z1075" i="1"/>
  <c r="Z1435" i="1"/>
  <c r="Z189" i="1"/>
  <c r="Z333" i="1"/>
  <c r="Z405" i="1"/>
  <c r="Z111" i="1"/>
  <c r="Z1273" i="1"/>
  <c r="Z1545" i="1"/>
  <c r="Z10" i="1"/>
  <c r="Z226" i="1"/>
  <c r="Z442" i="1"/>
  <c r="Z610" i="1"/>
  <c r="Z814" i="1"/>
  <c r="Z958" i="1"/>
  <c r="Z1126" i="1"/>
  <c r="Z1462" i="1"/>
  <c r="Z1642" i="1"/>
  <c r="Z602" i="1"/>
  <c r="Z1658" i="1"/>
  <c r="Z1104" i="1"/>
  <c r="Z372" i="1"/>
  <c r="Z698" i="1"/>
  <c r="Z1070" i="1"/>
  <c r="Z1646" i="1"/>
  <c r="Z1754" i="1"/>
  <c r="Z268" i="1"/>
  <c r="Z808" i="1"/>
  <c r="Z1456" i="1"/>
  <c r="Z567" i="1"/>
  <c r="Z639" i="1"/>
  <c r="Z915" i="1"/>
  <c r="Z1251" i="1"/>
  <c r="Z1647" i="1"/>
  <c r="Z1721" i="1"/>
  <c r="Z79" i="1"/>
  <c r="Z235" i="1"/>
  <c r="Z463" i="1"/>
  <c r="Z931" i="1"/>
  <c r="Z1171" i="1"/>
  <c r="Z1279" i="1"/>
  <c r="Z1447" i="1"/>
  <c r="Z116" i="1"/>
  <c r="Z129" i="1"/>
  <c r="Z201" i="1"/>
  <c r="Z273" i="1"/>
  <c r="Z345" i="1"/>
  <c r="Z161" i="1"/>
  <c r="Z281" i="1"/>
  <c r="Z697" i="1"/>
  <c r="Z1489" i="1"/>
  <c r="Z1406" i="1"/>
  <c r="Z182" i="1"/>
  <c r="Z266" i="1"/>
  <c r="Z350" i="1"/>
  <c r="Z434" i="1"/>
  <c r="Z518" i="1"/>
  <c r="Z614" i="1"/>
  <c r="Z794" i="1"/>
  <c r="Z890" i="1"/>
  <c r="Z1262" i="1"/>
  <c r="Z52" i="1"/>
  <c r="Z124" i="1"/>
  <c r="Z196" i="1"/>
  <c r="Z280" i="1"/>
  <c r="Z424" i="1"/>
  <c r="Z1696" i="1"/>
  <c r="Z735" i="1"/>
  <c r="Z807" i="1"/>
  <c r="Z1011" i="1"/>
  <c r="Z1107" i="1"/>
  <c r="Z1179" i="1"/>
  <c r="Z1575" i="1"/>
  <c r="Z1013" i="1"/>
  <c r="Z545" i="1"/>
  <c r="Z1466" i="1"/>
  <c r="Z163" i="1"/>
  <c r="Z319" i="1"/>
  <c r="Z391" i="1"/>
  <c r="Z475" i="1"/>
  <c r="Z1015" i="1"/>
  <c r="Z1087" i="1"/>
  <c r="Z1555" i="1"/>
  <c r="Z1639" i="1"/>
  <c r="Z284" i="1"/>
  <c r="Z380" i="1"/>
  <c r="Z32" i="1"/>
  <c r="Z308" i="1"/>
  <c r="Z512" i="1"/>
  <c r="Z221" i="1"/>
  <c r="Z819" i="1"/>
  <c r="Z61" i="1"/>
  <c r="Z133" i="1"/>
  <c r="Z205" i="1"/>
  <c r="Z277" i="1"/>
  <c r="Z349" i="1"/>
  <c r="Z421" i="1"/>
  <c r="Z493" i="1"/>
  <c r="Z565" i="1"/>
  <c r="Z637" i="1"/>
  <c r="Z709" i="1"/>
  <c r="Z781" i="1"/>
  <c r="Z853" i="1"/>
  <c r="Z925" i="1"/>
  <c r="Z997" i="1"/>
  <c r="Z1069" i="1"/>
  <c r="Z1141" i="1"/>
  <c r="Z1213" i="1"/>
  <c r="Z1285" i="1"/>
  <c r="Z1429" i="1"/>
  <c r="Z1501" i="1"/>
  <c r="Z1645" i="1"/>
  <c r="Z1717" i="1"/>
  <c r="Z1698" i="1"/>
  <c r="Z561" i="1"/>
  <c r="Z765" i="1"/>
  <c r="Z993" i="1"/>
  <c r="Z1305" i="1"/>
  <c r="Z46" i="1"/>
  <c r="Z274" i="1"/>
  <c r="Z454" i="1"/>
  <c r="Z658" i="1"/>
  <c r="Z826" i="1"/>
  <c r="Z1138" i="1"/>
  <c r="Z1294" i="1"/>
  <c r="Z1498" i="1"/>
  <c r="Z1690" i="1"/>
  <c r="Z674" i="1"/>
  <c r="Z1430" i="1"/>
  <c r="Z1266" i="1"/>
  <c r="Z12" i="1"/>
  <c r="Z1318" i="1"/>
  <c r="Z492" i="1"/>
  <c r="Z222" i="1"/>
  <c r="Z426" i="1"/>
  <c r="Z525" i="1"/>
  <c r="Z1161" i="1"/>
  <c r="Z104" i="1"/>
  <c r="Z57" i="1"/>
  <c r="Z213" i="1"/>
  <c r="Z285" i="1"/>
  <c r="Z357" i="1"/>
  <c r="Z429" i="1"/>
  <c r="Z1442" i="1"/>
  <c r="Z66" i="1"/>
  <c r="Z354" i="1"/>
  <c r="Z1026" i="1"/>
  <c r="Z1338" i="1"/>
  <c r="Z1770" i="1"/>
  <c r="Z1173" i="1"/>
  <c r="Z646" i="1"/>
  <c r="Z1390" i="1"/>
  <c r="Z779" i="1"/>
  <c r="Z1427" i="1"/>
  <c r="Z96" i="1"/>
  <c r="Z1356" i="1"/>
  <c r="Z126" i="1"/>
  <c r="Z486" i="1"/>
  <c r="Z774" i="1"/>
  <c r="Z1074" i="1"/>
  <c r="Z1425" i="1"/>
  <c r="Z694" i="1"/>
  <c r="Z1631" i="1"/>
  <c r="Z612" i="1"/>
  <c r="Z1248" i="1"/>
  <c r="Z42" i="1"/>
  <c r="Z234" i="1"/>
  <c r="Z462" i="1"/>
  <c r="Z702" i="1"/>
  <c r="Z918" i="1"/>
  <c r="Z1386" i="1"/>
  <c r="Z1662" i="1"/>
  <c r="Z729" i="1"/>
  <c r="Z1221" i="1"/>
  <c r="Z1605" i="1"/>
  <c r="Z323" i="1"/>
  <c r="Z527" i="1"/>
  <c r="Z767" i="1"/>
  <c r="Z1055" i="1"/>
  <c r="Z1271" i="1"/>
  <c r="Z1463" i="1"/>
  <c r="Z1667" i="1"/>
  <c r="Z90" i="1"/>
  <c r="Z414" i="1"/>
  <c r="Z714" i="1"/>
  <c r="Z1038" i="1"/>
  <c r="Z1350" i="1"/>
  <c r="Z1185" i="1"/>
  <c r="Z82" i="1"/>
  <c r="Z742" i="1"/>
  <c r="Z131" i="1"/>
  <c r="Z623" i="1"/>
  <c r="Z1079" i="1"/>
  <c r="Z1607" i="1"/>
  <c r="Z1032" i="1"/>
  <c r="Z895" i="1"/>
  <c r="Z1603" i="1"/>
  <c r="Z154" i="1"/>
  <c r="Z850" i="1"/>
  <c r="Z1582" i="1"/>
  <c r="Z395" i="1"/>
  <c r="Z863" i="1"/>
  <c r="Z1355" i="1"/>
  <c r="Z132" i="1"/>
  <c r="Z1308" i="1"/>
  <c r="Z152" i="1"/>
  <c r="Z1408" i="1"/>
  <c r="Z1445" i="1"/>
  <c r="Z723" i="1"/>
  <c r="Z987" i="1"/>
  <c r="Z254" i="1"/>
  <c r="Z914" i="1"/>
  <c r="Z1142" i="1"/>
  <c r="Z1623" i="1"/>
  <c r="Z1144" i="1"/>
  <c r="Z1342" i="1"/>
  <c r="Z1750" i="1"/>
  <c r="Z43" i="1"/>
  <c r="Z943" i="1"/>
  <c r="Z1268" i="1"/>
  <c r="Z528" i="1"/>
  <c r="Z1317" i="1"/>
  <c r="Z780" i="1"/>
  <c r="Z1668" i="1"/>
  <c r="Z484" i="1"/>
  <c r="Z1612" i="1"/>
  <c r="Z1025" i="1"/>
  <c r="Z1023" i="1"/>
  <c r="Z278" i="1"/>
  <c r="Z938" i="1"/>
  <c r="Z1166" i="1"/>
  <c r="Z1730" i="1"/>
  <c r="Z1274" i="1"/>
  <c r="Z50" i="1"/>
  <c r="Z206" i="1"/>
  <c r="Z458" i="1"/>
  <c r="Z734" i="1"/>
  <c r="Z1382" i="1"/>
  <c r="Z1502" i="1"/>
  <c r="Z4" i="1"/>
  <c r="Z76" i="1"/>
  <c r="Z148" i="1"/>
  <c r="Z220" i="1"/>
  <c r="Z304" i="1"/>
  <c r="Z376" i="1"/>
  <c r="Z688" i="1"/>
  <c r="Z988" i="1"/>
  <c r="Z1192" i="1"/>
  <c r="Z1288" i="1"/>
  <c r="Z1384" i="1"/>
  <c r="Z1516" i="1"/>
  <c r="Z1145" i="1"/>
  <c r="Z1385" i="1"/>
  <c r="Z1709" i="1"/>
  <c r="Z1243" i="1"/>
  <c r="Z759" i="1"/>
  <c r="Z1059" i="1"/>
  <c r="Z1347" i="1"/>
  <c r="Z1515" i="1"/>
  <c r="Z1599" i="1"/>
  <c r="Z1193" i="1"/>
  <c r="Z905" i="1"/>
  <c r="Z1169" i="1"/>
  <c r="Z1627" i="1"/>
  <c r="Z1553" i="1"/>
  <c r="Z271" i="1"/>
  <c r="Z343" i="1"/>
  <c r="Z415" i="1"/>
  <c r="Z595" i="1"/>
  <c r="Z967" i="1"/>
  <c r="Z1039" i="1"/>
  <c r="Z1303" i="1"/>
  <c r="Z1483" i="1"/>
  <c r="Z1579" i="1"/>
  <c r="Z1675" i="1"/>
  <c r="Z320" i="1"/>
  <c r="Z416" i="1"/>
  <c r="Z989" i="1"/>
  <c r="Z536" i="1"/>
  <c r="Z1180" i="1"/>
  <c r="Z159" i="1"/>
  <c r="Z13" i="1"/>
  <c r="Z85" i="1"/>
  <c r="Z157" i="1"/>
  <c r="Z229" i="1"/>
  <c r="Z301" i="1"/>
  <c r="Z373" i="1"/>
  <c r="Z445" i="1"/>
  <c r="Z517" i="1"/>
  <c r="Z488" i="1"/>
  <c r="Z302" i="1"/>
  <c r="Z1694" i="1"/>
  <c r="Z1711" i="1"/>
  <c r="Z1024" i="1"/>
  <c r="Z315" i="1"/>
  <c r="Z974" i="1"/>
  <c r="Z62" i="1"/>
  <c r="Z218" i="1"/>
  <c r="Z314" i="1"/>
  <c r="Z470" i="1"/>
  <c r="Z566" i="1"/>
  <c r="Z746" i="1"/>
  <c r="Z830" i="1"/>
  <c r="Z1046" i="1"/>
  <c r="Z1214" i="1"/>
  <c r="Z1298" i="1"/>
  <c r="Z1514" i="1"/>
  <c r="Z16" i="1"/>
  <c r="Z88" i="1"/>
  <c r="Z160" i="1"/>
  <c r="Z232" i="1"/>
  <c r="Z316" i="1"/>
  <c r="Z388" i="1"/>
  <c r="Z1300" i="1"/>
  <c r="Z1528" i="1"/>
  <c r="Z1756" i="1"/>
  <c r="Z1181" i="1"/>
  <c r="Z2" i="1"/>
  <c r="Z1588" i="1"/>
  <c r="Z771" i="1"/>
  <c r="Z1071" i="1"/>
  <c r="Z1143" i="1"/>
  <c r="Z1371" i="1"/>
  <c r="Z1455" i="1"/>
  <c r="Z1527" i="1"/>
  <c r="Z1695" i="1"/>
  <c r="Z1253" i="1"/>
  <c r="Z67" i="1"/>
  <c r="Z953" i="1"/>
  <c r="Z1229" i="1"/>
  <c r="Z68" i="1"/>
  <c r="Z1747" i="1"/>
  <c r="Z139" i="1"/>
  <c r="Z283" i="1"/>
  <c r="Z355" i="1"/>
  <c r="Z607" i="1"/>
  <c r="Z691" i="1"/>
  <c r="Z979" i="1"/>
  <c r="Z1051" i="1"/>
  <c r="Z1135" i="1"/>
  <c r="Z1495" i="1"/>
  <c r="Z20" i="1"/>
  <c r="Z176" i="1"/>
  <c r="Z344" i="1"/>
  <c r="Z1469" i="1"/>
  <c r="Z1336" i="1"/>
  <c r="Z207" i="1"/>
  <c r="Z387" i="1"/>
  <c r="Z1766" i="1"/>
  <c r="Z25" i="1"/>
  <c r="Z97" i="1"/>
  <c r="Z169" i="1"/>
  <c r="Z241" i="1"/>
  <c r="Z313" i="1"/>
  <c r="Z457" i="1"/>
  <c r="Z529" i="1"/>
  <c r="Z1752" i="1"/>
  <c r="Z1168" i="1"/>
  <c r="Z33" i="1"/>
  <c r="Z1313" i="1"/>
  <c r="Z942" i="1"/>
  <c r="Z1162" i="1"/>
  <c r="Z679" i="1"/>
  <c r="Z1507" i="1"/>
  <c r="Z1128" i="1"/>
  <c r="Z1764" i="1"/>
  <c r="Z521" i="1"/>
  <c r="Z1349" i="1"/>
  <c r="Z990" i="1"/>
  <c r="Z847" i="1"/>
  <c r="Z1212" i="1"/>
  <c r="Z44" i="1"/>
  <c r="Z596" i="1"/>
  <c r="Z884" i="1"/>
  <c r="Z11" i="1"/>
  <c r="Z927" i="1"/>
  <c r="Z230" i="1"/>
  <c r="Z1034" i="1"/>
  <c r="Z1650" i="1"/>
  <c r="Z859" i="1"/>
  <c r="Z1543" i="1"/>
  <c r="Z92" i="1"/>
  <c r="Z608" i="1"/>
  <c r="Z752" i="1"/>
  <c r="Z824" i="1"/>
  <c r="Z896" i="1"/>
  <c r="Z968" i="1"/>
  <c r="Z1040" i="1"/>
  <c r="Z1112" i="1"/>
  <c r="Z1184" i="1"/>
  <c r="Z1256" i="1"/>
  <c r="Z1328" i="1"/>
  <c r="Z1472" i="1"/>
  <c r="Z1616" i="1"/>
  <c r="Z1688" i="1"/>
  <c r="Z1760" i="1"/>
  <c r="Z981" i="1"/>
  <c r="Z1521" i="1"/>
  <c r="Z382" i="1"/>
  <c r="Z1270" i="1"/>
  <c r="Z83" i="1"/>
  <c r="Z587" i="1"/>
  <c r="Z1031" i="1"/>
  <c r="Z1619" i="1"/>
  <c r="Z420" i="1"/>
  <c r="Z1044" i="1"/>
  <c r="Z573" i="1"/>
  <c r="Z562" i="1"/>
  <c r="Z1330" i="1"/>
  <c r="Z155" i="1"/>
  <c r="Z599" i="1"/>
  <c r="Z1043" i="1"/>
  <c r="Z1643" i="1"/>
  <c r="Z456" i="1"/>
  <c r="Z984" i="1"/>
  <c r="Z252" i="1"/>
  <c r="Z480" i="1"/>
  <c r="Z744" i="1"/>
  <c r="Z1020" i="1"/>
  <c r="Z1200" i="1"/>
  <c r="Z1428" i="1"/>
  <c r="Z1620" i="1"/>
  <c r="Z77" i="1"/>
  <c r="Z1310" i="1"/>
  <c r="Z589" i="1"/>
  <c r="Z733" i="1"/>
  <c r="Z805" i="1"/>
  <c r="Z877" i="1"/>
  <c r="Z949" i="1"/>
  <c r="Z1093" i="1"/>
  <c r="Z1165" i="1"/>
  <c r="Z1237" i="1"/>
  <c r="Z1309" i="1"/>
  <c r="Z1381" i="1"/>
  <c r="Z1453" i="1"/>
  <c r="Z1525" i="1"/>
  <c r="Z1669" i="1"/>
  <c r="Z1741" i="1"/>
  <c r="Z441" i="1"/>
  <c r="Z633" i="1"/>
  <c r="Z1089" i="1"/>
  <c r="Z1413" i="1"/>
  <c r="Z1713" i="1"/>
  <c r="Z94" i="1"/>
  <c r="Z490" i="1"/>
  <c r="Z706" i="1"/>
  <c r="Z874" i="1"/>
  <c r="Z1186" i="1"/>
  <c r="Z1366" i="1"/>
  <c r="Z1546" i="1"/>
  <c r="Z422" i="1"/>
  <c r="Z818" i="1"/>
  <c r="Z1490" i="1"/>
  <c r="Z1257" i="1"/>
  <c r="Z1486" i="1"/>
  <c r="Z180" i="1"/>
  <c r="Z1134" i="1"/>
  <c r="Z969" i="1"/>
  <c r="Z1558" i="1"/>
  <c r="Z732" i="1"/>
  <c r="Z439" i="1"/>
  <c r="Z1099" i="1"/>
  <c r="Z1702" i="1"/>
  <c r="Z632" i="1"/>
  <c r="Z920" i="1"/>
  <c r="Z1064" i="1"/>
  <c r="Z1136" i="1"/>
  <c r="Z1208" i="1"/>
  <c r="Z1280" i="1"/>
  <c r="Z1352" i="1"/>
  <c r="Z1424" i="1"/>
  <c r="Z1496" i="1"/>
  <c r="Z1568" i="1"/>
  <c r="Z1640" i="1"/>
  <c r="Z1712" i="1"/>
  <c r="Z1784" i="1"/>
  <c r="Z1725" i="1"/>
  <c r="Z634" i="1"/>
  <c r="Z1510" i="1"/>
  <c r="Z263" i="1"/>
  <c r="Z743" i="1"/>
  <c r="Z1223" i="1"/>
  <c r="Z624" i="1"/>
  <c r="Z1701" i="1"/>
  <c r="Z778" i="1"/>
  <c r="Z731" i="1"/>
  <c r="Z1235" i="1"/>
  <c r="Z72" i="1"/>
  <c r="Z1224" i="1"/>
  <c r="Z48" i="1"/>
  <c r="Z312" i="1"/>
  <c r="Z576" i="1"/>
  <c r="Z1092" i="1"/>
  <c r="Z1272" i="1"/>
  <c r="Z1476" i="1"/>
  <c r="Z1692" i="1"/>
  <c r="Z628" i="1"/>
  <c r="Z1565" i="1"/>
  <c r="Z601" i="1"/>
  <c r="Z673" i="1"/>
  <c r="Z745" i="1"/>
  <c r="Z817" i="1"/>
  <c r="Z961" i="1"/>
  <c r="Z1105" i="1"/>
  <c r="Z1177" i="1"/>
  <c r="Z1249" i="1"/>
  <c r="Z1393" i="1"/>
  <c r="Z1465" i="1"/>
  <c r="Z1537" i="1"/>
  <c r="Z1609" i="1"/>
  <c r="Z1753" i="1"/>
  <c r="Z1554" i="1"/>
  <c r="Z489" i="1"/>
  <c r="Z669" i="1"/>
  <c r="Z873" i="1"/>
  <c r="Z1137" i="1"/>
  <c r="Z142" i="1"/>
  <c r="Z346" i="1"/>
  <c r="Z550" i="1"/>
  <c r="Z718" i="1"/>
  <c r="Z898" i="1"/>
  <c r="Z1030" i="1"/>
  <c r="Z1222" i="1"/>
  <c r="Z1414" i="1"/>
  <c r="Z1570" i="1"/>
  <c r="Z506" i="1"/>
  <c r="Z866" i="1"/>
  <c r="Z1562" i="1"/>
  <c r="Z922" i="1"/>
  <c r="Z1542" i="1"/>
  <c r="Z1593" i="1"/>
  <c r="Z156" i="1"/>
  <c r="Z1488" i="1"/>
  <c r="Z1005" i="1"/>
  <c r="Z1329" i="1"/>
  <c r="Z1737" i="1"/>
  <c r="Z645" i="1"/>
  <c r="Z970" i="1"/>
  <c r="Z287" i="1"/>
  <c r="Z660" i="1"/>
  <c r="Z487" i="1"/>
  <c r="Z1231" i="1"/>
  <c r="Z1759" i="1"/>
  <c r="Z716" i="1"/>
  <c r="Z788" i="1"/>
  <c r="Z860" i="1"/>
  <c r="Z932" i="1"/>
  <c r="Z1004" i="1"/>
  <c r="Z1076" i="1"/>
  <c r="Z1148" i="1"/>
  <c r="Z1220" i="1"/>
  <c r="Z1292" i="1"/>
  <c r="Z1364" i="1"/>
  <c r="Z1508" i="1"/>
  <c r="Z1580" i="1"/>
  <c r="Z1652" i="1"/>
  <c r="Z1724" i="1"/>
  <c r="Z477" i="1"/>
  <c r="Z1245" i="1"/>
  <c r="Z58" i="1"/>
  <c r="Z754" i="1"/>
  <c r="Z1630" i="1"/>
  <c r="Z827" i="1"/>
  <c r="Z1307" i="1"/>
  <c r="Z120" i="1"/>
  <c r="Z708" i="1"/>
  <c r="Z130" i="1"/>
  <c r="Z910" i="1"/>
  <c r="Z1738" i="1"/>
  <c r="Z455" i="1"/>
  <c r="Z803" i="1"/>
  <c r="Z1343" i="1"/>
  <c r="Z192" i="1"/>
  <c r="Z696" i="1"/>
  <c r="Z1332" i="1"/>
  <c r="Z108" i="1"/>
  <c r="Z636" i="1"/>
  <c r="Z1140" i="1"/>
  <c r="Z1500" i="1"/>
  <c r="Z1072" i="1"/>
  <c r="Z1720" i="1"/>
  <c r="Z245" i="1"/>
  <c r="Z1265" i="1"/>
  <c r="Y1037" i="1"/>
  <c r="Y466" i="1"/>
  <c r="Y430" i="1"/>
  <c r="Y502" i="1"/>
  <c r="Y1409" i="1"/>
  <c r="Y537" i="1"/>
  <c r="Y161" i="1"/>
  <c r="Y267" i="1"/>
  <c r="Y201" i="1"/>
  <c r="Y467" i="1"/>
  <c r="Y435" i="1"/>
  <c r="Y1265" i="1"/>
  <c r="Y1481" i="1"/>
  <c r="Y1073" i="1"/>
  <c r="Y1613" i="1"/>
  <c r="Y1397" i="1"/>
  <c r="Y63" i="1"/>
  <c r="Y1504" i="1"/>
  <c r="Y1649" i="1"/>
  <c r="Y1217" i="1"/>
  <c r="Y658" i="1"/>
  <c r="Y159" i="1"/>
  <c r="Y1035" i="1"/>
  <c r="Y1227" i="1"/>
  <c r="Y162" i="1"/>
  <c r="Y1181" i="1"/>
  <c r="Y977" i="1"/>
  <c r="Y1090" i="1"/>
  <c r="Y231" i="1"/>
  <c r="Y375" i="1"/>
  <c r="Y158" i="1"/>
  <c r="Y770" i="1"/>
  <c r="Y1383" i="1"/>
  <c r="Y796" i="1"/>
  <c r="Y1202" i="1"/>
  <c r="Y1780" i="1"/>
  <c r="Y1025" i="1"/>
  <c r="Y1697" i="1"/>
  <c r="Y189" i="1"/>
  <c r="Y405" i="1"/>
  <c r="Y545" i="1"/>
  <c r="Y549" i="1"/>
  <c r="Y573" i="1"/>
  <c r="Y989" i="1"/>
  <c r="Y369" i="1"/>
  <c r="Y29" i="1"/>
  <c r="Y497" i="1"/>
  <c r="Y1361" i="1"/>
  <c r="Y1457" i="1"/>
  <c r="Y737" i="1"/>
  <c r="Y57" i="1"/>
  <c r="Y357" i="1"/>
  <c r="Y850" i="1"/>
  <c r="Y137" i="1"/>
  <c r="Y111" i="1"/>
  <c r="Y303" i="1"/>
  <c r="Y471" i="1"/>
  <c r="Y819" i="1"/>
  <c r="Y1779" i="1"/>
  <c r="Y1252" i="1"/>
  <c r="Y1600" i="1"/>
  <c r="Y929" i="1"/>
  <c r="Y958" i="1"/>
  <c r="Y419" i="1"/>
  <c r="Y1337" i="1"/>
  <c r="Y413" i="1"/>
  <c r="Y994" i="1"/>
  <c r="Y941" i="1"/>
  <c r="Y1121" i="1"/>
  <c r="Y670" i="1"/>
  <c r="Y1637" i="1"/>
  <c r="Y1006" i="1"/>
  <c r="Y334" i="1"/>
  <c r="Y802" i="1"/>
  <c r="Y347" i="1"/>
  <c r="Y1169" i="1"/>
  <c r="Y441" i="1"/>
  <c r="Y641" i="1"/>
  <c r="Y1505" i="1"/>
  <c r="Y946" i="1"/>
  <c r="Y358" i="1"/>
  <c r="Y59" i="1"/>
  <c r="Y833" i="1"/>
  <c r="Y1349" i="1"/>
  <c r="Y701" i="1"/>
  <c r="Y1133" i="1"/>
  <c r="Y1229" i="1"/>
  <c r="Y1541" i="1"/>
  <c r="Y550" i="1"/>
  <c r="Y898" i="1"/>
  <c r="Y910" i="1"/>
  <c r="Y1085" i="1"/>
  <c r="Y1685" i="1"/>
  <c r="Y729" i="1"/>
  <c r="Y873" i="1"/>
  <c r="Y1017" i="1"/>
  <c r="Y1161" i="1"/>
  <c r="Y1305" i="1"/>
  <c r="Y1449" i="1"/>
  <c r="Y1593" i="1"/>
  <c r="Y1737" i="1"/>
  <c r="Y653" i="1"/>
  <c r="Y605" i="1"/>
  <c r="Y509" i="1"/>
  <c r="Y749" i="1"/>
  <c r="Y114" i="1"/>
  <c r="Y359" i="1"/>
  <c r="Y215" i="1"/>
  <c r="Y797" i="1"/>
  <c r="Y1588" i="1"/>
  <c r="Y1336" i="1"/>
  <c r="Y425" i="1"/>
  <c r="Y917" i="1"/>
  <c r="Y982" i="1"/>
  <c r="Y585" i="1"/>
  <c r="Y1493" i="1"/>
  <c r="Y395" i="1"/>
  <c r="Y862" i="1"/>
  <c r="Y1577" i="1"/>
  <c r="Y657" i="1"/>
  <c r="Y801" i="1"/>
  <c r="Y945" i="1"/>
  <c r="Y1089" i="1"/>
  <c r="Y1233" i="1"/>
  <c r="Y1377" i="1"/>
  <c r="Y1521" i="1"/>
  <c r="Y1665" i="1"/>
  <c r="Y1553" i="1"/>
  <c r="Y706" i="1"/>
  <c r="Y533" i="1"/>
  <c r="Y17" i="1"/>
  <c r="Y586" i="1"/>
  <c r="Y538" i="1"/>
  <c r="Y1138" i="1"/>
  <c r="Y1145" i="1"/>
  <c r="Y718" i="1"/>
  <c r="Y754" i="1"/>
  <c r="Y1469" i="1"/>
  <c r="Y1661" i="1"/>
  <c r="Y174" i="1"/>
  <c r="Y246" i="1"/>
  <c r="Y318" i="1"/>
  <c r="Y390" i="1"/>
  <c r="Y462" i="1"/>
  <c r="Y534" i="1"/>
  <c r="Y606" i="1"/>
  <c r="Y678" i="1"/>
  <c r="Y750" i="1"/>
  <c r="Y822" i="1"/>
  <c r="Y431" i="1"/>
  <c r="Y742" i="1"/>
  <c r="Y1277" i="1"/>
  <c r="Y1054" i="1"/>
  <c r="Y150" i="1"/>
  <c r="Y621" i="1"/>
  <c r="Y14" i="1"/>
  <c r="Y891" i="1"/>
  <c r="Y1022" i="1"/>
  <c r="Y1468" i="1"/>
  <c r="Y381" i="1"/>
  <c r="Y251" i="1"/>
  <c r="Y323" i="1"/>
  <c r="Y785" i="1"/>
  <c r="Y1301" i="1"/>
  <c r="Y766" i="1"/>
  <c r="Y1042" i="1"/>
  <c r="Y881" i="1"/>
  <c r="Y1198" i="1"/>
  <c r="Y539" i="1"/>
  <c r="Y971" i="1"/>
  <c r="Y1625" i="1"/>
  <c r="Y1601" i="1"/>
  <c r="Y449" i="1"/>
  <c r="Y501" i="1"/>
  <c r="Y598" i="1"/>
  <c r="Y1102" i="1"/>
  <c r="Y893" i="1"/>
  <c r="Y15" i="1"/>
  <c r="Y255" i="1"/>
  <c r="Y423" i="1"/>
  <c r="Y675" i="1"/>
  <c r="Y927" i="1"/>
  <c r="Y878" i="1"/>
  <c r="Y1034" i="1"/>
  <c r="Y1563" i="1"/>
  <c r="Y964" i="1"/>
  <c r="Y1492" i="1"/>
  <c r="Y1226" i="1"/>
  <c r="Y562" i="1"/>
  <c r="Y221" i="1"/>
  <c r="Y1769" i="1"/>
  <c r="Y646" i="1"/>
  <c r="Y11" i="1"/>
  <c r="Y127" i="1"/>
  <c r="Y1306" i="1"/>
  <c r="Y1450" i="1"/>
  <c r="Y503" i="1"/>
  <c r="Y863" i="1"/>
  <c r="Y1295" i="1"/>
  <c r="Y1727" i="1"/>
  <c r="Y300" i="1"/>
  <c r="Y804" i="1"/>
  <c r="Y1308" i="1"/>
  <c r="Y1740" i="1"/>
  <c r="Y529" i="1"/>
  <c r="Y218" i="1"/>
  <c r="Y1364" i="1"/>
  <c r="Y41" i="1"/>
  <c r="Y113" i="1"/>
  <c r="Y1594" i="1"/>
  <c r="Y575" i="1"/>
  <c r="Y791" i="1"/>
  <c r="Y1223" i="1"/>
  <c r="Y1655" i="1"/>
  <c r="Y228" i="1"/>
  <c r="Y660" i="1"/>
  <c r="Y1164" i="1"/>
  <c r="Y1596" i="1"/>
  <c r="Y385" i="1"/>
  <c r="Y422" i="1"/>
  <c r="Y1436" i="1"/>
  <c r="Y45" i="1"/>
  <c r="Y1234" i="1"/>
  <c r="Y1378" i="1"/>
  <c r="Y1522" i="1"/>
  <c r="Y1738" i="1"/>
  <c r="Y719" i="1"/>
  <c r="Y1079" i="1"/>
  <c r="Y1439" i="1"/>
  <c r="Y84" i="1"/>
  <c r="Y516" i="1"/>
  <c r="Y1020" i="1"/>
  <c r="Y1452" i="1"/>
  <c r="Y97" i="1"/>
  <c r="Y745" i="1"/>
  <c r="Y794" i="1"/>
  <c r="Y1508" i="1"/>
  <c r="Y935" i="1"/>
  <c r="Y1151" i="1"/>
  <c r="Y1367" i="1"/>
  <c r="Y1583" i="1"/>
  <c r="Y12" i="1"/>
  <c r="Y156" i="1"/>
  <c r="Y372" i="1"/>
  <c r="Y588" i="1"/>
  <c r="Y732" i="1"/>
  <c r="Y876" i="1"/>
  <c r="Y1092" i="1"/>
  <c r="Y1236" i="1"/>
  <c r="Y1380" i="1"/>
  <c r="Y1524" i="1"/>
  <c r="Y1668" i="1"/>
  <c r="Y25" i="1"/>
  <c r="Y169" i="1"/>
  <c r="Y241" i="1"/>
  <c r="Y313" i="1"/>
  <c r="Y457" i="1"/>
  <c r="Y673" i="1"/>
  <c r="Y817" i="1"/>
  <c r="Y961" i="1"/>
  <c r="Y1033" i="1"/>
  <c r="Y1177" i="1"/>
  <c r="Y1249" i="1"/>
  <c r="Y1465" i="1"/>
  <c r="Y1609" i="1"/>
  <c r="Y50" i="1"/>
  <c r="Y338" i="1"/>
  <c r="Y566" i="1"/>
  <c r="Y866" i="1"/>
  <c r="Y1094" i="1"/>
  <c r="Y1370" i="1"/>
  <c r="Y1586" i="1"/>
  <c r="Y1790" i="1"/>
  <c r="Y183" i="1"/>
  <c r="Y906" i="1"/>
  <c r="Y1050" i="1"/>
  <c r="Y1194" i="1"/>
  <c r="Y1338" i="1"/>
  <c r="Y1482" i="1"/>
  <c r="Y1554" i="1"/>
  <c r="Y1770" i="1"/>
  <c r="Y199" i="1"/>
  <c r="Y343" i="1"/>
  <c r="Y487" i="1"/>
  <c r="Y631" i="1"/>
  <c r="Y775" i="1"/>
  <c r="Y919" i="1"/>
  <c r="Y1063" i="1"/>
  <c r="Y1135" i="1"/>
  <c r="Y1279" i="1"/>
  <c r="Y1423" i="1"/>
  <c r="Y1495" i="1"/>
  <c r="Y1639" i="1"/>
  <c r="Y1783" i="1"/>
  <c r="Y140" i="1"/>
  <c r="Y356" i="1"/>
  <c r="Y500" i="1"/>
  <c r="Y572" i="1"/>
  <c r="Y1220" i="1"/>
  <c r="Y1292" i="1"/>
  <c r="Y197" i="1"/>
  <c r="Y269" i="1"/>
  <c r="Y353" i="1"/>
  <c r="Y814" i="1"/>
  <c r="Y1253" i="1"/>
  <c r="Y18" i="1"/>
  <c r="Y90" i="1"/>
  <c r="Y1666" i="1"/>
  <c r="Y948" i="1"/>
  <c r="Y284" i="1"/>
  <c r="Y647" i="1"/>
  <c r="Y1007" i="1"/>
  <c r="Y1511" i="1"/>
  <c r="Y444" i="1"/>
  <c r="Y601" i="1"/>
  <c r="Y889" i="1"/>
  <c r="Y1105" i="1"/>
  <c r="Y1393" i="1"/>
  <c r="Y1753" i="1"/>
  <c r="Y638" i="1"/>
  <c r="Y1190" i="1"/>
  <c r="Y1514" i="1"/>
  <c r="Y447" i="1"/>
  <c r="Y1698" i="1"/>
  <c r="Y1580" i="1"/>
  <c r="Y370" i="1"/>
  <c r="Y1162" i="1"/>
  <c r="Y1321" i="1"/>
  <c r="Y1537" i="1"/>
  <c r="Y1681" i="1"/>
  <c r="Y134" i="1"/>
  <c r="Y494" i="1"/>
  <c r="Y710" i="1"/>
  <c r="Y998" i="1"/>
  <c r="Y1286" i="1"/>
  <c r="Y1442" i="1"/>
  <c r="Y1658" i="1"/>
  <c r="Y87" i="1"/>
  <c r="Y339" i="1"/>
  <c r="Y978" i="1"/>
  <c r="Y1122" i="1"/>
  <c r="Y1266" i="1"/>
  <c r="Y1410" i="1"/>
  <c r="Y1626" i="1"/>
  <c r="Y55" i="1"/>
  <c r="Y271" i="1"/>
  <c r="Y415" i="1"/>
  <c r="Y559" i="1"/>
  <c r="Y703" i="1"/>
  <c r="Y847" i="1"/>
  <c r="Y991" i="1"/>
  <c r="Y1207" i="1"/>
  <c r="Y1351" i="1"/>
  <c r="Y1567" i="1"/>
  <c r="Y1711" i="1"/>
  <c r="Y68" i="1"/>
  <c r="Y212" i="1"/>
  <c r="Y428" i="1"/>
  <c r="Y644" i="1"/>
  <c r="Y1652" i="1"/>
  <c r="Y1445" i="1"/>
  <c r="Y716" i="1"/>
  <c r="Y788" i="1"/>
  <c r="Y860" i="1"/>
  <c r="Y932" i="1"/>
  <c r="Y1004" i="1"/>
  <c r="Y1076" i="1"/>
  <c r="Y1148" i="1"/>
  <c r="Y1724" i="1"/>
  <c r="Y437" i="1"/>
  <c r="Y70" i="1"/>
  <c r="Y214" i="1"/>
  <c r="Y230" i="1"/>
  <c r="Y53" i="1"/>
  <c r="Y125" i="1"/>
  <c r="Y293" i="1"/>
  <c r="Y821" i="1"/>
  <c r="Y1049" i="1"/>
  <c r="Y1157" i="1"/>
  <c r="Y1373" i="1"/>
  <c r="Y1589" i="1"/>
  <c r="Y382" i="1"/>
  <c r="Y107" i="1"/>
  <c r="Y179" i="1"/>
  <c r="Y669" i="1"/>
  <c r="Y741" i="1"/>
  <c r="Y813" i="1"/>
  <c r="Y885" i="1"/>
  <c r="Y957" i="1"/>
  <c r="Y1029" i="1"/>
  <c r="Y1101" i="1"/>
  <c r="Y1173" i="1"/>
  <c r="Y1245" i="1"/>
  <c r="Y1317" i="1"/>
  <c r="Y1389" i="1"/>
  <c r="Y1461" i="1"/>
  <c r="Y1533" i="1"/>
  <c r="Y1605" i="1"/>
  <c r="Y1677" i="1"/>
  <c r="Y1749" i="1"/>
  <c r="Y1174" i="1"/>
  <c r="Y1246" i="1"/>
  <c r="Y1318" i="1"/>
  <c r="Y1390" i="1"/>
  <c r="Y1462" i="1"/>
  <c r="Y1534" i="1"/>
  <c r="Y1606" i="1"/>
  <c r="Y1678" i="1"/>
  <c r="Y1750" i="1"/>
  <c r="Y515" i="1"/>
  <c r="Y587" i="1"/>
  <c r="Y659" i="1"/>
  <c r="Y731" i="1"/>
  <c r="Y803" i="1"/>
  <c r="Y875" i="1"/>
  <c r="Y947" i="1"/>
  <c r="Y1019" i="1"/>
  <c r="Y1091" i="1"/>
  <c r="Y1163" i="1"/>
  <c r="Y1235" i="1"/>
  <c r="Y1307" i="1"/>
  <c r="Y1379" i="1"/>
  <c r="Y1451" i="1"/>
  <c r="Y1523" i="1"/>
  <c r="Y1595" i="1"/>
  <c r="Y1667" i="1"/>
  <c r="Y1739" i="1"/>
  <c r="Y24" i="1"/>
  <c r="Y96" i="1"/>
  <c r="Y168" i="1"/>
  <c r="Y240" i="1"/>
  <c r="Y312" i="1"/>
  <c r="Y384" i="1"/>
  <c r="Y918" i="1"/>
  <c r="Y990" i="1"/>
  <c r="Y1062" i="1"/>
  <c r="Y1134" i="1"/>
  <c r="Y1206" i="1"/>
  <c r="Y1278" i="1"/>
  <c r="Y1350" i="1"/>
  <c r="Y1422" i="1"/>
  <c r="Y1494" i="1"/>
  <c r="Y1566" i="1"/>
  <c r="Y1638" i="1"/>
  <c r="Y1710" i="1"/>
  <c r="Y1782" i="1"/>
  <c r="Y67" i="1"/>
  <c r="Y139" i="1"/>
  <c r="Y211" i="1"/>
  <c r="Y283" i="1"/>
  <c r="Y355" i="1"/>
  <c r="Y427" i="1"/>
  <c r="Y499" i="1"/>
  <c r="Y571" i="1"/>
  <c r="Y643" i="1"/>
  <c r="Y715" i="1"/>
  <c r="Y787" i="1"/>
  <c r="Y859" i="1"/>
  <c r="Y931" i="1"/>
  <c r="Y1003" i="1"/>
  <c r="Y1075" i="1"/>
  <c r="Y1147" i="1"/>
  <c r="Y1219" i="1"/>
  <c r="Y1291" i="1"/>
  <c r="Y1363" i="1"/>
  <c r="Y1435" i="1"/>
  <c r="Y1507" i="1"/>
  <c r="Y1579" i="1"/>
  <c r="Y1651" i="1"/>
  <c r="Y1723" i="1"/>
  <c r="Y8" i="1"/>
  <c r="Y80" i="1"/>
  <c r="Y152" i="1"/>
  <c r="Y224" i="1"/>
  <c r="Y296" i="1"/>
  <c r="Y368" i="1"/>
  <c r="Y440" i="1"/>
  <c r="Y512" i="1"/>
  <c r="Y584" i="1"/>
  <c r="Y656" i="1"/>
  <c r="Y728" i="1"/>
  <c r="Y800" i="1"/>
  <c r="Y872" i="1"/>
  <c r="Y944" i="1"/>
  <c r="Y1016" i="1"/>
  <c r="Y1088" i="1"/>
  <c r="Y1160" i="1"/>
  <c r="Y1232" i="1"/>
  <c r="Y1304" i="1"/>
  <c r="Y1376" i="1"/>
  <c r="Y1448" i="1"/>
  <c r="Y1520" i="1"/>
  <c r="Y1592" i="1"/>
  <c r="Y1664" i="1"/>
  <c r="Y1736" i="1"/>
  <c r="Y557" i="1"/>
  <c r="Y953" i="1"/>
  <c r="Y1721" i="1"/>
  <c r="Y2" i="1"/>
  <c r="Y198" i="1"/>
  <c r="Y270" i="1"/>
  <c r="Y342" i="1"/>
  <c r="Y414" i="1"/>
  <c r="Y486" i="1"/>
  <c r="Y558" i="1"/>
  <c r="Y630" i="1"/>
  <c r="Y702" i="1"/>
  <c r="Y774" i="1"/>
  <c r="Y846" i="1"/>
  <c r="Y237" i="1"/>
  <c r="Y309" i="1"/>
  <c r="Y886" i="1"/>
  <c r="Y23" i="1"/>
  <c r="Y263" i="1"/>
  <c r="Y335" i="1"/>
  <c r="Y443" i="1"/>
  <c r="Y286" i="1"/>
  <c r="Y209" i="1"/>
  <c r="Y723" i="1"/>
  <c r="Y987" i="1"/>
  <c r="Y254" i="1"/>
  <c r="Y914" i="1"/>
  <c r="Y1142" i="1"/>
  <c r="Y1623" i="1"/>
  <c r="Y1144" i="1"/>
  <c r="Y1310" i="1"/>
  <c r="Y65" i="1"/>
  <c r="Y305" i="1"/>
  <c r="Y377" i="1"/>
  <c r="Y461" i="1"/>
  <c r="Y1061" i="1"/>
  <c r="Y42" i="1"/>
  <c r="Y81" i="1"/>
  <c r="Y153" i="1"/>
  <c r="Y393" i="1"/>
  <c r="Y394" i="1"/>
  <c r="Y478" i="1"/>
  <c r="Y574" i="1"/>
  <c r="Y790" i="1"/>
  <c r="Y119" i="1"/>
  <c r="Y191" i="1"/>
  <c r="Y1186" i="1"/>
  <c r="Y1258" i="1"/>
  <c r="Y1330" i="1"/>
  <c r="Y1402" i="1"/>
  <c r="Y1474" i="1"/>
  <c r="Y1546" i="1"/>
  <c r="Y1618" i="1"/>
  <c r="Y1690" i="1"/>
  <c r="Y1762" i="1"/>
  <c r="Y527" i="1"/>
  <c r="Y599" i="1"/>
  <c r="Y671" i="1"/>
  <c r="Y743" i="1"/>
  <c r="Y815" i="1"/>
  <c r="Y887" i="1"/>
  <c r="Y959" i="1"/>
  <c r="Y1031" i="1"/>
  <c r="Y1103" i="1"/>
  <c r="Y1175" i="1"/>
  <c r="Y1247" i="1"/>
  <c r="Y1319" i="1"/>
  <c r="Y1391" i="1"/>
  <c r="Y1463" i="1"/>
  <c r="Y1535" i="1"/>
  <c r="Y1607" i="1"/>
  <c r="Y1679" i="1"/>
  <c r="Y1751" i="1"/>
  <c r="Y36" i="1"/>
  <c r="Y108" i="1"/>
  <c r="Y180" i="1"/>
  <c r="Y252" i="1"/>
  <c r="Y324" i="1"/>
  <c r="Y396" i="1"/>
  <c r="Y468" i="1"/>
  <c r="Y540" i="1"/>
  <c r="Y612" i="1"/>
  <c r="Y684" i="1"/>
  <c r="Y756" i="1"/>
  <c r="Y828" i="1"/>
  <c r="Y900" i="1"/>
  <c r="Y972" i="1"/>
  <c r="Y1044" i="1"/>
  <c r="Y1116" i="1"/>
  <c r="Y1188" i="1"/>
  <c r="Y1260" i="1"/>
  <c r="Y1332" i="1"/>
  <c r="Y1404" i="1"/>
  <c r="Y1476" i="1"/>
  <c r="Y1548" i="1"/>
  <c r="Y83" i="1"/>
  <c r="Y149" i="1"/>
  <c r="Y569" i="1"/>
  <c r="Y857" i="1"/>
  <c r="Y965" i="1"/>
  <c r="Y1517" i="1"/>
  <c r="Y1733" i="1"/>
  <c r="Y126" i="1"/>
  <c r="Y210" i="1"/>
  <c r="Y282" i="1"/>
  <c r="Y354" i="1"/>
  <c r="Y426" i="1"/>
  <c r="Y498" i="1"/>
  <c r="Y570" i="1"/>
  <c r="Y642" i="1"/>
  <c r="Y714" i="1"/>
  <c r="Y786" i="1"/>
  <c r="Y858" i="1"/>
  <c r="Y609" i="1"/>
  <c r="Y694" i="1"/>
  <c r="Y455" i="1"/>
  <c r="Y454" i="1"/>
  <c r="Y365" i="1"/>
  <c r="Y429" i="1"/>
  <c r="Y1023" i="1"/>
  <c r="Y278" i="1"/>
  <c r="Y938" i="1"/>
  <c r="Y1166" i="1"/>
  <c r="Y1730" i="1"/>
  <c r="Y77" i="1"/>
  <c r="Y233" i="1"/>
  <c r="Y317" i="1"/>
  <c r="Y389" i="1"/>
  <c r="Y473" i="1"/>
  <c r="Y665" i="1"/>
  <c r="Y761" i="1"/>
  <c r="Y1193" i="1"/>
  <c r="Y417" i="1"/>
  <c r="Y610" i="1"/>
  <c r="Y131" i="1"/>
  <c r="Y203" i="1"/>
  <c r="Y371" i="1"/>
  <c r="Y693" i="1"/>
  <c r="Y765" i="1"/>
  <c r="Y837" i="1"/>
  <c r="Y909" i="1"/>
  <c r="Y981" i="1"/>
  <c r="Y1053" i="1"/>
  <c r="Y1125" i="1"/>
  <c r="Y1197" i="1"/>
  <c r="Y1269" i="1"/>
  <c r="Y1341" i="1"/>
  <c r="Y1413" i="1"/>
  <c r="Y1485" i="1"/>
  <c r="Y1557" i="1"/>
  <c r="Y1629" i="1"/>
  <c r="Y1701" i="1"/>
  <c r="Y1773" i="1"/>
  <c r="Y1270" i="1"/>
  <c r="Y1342" i="1"/>
  <c r="Y1414" i="1"/>
  <c r="Y1486" i="1"/>
  <c r="Y1558" i="1"/>
  <c r="Y1630" i="1"/>
  <c r="Y1702" i="1"/>
  <c r="Y1774" i="1"/>
  <c r="Y611" i="1"/>
  <c r="Y683" i="1"/>
  <c r="Y755" i="1"/>
  <c r="Y827" i="1"/>
  <c r="Y899" i="1"/>
  <c r="Y1043" i="1"/>
  <c r="Y1115" i="1"/>
  <c r="Y1187" i="1"/>
  <c r="Y1259" i="1"/>
  <c r="Y1331" i="1"/>
  <c r="Y1403" i="1"/>
  <c r="Y1475" i="1"/>
  <c r="Y1547" i="1"/>
  <c r="Y1619" i="1"/>
  <c r="Y1691" i="1"/>
  <c r="Y1763" i="1"/>
  <c r="Y48" i="1"/>
  <c r="Y120" i="1"/>
  <c r="Y192" i="1"/>
  <c r="Y264" i="1"/>
  <c r="Y336" i="1"/>
  <c r="Y408" i="1"/>
  <c r="Y480" i="1"/>
  <c r="Y552" i="1"/>
  <c r="Y624" i="1"/>
  <c r="Y696" i="1"/>
  <c r="Y768" i="1"/>
  <c r="Y840" i="1"/>
  <c r="Y912" i="1"/>
  <c r="Y984" i="1"/>
  <c r="Y1056" i="1"/>
  <c r="Y1128" i="1"/>
  <c r="Y1200" i="1"/>
  <c r="Y1272" i="1"/>
  <c r="Y1344" i="1"/>
  <c r="Y1416" i="1"/>
  <c r="Y1488" i="1"/>
  <c r="Y1560" i="1"/>
  <c r="Y1632" i="1"/>
  <c r="Y1704" i="1"/>
  <c r="Y1776" i="1"/>
  <c r="Y61" i="1"/>
  <c r="Y133" i="1"/>
  <c r="Y205" i="1"/>
  <c r="Y5" i="1"/>
  <c r="Y581" i="1"/>
  <c r="Y869" i="1"/>
  <c r="Y1097" i="1"/>
  <c r="Y1313" i="1"/>
  <c r="Y1529" i="1"/>
  <c r="Y1745" i="1"/>
  <c r="Y138" i="1"/>
  <c r="Y222" i="1"/>
  <c r="Y294" i="1"/>
  <c r="Y366" i="1"/>
  <c r="Y438" i="1"/>
  <c r="Y510" i="1"/>
  <c r="Y582" i="1"/>
  <c r="Y654" i="1"/>
  <c r="Y726" i="1"/>
  <c r="Y798" i="1"/>
  <c r="Y870" i="1"/>
  <c r="Y261" i="1"/>
  <c r="Y333" i="1"/>
  <c r="Y34" i="1"/>
  <c r="Y106" i="1"/>
  <c r="Y178" i="1"/>
  <c r="Y250" i="1"/>
  <c r="Y322" i="1"/>
  <c r="Y1126" i="1"/>
  <c r="Y47" i="1"/>
  <c r="Y287" i="1"/>
  <c r="Y1078" i="1"/>
  <c r="Y725" i="1"/>
  <c r="Y315" i="1"/>
  <c r="Y281" i="1"/>
  <c r="Y843" i="1"/>
  <c r="Y302" i="1"/>
  <c r="Y974" i="1"/>
  <c r="Y1694" i="1"/>
  <c r="Y1766" i="1"/>
  <c r="Y89" i="1"/>
  <c r="Y173" i="1"/>
  <c r="Y245" i="1"/>
  <c r="Y329" i="1"/>
  <c r="Y401" i="1"/>
  <c r="Y485" i="1"/>
  <c r="Y1001" i="1"/>
  <c r="Y1205" i="1"/>
  <c r="Y66" i="1"/>
  <c r="Y21" i="1"/>
  <c r="Y105" i="1"/>
  <c r="Y177" i="1"/>
  <c r="Y525" i="1"/>
  <c r="Y418" i="1"/>
  <c r="Y514" i="1"/>
  <c r="Y622" i="1"/>
  <c r="Y1030" i="1"/>
  <c r="Y143" i="1"/>
  <c r="Y629" i="1"/>
  <c r="Y593" i="1"/>
  <c r="Y689" i="1"/>
  <c r="Y1325" i="1"/>
  <c r="Y1673" i="1"/>
  <c r="Y1757" i="1"/>
  <c r="Y234" i="1"/>
  <c r="Y306" i="1"/>
  <c r="Y378" i="1"/>
  <c r="Y450" i="1"/>
  <c r="Y522" i="1"/>
  <c r="Y594" i="1"/>
  <c r="Y273" i="1"/>
  <c r="Y345" i="1"/>
  <c r="Y46" i="1"/>
  <c r="Y118" i="1"/>
  <c r="Y190" i="1"/>
  <c r="Y262" i="1"/>
  <c r="Y346" i="1"/>
  <c r="Y934" i="1"/>
  <c r="Y477" i="1"/>
  <c r="Y142" i="1"/>
  <c r="Y207" i="1"/>
  <c r="Y327" i="1"/>
  <c r="Y845" i="1"/>
  <c r="Y867" i="1"/>
  <c r="Y110" i="1"/>
  <c r="Y374" i="1"/>
  <c r="Y986" i="1"/>
  <c r="Y1359" i="1"/>
  <c r="Y1732" i="1"/>
  <c r="Y1432" i="1"/>
  <c r="Y1706" i="1"/>
  <c r="Y1778" i="1"/>
  <c r="Y101" i="1"/>
  <c r="Y185" i="1"/>
  <c r="Y257" i="1"/>
  <c r="Y341" i="1"/>
  <c r="Y905" i="1"/>
  <c r="Y1241" i="1"/>
  <c r="Y1433" i="1"/>
  <c r="Y1565" i="1"/>
  <c r="Y6" i="1"/>
  <c r="Y78" i="1"/>
  <c r="Y33" i="1"/>
  <c r="Y117" i="1"/>
  <c r="Y526" i="1"/>
  <c r="Y838" i="1"/>
  <c r="Y71" i="1"/>
  <c r="Y677" i="1"/>
  <c r="Y773" i="1"/>
  <c r="Y1289" i="1"/>
  <c r="Y1385" i="1"/>
  <c r="Y30" i="1"/>
  <c r="Y102" i="1"/>
  <c r="Y69" i="1"/>
  <c r="Y141" i="1"/>
  <c r="Y225" i="1"/>
  <c r="Y297" i="1"/>
  <c r="Y465" i="1"/>
  <c r="Y561" i="1"/>
  <c r="Y58" i="1"/>
  <c r="Y130" i="1"/>
  <c r="Y202" i="1"/>
  <c r="Y274" i="1"/>
  <c r="Y442" i="1"/>
  <c r="Y634" i="1"/>
  <c r="Y730" i="1"/>
  <c r="Y826" i="1"/>
  <c r="Y922" i="1"/>
  <c r="Y1018" i="1"/>
  <c r="Y1114" i="1"/>
  <c r="Y35" i="1"/>
  <c r="Y275" i="1"/>
  <c r="Y681" i="1"/>
  <c r="Y753" i="1"/>
  <c r="Y825" i="1"/>
  <c r="Y897" i="1"/>
  <c r="Y969" i="1"/>
  <c r="Y1041" i="1"/>
  <c r="Y1113" i="1"/>
  <c r="Y1185" i="1"/>
  <c r="Y1257" i="1"/>
  <c r="Y1329" i="1"/>
  <c r="Y1401" i="1"/>
  <c r="Y1473" i="1"/>
  <c r="Y1545" i="1"/>
  <c r="Y1617" i="1"/>
  <c r="Y1689" i="1"/>
  <c r="Y1761" i="1"/>
  <c r="Y1620" i="1"/>
  <c r="Y1692" i="1"/>
  <c r="Y1764" i="1"/>
  <c r="Y49" i="1"/>
  <c r="Y121" i="1"/>
  <c r="Y193" i="1"/>
  <c r="Y265" i="1"/>
  <c r="Y337" i="1"/>
  <c r="Y409" i="1"/>
  <c r="Y481" i="1"/>
  <c r="Y553" i="1"/>
  <c r="Y625" i="1"/>
  <c r="Y697" i="1"/>
  <c r="Y769" i="1"/>
  <c r="Y841" i="1"/>
  <c r="Y913" i="1"/>
  <c r="Y985" i="1"/>
  <c r="Y1057" i="1"/>
  <c r="Y1129" i="1"/>
  <c r="Y1201" i="1"/>
  <c r="Y1273" i="1"/>
  <c r="Y1345" i="1"/>
  <c r="Y1417" i="1"/>
  <c r="Y1489" i="1"/>
  <c r="Y1561" i="1"/>
  <c r="Y1633" i="1"/>
  <c r="Y1705" i="1"/>
  <c r="Y1777" i="1"/>
  <c r="Y74" i="1"/>
  <c r="Y170" i="1"/>
  <c r="Y266" i="1"/>
  <c r="Y362" i="1"/>
  <c r="Y446" i="1"/>
  <c r="Y518" i="1"/>
  <c r="Y590" i="1"/>
  <c r="Y662" i="1"/>
  <c r="Y734" i="1"/>
  <c r="Y818" i="1"/>
  <c r="Y902" i="1"/>
  <c r="Y1046" i="1"/>
  <c r="Y1118" i="1"/>
  <c r="Y1238" i="1"/>
  <c r="Y1322" i="1"/>
  <c r="Y1394" i="1"/>
  <c r="Y1466" i="1"/>
  <c r="Y1538" i="1"/>
  <c r="Y1610" i="1"/>
  <c r="Y1682" i="1"/>
  <c r="Y27" i="1"/>
  <c r="Y123" i="1"/>
  <c r="Y219" i="1"/>
  <c r="Y363" i="1"/>
  <c r="Y483" i="1"/>
  <c r="Y555" i="1"/>
  <c r="Y627" i="1"/>
  <c r="Y711" i="1"/>
  <c r="Y795" i="1"/>
  <c r="Y915" i="1"/>
  <c r="Y1011" i="1"/>
  <c r="Y1107" i="1"/>
  <c r="Y1179" i="1"/>
  <c r="Y1263" i="1"/>
  <c r="Y1335" i="1"/>
  <c r="Y1431" i="1"/>
  <c r="Y1503" i="1"/>
  <c r="Y1587" i="1"/>
  <c r="Y1671" i="1"/>
  <c r="Y1743" i="1"/>
  <c r="Y28" i="1"/>
  <c r="Y100" i="1"/>
  <c r="Y172" i="1"/>
  <c r="Y244" i="1"/>
  <c r="Y316" i="1"/>
  <c r="Y388" i="1"/>
  <c r="Y460" i="1"/>
  <c r="Y532" i="1"/>
  <c r="Y604" i="1"/>
  <c r="Y676" i="1"/>
  <c r="Y748" i="1"/>
  <c r="Y832" i="1"/>
  <c r="Y904" i="1"/>
  <c r="Y988" i="1"/>
  <c r="Y1060" i="1"/>
  <c r="Y1132" i="1"/>
  <c r="Y1216" i="1"/>
  <c r="Y1300" i="1"/>
  <c r="Y1384" i="1"/>
  <c r="Y1480" i="1"/>
  <c r="Y1576" i="1"/>
  <c r="Y1672" i="1"/>
  <c r="Y1756" i="1"/>
  <c r="Y277" i="1"/>
  <c r="Y349" i="1"/>
  <c r="Y421" i="1"/>
  <c r="Y493" i="1"/>
  <c r="Y565" i="1"/>
  <c r="Y637" i="1"/>
  <c r="Y709" i="1"/>
  <c r="Y781" i="1"/>
  <c r="Y853" i="1"/>
  <c r="Y925" i="1"/>
  <c r="Y997" i="1"/>
  <c r="Y1069" i="1"/>
  <c r="Y1141" i="1"/>
  <c r="Y1213" i="1"/>
  <c r="Y1285" i="1"/>
  <c r="Y1357" i="1"/>
  <c r="Y1429" i="1"/>
  <c r="Y1501" i="1"/>
  <c r="Y1573" i="1"/>
  <c r="Y1645" i="1"/>
  <c r="Y1717" i="1"/>
  <c r="Y1789" i="1"/>
  <c r="Y86" i="1"/>
  <c r="Y182" i="1"/>
  <c r="Y290" i="1"/>
  <c r="Y386" i="1"/>
  <c r="Y458" i="1"/>
  <c r="Y530" i="1"/>
  <c r="Y602" i="1"/>
  <c r="Y674" i="1"/>
  <c r="Y746" i="1"/>
  <c r="Y830" i="1"/>
  <c r="Y926" i="1"/>
  <c r="Y1058" i="1"/>
  <c r="Y1130" i="1"/>
  <c r="Y1250" i="1"/>
  <c r="Y1334" i="1"/>
  <c r="Y1406" i="1"/>
  <c r="Y1478" i="1"/>
  <c r="Y1550" i="1"/>
  <c r="Y1622" i="1"/>
  <c r="Y1718" i="1"/>
  <c r="Y39" i="1"/>
  <c r="Y135" i="1"/>
  <c r="Y243" i="1"/>
  <c r="Y387" i="1"/>
  <c r="Y495" i="1"/>
  <c r="Y567" i="1"/>
  <c r="Y639" i="1"/>
  <c r="Y735" i="1"/>
  <c r="Y807" i="1"/>
  <c r="Y939" i="1"/>
  <c r="Y1047" i="1"/>
  <c r="Y1119" i="1"/>
  <c r="Y1191" i="1"/>
  <c r="Y1275" i="1"/>
  <c r="Y1347" i="1"/>
  <c r="Y1443" i="1"/>
  <c r="Y1515" i="1"/>
  <c r="Y1599" i="1"/>
  <c r="Y1683" i="1"/>
  <c r="Y1755" i="1"/>
  <c r="Y40" i="1"/>
  <c r="Y112" i="1"/>
  <c r="Y184" i="1"/>
  <c r="Y256" i="1"/>
  <c r="Y328" i="1"/>
  <c r="Y400" i="1"/>
  <c r="Y472" i="1"/>
  <c r="Y544" i="1"/>
  <c r="Y616" i="1"/>
  <c r="Y688" i="1"/>
  <c r="Y760" i="1"/>
  <c r="Y844" i="1"/>
  <c r="Y916" i="1"/>
  <c r="Y1000" i="1"/>
  <c r="Y1072" i="1"/>
  <c r="Y1156" i="1"/>
  <c r="Y1228" i="1"/>
  <c r="Y1312" i="1"/>
  <c r="Y1396" i="1"/>
  <c r="Y1516" i="1"/>
  <c r="Y1612" i="1"/>
  <c r="Y1684" i="1"/>
  <c r="Y1768" i="1"/>
  <c r="Y521" i="1"/>
  <c r="Y617" i="1"/>
  <c r="Y713" i="1"/>
  <c r="Y809" i="1"/>
  <c r="Y1013" i="1"/>
  <c r="Y1109" i="1"/>
  <c r="Y1421" i="1"/>
  <c r="Y54" i="1"/>
  <c r="Y9" i="1"/>
  <c r="Y93" i="1"/>
  <c r="Y165" i="1"/>
  <c r="Y249" i="1"/>
  <c r="Y321" i="1"/>
  <c r="Y489" i="1"/>
  <c r="Y597" i="1"/>
  <c r="Y10" i="1"/>
  <c r="Y82" i="1"/>
  <c r="Y154" i="1"/>
  <c r="Y226" i="1"/>
  <c r="Y298" i="1"/>
  <c r="Y227" i="1"/>
  <c r="Y299" i="1"/>
  <c r="Y383" i="1"/>
  <c r="Y1210" i="1"/>
  <c r="Y1282" i="1"/>
  <c r="Y1354" i="1"/>
  <c r="Y1426" i="1"/>
  <c r="Y1498" i="1"/>
  <c r="Y1570" i="1"/>
  <c r="Y1642" i="1"/>
  <c r="Y1714" i="1"/>
  <c r="Y1786" i="1"/>
  <c r="Y551" i="1"/>
  <c r="Y623" i="1"/>
  <c r="Y695" i="1"/>
  <c r="Y767" i="1"/>
  <c r="Y839" i="1"/>
  <c r="Y911" i="1"/>
  <c r="Y983" i="1"/>
  <c r="Y1055" i="1"/>
  <c r="Y1127" i="1"/>
  <c r="Y1199" i="1"/>
  <c r="Y1271" i="1"/>
  <c r="Y1343" i="1"/>
  <c r="Y1415" i="1"/>
  <c r="Y1487" i="1"/>
  <c r="Y1559" i="1"/>
  <c r="Y1631" i="1"/>
  <c r="Y1703" i="1"/>
  <c r="Y1775" i="1"/>
  <c r="Y60" i="1"/>
  <c r="Y132" i="1"/>
  <c r="Y204" i="1"/>
  <c r="Y276" i="1"/>
  <c r="Y348" i="1"/>
  <c r="Y420" i="1"/>
  <c r="Y492" i="1"/>
  <c r="Y564" i="1"/>
  <c r="Y636" i="1"/>
  <c r="Y708" i="1"/>
  <c r="Y780" i="1"/>
  <c r="Y852" i="1"/>
  <c r="Y924" i="1"/>
  <c r="Y996" i="1"/>
  <c r="Y1068" i="1"/>
  <c r="Y1140" i="1"/>
  <c r="Y1212" i="1"/>
  <c r="Y1284" i="1"/>
  <c r="Y1356" i="1"/>
  <c r="Y1428" i="1"/>
  <c r="Y1500" i="1"/>
  <c r="Y1572" i="1"/>
  <c r="Y1644" i="1"/>
  <c r="Y1716" i="1"/>
  <c r="Y1788" i="1"/>
  <c r="Y73" i="1"/>
  <c r="Y145" i="1"/>
  <c r="Y217" i="1"/>
  <c r="Y289" i="1"/>
  <c r="Y361" i="1"/>
  <c r="Y433" i="1"/>
  <c r="Y505" i="1"/>
  <c r="Y577" i="1"/>
  <c r="Y649" i="1"/>
  <c r="Y721" i="1"/>
  <c r="Y793" i="1"/>
  <c r="Y865" i="1"/>
  <c r="Y937" i="1"/>
  <c r="Y1009" i="1"/>
  <c r="Y1081" i="1"/>
  <c r="Y1153" i="1"/>
  <c r="Y1225" i="1"/>
  <c r="Y1297" i="1"/>
  <c r="Y1369" i="1"/>
  <c r="Y1441" i="1"/>
  <c r="Y1513" i="1"/>
  <c r="Y1585" i="1"/>
  <c r="Y1657" i="1"/>
  <c r="Y1729" i="1"/>
  <c r="Y22" i="1"/>
  <c r="Y94" i="1"/>
  <c r="Y166" i="1"/>
  <c r="Y238" i="1"/>
  <c r="Y310" i="1"/>
  <c r="Y239" i="1"/>
  <c r="Y311" i="1"/>
  <c r="Y407" i="1"/>
  <c r="Y645" i="1"/>
  <c r="Y717" i="1"/>
  <c r="Y789" i="1"/>
  <c r="Y861" i="1"/>
  <c r="Y933" i="1"/>
  <c r="Y1005" i="1"/>
  <c r="Y1077" i="1"/>
  <c r="Y1149" i="1"/>
  <c r="Y1221" i="1"/>
  <c r="Y1293" i="1"/>
  <c r="Y1365" i="1"/>
  <c r="Y1437" i="1"/>
  <c r="Y1509" i="1"/>
  <c r="Y1581" i="1"/>
  <c r="Y1653" i="1"/>
  <c r="Y1725" i="1"/>
  <c r="Y666" i="1"/>
  <c r="Y738" i="1"/>
  <c r="Y810" i="1"/>
  <c r="Y882" i="1"/>
  <c r="Y513" i="1"/>
  <c r="Y406" i="1"/>
  <c r="Y490" i="1"/>
  <c r="Y95" i="1"/>
  <c r="Y167" i="1"/>
  <c r="Y1150" i="1"/>
  <c r="Y1222" i="1"/>
  <c r="Y1294" i="1"/>
  <c r="Y1366" i="1"/>
  <c r="Y1438" i="1"/>
  <c r="Y1510" i="1"/>
  <c r="Y1582" i="1"/>
  <c r="Y1654" i="1"/>
  <c r="Y1726" i="1"/>
  <c r="Y491" i="1"/>
  <c r="Y563" i="1"/>
  <c r="Y635" i="1"/>
  <c r="Y707" i="1"/>
  <c r="Y779" i="1"/>
  <c r="Y851" i="1"/>
  <c r="Y923" i="1"/>
  <c r="Y995" i="1"/>
  <c r="Y1067" i="1"/>
  <c r="Y1139" i="1"/>
  <c r="Y1211" i="1"/>
  <c r="Y1283" i="1"/>
  <c r="Y1355" i="1"/>
  <c r="Y1427" i="1"/>
  <c r="Y1499" i="1"/>
  <c r="Y1571" i="1"/>
  <c r="Y1643" i="1"/>
  <c r="Y1715" i="1"/>
  <c r="Y1787" i="1"/>
  <c r="Y72" i="1"/>
  <c r="Y144" i="1"/>
  <c r="Y216" i="1"/>
  <c r="Y288" i="1"/>
  <c r="Y360" i="1"/>
  <c r="Y432" i="1"/>
  <c r="Y504" i="1"/>
  <c r="Y576" i="1"/>
  <c r="Y648" i="1"/>
  <c r="Y720" i="1"/>
  <c r="Y792" i="1"/>
  <c r="Y864" i="1"/>
  <c r="Y936" i="1"/>
  <c r="Y1008" i="1"/>
  <c r="Y1080" i="1"/>
  <c r="Y1152" i="1"/>
  <c r="Y1224" i="1"/>
  <c r="Y1296" i="1"/>
  <c r="Y1368" i="1"/>
  <c r="Y1440" i="1"/>
  <c r="Y1512" i="1"/>
  <c r="Y1584" i="1"/>
  <c r="Y1656" i="1"/>
  <c r="Y1728" i="1"/>
  <c r="Y13" i="1"/>
  <c r="Y85" i="1"/>
  <c r="Y157" i="1"/>
  <c r="Y229" i="1"/>
  <c r="Y301" i="1"/>
  <c r="Y373" i="1"/>
  <c r="Y445" i="1"/>
  <c r="Y517" i="1"/>
  <c r="Y589" i="1"/>
  <c r="Y661" i="1"/>
  <c r="Y733" i="1"/>
  <c r="Y805" i="1"/>
  <c r="Y877" i="1"/>
  <c r="Y949" i="1"/>
  <c r="Y1021" i="1"/>
  <c r="Y1093" i="1"/>
  <c r="Y1165" i="1"/>
  <c r="Y1237" i="1"/>
  <c r="Y1309" i="1"/>
  <c r="Y1381" i="1"/>
  <c r="Y1453" i="1"/>
  <c r="Y1525" i="1"/>
  <c r="Y1597" i="1"/>
  <c r="Y1669" i="1"/>
  <c r="Y1741" i="1"/>
  <c r="Y38" i="1"/>
  <c r="Y122" i="1"/>
  <c r="Y206" i="1"/>
  <c r="Y326" i="1"/>
  <c r="Y410" i="1"/>
  <c r="Y482" i="1"/>
  <c r="Y554" i="1"/>
  <c r="Y626" i="1"/>
  <c r="Y698" i="1"/>
  <c r="Y782" i="1"/>
  <c r="Y854" i="1"/>
  <c r="Y962" i="1"/>
  <c r="Y1082" i="1"/>
  <c r="Y1178" i="1"/>
  <c r="Y1274" i="1"/>
  <c r="Y1358" i="1"/>
  <c r="Y1430" i="1"/>
  <c r="Y1502" i="1"/>
  <c r="Y1574" i="1"/>
  <c r="Y1646" i="1"/>
  <c r="Y1754" i="1"/>
  <c r="Y75" i="1"/>
  <c r="Y171" i="1"/>
  <c r="Y291" i="1"/>
  <c r="Y411" i="1"/>
  <c r="Y519" i="1"/>
  <c r="Y591" i="1"/>
  <c r="Y663" i="1"/>
  <c r="Y759" i="1"/>
  <c r="Y855" i="1"/>
  <c r="Y963" i="1"/>
  <c r="Y1071" i="1"/>
  <c r="Y1143" i="1"/>
  <c r="Y1215" i="1"/>
  <c r="Y1299" i="1"/>
  <c r="Y1395" i="1"/>
  <c r="Y1467" i="1"/>
  <c r="Y1539" i="1"/>
  <c r="Y1635" i="1"/>
  <c r="Y1707" i="1"/>
  <c r="Y1791" i="1"/>
  <c r="Y64" i="1"/>
  <c r="Y136" i="1"/>
  <c r="Y208" i="1"/>
  <c r="Y280" i="1"/>
  <c r="Y352" i="1"/>
  <c r="Y424" i="1"/>
  <c r="Y496" i="1"/>
  <c r="Y568" i="1"/>
  <c r="Y640" i="1"/>
  <c r="Y712" i="1"/>
  <c r="Y784" i="1"/>
  <c r="Y868" i="1"/>
  <c r="Y940" i="1"/>
  <c r="Y1024" i="1"/>
  <c r="Y1096" i="1"/>
  <c r="Y1180" i="1"/>
  <c r="Y1264" i="1"/>
  <c r="Y1348" i="1"/>
  <c r="Y1420" i="1"/>
  <c r="Y1709" i="1"/>
  <c r="Y1781" i="1"/>
  <c r="Y186" i="1"/>
  <c r="Y258" i="1"/>
  <c r="Y330" i="1"/>
  <c r="Y402" i="1"/>
  <c r="Y474" i="1"/>
  <c r="Y546" i="1"/>
  <c r="Y618" i="1"/>
  <c r="Y690" i="1"/>
  <c r="Y762" i="1"/>
  <c r="Y834" i="1"/>
  <c r="Y129" i="1"/>
  <c r="Y213" i="1"/>
  <c r="Y285" i="1"/>
  <c r="Y453" i="1"/>
  <c r="Y682" i="1"/>
  <c r="Y778" i="1"/>
  <c r="Y874" i="1"/>
  <c r="Y970" i="1"/>
  <c r="Y1066" i="1"/>
  <c r="Y155" i="1"/>
  <c r="Y479" i="1"/>
  <c r="Y633" i="1"/>
  <c r="Y705" i="1"/>
  <c r="Y777" i="1"/>
  <c r="Y849" i="1"/>
  <c r="Y921" i="1"/>
  <c r="Y993" i="1"/>
  <c r="Y1065" i="1"/>
  <c r="Y1137" i="1"/>
  <c r="Y1209" i="1"/>
  <c r="Y1281" i="1"/>
  <c r="Y1353" i="1"/>
  <c r="Y1425" i="1"/>
  <c r="Y1497" i="1"/>
  <c r="Y1569" i="1"/>
  <c r="Y1641" i="1"/>
  <c r="Y1713" i="1"/>
  <c r="Y1785" i="1"/>
  <c r="Y26" i="1"/>
  <c r="Y98" i="1"/>
  <c r="Y194" i="1"/>
  <c r="Y314" i="1"/>
  <c r="Y398" i="1"/>
  <c r="Y470" i="1"/>
  <c r="Y542" i="1"/>
  <c r="Y614" i="1"/>
  <c r="Y686" i="1"/>
  <c r="Y758" i="1"/>
  <c r="Y842" i="1"/>
  <c r="Y950" i="1"/>
  <c r="Y1070" i="1"/>
  <c r="Y1154" i="1"/>
  <c r="Y1262" i="1"/>
  <c r="Y1346" i="1"/>
  <c r="Y1418" i="1"/>
  <c r="Y1490" i="1"/>
  <c r="Y1562" i="1"/>
  <c r="Y1634" i="1"/>
  <c r="Y1742" i="1"/>
  <c r="Y51" i="1"/>
  <c r="Y147" i="1"/>
  <c r="Y279" i="1"/>
  <c r="Y399" i="1"/>
  <c r="Y507" i="1"/>
  <c r="Y579" i="1"/>
  <c r="Y651" i="1"/>
  <c r="Y747" i="1"/>
  <c r="Y831" i="1"/>
  <c r="Y951" i="1"/>
  <c r="Y1059" i="1"/>
  <c r="Y1131" i="1"/>
  <c r="Y1203" i="1"/>
  <c r="Y1287" i="1"/>
  <c r="Y1371" i="1"/>
  <c r="Y1455" i="1"/>
  <c r="Y1527" i="1"/>
  <c r="Y1611" i="1"/>
  <c r="Y1695" i="1"/>
  <c r="Y1767" i="1"/>
  <c r="Y52" i="1"/>
  <c r="Y124" i="1"/>
  <c r="Y196" i="1"/>
  <c r="Y268" i="1"/>
  <c r="Y340" i="1"/>
  <c r="Y412" i="1"/>
  <c r="Y484" i="1"/>
  <c r="Y556" i="1"/>
  <c r="Y628" i="1"/>
  <c r="Y700" i="1"/>
  <c r="Y772" i="1"/>
  <c r="Y856" i="1"/>
  <c r="Y928" i="1"/>
  <c r="Y1012" i="1"/>
  <c r="Y1084" i="1"/>
  <c r="Y1168" i="1"/>
  <c r="Y1240" i="1"/>
  <c r="Y1324" i="1"/>
  <c r="Y1408" i="1"/>
  <c r="Y1528" i="1"/>
  <c r="Y1624" i="1"/>
  <c r="Y1696" i="1"/>
  <c r="Y1792" i="1"/>
  <c r="Y930" i="1"/>
  <c r="Y1002" i="1"/>
  <c r="Y1074" i="1"/>
  <c r="Y1146" i="1"/>
  <c r="Y1218" i="1"/>
  <c r="Y1290" i="1"/>
  <c r="Y1362" i="1"/>
  <c r="Y1434" i="1"/>
  <c r="Y1506" i="1"/>
  <c r="Y1578" i="1"/>
  <c r="Y1650" i="1"/>
  <c r="Y1722" i="1"/>
  <c r="Y7" i="1"/>
  <c r="Y79" i="1"/>
  <c r="Y151" i="1"/>
  <c r="Y223" i="1"/>
  <c r="Y295" i="1"/>
  <c r="Y367" i="1"/>
  <c r="Y439" i="1"/>
  <c r="Y511" i="1"/>
  <c r="Y583" i="1"/>
  <c r="Y655" i="1"/>
  <c r="Y727" i="1"/>
  <c r="Y799" i="1"/>
  <c r="Y871" i="1"/>
  <c r="Y943" i="1"/>
  <c r="Y1015" i="1"/>
  <c r="Y1087" i="1"/>
  <c r="Y1159" i="1"/>
  <c r="Y1231" i="1"/>
  <c r="Y1303" i="1"/>
  <c r="Y1375" i="1"/>
  <c r="Y1447" i="1"/>
  <c r="Y1519" i="1"/>
  <c r="Y1591" i="1"/>
  <c r="Y1663" i="1"/>
  <c r="Y1735" i="1"/>
  <c r="Y20" i="1"/>
  <c r="Y92" i="1"/>
  <c r="Y164" i="1"/>
  <c r="Y236" i="1"/>
  <c r="Y308" i="1"/>
  <c r="Y380" i="1"/>
  <c r="Y452" i="1"/>
  <c r="Y524" i="1"/>
  <c r="Y596" i="1"/>
  <c r="Y668" i="1"/>
  <c r="Y740" i="1"/>
  <c r="Y812" i="1"/>
  <c r="Y884" i="1"/>
  <c r="Y956" i="1"/>
  <c r="Y1028" i="1"/>
  <c r="Y1100" i="1"/>
  <c r="Y1172" i="1"/>
  <c r="Y1244" i="1"/>
  <c r="Y1316" i="1"/>
  <c r="Y1388" i="1"/>
  <c r="Y1460" i="1"/>
  <c r="Y1532" i="1"/>
  <c r="Y1604" i="1"/>
  <c r="Y1676" i="1"/>
  <c r="Y1748" i="1"/>
  <c r="Y1540" i="1"/>
  <c r="Y1636" i="1"/>
  <c r="Y1708" i="1"/>
  <c r="Y942" i="1"/>
  <c r="Y1014" i="1"/>
  <c r="Y1086" i="1"/>
  <c r="Y1158" i="1"/>
  <c r="Y1230" i="1"/>
  <c r="Y1302" i="1"/>
  <c r="Y1374" i="1"/>
  <c r="Y1446" i="1"/>
  <c r="Y1518" i="1"/>
  <c r="Y1590" i="1"/>
  <c r="Y1662" i="1"/>
  <c r="Y1734" i="1"/>
  <c r="Y19" i="1"/>
  <c r="Y91" i="1"/>
  <c r="Y163" i="1"/>
  <c r="Y235" i="1"/>
  <c r="Y307" i="1"/>
  <c r="Y379" i="1"/>
  <c r="Y451" i="1"/>
  <c r="Y523" i="1"/>
  <c r="Y595" i="1"/>
  <c r="Y667" i="1"/>
  <c r="Y739" i="1"/>
  <c r="Y811" i="1"/>
  <c r="Y883" i="1"/>
  <c r="Y955" i="1"/>
  <c r="Y1027" i="1"/>
  <c r="Y1099" i="1"/>
  <c r="Y1171" i="1"/>
  <c r="Y1243" i="1"/>
  <c r="Y1315" i="1"/>
  <c r="Y1387" i="1"/>
  <c r="Y1459" i="1"/>
  <c r="Y1531" i="1"/>
  <c r="Y1603" i="1"/>
  <c r="Y1675" i="1"/>
  <c r="Y1747" i="1"/>
  <c r="Y32" i="1"/>
  <c r="Y104" i="1"/>
  <c r="Y176" i="1"/>
  <c r="Y248" i="1"/>
  <c r="Y320" i="1"/>
  <c r="Y392" i="1"/>
  <c r="Y464" i="1"/>
  <c r="Y536" i="1"/>
  <c r="Y608" i="1"/>
  <c r="Y680" i="1"/>
  <c r="Y752" i="1"/>
  <c r="Y824" i="1"/>
  <c r="Y896" i="1"/>
  <c r="Y968" i="1"/>
  <c r="Y1040" i="1"/>
  <c r="Y1112" i="1"/>
  <c r="Y1184" i="1"/>
  <c r="Y1256" i="1"/>
  <c r="Y1328" i="1"/>
  <c r="Y1400" i="1"/>
  <c r="Y1472" i="1"/>
  <c r="Y1544" i="1"/>
  <c r="Y1616" i="1"/>
  <c r="Y1688" i="1"/>
  <c r="Y1760" i="1"/>
  <c r="Y531" i="1"/>
  <c r="Y603" i="1"/>
  <c r="Y687" i="1"/>
  <c r="Y771" i="1"/>
  <c r="Y879" i="1"/>
  <c r="Y975" i="1"/>
  <c r="Y1083" i="1"/>
  <c r="Y1155" i="1"/>
  <c r="Y1239" i="1"/>
  <c r="Y1311" i="1"/>
  <c r="Y1407" i="1"/>
  <c r="Y1479" i="1"/>
  <c r="Y1551" i="1"/>
  <c r="Y1647" i="1"/>
  <c r="Y1719" i="1"/>
  <c r="Y4" i="1"/>
  <c r="Y76" i="1"/>
  <c r="Y148" i="1"/>
  <c r="Y220" i="1"/>
  <c r="Y292" i="1"/>
  <c r="Y364" i="1"/>
  <c r="Y436" i="1"/>
  <c r="Y508" i="1"/>
  <c r="Y580" i="1"/>
  <c r="Y652" i="1"/>
  <c r="Y724" i="1"/>
  <c r="Y808" i="1"/>
  <c r="Y880" i="1"/>
  <c r="Y952" i="1"/>
  <c r="Y1036" i="1"/>
  <c r="Y1108" i="1"/>
  <c r="Y1192" i="1"/>
  <c r="Y1276" i="1"/>
  <c r="Y1360" i="1"/>
  <c r="Y1444" i="1"/>
  <c r="Y1552" i="1"/>
  <c r="Y1648" i="1"/>
  <c r="Y1720" i="1"/>
  <c r="Y954" i="1"/>
  <c r="Y1026" i="1"/>
  <c r="Y1098" i="1"/>
  <c r="Y1170" i="1"/>
  <c r="Y1242" i="1"/>
  <c r="Y1314" i="1"/>
  <c r="Y1386" i="1"/>
  <c r="Y1458" i="1"/>
  <c r="Y1530" i="1"/>
  <c r="Y1602" i="1"/>
  <c r="Y1674" i="1"/>
  <c r="Y1746" i="1"/>
  <c r="Y31" i="1"/>
  <c r="Y103" i="1"/>
  <c r="Y175" i="1"/>
  <c r="Y247" i="1"/>
  <c r="Y319" i="1"/>
  <c r="Y391" i="1"/>
  <c r="Y463" i="1"/>
  <c r="Y535" i="1"/>
  <c r="Y607" i="1"/>
  <c r="Y679" i="1"/>
  <c r="Y751" i="1"/>
  <c r="Y823" i="1"/>
  <c r="Y895" i="1"/>
  <c r="Y967" i="1"/>
  <c r="Y1039" i="1"/>
  <c r="Y1111" i="1"/>
  <c r="Y1183" i="1"/>
  <c r="Y1255" i="1"/>
  <c r="Y1327" i="1"/>
  <c r="Y1399" i="1"/>
  <c r="Y1471" i="1"/>
  <c r="Y1543" i="1"/>
  <c r="Y1615" i="1"/>
  <c r="Y1687" i="1"/>
  <c r="Y1759" i="1"/>
  <c r="Y44" i="1"/>
  <c r="Y116" i="1"/>
  <c r="Y188" i="1"/>
  <c r="Y260" i="1"/>
  <c r="Y332" i="1"/>
  <c r="Y404" i="1"/>
  <c r="Y476" i="1"/>
  <c r="Y548" i="1"/>
  <c r="Y620" i="1"/>
  <c r="Y692" i="1"/>
  <c r="Y764" i="1"/>
  <c r="Y836" i="1"/>
  <c r="Y908" i="1"/>
  <c r="Y980" i="1"/>
  <c r="Y1052" i="1"/>
  <c r="Y1124" i="1"/>
  <c r="Y1196" i="1"/>
  <c r="Y1268" i="1"/>
  <c r="Y1340" i="1"/>
  <c r="Y1412" i="1"/>
  <c r="Y1484" i="1"/>
  <c r="Y1556" i="1"/>
  <c r="Y1628" i="1"/>
  <c r="Y1700" i="1"/>
  <c r="Y1772" i="1"/>
  <c r="Y456" i="1"/>
  <c r="Y528" i="1"/>
  <c r="Y600" i="1"/>
  <c r="Y672" i="1"/>
  <c r="Y744" i="1"/>
  <c r="Y816" i="1"/>
  <c r="Y888" i="1"/>
  <c r="Y960" i="1"/>
  <c r="Y1032" i="1"/>
  <c r="Y1104" i="1"/>
  <c r="Y1176" i="1"/>
  <c r="Y1248" i="1"/>
  <c r="Y1320" i="1"/>
  <c r="Y1392" i="1"/>
  <c r="Y1464" i="1"/>
  <c r="Y1536" i="1"/>
  <c r="Y1608" i="1"/>
  <c r="Y1680" i="1"/>
  <c r="Y1752" i="1"/>
  <c r="Y37" i="1"/>
  <c r="Y109" i="1"/>
  <c r="Y181" i="1"/>
  <c r="Y253" i="1"/>
  <c r="Y325" i="1"/>
  <c r="Y397" i="1"/>
  <c r="Y469" i="1"/>
  <c r="Y541" i="1"/>
  <c r="Y613" i="1"/>
  <c r="Y685" i="1"/>
  <c r="Y757" i="1"/>
  <c r="Y829" i="1"/>
  <c r="Y901" i="1"/>
  <c r="Y973" i="1"/>
  <c r="Y1045" i="1"/>
  <c r="Y1117" i="1"/>
  <c r="Y1189" i="1"/>
  <c r="Y1261" i="1"/>
  <c r="Y1333" i="1"/>
  <c r="Y1405" i="1"/>
  <c r="Y1477" i="1"/>
  <c r="Y1549" i="1"/>
  <c r="Y1621" i="1"/>
  <c r="Y1693" i="1"/>
  <c r="Y1765" i="1"/>
  <c r="Y62" i="1"/>
  <c r="Y146" i="1"/>
  <c r="Y242" i="1"/>
  <c r="Y350" i="1"/>
  <c r="Y434" i="1"/>
  <c r="Y506" i="1"/>
  <c r="Y578" i="1"/>
  <c r="Y650" i="1"/>
  <c r="Y722" i="1"/>
  <c r="Y806" i="1"/>
  <c r="Y890" i="1"/>
  <c r="Y1010" i="1"/>
  <c r="Y1106" i="1"/>
  <c r="Y1214" i="1"/>
  <c r="Y1298" i="1"/>
  <c r="Y1382" i="1"/>
  <c r="Y1454" i="1"/>
  <c r="Y1526" i="1"/>
  <c r="Y1598" i="1"/>
  <c r="Y1670" i="1"/>
  <c r="Y3" i="1"/>
  <c r="Y99" i="1"/>
  <c r="Y195" i="1"/>
  <c r="Y351" i="1"/>
  <c r="Y459" i="1"/>
  <c r="Y543" i="1"/>
  <c r="Y615" i="1"/>
  <c r="Y699" i="1"/>
  <c r="Y783" i="1"/>
  <c r="Y903" i="1"/>
  <c r="Y999" i="1"/>
  <c r="Y1095" i="1"/>
  <c r="Y1167" i="1"/>
  <c r="Y1251" i="1"/>
  <c r="Y1323" i="1"/>
  <c r="Y1419" i="1"/>
  <c r="Y1491" i="1"/>
  <c r="Y1575" i="1"/>
  <c r="Y1659" i="1"/>
  <c r="Y1731" i="1"/>
  <c r="Y16" i="1"/>
  <c r="Y88" i="1"/>
  <c r="Y160" i="1"/>
  <c r="Y232" i="1"/>
  <c r="Y304" i="1"/>
  <c r="Y376" i="1"/>
  <c r="Y448" i="1"/>
  <c r="Y520" i="1"/>
  <c r="Y592" i="1"/>
  <c r="Y664" i="1"/>
  <c r="Y736" i="1"/>
  <c r="Y820" i="1"/>
  <c r="Y892" i="1"/>
  <c r="Y976" i="1"/>
  <c r="Y1048" i="1"/>
  <c r="Y1120" i="1"/>
  <c r="Y1204" i="1"/>
  <c r="Y1288" i="1"/>
  <c r="Y1372" i="1"/>
  <c r="Y1456" i="1"/>
  <c r="Y1564" i="1"/>
  <c r="Y1660" i="1"/>
  <c r="Y1744" i="1"/>
  <c r="Y894" i="1"/>
  <c r="Y966" i="1"/>
  <c r="Y1038" i="1"/>
  <c r="Y1110" i="1"/>
  <c r="Y1182" i="1"/>
  <c r="Y1254" i="1"/>
  <c r="Y1326" i="1"/>
  <c r="Y1398" i="1"/>
  <c r="Y1470" i="1"/>
  <c r="Y1542" i="1"/>
  <c r="Y1614" i="1"/>
  <c r="Y1686" i="1"/>
  <c r="Y1758" i="1"/>
  <c r="Y43" i="1"/>
  <c r="Y115" i="1"/>
  <c r="Y187" i="1"/>
  <c r="Y259" i="1"/>
  <c r="Y331" i="1"/>
  <c r="Y403" i="1"/>
  <c r="Y475" i="1"/>
  <c r="Y547" i="1"/>
  <c r="Y619" i="1"/>
  <c r="Y691" i="1"/>
  <c r="Y763" i="1"/>
  <c r="Y835" i="1"/>
  <c r="Y907" i="1"/>
  <c r="Y979" i="1"/>
  <c r="Y1051" i="1"/>
  <c r="Y1123" i="1"/>
  <c r="Y1195" i="1"/>
  <c r="Y1267" i="1"/>
  <c r="Y1339" i="1"/>
  <c r="Y1411" i="1"/>
  <c r="Y1483" i="1"/>
  <c r="Y1555" i="1"/>
  <c r="Y1627" i="1"/>
  <c r="Y1699" i="1"/>
  <c r="Y1771" i="1"/>
  <c r="Y56" i="1"/>
  <c r="Y128" i="1"/>
  <c r="Y200" i="1"/>
  <c r="Y272" i="1"/>
  <c r="Y344" i="1"/>
  <c r="Y416" i="1"/>
  <c r="Y488" i="1"/>
  <c r="Y560" i="1"/>
  <c r="Y632" i="1"/>
  <c r="Y704" i="1"/>
  <c r="Y776" i="1"/>
  <c r="Y848" i="1"/>
  <c r="Y920" i="1"/>
  <c r="Y992" i="1"/>
  <c r="Y1064" i="1"/>
  <c r="Y1136" i="1"/>
  <c r="Y1208" i="1"/>
  <c r="Y1280" i="1"/>
  <c r="Y1352" i="1"/>
  <c r="Y1424" i="1"/>
  <c r="Y1496" i="1"/>
  <c r="Y1568" i="1"/>
  <c r="Y1640" i="1"/>
  <c r="Y1712" i="1"/>
  <c r="Y178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<sst xmlns="http://schemas.openxmlformats.org/spreadsheetml/2006/main" count="10805" uniqueCount="6800">
  <si>
    <t>Supercharger</t>
  </si>
  <si>
    <t>Street Address</t>
  </si>
  <si>
    <t>City</t>
  </si>
  <si>
    <t>State</t>
  </si>
  <si>
    <t>Zip</t>
  </si>
  <si>
    <t>Country</t>
  </si>
  <si>
    <t>Stalls</t>
  </si>
  <si>
    <t>kW</t>
  </si>
  <si>
    <t>GPS</t>
  </si>
  <si>
    <t>Elev(m)</t>
  </si>
  <si>
    <t>Open Date</t>
  </si>
  <si>
    <t>Buellton, CA</t>
  </si>
  <si>
    <t>555 McMurray Rd</t>
  </si>
  <si>
    <t>Buellton</t>
  </si>
  <si>
    <t>CA</t>
  </si>
  <si>
    <t>USA</t>
  </si>
  <si>
    <t>34.61456, -120.188387</t>
  </si>
  <si>
    <t>Corning, CA</t>
  </si>
  <si>
    <t>950 Hwy 99</t>
  </si>
  <si>
    <t>Corning</t>
  </si>
  <si>
    <t>39.926454, -122.198393</t>
  </si>
  <si>
    <t>Barstow, CA</t>
  </si>
  <si>
    <t>2812 Lenwood Rd</t>
  </si>
  <si>
    <t>Barstow</t>
  </si>
  <si>
    <t>34.849129, -117.085446</t>
  </si>
  <si>
    <t>Tifton, GA</t>
  </si>
  <si>
    <t>1310 U.S. 82</t>
  </si>
  <si>
    <t>Tifton</t>
  </si>
  <si>
    <t>GA</t>
  </si>
  <si>
    <t>31.448847, -83.53221</t>
  </si>
  <si>
    <t>Roseville, CA</t>
  </si>
  <si>
    <t>1151 Galleria Blvd</t>
  </si>
  <si>
    <t>Roseville</t>
  </si>
  <si>
    <t>38.771208, -121.266149</t>
  </si>
  <si>
    <t>Oxnard, CA</t>
  </si>
  <si>
    <t>2751 Park View Ct</t>
  </si>
  <si>
    <t>Oxnard</t>
  </si>
  <si>
    <t>34.238654, -119.177398</t>
  </si>
  <si>
    <t>Daytona Beach - Gateway North Dr, FL</t>
  </si>
  <si>
    <t>2330 Gateway N Dr</t>
  </si>
  <si>
    <t>Daytona Beach</t>
  </si>
  <si>
    <t>FL</t>
  </si>
  <si>
    <t>29.223265, -81.09972</t>
  </si>
  <si>
    <t>Port St. Lucie, FL</t>
  </si>
  <si>
    <t>1701 NW Peacock Blvd</t>
  </si>
  <si>
    <t>Port St. Lucie</t>
  </si>
  <si>
    <t>27.313023, -80.406688</t>
  </si>
  <si>
    <t>Dallas - Park Ln, TX</t>
  </si>
  <si>
    <t>8080 Park Ln</t>
  </si>
  <si>
    <t>Dallas</t>
  </si>
  <si>
    <t>TX</t>
  </si>
  <si>
    <t>32.867639, -96.767245</t>
  </si>
  <si>
    <t>El Centro, CA</t>
  </si>
  <si>
    <t>3451 S Dogwood Rd</t>
  </si>
  <si>
    <t>El Centro</t>
  </si>
  <si>
    <t>32.760837, -115.532486</t>
  </si>
  <si>
    <t>Rosemont, IL</t>
  </si>
  <si>
    <t>5220 Fashion Outlets Way</t>
  </si>
  <si>
    <t>Rosemont</t>
  </si>
  <si>
    <t>IL</t>
  </si>
  <si>
    <t>41.975091, -87.866501</t>
  </si>
  <si>
    <t>Indio, CA</t>
  </si>
  <si>
    <t>42100 Jackson St</t>
  </si>
  <si>
    <t>Indio</t>
  </si>
  <si>
    <t>33.741484, -116.215019</t>
  </si>
  <si>
    <t>Savannah, GA</t>
  </si>
  <si>
    <t>400 Airways Ave</t>
  </si>
  <si>
    <t>Savannah</t>
  </si>
  <si>
    <t>32.135507, -81.212767</t>
  </si>
  <si>
    <t>Holbrook, AZ</t>
  </si>
  <si>
    <t>2096 Navajo Blvd</t>
  </si>
  <si>
    <t>Holbrook</t>
  </si>
  <si>
    <t>AZ</t>
  </si>
  <si>
    <t>34.922962, -110.145558</t>
  </si>
  <si>
    <t>Mooresville, NC</t>
  </si>
  <si>
    <t>125 Center Square Dr</t>
  </si>
  <si>
    <t>Mooresville</t>
  </si>
  <si>
    <t>NC</t>
  </si>
  <si>
    <t>35.587472, -80.873</t>
  </si>
  <si>
    <t>Buckeye, AZ</t>
  </si>
  <si>
    <t>416 S Watson Rd</t>
  </si>
  <si>
    <t>Buckeye</t>
  </si>
  <si>
    <t>33.443011, -112.556876</t>
  </si>
  <si>
    <t>Atascadero, CA</t>
  </si>
  <si>
    <t>6950 El Camino Real</t>
  </si>
  <si>
    <t>Atascadero</t>
  </si>
  <si>
    <t>35.48656, -120.66633</t>
  </si>
  <si>
    <t>Gila Bend, AZ</t>
  </si>
  <si>
    <t>826 W Pima St</t>
  </si>
  <si>
    <t>Gila Bend</t>
  </si>
  <si>
    <t>32.943969, -112.733506</t>
  </si>
  <si>
    <t>Yuma, AZ</t>
  </si>
  <si>
    <t>310 N Madison Ave</t>
  </si>
  <si>
    <t>Yuma</t>
  </si>
  <si>
    <t>32.726686, -114.619093</t>
  </si>
  <si>
    <t>Greenwich - Northbound, CT</t>
  </si>
  <si>
    <t>3000 Merritt Pkwy</t>
  </si>
  <si>
    <t>Greenwich</t>
  </si>
  <si>
    <t>CT</t>
  </si>
  <si>
    <t>41.041538, -73.671661</t>
  </si>
  <si>
    <t>Milford - Northbound, CT</t>
  </si>
  <si>
    <t>1 CT Turnpike N</t>
  </si>
  <si>
    <t>Milford</t>
  </si>
  <si>
    <t>41.245814, -73.008988</t>
  </si>
  <si>
    <t>Port Orange, FL</t>
  </si>
  <si>
    <t>5302 S Williamson Blvd</t>
  </si>
  <si>
    <t>Port Orange</t>
  </si>
  <si>
    <t>29.108566, -81.034569</t>
  </si>
  <si>
    <t>Worthington, MN</t>
  </si>
  <si>
    <t>1290 Ryan's Rd</t>
  </si>
  <si>
    <t>Worthington</t>
  </si>
  <si>
    <t>MN</t>
  </si>
  <si>
    <t>43.63385, -95.595647</t>
  </si>
  <si>
    <t>Burlington, NC</t>
  </si>
  <si>
    <t>1080 Piper Ln</t>
  </si>
  <si>
    <t>Burlington</t>
  </si>
  <si>
    <t>36.07079, -79.511211</t>
  </si>
  <si>
    <t>Spearfish, SD</t>
  </si>
  <si>
    <t>3275 Old Belle Rd</t>
  </si>
  <si>
    <t>Spearfish</t>
  </si>
  <si>
    <t>SD</t>
  </si>
  <si>
    <t>44.520607, -103.890924</t>
  </si>
  <si>
    <t>Santee, SC</t>
  </si>
  <si>
    <t>114 Bradford Blvd</t>
  </si>
  <si>
    <t>Santee</t>
  </si>
  <si>
    <t>SC</t>
  </si>
  <si>
    <t>33.485858, -80.475763</t>
  </si>
  <si>
    <t>Mishawaka, IN</t>
  </si>
  <si>
    <t>6501 Grape Rd</t>
  </si>
  <si>
    <t>Mishawaka</t>
  </si>
  <si>
    <t>IN</t>
  </si>
  <si>
    <t>41.7174, -86.1887</t>
  </si>
  <si>
    <t>Angola, IN</t>
  </si>
  <si>
    <t>3855 Indiana Rte 127</t>
  </si>
  <si>
    <t>Angola</t>
  </si>
  <si>
    <t>41.699048, -85.000326</t>
  </si>
  <si>
    <t>Richmond, CA</t>
  </si>
  <si>
    <t>2157 Meeker Ave</t>
  </si>
  <si>
    <t>Richmond</t>
  </si>
  <si>
    <t>37.919969, -122.348976</t>
  </si>
  <si>
    <t>Farmington, NM</t>
  </si>
  <si>
    <t>4200 Sierra Vista Dr</t>
  </si>
  <si>
    <t>Farmington</t>
  </si>
  <si>
    <t>NM</t>
  </si>
  <si>
    <t>36.766371, -108.144047</t>
  </si>
  <si>
    <t>Goodland, KS</t>
  </si>
  <si>
    <t>2631 Enterprise Rd</t>
  </si>
  <si>
    <t>Goodland</t>
  </si>
  <si>
    <t>KS</t>
  </si>
  <si>
    <t>39.326253, -101.725171</t>
  </si>
  <si>
    <t>Somerset, PA</t>
  </si>
  <si>
    <t>1030 N Center Ave</t>
  </si>
  <si>
    <t>Somerset</t>
  </si>
  <si>
    <t>PA</t>
  </si>
  <si>
    <t>40.017383, -79.077117</t>
  </si>
  <si>
    <t>Ossining, NY</t>
  </si>
  <si>
    <t>214 South Highland Ave</t>
  </si>
  <si>
    <t>Ossining</t>
  </si>
  <si>
    <t>NY</t>
  </si>
  <si>
    <t>41.144011, -73.861472</t>
  </si>
  <si>
    <t>San Marcos, TX</t>
  </si>
  <si>
    <t>3939 Interstate 35</t>
  </si>
  <si>
    <t>San Marcos</t>
  </si>
  <si>
    <t>29.827692, -97.979677</t>
  </si>
  <si>
    <t>Columbus, TX</t>
  </si>
  <si>
    <t>2535 Texas 71</t>
  </si>
  <si>
    <t>Columbus</t>
  </si>
  <si>
    <t>29.690062, -96.537725</t>
  </si>
  <si>
    <t>Mitchell, SD</t>
  </si>
  <si>
    <t>1305 W Havens St</t>
  </si>
  <si>
    <t>Mitchell</t>
  </si>
  <si>
    <t>43.701129, -98.04449999999997</t>
  </si>
  <si>
    <t>San Luis Obispo - Higuera St, CA</t>
  </si>
  <si>
    <t>3897 S Higuera St</t>
  </si>
  <si>
    <t>San Luis Obispo</t>
  </si>
  <si>
    <t>35.247841, -120.67193</t>
  </si>
  <si>
    <t>East Greenwich, RI</t>
  </si>
  <si>
    <t>1000 Division St</t>
  </si>
  <si>
    <t>East Greenwich</t>
  </si>
  <si>
    <t>RI</t>
  </si>
  <si>
    <t>41.660517, -71.497242</t>
  </si>
  <si>
    <t>Maumee, OH</t>
  </si>
  <si>
    <t>1391 Conant St</t>
  </si>
  <si>
    <t>Maumee</t>
  </si>
  <si>
    <t>OH</t>
  </si>
  <si>
    <t>41.57835, -83.66465</t>
  </si>
  <si>
    <t>Pleasant Prairie, WI</t>
  </si>
  <si>
    <t>11211 120th Ave</t>
  </si>
  <si>
    <t>Pleasant Prairie</t>
  </si>
  <si>
    <t>WI</t>
  </si>
  <si>
    <t>42.518715, -87.950428</t>
  </si>
  <si>
    <t>Cranberry Township, PA</t>
  </si>
  <si>
    <t>1308 Freedom Rd</t>
  </si>
  <si>
    <t>Cranberry Township</t>
  </si>
  <si>
    <t>40.683982, -80.10839</t>
  </si>
  <si>
    <t>Rapid City, SD</t>
  </si>
  <si>
    <t>2200 N Maple Ave</t>
  </si>
  <si>
    <t>Rapid City</t>
  </si>
  <si>
    <t>44.105601, -103.212569</t>
  </si>
  <si>
    <t>Lumberton, NC</t>
  </si>
  <si>
    <t>5093 Fayetteville Rd</t>
  </si>
  <si>
    <t>Lumberton</t>
  </si>
  <si>
    <t>34.667629, -79.002343</t>
  </si>
  <si>
    <t>Gallup, NM</t>
  </si>
  <si>
    <t>111 Twin Buttes Rd</t>
  </si>
  <si>
    <t>Gallup</t>
  </si>
  <si>
    <t>35.505278, -108.828094</t>
  </si>
  <si>
    <t>St. Augustine - World Commerce Pkwy, FL</t>
  </si>
  <si>
    <t>200 World Commerce Pkwy</t>
  </si>
  <si>
    <t>St. Augustine</t>
  </si>
  <si>
    <t>29.983752, -81.464138</t>
  </si>
  <si>
    <t>El Centro - Wake Ave, CA</t>
  </si>
  <si>
    <t>330 Wake Ave</t>
  </si>
  <si>
    <t>32.7729, -115.5501</t>
  </si>
  <si>
    <t>Madison - East Towne Mall, WI</t>
  </si>
  <si>
    <t>89 E Towne Mall</t>
  </si>
  <si>
    <t>Madison</t>
  </si>
  <si>
    <t>43.12669, -89.306896</t>
  </si>
  <si>
    <t>Truckee - Donner Pass, CA</t>
  </si>
  <si>
    <t>11290 Donner Pass Rd</t>
  </si>
  <si>
    <t>Truckee</t>
  </si>
  <si>
    <t>39.327507, -120.207373</t>
  </si>
  <si>
    <t>St. George, UT</t>
  </si>
  <si>
    <t>1091 N Bluff St</t>
  </si>
  <si>
    <t>St. George</t>
  </si>
  <si>
    <t>UT</t>
  </si>
  <si>
    <t>37.12645, -113.601865</t>
  </si>
  <si>
    <t>Ritzville, WA</t>
  </si>
  <si>
    <t>105 Galbreath Way</t>
  </si>
  <si>
    <t>Ritzville</t>
  </si>
  <si>
    <t>WA</t>
  </si>
  <si>
    <t>47.116294, -118.368328</t>
  </si>
  <si>
    <t>Richfield, UT</t>
  </si>
  <si>
    <t>20 W 1400 N</t>
  </si>
  <si>
    <t>Richfield</t>
  </si>
  <si>
    <t>38.787942, -112.085316</t>
  </si>
  <si>
    <t>Hays, KS</t>
  </si>
  <si>
    <t>4101 Vine St</t>
  </si>
  <si>
    <t>Hays</t>
  </si>
  <si>
    <t>38.900543, -99.319142</t>
  </si>
  <si>
    <t>Green River, UT</t>
  </si>
  <si>
    <t>1765 East Main St</t>
  </si>
  <si>
    <t>Green River</t>
  </si>
  <si>
    <t>38.993577, -110.140513</t>
  </si>
  <si>
    <t>Mauston, WI</t>
  </si>
  <si>
    <t>640 Mc Evoy St</t>
  </si>
  <si>
    <t>Mauston</t>
  </si>
  <si>
    <t>43.795551, -90.059358</t>
  </si>
  <si>
    <t>La Crosse, WI</t>
  </si>
  <si>
    <t>2845 Midwest Dr</t>
  </si>
  <si>
    <t>Onalaska</t>
  </si>
  <si>
    <t>43.879042, -91.188428</t>
  </si>
  <si>
    <t>Eau Claire, WI</t>
  </si>
  <si>
    <t>4601 Keystone Crossing</t>
  </si>
  <si>
    <t>Eau Claire</t>
  </si>
  <si>
    <t>44.77083, -91.43711</t>
  </si>
  <si>
    <t>Lusk, WY</t>
  </si>
  <si>
    <t>730 S Main St</t>
  </si>
  <si>
    <t>Lusk</t>
  </si>
  <si>
    <t>WY</t>
  </si>
  <si>
    <t>42.75625, -104.45267</t>
  </si>
  <si>
    <t>Casa Grande, AZ</t>
  </si>
  <si>
    <t>2453 E Florence Blvd</t>
  </si>
  <si>
    <t>Casa Grande</t>
  </si>
  <si>
    <t>32.87888, -111.6817421</t>
  </si>
  <si>
    <t>Limon, CO</t>
  </si>
  <si>
    <t>2221 6th St</t>
  </si>
  <si>
    <t>Limon</t>
  </si>
  <si>
    <t>CO</t>
  </si>
  <si>
    <t>39.2688421, -103.708604</t>
  </si>
  <si>
    <t>Vista, CA</t>
  </si>
  <si>
    <t>401 Vista Village Dr</t>
  </si>
  <si>
    <t>Vista</t>
  </si>
  <si>
    <t>33.2008, -117.2455</t>
  </si>
  <si>
    <t>Cordes Lakes, AZ</t>
  </si>
  <si>
    <t>14925 Cordes Lakes Rd</t>
  </si>
  <si>
    <t>Mayer</t>
  </si>
  <si>
    <t>34.327131, -112.118432</t>
  </si>
  <si>
    <t>Billings, MT</t>
  </si>
  <si>
    <t>1801 Majestic LN</t>
  </si>
  <si>
    <t>Billings</t>
  </si>
  <si>
    <t>MT</t>
  </si>
  <si>
    <t>45.733716, -108.604573</t>
  </si>
  <si>
    <t>Salina, KS</t>
  </si>
  <si>
    <t>755 W Diamond Dr</t>
  </si>
  <si>
    <t>Salina</t>
  </si>
  <si>
    <t>38.877342, -97.618699</t>
  </si>
  <si>
    <t>Dayton, OH</t>
  </si>
  <si>
    <t>9200 N Main St</t>
  </si>
  <si>
    <t>Dayton</t>
  </si>
  <si>
    <t>39.858702, -84.277027</t>
  </si>
  <si>
    <t>Chattanooga, TN</t>
  </si>
  <si>
    <t>1001 Airport Rd</t>
  </si>
  <si>
    <t>Chattanooga</t>
  </si>
  <si>
    <t>TN</t>
  </si>
  <si>
    <t>35.038644, -85.19593</t>
  </si>
  <si>
    <t>South Hill, VA</t>
  </si>
  <si>
    <t>1791 N Mecklenburg Ave</t>
  </si>
  <si>
    <t>South Hill</t>
  </si>
  <si>
    <t>VA</t>
  </si>
  <si>
    <t>36.748445, -78.103764</t>
  </si>
  <si>
    <t>DeFuniak Springs, FL</t>
  </si>
  <si>
    <t>10th St and Baldwin Ave</t>
  </si>
  <si>
    <t>DeFuniak Springs</t>
  </si>
  <si>
    <t>30.720702, -86.116677</t>
  </si>
  <si>
    <t>San Jose - Saratoga Ave, CA</t>
  </si>
  <si>
    <t>1320 Saratoga Ave</t>
  </si>
  <si>
    <t>San Jose</t>
  </si>
  <si>
    <t>37.3006, -121.9812</t>
  </si>
  <si>
    <t>New Boston, TX</t>
  </si>
  <si>
    <t>1890 US Hwy 82</t>
  </si>
  <si>
    <t>New Boston</t>
  </si>
  <si>
    <t>33.469659, -94.454696</t>
  </si>
  <si>
    <t>Portland, OR</t>
  </si>
  <si>
    <t>10280 NE Cascades Parkway</t>
  </si>
  <si>
    <t>Portland</t>
  </si>
  <si>
    <t>OR</t>
  </si>
  <si>
    <t>45.572631, -122.554017</t>
  </si>
  <si>
    <t>Sagamore Beach, MA</t>
  </si>
  <si>
    <t>22 Meetinghouse Ln</t>
  </si>
  <si>
    <t>Sagamore Beach</t>
  </si>
  <si>
    <t>MA</t>
  </si>
  <si>
    <t>41.781242, -70.540271</t>
  </si>
  <si>
    <t>Bozeman, MT</t>
  </si>
  <si>
    <t>2023 Commerce Way</t>
  </si>
  <si>
    <t>Bozeman</t>
  </si>
  <si>
    <t>45.700078, -111.062569</t>
  </si>
  <si>
    <t>Brandon, FL</t>
  </si>
  <si>
    <t>2400 W Brandon Blvd</t>
  </si>
  <si>
    <t>Brandon</t>
  </si>
  <si>
    <t>27.9408309, -82.3236485</t>
  </si>
  <si>
    <t>Lake City, FL</t>
  </si>
  <si>
    <t>2893 W US Highway 90</t>
  </si>
  <si>
    <t>Lake City</t>
  </si>
  <si>
    <t>30.181429, -82.679701</t>
  </si>
  <si>
    <t>Charlotte, NC</t>
  </si>
  <si>
    <t>2720 Mallard Creek Church RD</t>
  </si>
  <si>
    <t>Charlotte</t>
  </si>
  <si>
    <t>35.341213, -80.766023</t>
  </si>
  <si>
    <t>Hallandale Beach, FL</t>
  </si>
  <si>
    <t>701 N Federal Hwy</t>
  </si>
  <si>
    <t>Hallandale Beach</t>
  </si>
  <si>
    <t>25.993528, -80.143183</t>
  </si>
  <si>
    <t>Turkey Lake, FL</t>
  </si>
  <si>
    <t>Turkey Lake Service Plaza</t>
  </si>
  <si>
    <t>Turkey Lake</t>
  </si>
  <si>
    <t>28.514874, -81.500214</t>
  </si>
  <si>
    <t>Baton Rouge, LA</t>
  </si>
  <si>
    <t>3535 Perkins Rd</t>
  </si>
  <si>
    <t>Baton Rouge</t>
  </si>
  <si>
    <t>LA</t>
  </si>
  <si>
    <t>30.423892, -91.154637</t>
  </si>
  <si>
    <t>Phoenix - Agua Fria Fwy, AZ</t>
  </si>
  <si>
    <t>2805 W Agua Fria Fwy</t>
  </si>
  <si>
    <t>Phoenix</t>
  </si>
  <si>
    <t>33.667011, -112.120891</t>
  </si>
  <si>
    <t>Soledad - Front St, CA</t>
  </si>
  <si>
    <t>100 Front St</t>
  </si>
  <si>
    <t>Soledad</t>
  </si>
  <si>
    <t>36.429889, -121.334477</t>
  </si>
  <si>
    <t>Auburn, MA</t>
  </si>
  <si>
    <t>385 Southbridge St</t>
  </si>
  <si>
    <t>Auburn</t>
  </si>
  <si>
    <t>42.203764, -71.832954</t>
  </si>
  <si>
    <t>Ocala, FL</t>
  </si>
  <si>
    <t>4414 SW College Rd</t>
  </si>
  <si>
    <t>Ocala</t>
  </si>
  <si>
    <t>29.140985, -82.19395</t>
  </si>
  <si>
    <t>Topeka, KS</t>
  </si>
  <si>
    <t>5930 Huntoon St</t>
  </si>
  <si>
    <t>Topeka</t>
  </si>
  <si>
    <t>39.044199, -95.76046</t>
  </si>
  <si>
    <t>Big Timber, MT</t>
  </si>
  <si>
    <t>228 Big Timber Loop Rd</t>
  </si>
  <si>
    <t>Big Timber</t>
  </si>
  <si>
    <t>45.836201, -109.943317</t>
  </si>
  <si>
    <t>Lake Charles, LA</t>
  </si>
  <si>
    <t>1772 W Prien Lake Rd</t>
  </si>
  <si>
    <t>Lake Charles</t>
  </si>
  <si>
    <t>30.199071, -93.248782</t>
  </si>
  <si>
    <t>Deerfield Beach, FL</t>
  </si>
  <si>
    <t>20 SW 12th Ave</t>
  </si>
  <si>
    <t>Deerfield Beach</t>
  </si>
  <si>
    <t>26.317736, -80.119643</t>
  </si>
  <si>
    <t>Fort Drum, FL</t>
  </si>
  <si>
    <t>184 Florida's Turnpike</t>
  </si>
  <si>
    <t>Okeechobee</t>
  </si>
  <si>
    <t>27.601444, -80.822187</t>
  </si>
  <si>
    <t>Country Club Hills, IL</t>
  </si>
  <si>
    <t>4201 167th St</t>
  </si>
  <si>
    <t>Country Club Hills</t>
  </si>
  <si>
    <t>41.584927, -87.721062</t>
  </si>
  <si>
    <t>Salamanca, NY</t>
  </si>
  <si>
    <t>777 Seneca Allegany Blvd</t>
  </si>
  <si>
    <t>Salamanca</t>
  </si>
  <si>
    <t>42.153067, -78.747726</t>
  </si>
  <si>
    <t>Lynnwood, WA</t>
  </si>
  <si>
    <t>2902 164th St SW</t>
  </si>
  <si>
    <t>Lynnwood</t>
  </si>
  <si>
    <t>47.846712, -122.271391</t>
  </si>
  <si>
    <t>Denver, CO</t>
  </si>
  <si>
    <t>4310 Airport Way</t>
  </si>
  <si>
    <t>Denver</t>
  </si>
  <si>
    <t>39.775259, -104.794674</t>
  </si>
  <si>
    <t>Denton, TX</t>
  </si>
  <si>
    <t>2710 W University Dr</t>
  </si>
  <si>
    <t>Denton</t>
  </si>
  <si>
    <t>33.231403, -97.166419</t>
  </si>
  <si>
    <t>Butte, MT</t>
  </si>
  <si>
    <t>2900 Harrison Ave</t>
  </si>
  <si>
    <t>Butte</t>
  </si>
  <si>
    <t>45.981226, -112.507161</t>
  </si>
  <si>
    <t>Dubuque, IA</t>
  </si>
  <si>
    <t>Hy-Vee 400 S Locust St</t>
  </si>
  <si>
    <t>Dubuque</t>
  </si>
  <si>
    <t>IA</t>
  </si>
  <si>
    <t>42.48773, -90.663624</t>
  </si>
  <si>
    <t>Chula Vista - Telegraph Canyon Rd, CA</t>
  </si>
  <si>
    <t>505 Telegraph Canyon Rd</t>
  </si>
  <si>
    <t>Chula Vista</t>
  </si>
  <si>
    <t>32.628946, -117.041103</t>
  </si>
  <si>
    <t>Superior, MT</t>
  </si>
  <si>
    <t>205 E 4th Ave</t>
  </si>
  <si>
    <t>Superior</t>
  </si>
  <si>
    <t>47.192149, -114.888901</t>
  </si>
  <si>
    <t>Hooksett (north), NH</t>
  </si>
  <si>
    <t>Interstate 93 N</t>
  </si>
  <si>
    <t>Hooksett</t>
  </si>
  <si>
    <t>NH</t>
  </si>
  <si>
    <t>43.109587, -71.474575</t>
  </si>
  <si>
    <t>West Wendover, NV</t>
  </si>
  <si>
    <t>810 Wendover Blvd</t>
  </si>
  <si>
    <t>West Wendover</t>
  </si>
  <si>
    <t>NV</t>
  </si>
  <si>
    <t>40.738399, -114.058998</t>
  </si>
  <si>
    <t>Fort Washington, PA</t>
  </si>
  <si>
    <t>1145 Virginia Dr</t>
  </si>
  <si>
    <t>Fort Washington</t>
  </si>
  <si>
    <t>40.139399, -75.172384</t>
  </si>
  <si>
    <t>Brooklyn - N 12th Street, NY</t>
  </si>
  <si>
    <t>113 N 12th St</t>
  </si>
  <si>
    <t>Brooklyn</t>
  </si>
  <si>
    <t>40.721861, -73.956629</t>
  </si>
  <si>
    <t>Hooksett (south), NH</t>
  </si>
  <si>
    <t>Interstate 93 S</t>
  </si>
  <si>
    <t>43.108363, -71.477625</t>
  </si>
  <si>
    <t>Marathon, FL</t>
  </si>
  <si>
    <t>9400 Overseas Hwy</t>
  </si>
  <si>
    <t>Marathon</t>
  </si>
  <si>
    <t>24.725916, -81.047519</t>
  </si>
  <si>
    <t>Rocklin (SC), CA</t>
  </si>
  <si>
    <t>4361 Granite Dr</t>
  </si>
  <si>
    <t>Rocklin</t>
  </si>
  <si>
    <t>38.800537, -121.210485</t>
  </si>
  <si>
    <t>Chicago - S Pulaski Rd, IL</t>
  </si>
  <si>
    <t>4433 S Pulaski Rd</t>
  </si>
  <si>
    <t>Chicago</t>
  </si>
  <si>
    <t>41.8133, -87.72189</t>
  </si>
  <si>
    <t>Tooele, UT</t>
  </si>
  <si>
    <t>1568 East Saddleback Blvd</t>
  </si>
  <si>
    <t>Tooele</t>
  </si>
  <si>
    <t>40.684486, -112.268818</t>
  </si>
  <si>
    <t>Elko, NV</t>
  </si>
  <si>
    <t>2755 Mountain City Hwy</t>
  </si>
  <si>
    <t>Elko</t>
  </si>
  <si>
    <t>40.836301, -115.790859</t>
  </si>
  <si>
    <t>Lovelock, NV</t>
  </si>
  <si>
    <t>150 Main St</t>
  </si>
  <si>
    <t>Lovelock</t>
  </si>
  <si>
    <t>40.179476, -118.472135</t>
  </si>
  <si>
    <t>Inyokern, CA</t>
  </si>
  <si>
    <t>1353 Brown Rd</t>
  </si>
  <si>
    <t>Inyokern</t>
  </si>
  <si>
    <t>35.646461, -117.812629</t>
  </si>
  <si>
    <t>San Mateo - Bridgepointe Pkwy, CA</t>
  </si>
  <si>
    <t>2220 Bridgepointe Pkwy</t>
  </si>
  <si>
    <t>San Mateo</t>
  </si>
  <si>
    <t>37.558546, -122.284614</t>
  </si>
  <si>
    <t>Dedham (SC), MA</t>
  </si>
  <si>
    <t>840 Providence Highway</t>
  </si>
  <si>
    <t>Dedham</t>
  </si>
  <si>
    <t>42.236417, -71.17825</t>
  </si>
  <si>
    <t>Auburn - S College St, AL</t>
  </si>
  <si>
    <t>110 E University Dr</t>
  </si>
  <si>
    <t>AL</t>
  </si>
  <si>
    <t>32.57645, -85.497641</t>
  </si>
  <si>
    <t>Trinidad, CO</t>
  </si>
  <si>
    <t>9960 Santa Fe Trail</t>
  </si>
  <si>
    <t>Trinidad</t>
  </si>
  <si>
    <t>37.134228, -104.519962</t>
  </si>
  <si>
    <t>Effingham, IL</t>
  </si>
  <si>
    <t>1200 North Keller Dr</t>
  </si>
  <si>
    <t>Effingham</t>
  </si>
  <si>
    <t>39.137048, -88.563736</t>
  </si>
  <si>
    <t>Redondo Beach, CA</t>
  </si>
  <si>
    <t>2410 Marine Ave</t>
  </si>
  <si>
    <t>Redondo Beach</t>
  </si>
  <si>
    <t>33.894294, -118.367379</t>
  </si>
  <si>
    <t>Shamrock, TX</t>
  </si>
  <si>
    <t>107 East 12th St</t>
  </si>
  <si>
    <t>Shamrock</t>
  </si>
  <si>
    <t>35.226765, -100.24836</t>
  </si>
  <si>
    <t>Weatherford, OK</t>
  </si>
  <si>
    <t>1301 N Airport Rd by Lucille's Roadhouse</t>
  </si>
  <si>
    <t>Weatherford</t>
  </si>
  <si>
    <t>OK</t>
  </si>
  <si>
    <t>35.53859, -98.66012</t>
  </si>
  <si>
    <t>Tucumcari, NM</t>
  </si>
  <si>
    <t>2624 South Adams St</t>
  </si>
  <si>
    <t>Tucumcari</t>
  </si>
  <si>
    <t>35.153963, -103.722539</t>
  </si>
  <si>
    <t>Santa Rosa, NM</t>
  </si>
  <si>
    <t>2516 Historic Rt 66</t>
  </si>
  <si>
    <t>Santa Rosa</t>
  </si>
  <si>
    <t>34.947013, -104.647997</t>
  </si>
  <si>
    <t>Wichita, KS</t>
  </si>
  <si>
    <t>4760 S Broadway St</t>
  </si>
  <si>
    <t>Wichita</t>
  </si>
  <si>
    <t>37.60878, -97.33314</t>
  </si>
  <si>
    <t>St. Charles, MO</t>
  </si>
  <si>
    <t>2021 Zumbehl Rd</t>
  </si>
  <si>
    <t>St. Charles</t>
  </si>
  <si>
    <t>MO</t>
  </si>
  <si>
    <t>38.782139, -90.532862</t>
  </si>
  <si>
    <t>Council Bluffs, IA</t>
  </si>
  <si>
    <t>3815 Metro Dr</t>
  </si>
  <si>
    <t>Council Bluffs</t>
  </si>
  <si>
    <t>41.220935, -95.835622</t>
  </si>
  <si>
    <t>Cupertino, CA</t>
  </si>
  <si>
    <t>19500 Vallco Parkway</t>
  </si>
  <si>
    <t>Cupertino</t>
  </si>
  <si>
    <t>37.324372, -122.009179</t>
  </si>
  <si>
    <t>Albany, GA</t>
  </si>
  <si>
    <t>2825 Ledo Rd</t>
  </si>
  <si>
    <t>Albany</t>
  </si>
  <si>
    <t>31.62396, -84.215788</t>
  </si>
  <si>
    <t>Auburn, AL</t>
  </si>
  <si>
    <t>1627 Opelika Rd</t>
  </si>
  <si>
    <t>32.627837, -85.445105</t>
  </si>
  <si>
    <t>Mojave - 16940 Hwy 14, CA</t>
  </si>
  <si>
    <t>Anthony's Grill 16940 California 14 Hwy 14</t>
  </si>
  <si>
    <t>Mojave</t>
  </si>
  <si>
    <t>35.068595, -118.174576</t>
  </si>
  <si>
    <t>Lexington, KY</t>
  </si>
  <si>
    <t>2155 Paul Jones Way</t>
  </si>
  <si>
    <t>Lexington</t>
  </si>
  <si>
    <t>KY</t>
  </si>
  <si>
    <t>38.017955, -84.420664</t>
  </si>
  <si>
    <t>Independence, MO</t>
  </si>
  <si>
    <t>18001 Bass Pro Dr</t>
  </si>
  <si>
    <t>Independence</t>
  </si>
  <si>
    <t>39.040814, -94.369265</t>
  </si>
  <si>
    <t>San Mateo, CA</t>
  </si>
  <si>
    <t>1200 Park Pl</t>
  </si>
  <si>
    <t>37.544632, -122.290188</t>
  </si>
  <si>
    <t>Las Vegas, NM</t>
  </si>
  <si>
    <t>2500 N Grand Ave</t>
  </si>
  <si>
    <t>Las Vegas</t>
  </si>
  <si>
    <t>35.622007, -105.20541</t>
  </si>
  <si>
    <t>Albuquerque, NM</t>
  </si>
  <si>
    <t>2600 Menaul Blvd NE</t>
  </si>
  <si>
    <t>Albuquerque</t>
  </si>
  <si>
    <t>35.108962, -106.612794</t>
  </si>
  <si>
    <t>Sheridan, WY</t>
  </si>
  <si>
    <t>612 North Main St</t>
  </si>
  <si>
    <t>Sheridan</t>
  </si>
  <si>
    <t>44.804565, -106.956363</t>
  </si>
  <si>
    <t>Norfolk, VA</t>
  </si>
  <si>
    <t>5900 E Virginia Beach Blvd</t>
  </si>
  <si>
    <t>Norfolk</t>
  </si>
  <si>
    <t>36.860525, -76.207467</t>
  </si>
  <si>
    <t>Mountain View, CA</t>
  </si>
  <si>
    <t>1401 N Shoreline Blvd</t>
  </si>
  <si>
    <t>Mountain View</t>
  </si>
  <si>
    <t>37.415344, -122.076607</t>
  </si>
  <si>
    <t>Sheboygan, WI</t>
  </si>
  <si>
    <t>595 Taylor Dr, by Festival Foods</t>
  </si>
  <si>
    <t>Sheboygan</t>
  </si>
  <si>
    <t>43.749912, -87.747073</t>
  </si>
  <si>
    <t>Braintree, MA</t>
  </si>
  <si>
    <t>250 Granite St</t>
  </si>
  <si>
    <t>Braintree</t>
  </si>
  <si>
    <t>42.222955, -71.021964</t>
  </si>
  <si>
    <t>Newburgh, NY</t>
  </si>
  <si>
    <t>1217 Route 300</t>
  </si>
  <si>
    <t>Newburgh</t>
  </si>
  <si>
    <t>41.499775, -74.071261</t>
  </si>
  <si>
    <t>Oklahoma City, OK</t>
  </si>
  <si>
    <t>7624 West Reno Ave #380</t>
  </si>
  <si>
    <t>Oklahoma City</t>
  </si>
  <si>
    <t>35.461704, -97.651445</t>
  </si>
  <si>
    <t>Virginia Beach - Lynnhaven Pkwy, VA</t>
  </si>
  <si>
    <t>1579 Lynnhaven Pkwy</t>
  </si>
  <si>
    <t>Virginia Beach</t>
  </si>
  <si>
    <t>36.795662, -76.102691</t>
  </si>
  <si>
    <t>Duluth, MN</t>
  </si>
  <si>
    <t>200 W 1st St</t>
  </si>
  <si>
    <t>Duluth</t>
  </si>
  <si>
    <t>46.784467, -92.10232</t>
  </si>
  <si>
    <t>Newark, CA</t>
  </si>
  <si>
    <t>3100 Newpark Mall</t>
  </si>
  <si>
    <t>Newark</t>
  </si>
  <si>
    <t>37.525905, -122.006624</t>
  </si>
  <si>
    <t>Houston, TX</t>
  </si>
  <si>
    <t>14820 North Fwy</t>
  </si>
  <si>
    <t>Houston</t>
  </si>
  <si>
    <t>29.980741, -95.421697</t>
  </si>
  <si>
    <t>Santa Ana, CA</t>
  </si>
  <si>
    <t>2800 N Main St</t>
  </si>
  <si>
    <t>Santa Ana</t>
  </si>
  <si>
    <t>33.776011, -117.872176</t>
  </si>
  <si>
    <t>Pendleton, OR</t>
  </si>
  <si>
    <t>46510 Wildhorse Blvd</t>
  </si>
  <si>
    <t>Pendleton</t>
  </si>
  <si>
    <t>45.64655, -118.68198</t>
  </si>
  <si>
    <t>Columbia, MO</t>
  </si>
  <si>
    <t>915 Port Way</t>
  </si>
  <si>
    <t>Columbia</t>
  </si>
  <si>
    <t>38.957816, -92.252773</t>
  </si>
  <si>
    <t>Asheville - 4 S Tunnel Rd, NC</t>
  </si>
  <si>
    <t>4 S Tunnel Rd</t>
  </si>
  <si>
    <t>Asheville</t>
  </si>
  <si>
    <t>35.581912, -82.523642</t>
  </si>
  <si>
    <t>Fayetteville, NC</t>
  </si>
  <si>
    <t>1965 Cedar Creek Rd</t>
  </si>
  <si>
    <t>Fayetteville</t>
  </si>
  <si>
    <t>35.009527, -78.822416</t>
  </si>
  <si>
    <t>Cadillac, MI</t>
  </si>
  <si>
    <t>8605 34 Rd</t>
  </si>
  <si>
    <t>Cadillac</t>
  </si>
  <si>
    <t>MI</t>
  </si>
  <si>
    <t>44.282551, -85.403096</t>
  </si>
  <si>
    <t>Kennewick, WA</t>
  </si>
  <si>
    <t>2811 W 10th Ave</t>
  </si>
  <si>
    <t>Kennewick</t>
  </si>
  <si>
    <t>46.198085, -119.162734</t>
  </si>
  <si>
    <t>Price, UT</t>
  </si>
  <si>
    <t>925 West Westwood Blvd</t>
  </si>
  <si>
    <t>Price</t>
  </si>
  <si>
    <t>39.600731, -110.831701</t>
  </si>
  <si>
    <t>South Burlington, VT</t>
  </si>
  <si>
    <t>222 Dorset St</t>
  </si>
  <si>
    <t>South Burlington</t>
  </si>
  <si>
    <t>VT</t>
  </si>
  <si>
    <t>44.462814, -73.179316</t>
  </si>
  <si>
    <t>Boise, ID</t>
  </si>
  <si>
    <t>1426 S Entertainment Ave</t>
  </si>
  <si>
    <t>Boise</t>
  </si>
  <si>
    <t>ID</t>
  </si>
  <si>
    <t>43.592292, -116.279467</t>
  </si>
  <si>
    <t>Fountain Valley, CA</t>
  </si>
  <si>
    <t>17900 Newhope St</t>
  </si>
  <si>
    <t>Fountain Valley</t>
  </si>
  <si>
    <t>33.70278, -117.934127</t>
  </si>
  <si>
    <t>Pecos, TX</t>
  </si>
  <si>
    <t>N Frontage St</t>
  </si>
  <si>
    <t>Pecos</t>
  </si>
  <si>
    <t>31.400223, -103.486931</t>
  </si>
  <si>
    <t>Tallahassee, FL</t>
  </si>
  <si>
    <t>1400 Village Square Blvd</t>
  </si>
  <si>
    <t>Tallahassee</t>
  </si>
  <si>
    <t>30.510935, -84.247838</t>
  </si>
  <si>
    <t>Jarrell, TX</t>
  </si>
  <si>
    <t>11810 N I-35</t>
  </si>
  <si>
    <t>Jarrell</t>
  </si>
  <si>
    <t>30.814396, -97.610506</t>
  </si>
  <si>
    <t>San Rafael, CA</t>
  </si>
  <si>
    <t>340 3rd St</t>
  </si>
  <si>
    <t>San Rafael</t>
  </si>
  <si>
    <t>37.971375, -122.517193</t>
  </si>
  <si>
    <t>Guaynabo - Calle Tabonuco, PR</t>
  </si>
  <si>
    <t>Cll Tabonuco</t>
  </si>
  <si>
    <t>Guaynabo</t>
  </si>
  <si>
    <t>PR</t>
  </si>
  <si>
    <t>18.4069, -66.1061</t>
  </si>
  <si>
    <t>Buttonwillow, CA</t>
  </si>
  <si>
    <t>20673 Tracy Ave</t>
  </si>
  <si>
    <t>Buttonwillow</t>
  </si>
  <si>
    <t>35.400105, -119.397796</t>
  </si>
  <si>
    <t>Sandy, OR</t>
  </si>
  <si>
    <t>16625 SE 362nd Dr</t>
  </si>
  <si>
    <t>Sandy</t>
  </si>
  <si>
    <t>45.403531, -122.294242</t>
  </si>
  <si>
    <t>Mammoth Lakes, CA</t>
  </si>
  <si>
    <t>165 Old Mammoth Rd</t>
  </si>
  <si>
    <t>Mammoth Lakes</t>
  </si>
  <si>
    <t>37.644544, -118.965875</t>
  </si>
  <si>
    <t>Beatty, NV</t>
  </si>
  <si>
    <t>700 US-95</t>
  </si>
  <si>
    <t>Beatty</t>
  </si>
  <si>
    <t>36.913718, -116.754371</t>
  </si>
  <si>
    <t>Twin Falls, ID</t>
  </si>
  <si>
    <t>Twin Falls Tourist Center, 2015 Nielsen Point Place</t>
  </si>
  <si>
    <t>Twin Falls</t>
  </si>
  <si>
    <t>42.597887, -114.455249</t>
  </si>
  <si>
    <t>Allentown, PA</t>
  </si>
  <si>
    <t>Tilghman Square, 4680 Broadway</t>
  </si>
  <si>
    <t>Allentown</t>
  </si>
  <si>
    <t>40.588102, -75.559904</t>
  </si>
  <si>
    <t>Ukiah, CA</t>
  </si>
  <si>
    <t>310 S State St</t>
  </si>
  <si>
    <t>Ukiah</t>
  </si>
  <si>
    <t>39.1481, -123.208604</t>
  </si>
  <si>
    <t>Fresno, CA</t>
  </si>
  <si>
    <t>6709 North Riverside Dr</t>
  </si>
  <si>
    <t>Fresno</t>
  </si>
  <si>
    <t>36.835455, -119.91058</t>
  </si>
  <si>
    <t>Amarillo, TX</t>
  </si>
  <si>
    <t>8271 W Amarillo Blvd</t>
  </si>
  <si>
    <t>Amarillo</t>
  </si>
  <si>
    <t>35.189035, -101.931478</t>
  </si>
  <si>
    <t>Binghamton, NY</t>
  </si>
  <si>
    <t>1062 Front St</t>
  </si>
  <si>
    <t>Binghamton</t>
  </si>
  <si>
    <t>42.145553, -75.901755</t>
  </si>
  <si>
    <t>Tannersville, PA</t>
  </si>
  <si>
    <t>1000 Premium Outlets Dr</t>
  </si>
  <si>
    <t>Tannersville</t>
  </si>
  <si>
    <t>41.045431, -75.312244</t>
  </si>
  <si>
    <t>Hinckley, MN</t>
  </si>
  <si>
    <t>404 Fire Monument Rd</t>
  </si>
  <si>
    <t>Hinckley</t>
  </si>
  <si>
    <t>46.009592, -92.93155</t>
  </si>
  <si>
    <t>Baxter, MN</t>
  </si>
  <si>
    <t>6967 Lake Forest Rd</t>
  </si>
  <si>
    <t>Baxter</t>
  </si>
  <si>
    <t>46.378868, -94.256413</t>
  </si>
  <si>
    <t>Kingsland, GA</t>
  </si>
  <si>
    <t>Kingsland Welcome Center 1190 East Boone Ave</t>
  </si>
  <si>
    <t>Kingsland</t>
  </si>
  <si>
    <t>30.790764, -81.663729</t>
  </si>
  <si>
    <t>Colorado Springs, CO</t>
  </si>
  <si>
    <t>215 North Cascade Ave</t>
  </si>
  <si>
    <t>Colorado Springs</t>
  </si>
  <si>
    <t>38.837573, -104.824907</t>
  </si>
  <si>
    <t>Tonopah, NV</t>
  </si>
  <si>
    <t>171 Main St</t>
  </si>
  <si>
    <t>Tonopah</t>
  </si>
  <si>
    <t>38.069801, -117.232243</t>
  </si>
  <si>
    <t>Victoria, TX</t>
  </si>
  <si>
    <t>3107 South Laurent St</t>
  </si>
  <si>
    <t>Victoria</t>
  </si>
  <si>
    <t>28.766853, -96.978988</t>
  </si>
  <si>
    <t>Slidell, LA</t>
  </si>
  <si>
    <t>Fremaux Town Center 1303 Town Center Pkwy</t>
  </si>
  <si>
    <t>Slidell</t>
  </si>
  <si>
    <t>30.266552, -89.760156</t>
  </si>
  <si>
    <t>Wytheville, VA</t>
  </si>
  <si>
    <t>165 Malin Dr</t>
  </si>
  <si>
    <t>Wytheville</t>
  </si>
  <si>
    <t>36.945795, -81.054406</t>
  </si>
  <si>
    <t>Rocky Mount, NC</t>
  </si>
  <si>
    <t>651 N Winstead Ave</t>
  </si>
  <si>
    <t>Rocky Mount</t>
  </si>
  <si>
    <t>35.972874, -77.84687</t>
  </si>
  <si>
    <t>Louisville, KY</t>
  </si>
  <si>
    <t>2120 Gardiner Ln</t>
  </si>
  <si>
    <t>Louisville</t>
  </si>
  <si>
    <t>38.211846, -85.673087</t>
  </si>
  <si>
    <t>Charlotte - Toringdon Way, NC</t>
  </si>
  <si>
    <t>3429 Toringdon Way</t>
  </si>
  <si>
    <t>35.069252, -80.842291</t>
  </si>
  <si>
    <t>Pearl, MS</t>
  </si>
  <si>
    <t>200 Bass Pro Dr</t>
  </si>
  <si>
    <t>Pearl</t>
  </si>
  <si>
    <t>MS</t>
  </si>
  <si>
    <t>32.274159, -90.151048</t>
  </si>
  <si>
    <t>Temecula, CA</t>
  </si>
  <si>
    <t>40820 Winchester Rd</t>
  </si>
  <si>
    <t>Temecula</t>
  </si>
  <si>
    <t>33.52421, -117.152568</t>
  </si>
  <si>
    <t>Hawthorne, NV</t>
  </si>
  <si>
    <t>705 Hwy 362</t>
  </si>
  <si>
    <t>Hawthorne</t>
  </si>
  <si>
    <t>38.533939, -118.62308</t>
  </si>
  <si>
    <t>Lima, MT</t>
  </si>
  <si>
    <t>108 Bailey St,</t>
  </si>
  <si>
    <t>Lima</t>
  </si>
  <si>
    <t>44.632745, -112.591203</t>
  </si>
  <si>
    <t>Sweetwater, TX</t>
  </si>
  <si>
    <t>300 SE Georgia Ave</t>
  </si>
  <si>
    <t>Sweetwater</t>
  </si>
  <si>
    <t>32.450591, -100.392455</t>
  </si>
  <si>
    <t>Cisco, TX</t>
  </si>
  <si>
    <t>16851 Interstate Highway 20</t>
  </si>
  <si>
    <t>Cisco</t>
  </si>
  <si>
    <t>32.374263, -99.007197</t>
  </si>
  <si>
    <t>Rolla, MO</t>
  </si>
  <si>
    <t>1705 Martin Spring Dr</t>
  </si>
  <si>
    <t>Rolla</t>
  </si>
  <si>
    <t>37.940064, -91.801658</t>
  </si>
  <si>
    <t>Lexington, VA</t>
  </si>
  <si>
    <t>880 N Lee Hwy</t>
  </si>
  <si>
    <t>37.796979, -79.419007</t>
  </si>
  <si>
    <t>Champaign, IL</t>
  </si>
  <si>
    <t>2401 N Prospect Ave</t>
  </si>
  <si>
    <t>Champaign</t>
  </si>
  <si>
    <t>40.146209, -88.259884</t>
  </si>
  <si>
    <t>Red Bluff - S Main St, CA</t>
  </si>
  <si>
    <t>725 S Main St</t>
  </si>
  <si>
    <t>Red Bluff</t>
  </si>
  <si>
    <t>40.163072, -122.228937</t>
  </si>
  <si>
    <t>Columbus - Hilliard Rome Rd, OH</t>
  </si>
  <si>
    <t>1661 Hilliard Rome Rd</t>
  </si>
  <si>
    <t>39.9831, -83.1529</t>
  </si>
  <si>
    <t>Peru, IL</t>
  </si>
  <si>
    <t>1651 Midtown Rd</t>
  </si>
  <si>
    <t>Peru</t>
  </si>
  <si>
    <t>41.348503, -89.126115</t>
  </si>
  <si>
    <t>Terre Haute, IN</t>
  </si>
  <si>
    <t>Meijer, 5600 E, New Margaret Dr</t>
  </si>
  <si>
    <t>Terre Haute</t>
  </si>
  <si>
    <t>39.443345, -87.331737</t>
  </si>
  <si>
    <t>West Yellowstone, MT</t>
  </si>
  <si>
    <t>201 S Canyon St</t>
  </si>
  <si>
    <t>West Yellowstone</t>
  </si>
  <si>
    <t>44.656089, -111.099022</t>
  </si>
  <si>
    <t>Lindale, TX</t>
  </si>
  <si>
    <t>Collin St Bakery 17044 I-20</t>
  </si>
  <si>
    <t>Lindale</t>
  </si>
  <si>
    <t>32.470885, -95.450473</t>
  </si>
  <si>
    <t>Reno, NV</t>
  </si>
  <si>
    <t>3800 S Virginia St</t>
  </si>
  <si>
    <t>Reno</t>
  </si>
  <si>
    <t>39.489732, -119.794179</t>
  </si>
  <si>
    <t>Pocatello, ID</t>
  </si>
  <si>
    <t>Clarion Inn, 1399 Bench Rd</t>
  </si>
  <si>
    <t>Pocatello</t>
  </si>
  <si>
    <t>42.899615, -112.435248</t>
  </si>
  <si>
    <t>Idaho Falls, ID</t>
  </si>
  <si>
    <t>940 Pier View Dr</t>
  </si>
  <si>
    <t>Idaho Falls</t>
  </si>
  <si>
    <t>43.485152, -112.05205</t>
  </si>
  <si>
    <t>Bend, OR</t>
  </si>
  <si>
    <t>61535 S Highway 97</t>
  </si>
  <si>
    <t>Bend</t>
  </si>
  <si>
    <t>44.03563, -121.308473</t>
  </si>
  <si>
    <t>Southampton, NY</t>
  </si>
  <si>
    <t>850 County Road 39</t>
  </si>
  <si>
    <t>Southampton</t>
  </si>
  <si>
    <t>40.891909, -72.426995</t>
  </si>
  <si>
    <t>Meridian, MS</t>
  </si>
  <si>
    <t>1210 Bonita Lakes Dr</t>
  </si>
  <si>
    <t>Meridian</t>
  </si>
  <si>
    <t>32.35778, -88.671246</t>
  </si>
  <si>
    <t>Plattsburgh, NY</t>
  </si>
  <si>
    <t>60 Smithfield Blvd</t>
  </si>
  <si>
    <t>Plattsburgh</t>
  </si>
  <si>
    <t>44.704537, -73.491829</t>
  </si>
  <si>
    <t>Egg Harbor Township, NJ</t>
  </si>
  <si>
    <t>3121 Fire Rd</t>
  </si>
  <si>
    <t>Egg Harbor Township</t>
  </si>
  <si>
    <t>NJ</t>
  </si>
  <si>
    <t>39.393663, -74.562619</t>
  </si>
  <si>
    <t>Springfield, MO</t>
  </si>
  <si>
    <t>3050 North Kentwood St</t>
  </si>
  <si>
    <t>Springfield</t>
  </si>
  <si>
    <t>37.251836, -93.265534</t>
  </si>
  <si>
    <t>Miner, MO</t>
  </si>
  <si>
    <t>2612 E Malone Ave</t>
  </si>
  <si>
    <t>Miner</t>
  </si>
  <si>
    <t>36.893583, -89.533986</t>
  </si>
  <si>
    <t>Oakdale, MN</t>
  </si>
  <si>
    <t>7180 10th St N</t>
  </si>
  <si>
    <t>Oakdale</t>
  </si>
  <si>
    <t>44.96499, -92.96129</t>
  </si>
  <si>
    <t>Shreveport, LA</t>
  </si>
  <si>
    <t>1133 St. Vincent Ave</t>
  </si>
  <si>
    <t>Shreveport</t>
  </si>
  <si>
    <t>32.478594, -93.75437</t>
  </si>
  <si>
    <t>West Des Moines, IA</t>
  </si>
  <si>
    <t>1725 Jordan Creek Pkwy</t>
  </si>
  <si>
    <t>West Des Moines</t>
  </si>
  <si>
    <t>41.599019, -93.806336</t>
  </si>
  <si>
    <t>Memphis, TN</t>
  </si>
  <si>
    <t>1203 Ridgeway Rd</t>
  </si>
  <si>
    <t>Memphis</t>
  </si>
  <si>
    <t>35.097801, -89.858957</t>
  </si>
  <si>
    <t>Santa Barbara, CA</t>
  </si>
  <si>
    <t>3943 State St</t>
  </si>
  <si>
    <t>Santa Barbara</t>
  </si>
  <si>
    <t>34.440227, -119.753359</t>
  </si>
  <si>
    <t>Catoosa, OK</t>
  </si>
  <si>
    <t>777 W Cherokee St</t>
  </si>
  <si>
    <t>Catoosa</t>
  </si>
  <si>
    <t>36.167631, -95.766044</t>
  </si>
  <si>
    <t>Bowling Green, KY</t>
  </si>
  <si>
    <t>1676 Westpark Dr</t>
  </si>
  <si>
    <t>Bowling Green</t>
  </si>
  <si>
    <t>36.955196, -86.438854</t>
  </si>
  <si>
    <t>Lincoln City, OR</t>
  </si>
  <si>
    <t>1500 SE East Devils Lake Rd</t>
  </si>
  <si>
    <t>Lincoln City</t>
  </si>
  <si>
    <t>44.957751, -124.010966</t>
  </si>
  <si>
    <t>Alexandria, LA</t>
  </si>
  <si>
    <t>701 4th St</t>
  </si>
  <si>
    <t>Alexandria</t>
  </si>
  <si>
    <t>31.312424, -92.446436</t>
  </si>
  <si>
    <t>Folsom - Palladio Pkwy, CA</t>
  </si>
  <si>
    <t>220 Palladio Pkwy</t>
  </si>
  <si>
    <t>Folsom</t>
  </si>
  <si>
    <t>38.647199, -121.118344</t>
  </si>
  <si>
    <t>Waller, TX</t>
  </si>
  <si>
    <t>40900 US-290</t>
  </si>
  <si>
    <t>Waller</t>
  </si>
  <si>
    <t>30.070698, -95.930431</t>
  </si>
  <si>
    <t>Goleta, CA</t>
  </si>
  <si>
    <t>7004 Market Pl Dr</t>
  </si>
  <si>
    <t>Goleta</t>
  </si>
  <si>
    <t>34.427015, -119.871768</t>
  </si>
  <si>
    <t>Aberdeen, MD</t>
  </si>
  <si>
    <t>Maryland House Sevice Plaza, I-95</t>
  </si>
  <si>
    <t>Aberdeen</t>
  </si>
  <si>
    <t>MD</t>
  </si>
  <si>
    <t>39.498017, -76.231196</t>
  </si>
  <si>
    <t>Port Huron, MI</t>
  </si>
  <si>
    <t>500 Thomas Edison Pkwy</t>
  </si>
  <si>
    <t>Port Huron</t>
  </si>
  <si>
    <t>42.998817, -82.428935</t>
  </si>
  <si>
    <t>Monroe, LA</t>
  </si>
  <si>
    <t>4915 Pecanland Mall Dr</t>
  </si>
  <si>
    <t>Monroe</t>
  </si>
  <si>
    <t>32.496554, -92.055091</t>
  </si>
  <si>
    <t>Three Rivers, TX</t>
  </si>
  <si>
    <t>2645 S Hwy 37, I-37 Exit 72</t>
  </si>
  <si>
    <t>Three Rivers</t>
  </si>
  <si>
    <t>28.521614, -98.185829</t>
  </si>
  <si>
    <t>Davenport, IA</t>
  </si>
  <si>
    <t>North Ridge Shopping Center 4064 E 53rd St</t>
  </si>
  <si>
    <t>Davenport</t>
  </si>
  <si>
    <t>41.575888, -90.513526</t>
  </si>
  <si>
    <t>Columbus, OH</t>
  </si>
  <si>
    <t>70 E Goodale St</t>
  </si>
  <si>
    <t>39.974472, -83.00092</t>
  </si>
  <si>
    <t>National Harbor - Potomac Passage, MD</t>
  </si>
  <si>
    <t>150 Potomac Passage</t>
  </si>
  <si>
    <t>National Harbor</t>
  </si>
  <si>
    <t>38.785335, -77.014771</t>
  </si>
  <si>
    <t>Lee, MA</t>
  </si>
  <si>
    <t>10 Pleasant St</t>
  </si>
  <si>
    <t>Lee</t>
  </si>
  <si>
    <t>42.29571, -73.239245</t>
  </si>
  <si>
    <t>Page, AZ</t>
  </si>
  <si>
    <t>600 Clubhouse Dr</t>
  </si>
  <si>
    <t>Page</t>
  </si>
  <si>
    <t>36.924902, -111.468041</t>
  </si>
  <si>
    <t>Lincoln, NE</t>
  </si>
  <si>
    <t>5020 N 27th St</t>
  </si>
  <si>
    <t>Lincoln</t>
  </si>
  <si>
    <t>NE</t>
  </si>
  <si>
    <t>40.860817, -96.679723</t>
  </si>
  <si>
    <t>Kingsville, TX</t>
  </si>
  <si>
    <t>2400 South Highway 77</t>
  </si>
  <si>
    <t>Kingsville</t>
  </si>
  <si>
    <t>27.493808, -97.844399</t>
  </si>
  <si>
    <t>Brewer, ME</t>
  </si>
  <si>
    <t>5 Walton Dr</t>
  </si>
  <si>
    <t>Brewer</t>
  </si>
  <si>
    <t>ME</t>
  </si>
  <si>
    <t>44.775909, -68.73432</t>
  </si>
  <si>
    <t>Bloomsburg, PA</t>
  </si>
  <si>
    <t>11 Ricky Ave</t>
  </si>
  <si>
    <t>Bloomsburg</t>
  </si>
  <si>
    <t>41.016143, -76.492616</t>
  </si>
  <si>
    <t>Berlin, VT</t>
  </si>
  <si>
    <t>213 Payne Turnpike</t>
  </si>
  <si>
    <t>Berlin</t>
  </si>
  <si>
    <t>44.212532, -72.576462</t>
  </si>
  <si>
    <t>Watertown, NY</t>
  </si>
  <si>
    <t>21182 Salmon Run Mall Loop W</t>
  </si>
  <si>
    <t>Watertown</t>
  </si>
  <si>
    <t>43.979585, -75.954114</t>
  </si>
  <si>
    <t>Queensbury, NY</t>
  </si>
  <si>
    <t>Aviation Mall, 578 Aviation Rd</t>
  </si>
  <si>
    <t>Queensbury</t>
  </si>
  <si>
    <t>43.328388, -73.679992</t>
  </si>
  <si>
    <t>Marina Del Rey, CA</t>
  </si>
  <si>
    <t>13534 Bali Way</t>
  </si>
  <si>
    <t>Marina Del Rey</t>
  </si>
  <si>
    <t>33.980394, -118.445237</t>
  </si>
  <si>
    <t>Gustine, CA</t>
  </si>
  <si>
    <t>12411 California Highway 33</t>
  </si>
  <si>
    <t>Gustine</t>
  </si>
  <si>
    <t>37.109305, -121.017565</t>
  </si>
  <si>
    <t>Bakersfield, CA</t>
  </si>
  <si>
    <t>29541 Stockdale Hwy</t>
  </si>
  <si>
    <t>Bakersfield</t>
  </si>
  <si>
    <t>35.354643, -119.331607</t>
  </si>
  <si>
    <t>Ozona, TX</t>
  </si>
  <si>
    <t>1307 Avenue A</t>
  </si>
  <si>
    <t>Ozona</t>
  </si>
  <si>
    <t>30.706696, -101.195962</t>
  </si>
  <si>
    <t>Loveland, CO</t>
  </si>
  <si>
    <t>Embassy Suites at 4705 Clydesdale Pkwy</t>
  </si>
  <si>
    <t>Loveland</t>
  </si>
  <si>
    <t>40.44146, -104.991205</t>
  </si>
  <si>
    <t>Ogallala, NE</t>
  </si>
  <si>
    <t>501 Stagecoach Trail</t>
  </si>
  <si>
    <t>Ogallala</t>
  </si>
  <si>
    <t>41.116493, -101.709415</t>
  </si>
  <si>
    <t>Gothenburg, NE</t>
  </si>
  <si>
    <t>318 Platte River Rd</t>
  </si>
  <si>
    <t>Gothenburg</t>
  </si>
  <si>
    <t>40.917317, -100.169913</t>
  </si>
  <si>
    <t>Channelview, TX</t>
  </si>
  <si>
    <t>16311 East Fwy</t>
  </si>
  <si>
    <t>Channelview</t>
  </si>
  <si>
    <t>29.784665, -95.110612</t>
  </si>
  <si>
    <t>Birmingham, AL</t>
  </si>
  <si>
    <t>2221 Richard Arrington Jr Blvd N</t>
  </si>
  <si>
    <t>Birmingham</t>
  </si>
  <si>
    <t>33.525917, -86.806875</t>
  </si>
  <si>
    <t>North Aurora, IL</t>
  </si>
  <si>
    <t>151 Hansen Blvd</t>
  </si>
  <si>
    <t>North Aurora</t>
  </si>
  <si>
    <t>41.802949, -88.370249</t>
  </si>
  <si>
    <t>Childress, TX</t>
  </si>
  <si>
    <t>1300 Avenue F NW</t>
  </si>
  <si>
    <t>Childress</t>
  </si>
  <si>
    <t>34.432426, -100.218676</t>
  </si>
  <si>
    <t>Twentynine Palms, CA</t>
  </si>
  <si>
    <t>73829 Baseline Rd</t>
  </si>
  <si>
    <t>Twentynine Palms</t>
  </si>
  <si>
    <t>34.12046, -116.050953</t>
  </si>
  <si>
    <t>Brush, CO</t>
  </si>
  <si>
    <t>1156 Colorado Ave</t>
  </si>
  <si>
    <t>Brush</t>
  </si>
  <si>
    <t>40.270895, -103.62223</t>
  </si>
  <si>
    <t>Oswego, IL</t>
  </si>
  <si>
    <t>2700 US-34</t>
  </si>
  <si>
    <t>Oswego</t>
  </si>
  <si>
    <t>41.699456, -88.3123</t>
  </si>
  <si>
    <t>Jackson, TN</t>
  </si>
  <si>
    <t>56 Casey Jones Ln</t>
  </si>
  <si>
    <t>Jackson</t>
  </si>
  <si>
    <t>35.660349, -88.855771</t>
  </si>
  <si>
    <t>Jackson, WY</t>
  </si>
  <si>
    <t>1155 S Highway 89</t>
  </si>
  <si>
    <t>43.463995, -110.794875</t>
  </si>
  <si>
    <t>Tarrytown, NY</t>
  </si>
  <si>
    <t>600 White Plains Rd</t>
  </si>
  <si>
    <t>Tarrytown</t>
  </si>
  <si>
    <t>41.061499, -73.836411</t>
  </si>
  <si>
    <t>Las Vegas - Las Vegas Blvd S, NV</t>
  </si>
  <si>
    <t>6509 S Las Vegas Blvd</t>
  </si>
  <si>
    <t>36.070633, -115.17295</t>
  </si>
  <si>
    <t>Nephi - S Main St, UT</t>
  </si>
  <si>
    <t>2120 S Main St</t>
  </si>
  <si>
    <t>Nephi</t>
  </si>
  <si>
    <t>39.677755, -111.841252</t>
  </si>
  <si>
    <t>Fort Stockton, TX</t>
  </si>
  <si>
    <t>2571 N Front St</t>
  </si>
  <si>
    <t>Fort Stockton</t>
  </si>
  <si>
    <t>30.905492, -102.88453</t>
  </si>
  <si>
    <t>Knoxville, TN</t>
  </si>
  <si>
    <t>11038 Parkside Dr</t>
  </si>
  <si>
    <t>Knoxville</t>
  </si>
  <si>
    <t>35.901319, -84.149634</t>
  </si>
  <si>
    <t>Groveland, CA</t>
  </si>
  <si>
    <t>11875 Ponderosa Ln</t>
  </si>
  <si>
    <t>Groveland</t>
  </si>
  <si>
    <t>37.838679, -120.23199</t>
  </si>
  <si>
    <t>Midland, TX</t>
  </si>
  <si>
    <t>3001 Antelope Trail</t>
  </si>
  <si>
    <t>Midland</t>
  </si>
  <si>
    <t>31.947361, -102.141289</t>
  </si>
  <si>
    <t>Junction, TX</t>
  </si>
  <si>
    <t>2415 N Main St</t>
  </si>
  <si>
    <t>Junction</t>
  </si>
  <si>
    <t>30.509233, -99.77456</t>
  </si>
  <si>
    <t>Fish Camp, CA</t>
  </si>
  <si>
    <t>1122 California 41</t>
  </si>
  <si>
    <t>Fish Camp</t>
  </si>
  <si>
    <t>37.473828, -119.635893</t>
  </si>
  <si>
    <t>Grand Island, NE</t>
  </si>
  <si>
    <t>3335 W Wood River Rd</t>
  </si>
  <si>
    <t>Grand Island</t>
  </si>
  <si>
    <t>40.829973, -98.379822</t>
  </si>
  <si>
    <t>Clearwater, MN</t>
  </si>
  <si>
    <t>950 MN-24</t>
  </si>
  <si>
    <t>Clearwater</t>
  </si>
  <si>
    <t>45.411899, -94.054852</t>
  </si>
  <si>
    <t>Texarkana, TX</t>
  </si>
  <si>
    <t>3101 Mall Dr</t>
  </si>
  <si>
    <t>Texarkana</t>
  </si>
  <si>
    <t>33.459926, -94.077179</t>
  </si>
  <si>
    <t>Mt. Gilead, OH</t>
  </si>
  <si>
    <t>6200 State Route 95</t>
  </si>
  <si>
    <t>Mt. Gilead</t>
  </si>
  <si>
    <t>43338-9548</t>
  </si>
  <si>
    <t>40.494024, -82.712896</t>
  </si>
  <si>
    <t>Evanston, WY</t>
  </si>
  <si>
    <t>101 Wasatch Rd</t>
  </si>
  <si>
    <t>Evanston</t>
  </si>
  <si>
    <t>41.263157, -110.985309</t>
  </si>
  <si>
    <t>Arlington, TX</t>
  </si>
  <si>
    <t>1200 Ballpark Way</t>
  </si>
  <si>
    <t>Arlington</t>
  </si>
  <si>
    <t>32.754659, -97.082823</t>
  </si>
  <si>
    <t>Flatonia, TX</t>
  </si>
  <si>
    <t>1415 FM 609 at I-10</t>
  </si>
  <si>
    <t>Flatonia</t>
  </si>
  <si>
    <t>29.697904, -97.099993</t>
  </si>
  <si>
    <t>Howard, WI</t>
  </si>
  <si>
    <t>2015 Shawano Ave</t>
  </si>
  <si>
    <t>Howard</t>
  </si>
  <si>
    <t>44.5354319, -88.0777788</t>
  </si>
  <si>
    <t>Little Rock, AR</t>
  </si>
  <si>
    <t>11231 Bass Pro Pkwy off of I-430</t>
  </si>
  <si>
    <t>Little Rock</t>
  </si>
  <si>
    <t>AR</t>
  </si>
  <si>
    <t>34.6614, -92.41031</t>
  </si>
  <si>
    <t>Bristol, TN</t>
  </si>
  <si>
    <t>428 Pinnacle Pkwy</t>
  </si>
  <si>
    <t>Bristol</t>
  </si>
  <si>
    <t>36.591697, -82.261339</t>
  </si>
  <si>
    <t>San Jose - East Capitol Expressway, CA</t>
  </si>
  <si>
    <t>3096 Tuers Rd</t>
  </si>
  <si>
    <t>37.300551, -121.825198</t>
  </si>
  <si>
    <t>Paso Robles, CA</t>
  </si>
  <si>
    <t>2449 Golden Hill Rd</t>
  </si>
  <si>
    <t>Paso Robles</t>
  </si>
  <si>
    <t>35.645482, -120.660047</t>
  </si>
  <si>
    <t>Traverse City, MI</t>
  </si>
  <si>
    <t>Meijer, 3955 US-31</t>
  </si>
  <si>
    <t>Traverse City</t>
  </si>
  <si>
    <t>44.744729, -85.644019</t>
  </si>
  <si>
    <t>Myrtle Beach, SC</t>
  </si>
  <si>
    <t>Coastal Grand Mall, 2000 Coastal Grand Cir</t>
  </si>
  <si>
    <t>Myrtle Beach</t>
  </si>
  <si>
    <t>33.704388, -78.925172</t>
  </si>
  <si>
    <t>Milford - Boston Post Rd, CT</t>
  </si>
  <si>
    <t>Connecticut Post Mall, 1201 Post Rd</t>
  </si>
  <si>
    <t>41.238035, -73.036156</t>
  </si>
  <si>
    <t>Ardmore, OK</t>
  </si>
  <si>
    <t>322 Holiday Dr</t>
  </si>
  <si>
    <t>Ardmore</t>
  </si>
  <si>
    <t>34.179106, -97.165632</t>
  </si>
  <si>
    <t>Florida City, FL</t>
  </si>
  <si>
    <t>33505 S Dixie Hwy</t>
  </si>
  <si>
    <t>Florida City</t>
  </si>
  <si>
    <t>25.456825, -80.474341</t>
  </si>
  <si>
    <t>Gardnerville, NV</t>
  </si>
  <si>
    <t>Topaz Lodge, 1979 US-395</t>
  </si>
  <si>
    <t>Gardnerville</t>
  </si>
  <si>
    <t>38.696426, -119.548534</t>
  </si>
  <si>
    <t>Van Horn, TX</t>
  </si>
  <si>
    <t>1921 SW Frontage Rd</t>
  </si>
  <si>
    <t>Van Horn</t>
  </si>
  <si>
    <t>31.03448, -104.861431</t>
  </si>
  <si>
    <t>Rock Springs, WY</t>
  </si>
  <si>
    <t>2441 Foothill Blvd</t>
  </si>
  <si>
    <t>Rock Springs</t>
  </si>
  <si>
    <t>41.580815, -109.262137</t>
  </si>
  <si>
    <t>Klamath Falls, OR</t>
  </si>
  <si>
    <t>1401 Washburn Way</t>
  </si>
  <si>
    <t>Klamath Falls</t>
  </si>
  <si>
    <t>42.216906, -121.756218</t>
  </si>
  <si>
    <t>Bolingbrook, IL</t>
  </si>
  <si>
    <t>755 E Boughton Rd</t>
  </si>
  <si>
    <t>Bolingbrook</t>
  </si>
  <si>
    <t>41.722189, -88.037278</t>
  </si>
  <si>
    <t>New Rochelle, NY</t>
  </si>
  <si>
    <t>33 Lecount Place</t>
  </si>
  <si>
    <t>New Rochelle</t>
  </si>
  <si>
    <t>40.912298, -73.780132</t>
  </si>
  <si>
    <t>North East, MD</t>
  </si>
  <si>
    <t>Chesapeake House Travel Plaza, I-95</t>
  </si>
  <si>
    <t>North East</t>
  </si>
  <si>
    <t>39.612048, -76.009908</t>
  </si>
  <si>
    <t>Dows, IA</t>
  </si>
  <si>
    <t>904 Cardinal Ave</t>
  </si>
  <si>
    <t>Dows</t>
  </si>
  <si>
    <t>42.673838, -93.462294</t>
  </si>
  <si>
    <t>Santa Fe, NM</t>
  </si>
  <si>
    <t>8380 Cerrillos Rd</t>
  </si>
  <si>
    <t>Santa Fe</t>
  </si>
  <si>
    <t>35.611793, -106.032196</t>
  </si>
  <si>
    <t>Summerton, SC</t>
  </si>
  <si>
    <t>500 Buff Blvd</t>
  </si>
  <si>
    <t>Summerton</t>
  </si>
  <si>
    <t>33.587091, -80.357191</t>
  </si>
  <si>
    <t>Charlottesville, VA</t>
  </si>
  <si>
    <t>2100 Bond St</t>
  </si>
  <si>
    <t>Charlottesville</t>
  </si>
  <si>
    <t>38.067051, -78.492702</t>
  </si>
  <si>
    <t>Charleston, WV</t>
  </si>
  <si>
    <t>100 Kanawha Blvd East</t>
  </si>
  <si>
    <t>Charleston</t>
  </si>
  <si>
    <t>WV</t>
  </si>
  <si>
    <t>38.354712, -81.642845</t>
  </si>
  <si>
    <t>Indianapolis - E Southport Rd, IN</t>
  </si>
  <si>
    <t>5325 E Southport Rd</t>
  </si>
  <si>
    <t>Indianapolis</t>
  </si>
  <si>
    <t>39.664746, -86.076234</t>
  </si>
  <si>
    <t>Chapel Hill, NC</t>
  </si>
  <si>
    <t>100 Village Center Dr</t>
  </si>
  <si>
    <t>Chapel Hill</t>
  </si>
  <si>
    <t>35.969846, -79.06356</t>
  </si>
  <si>
    <t>Monroe, WA</t>
  </si>
  <si>
    <t>15067 N Kelsey St</t>
  </si>
  <si>
    <t>47.86274, -121.97672</t>
  </si>
  <si>
    <t>Corsicana, TX</t>
  </si>
  <si>
    <t>2035 Interstate 45 Frontage Rd</t>
  </si>
  <si>
    <t>Corsicana</t>
  </si>
  <si>
    <t>32.068577, -96.448229</t>
  </si>
  <si>
    <t>Athens, AL</t>
  </si>
  <si>
    <t>1325 US-72</t>
  </si>
  <si>
    <t>Athens</t>
  </si>
  <si>
    <t>34.785443, -86.942964</t>
  </si>
  <si>
    <t>Madison - Northbound, CT</t>
  </si>
  <si>
    <t>I-95 N</t>
  </si>
  <si>
    <t>41.2900852, -72.5803292</t>
  </si>
  <si>
    <t>Madison - Southbound, CT</t>
  </si>
  <si>
    <t>I-95 S</t>
  </si>
  <si>
    <t>41.2915926, -72.5790793</t>
  </si>
  <si>
    <t>Moses Lake, WA</t>
  </si>
  <si>
    <t>2709 W Broadway Ave</t>
  </si>
  <si>
    <t>Moses Lake</t>
  </si>
  <si>
    <t>47.103505, -119.310203</t>
  </si>
  <si>
    <t>Warwick, RI</t>
  </si>
  <si>
    <t>1776 Post Rd</t>
  </si>
  <si>
    <t>Warwick</t>
  </si>
  <si>
    <t>41.733158, -71.43585</t>
  </si>
  <si>
    <t>Waukegan, IL</t>
  </si>
  <si>
    <t>4011 Fountain Square Place</t>
  </si>
  <si>
    <t>Waukegan</t>
  </si>
  <si>
    <t>42.343425, -87.900068</t>
  </si>
  <si>
    <t>Weston, WV</t>
  </si>
  <si>
    <t>39 Berlin Rd</t>
  </si>
  <si>
    <t>Weston</t>
  </si>
  <si>
    <t>39.019353, -80.416993</t>
  </si>
  <si>
    <t>Vacaville, CA</t>
  </si>
  <si>
    <t>321 Nut Tree RD</t>
  </si>
  <si>
    <t>Vacaville</t>
  </si>
  <si>
    <t>38.366645, -121.958136</t>
  </si>
  <si>
    <t>Sacramento, CA</t>
  </si>
  <si>
    <t>3668 North Freeway Blvd</t>
  </si>
  <si>
    <t>Sacramento</t>
  </si>
  <si>
    <t>38.637729, -121.49718</t>
  </si>
  <si>
    <t>Arlington, WA</t>
  </si>
  <si>
    <t>Angel of the Winds Casino,3438 Stoluckquamish Ln</t>
  </si>
  <si>
    <t>48.21237, -122.183551</t>
  </si>
  <si>
    <t>Osage Beach, MO</t>
  </si>
  <si>
    <t>919 Hwy D</t>
  </si>
  <si>
    <t>Osage Beach</t>
  </si>
  <si>
    <t>38.162028, -92.605238</t>
  </si>
  <si>
    <t>Ludington, MI</t>
  </si>
  <si>
    <t>3900 W US Hwy 10</t>
  </si>
  <si>
    <t>Ludington</t>
  </si>
  <si>
    <t>43.957103, -86.376093</t>
  </si>
  <si>
    <t>Truth or Consequences, NM</t>
  </si>
  <si>
    <t>2201 F G AMIN ST</t>
  </si>
  <si>
    <t>Truth or Consequences</t>
  </si>
  <si>
    <t>33.15524, -107.251642</t>
  </si>
  <si>
    <t>Chicago - North Columbus Drive, IL</t>
  </si>
  <si>
    <t>225 N Columbus Dr</t>
  </si>
  <si>
    <t>41.886458, -87.620262</t>
  </si>
  <si>
    <t>Salinas, CA</t>
  </si>
  <si>
    <t>1606 North Main St</t>
  </si>
  <si>
    <t>Salinas</t>
  </si>
  <si>
    <t>36.715699, -121.653992</t>
  </si>
  <si>
    <t>Grenada, MS</t>
  </si>
  <si>
    <t>2030 Sunset Dr</t>
  </si>
  <si>
    <t>Grenada</t>
  </si>
  <si>
    <t>33.787384, -89.849614</t>
  </si>
  <si>
    <t>La Vale, MD</t>
  </si>
  <si>
    <t>11601 Winchester Rd</t>
  </si>
  <si>
    <t>La Vale</t>
  </si>
  <si>
    <t>39.63626, -78.845748</t>
  </si>
  <si>
    <t>Leominster, MA</t>
  </si>
  <si>
    <t>100 Commercial Rd</t>
  </si>
  <si>
    <t>Leominster</t>
  </si>
  <si>
    <t>42.529798, -71.744151</t>
  </si>
  <si>
    <t>McAllen, TX</t>
  </si>
  <si>
    <t>800 Convention Center Blvd</t>
  </si>
  <si>
    <t>McAllen</t>
  </si>
  <si>
    <t>26.198443, -98.259839</t>
  </si>
  <si>
    <t>South Toms River, NJ</t>
  </si>
  <si>
    <t>379 Dover Rd</t>
  </si>
  <si>
    <t>Toms River</t>
  </si>
  <si>
    <t>39.941683, -74.211995</t>
  </si>
  <si>
    <t>North Huntingdon, PA</t>
  </si>
  <si>
    <t>Sheetz, 7821 US-30</t>
  </si>
  <si>
    <t>North Huntingdon</t>
  </si>
  <si>
    <t>40.314135, -79.671409</t>
  </si>
  <si>
    <t>Frederick, MD</t>
  </si>
  <si>
    <t>5500 Buckeystown Pike</t>
  </si>
  <si>
    <t>Frederick</t>
  </si>
  <si>
    <t>39.384693, -77.405494</t>
  </si>
  <si>
    <t>Live Oak, FL</t>
  </si>
  <si>
    <t>6886 US-129</t>
  </si>
  <si>
    <t>Live Oak</t>
  </si>
  <si>
    <t>30.331363, -82.961355</t>
  </si>
  <si>
    <t>Cookeville, TN</t>
  </si>
  <si>
    <t>377 W Jackson St</t>
  </si>
  <si>
    <t>Cookeville</t>
  </si>
  <si>
    <t>36.155848, -85.515211</t>
  </si>
  <si>
    <t>Falls Creek, PA</t>
  </si>
  <si>
    <t>1867 Rich Highway</t>
  </si>
  <si>
    <t>Falls Creek</t>
  </si>
  <si>
    <t>41.14072, -78.784725</t>
  </si>
  <si>
    <t>Sherburn, MN</t>
  </si>
  <si>
    <t>600 State Highway 4</t>
  </si>
  <si>
    <t>Sherburn</t>
  </si>
  <si>
    <t>43.66182, -94.733012</t>
  </si>
  <si>
    <t>Sioux Falls, SD</t>
  </si>
  <si>
    <t>1900 South Marion Rd</t>
  </si>
  <si>
    <t>Sioux Falls</t>
  </si>
  <si>
    <t>43.527655, -96.790579</t>
  </si>
  <si>
    <t>Sarasota, FL</t>
  </si>
  <si>
    <t>5901 North Honore Ave</t>
  </si>
  <si>
    <t>Sarasota</t>
  </si>
  <si>
    <t>27.386306, -82.464377</t>
  </si>
  <si>
    <t>Cambridge, OH</t>
  </si>
  <si>
    <t>2101 Southgate Pkwy</t>
  </si>
  <si>
    <t>Cambridge</t>
  </si>
  <si>
    <t>40.003569, -81.574967</t>
  </si>
  <si>
    <t>Kingman - W Andy Devine, AZ</t>
  </si>
  <si>
    <t>120 W Andy Devine Ave</t>
  </si>
  <si>
    <t>Kingman</t>
  </si>
  <si>
    <t>35.189032, -114.058384</t>
  </si>
  <si>
    <t>Monterey, CA</t>
  </si>
  <si>
    <t>1100 Del Monte Center</t>
  </si>
  <si>
    <t>Monterey</t>
  </si>
  <si>
    <t>36.585729, -121.898765</t>
  </si>
  <si>
    <t>Baker, CA</t>
  </si>
  <si>
    <t>71808 Baker Blvd</t>
  </si>
  <si>
    <t>Baker</t>
  </si>
  <si>
    <t>35.262495, -116.08079</t>
  </si>
  <si>
    <t>Stateline, NV</t>
  </si>
  <si>
    <t>50 US-50</t>
  </si>
  <si>
    <t>Stateline</t>
  </si>
  <si>
    <t>38.963471, -119.940651</t>
  </si>
  <si>
    <t>Altamonte Springs, FL</t>
  </si>
  <si>
    <t>305 East Altamonte Dr</t>
  </si>
  <si>
    <t>Altamonte Springs</t>
  </si>
  <si>
    <t>28.664414, -81.380274</t>
  </si>
  <si>
    <t>Dickson, TN</t>
  </si>
  <si>
    <t>100 Barzani Blvd</t>
  </si>
  <si>
    <t>Dickson</t>
  </si>
  <si>
    <t>36.018349, -87.332955</t>
  </si>
  <si>
    <t>Fort Wayne, IN</t>
  </si>
  <si>
    <t>6309 Lima Rd</t>
  </si>
  <si>
    <t>Fort Wayne</t>
  </si>
  <si>
    <t>41.138806, -85.163548</t>
  </si>
  <si>
    <t>Pinellas Park, FL</t>
  </si>
  <si>
    <t>3101 Gandy Blvd</t>
  </si>
  <si>
    <t>Pinellas Park</t>
  </si>
  <si>
    <t>27.8461, -82.678114</t>
  </si>
  <si>
    <t>Southlake, TX</t>
  </si>
  <si>
    <t>Southlake Town Square</t>
  </si>
  <si>
    <t>Southlake</t>
  </si>
  <si>
    <t>32.943488, -97.133843</t>
  </si>
  <si>
    <t>Carlisle, PA</t>
  </si>
  <si>
    <t>1720 Harrisburg Pike</t>
  </si>
  <si>
    <t>Carlisle</t>
  </si>
  <si>
    <t>40.233206, -77.119185</t>
  </si>
  <si>
    <t>Gaithersburg, MD</t>
  </si>
  <si>
    <t>24 Grand Corner Ave</t>
  </si>
  <si>
    <t>Gaithersburg</t>
  </si>
  <si>
    <t>39.118151, -77.202271</t>
  </si>
  <si>
    <t>Franklin Park, PA</t>
  </si>
  <si>
    <t>2615 Nicholson Rd</t>
  </si>
  <si>
    <t>Franklin Park Township</t>
  </si>
  <si>
    <t>40.613216, -80.100103</t>
  </si>
  <si>
    <t>Burlington, NJ</t>
  </si>
  <si>
    <t>2060 US-130</t>
  </si>
  <si>
    <t>40.101525, -74.793172</t>
  </si>
  <si>
    <t>Miami - Bird Rd, FL</t>
  </si>
  <si>
    <t>6848 Bird Rd</t>
  </si>
  <si>
    <t>Miami</t>
  </si>
  <si>
    <t>25.732331, -80.306178</t>
  </si>
  <si>
    <t>Oak Creek, WI</t>
  </si>
  <si>
    <t>171 W Town Square Way</t>
  </si>
  <si>
    <t>Oak Creek</t>
  </si>
  <si>
    <t>42.900045, -87.913714</t>
  </si>
  <si>
    <t>Willcox, AZ</t>
  </si>
  <si>
    <t>1251 Virginia Ave</t>
  </si>
  <si>
    <t>Willcox</t>
  </si>
  <si>
    <t>32.269811, -109.8457</t>
  </si>
  <si>
    <t>Tucson, AZ</t>
  </si>
  <si>
    <t>9255 S Rita Rd</t>
  </si>
  <si>
    <t>Tucson</t>
  </si>
  <si>
    <t>32.083857, -110.803571</t>
  </si>
  <si>
    <t>Westminster, CA</t>
  </si>
  <si>
    <t>1025 Westminster Mall</t>
  </si>
  <si>
    <t>Westminster</t>
  </si>
  <si>
    <t>33.745288, -118.012279</t>
  </si>
  <si>
    <t>Cheektowaga, NY</t>
  </si>
  <si>
    <t>525–533 Duke Rd</t>
  </si>
  <si>
    <t>Buffalo</t>
  </si>
  <si>
    <t>42.90741, -78.762239</t>
  </si>
  <si>
    <t>Nacogdoches, TX</t>
  </si>
  <si>
    <t>2615 N Stallings Dr</t>
  </si>
  <si>
    <t>Nacogdoches</t>
  </si>
  <si>
    <t>31.651793, -94.679625</t>
  </si>
  <si>
    <t>Coeur d'Alene, ID</t>
  </si>
  <si>
    <t>3458 N Fruitland Ln</t>
  </si>
  <si>
    <t>Coeur d'Alene</t>
  </si>
  <si>
    <t>47.708479, -116.794283</t>
  </si>
  <si>
    <t>Martinsburg, WV</t>
  </si>
  <si>
    <t>1465 Edwin Miller Blvd</t>
  </si>
  <si>
    <t>Martinsburg</t>
  </si>
  <si>
    <t>39.485531, -77.956783</t>
  </si>
  <si>
    <t>Centralia, WA</t>
  </si>
  <si>
    <t>1200 Lum Rd</t>
  </si>
  <si>
    <t>Centralia</t>
  </si>
  <si>
    <t>46.729732, -122.977454</t>
  </si>
  <si>
    <t>Lewes, DE</t>
  </si>
  <si>
    <t>17663 Dartmouth Dr</t>
  </si>
  <si>
    <t>Lewes</t>
  </si>
  <si>
    <t>DE</t>
  </si>
  <si>
    <t>38.743725, -75.153394</t>
  </si>
  <si>
    <t>Woodstock, GA</t>
  </si>
  <si>
    <t>915 Ridgewalk Pkwy</t>
  </si>
  <si>
    <t>Woodstock</t>
  </si>
  <si>
    <t>34.118729, -84.528502</t>
  </si>
  <si>
    <t>Auburn Hills, MI</t>
  </si>
  <si>
    <t>850 Brown Rd</t>
  </si>
  <si>
    <t>Auburn Hills</t>
  </si>
  <si>
    <t>42.706969, -83.288941</t>
  </si>
  <si>
    <t>White Hills, AZ</t>
  </si>
  <si>
    <t>12683 White Hills Rd</t>
  </si>
  <si>
    <t>Willow Beach</t>
  </si>
  <si>
    <t>35.7, -114.476782</t>
  </si>
  <si>
    <t>Toledo, OH</t>
  </si>
  <si>
    <t>1500 E Alexis Rd</t>
  </si>
  <si>
    <t>Toledo</t>
  </si>
  <si>
    <t>41.721617, -83.509207</t>
  </si>
  <si>
    <t>Salt Lake City - S 300 W, UT</t>
  </si>
  <si>
    <t>1850 S 300 W</t>
  </si>
  <si>
    <t>Salt Lake City</t>
  </si>
  <si>
    <t>40.730089, -111.90178</t>
  </si>
  <si>
    <t>Fort Lauderdale - Powerline Rd, FL</t>
  </si>
  <si>
    <t>6191 Powerline Rd</t>
  </si>
  <si>
    <t>Fort Lauderdale</t>
  </si>
  <si>
    <t>26.202627, -80.156465</t>
  </si>
  <si>
    <t>Concord, CA</t>
  </si>
  <si>
    <t>2001 Diamond Blvd</t>
  </si>
  <si>
    <t>Concord</t>
  </si>
  <si>
    <t>37.970453, -122.058384</t>
  </si>
  <si>
    <t>Grants Pass, OR</t>
  </si>
  <si>
    <t>1900 NW 6th St</t>
  </si>
  <si>
    <t>Grants Pass</t>
  </si>
  <si>
    <t>42.460883, -123.324124</t>
  </si>
  <si>
    <t>Deming, NM</t>
  </si>
  <si>
    <t>1695 US-180</t>
  </si>
  <si>
    <t>Deming</t>
  </si>
  <si>
    <t>32.281357, -107.760281</t>
  </si>
  <si>
    <t>Hickory, NC</t>
  </si>
  <si>
    <t>2191 13th Ave Dr SE</t>
  </si>
  <si>
    <t>Hickory</t>
  </si>
  <si>
    <t>35.706189, -81.294768</t>
  </si>
  <si>
    <t>Santa Clarita, CA</t>
  </si>
  <si>
    <t>23975 Newhall Ranch Rd</t>
  </si>
  <si>
    <t>Santa Clarita</t>
  </si>
  <si>
    <t>34.431041, -118.554319</t>
  </si>
  <si>
    <t>Lone Tree, CO</t>
  </si>
  <si>
    <t>Park Meadows Center Dr</t>
  </si>
  <si>
    <t>Lone Tree</t>
  </si>
  <si>
    <t>39.562726, -104.873432</t>
  </si>
  <si>
    <t>Oacoma, SD</t>
  </si>
  <si>
    <t>1000 East South Dakota Highway 16</t>
  </si>
  <si>
    <t>Oacoma</t>
  </si>
  <si>
    <t>43.803188, -99.383442</t>
  </si>
  <si>
    <t>Poncha Springs, CO</t>
  </si>
  <si>
    <t>6250 Hwy 285</t>
  </si>
  <si>
    <t>Poncha Springs</t>
  </si>
  <si>
    <t>38.51174, -106.076394</t>
  </si>
  <si>
    <t>Cottonwood, CA</t>
  </si>
  <si>
    <t>20635 Gas Point Rd</t>
  </si>
  <si>
    <t>Cottonwood</t>
  </si>
  <si>
    <t>40.389145, -122.288208</t>
  </si>
  <si>
    <t>Greensboro, NC</t>
  </si>
  <si>
    <t>5421 Hornaday Rd</t>
  </si>
  <si>
    <t>Greensboro</t>
  </si>
  <si>
    <t>36.059473, -79.908358</t>
  </si>
  <si>
    <t>Cle Elum, WA</t>
  </si>
  <si>
    <t>811 WA-970 #6, Cle Elum, WA</t>
  </si>
  <si>
    <t>Cle Elum</t>
  </si>
  <si>
    <t>47.189278, -120.902553</t>
  </si>
  <si>
    <t>Freeport, ME</t>
  </si>
  <si>
    <t>Justins Way &amp; Cross St</t>
  </si>
  <si>
    <t>Freeport</t>
  </si>
  <si>
    <t>43.8587942, -70.1041363</t>
  </si>
  <si>
    <t>Gaylord, MI</t>
  </si>
  <si>
    <t>250 Meijer Dr</t>
  </si>
  <si>
    <t>Gaylord</t>
  </si>
  <si>
    <t>45.025577, -84.722201</t>
  </si>
  <si>
    <t>Roseville, MI</t>
  </si>
  <si>
    <t>30800 Little Mack Ave</t>
  </si>
  <si>
    <t>42.522048, -82.906756</t>
  </si>
  <si>
    <t>Fairfield, CA</t>
  </si>
  <si>
    <t>1350 Travis Blvd</t>
  </si>
  <si>
    <t>Fairfield</t>
  </si>
  <si>
    <t>38.26175, -122.0524</t>
  </si>
  <si>
    <t>Malaga, NJ</t>
  </si>
  <si>
    <t>450 Delsea Dr</t>
  </si>
  <si>
    <t>Malaga</t>
  </si>
  <si>
    <t>39.572, -75.0528</t>
  </si>
  <si>
    <t>Big Rapids, MI</t>
  </si>
  <si>
    <t>15400 Waldron Way</t>
  </si>
  <si>
    <t>Big Rapids</t>
  </si>
  <si>
    <t>43.689792, -85.515625</t>
  </si>
  <si>
    <t>Lansing, MI</t>
  </si>
  <si>
    <t>2505 Showtime Dr</t>
  </si>
  <si>
    <t>Lansing</t>
  </si>
  <si>
    <t>42.766555, -84.514724</t>
  </si>
  <si>
    <t>Riverside, CA</t>
  </si>
  <si>
    <t>3878 Market St</t>
  </si>
  <si>
    <t>Riverside</t>
  </si>
  <si>
    <t>33.981393, -117.37577</t>
  </si>
  <si>
    <t>Kelso, WA</t>
  </si>
  <si>
    <t>205 Three Rivers Dr</t>
  </si>
  <si>
    <t>Kelso</t>
  </si>
  <si>
    <t>46.143403, -122.899225</t>
  </si>
  <si>
    <t>Fremont, CA</t>
  </si>
  <si>
    <t>45500 Fremont Blvd</t>
  </si>
  <si>
    <t>Fremont</t>
  </si>
  <si>
    <t>37.492754, -121.944796</t>
  </si>
  <si>
    <t>Clinton Corners, NY</t>
  </si>
  <si>
    <t>2300 Salt Point Tpke</t>
  </si>
  <si>
    <t>Clinton Corners</t>
  </si>
  <si>
    <t>41.825464, -73.770719</t>
  </si>
  <si>
    <t>Plano, TX</t>
  </si>
  <si>
    <t>5725 Legacy Dr</t>
  </si>
  <si>
    <t>Plano</t>
  </si>
  <si>
    <t>33.07868, -96.819506</t>
  </si>
  <si>
    <t>Wheatland, WY</t>
  </si>
  <si>
    <t>1556 Sherard Rd</t>
  </si>
  <si>
    <t>Wheatland</t>
  </si>
  <si>
    <t>42.072497, -104.96271</t>
  </si>
  <si>
    <t>Sunnyvale - W McKinley Ave, CA</t>
  </si>
  <si>
    <t>298 W McKinley Ave</t>
  </si>
  <si>
    <t>Sunnyvale</t>
  </si>
  <si>
    <t>37.373421, -122.033114</t>
  </si>
  <si>
    <t>Truckee - Soaring Way, CA</t>
  </si>
  <si>
    <t>10001 Soaring Way</t>
  </si>
  <si>
    <t>39.319501, -120.155831</t>
  </si>
  <si>
    <t>Gilroy, CA</t>
  </si>
  <si>
    <t>681 Leavesley Rd</t>
  </si>
  <si>
    <t>Gilroy</t>
  </si>
  <si>
    <t>37.02493, -121.56542</t>
  </si>
  <si>
    <t>Cabazon, CA</t>
  </si>
  <si>
    <t>48400 Seminole Dr</t>
  </si>
  <si>
    <t>Cabazon</t>
  </si>
  <si>
    <t>33.93129, -116.820041</t>
  </si>
  <si>
    <t>Redding, CA</t>
  </si>
  <si>
    <t>880 Sundial Bridge Dr</t>
  </si>
  <si>
    <t>Redding</t>
  </si>
  <si>
    <t>40.590042, -122.378506</t>
  </si>
  <si>
    <t>Kettleman City, CA</t>
  </si>
  <si>
    <t>33360 Powers Dr</t>
  </si>
  <si>
    <t>Kettleman City</t>
  </si>
  <si>
    <t>35.987651, -119.962336</t>
  </si>
  <si>
    <t>Bellefonte, PA</t>
  </si>
  <si>
    <t>170 Buckaroo Lane</t>
  </si>
  <si>
    <t>Bellefonte</t>
  </si>
  <si>
    <t>40.913884, -77.738425</t>
  </si>
  <si>
    <t>Clare, MI</t>
  </si>
  <si>
    <t>604 North McEwan</t>
  </si>
  <si>
    <t>Clare</t>
  </si>
  <si>
    <t>43.820359, -84.76675</t>
  </si>
  <si>
    <t>Hadley, MA</t>
  </si>
  <si>
    <t>25 Russell St</t>
  </si>
  <si>
    <t>Hadley</t>
  </si>
  <si>
    <t>42.338922, -72.611239</t>
  </si>
  <si>
    <t>Yermo, CA</t>
  </si>
  <si>
    <t>36017 Calico Rd</t>
  </si>
  <si>
    <t>Yermo</t>
  </si>
  <si>
    <t>34.907217, -116.835801</t>
  </si>
  <si>
    <t>Anaheim - Santa Ana Canyon Rd, CA</t>
  </si>
  <si>
    <t>8148 E Santa Ana Canyon Rd</t>
  </si>
  <si>
    <t>Anaheim</t>
  </si>
  <si>
    <t>33.866724, -117.747373</t>
  </si>
  <si>
    <t>Ephrata, PA</t>
  </si>
  <si>
    <t>891 E Main Street</t>
  </si>
  <si>
    <t>Ephrata</t>
  </si>
  <si>
    <t>40.1633, -76.1535</t>
  </si>
  <si>
    <t>Scottsdale, AZ</t>
  </si>
  <si>
    <t>15000 N 73rd St</t>
  </si>
  <si>
    <t>Scottsdale</t>
  </si>
  <si>
    <t>33.623139, -111.922451</t>
  </si>
  <si>
    <t>Burbank - North Third St, CA</t>
  </si>
  <si>
    <t>501 N 3rd St, Top Parking Level</t>
  </si>
  <si>
    <t>Burbank</t>
  </si>
  <si>
    <t>34.18487, -118.311672</t>
  </si>
  <si>
    <t>Sacramento - Arden Way, CA</t>
  </si>
  <si>
    <t>1689 Arden Way</t>
  </si>
  <si>
    <t>38.603327, -121.42853</t>
  </si>
  <si>
    <t>Scottsdale - N Kierland Blvd, AZ</t>
  </si>
  <si>
    <t>15205 N Kierland Blvd</t>
  </si>
  <si>
    <t>33.623205, -111.930338</t>
  </si>
  <si>
    <t>Colby, KS</t>
  </si>
  <si>
    <t>700 E Horton Ave</t>
  </si>
  <si>
    <t>Colby</t>
  </si>
  <si>
    <t>39.361357, -101.054063</t>
  </si>
  <si>
    <t>Bethel, ME</t>
  </si>
  <si>
    <t>211 Mayville Rd</t>
  </si>
  <si>
    <t>Bethel</t>
  </si>
  <si>
    <t>44.424871, -70.796608</t>
  </si>
  <si>
    <t>Riverview, FL</t>
  </si>
  <si>
    <t>10665 Big Bend</t>
  </si>
  <si>
    <t>Riverview</t>
  </si>
  <si>
    <t>27.7915, -82.332833</t>
  </si>
  <si>
    <t>Harris Ranch, CA</t>
  </si>
  <si>
    <t>24505 W Dorris Ave</t>
  </si>
  <si>
    <t>Coalinga</t>
  </si>
  <si>
    <t>36.25415, -120.237896</t>
  </si>
  <si>
    <t>Lexington, NC</t>
  </si>
  <si>
    <t>2350 S Main St</t>
  </si>
  <si>
    <t>35.800189, -80.288565</t>
  </si>
  <si>
    <t>Yuba City, CA</t>
  </si>
  <si>
    <t>1475 Tharp Rd</t>
  </si>
  <si>
    <t>Yuba City</t>
  </si>
  <si>
    <t>39.147833, -121.647861</t>
  </si>
  <si>
    <t>Austin, TX</t>
  </si>
  <si>
    <t>6406 N Interstate 35 Frontage Rd</t>
  </si>
  <si>
    <t>Austin</t>
  </si>
  <si>
    <t>30.329175, -97.706339</t>
  </si>
  <si>
    <t>Strongsville, OH</t>
  </si>
  <si>
    <t>9037 Pearl Rd</t>
  </si>
  <si>
    <t>Strongsville</t>
  </si>
  <si>
    <t>41.34336, -81.824924</t>
  </si>
  <si>
    <t>San Diego - Camino Del Sur, CA</t>
  </si>
  <si>
    <t>17170 Camino Del Sur</t>
  </si>
  <si>
    <t>San Diego</t>
  </si>
  <si>
    <t>33.020052, -117.126278</t>
  </si>
  <si>
    <t>Centerville, TX</t>
  </si>
  <si>
    <t>947 West Saint Mary's Street</t>
  </si>
  <si>
    <t>Centerville</t>
  </si>
  <si>
    <t>31.259556, -95.985289</t>
  </si>
  <si>
    <t>Miami - Mary Brickell Village, FL</t>
  </si>
  <si>
    <t>71 SW 10th St</t>
  </si>
  <si>
    <t>25.764706, -80.194629</t>
  </si>
  <si>
    <t>Glendale - Cooper Ave, NY</t>
  </si>
  <si>
    <t>8000 Cooper Ave</t>
  </si>
  <si>
    <t>Glendale</t>
  </si>
  <si>
    <t>40.707962, -73.867167</t>
  </si>
  <si>
    <t>Lithonia, GA</t>
  </si>
  <si>
    <t>3045 Panola Rd</t>
  </si>
  <si>
    <t>Lithonia</t>
  </si>
  <si>
    <t>33.69893, -84.173181</t>
  </si>
  <si>
    <t>Mt. Jackson, VA</t>
  </si>
  <si>
    <t>227 Conicville Rd</t>
  </si>
  <si>
    <t>Mt. Jackson</t>
  </si>
  <si>
    <t>38.760227, -78.63121</t>
  </si>
  <si>
    <t>Orleans, MA</t>
  </si>
  <si>
    <t>10 Route 6A</t>
  </si>
  <si>
    <t>Orleans</t>
  </si>
  <si>
    <t>41.796653, -69.985961</t>
  </si>
  <si>
    <t>Brooklyn - Atlantic Ave, NY</t>
  </si>
  <si>
    <t>625 Atlantic Ave</t>
  </si>
  <si>
    <t>40.683738, -73.974953</t>
  </si>
  <si>
    <t>San Ramon - Diablo Plaza, CA</t>
  </si>
  <si>
    <t>2415 San Ramon Valley Blvd</t>
  </si>
  <si>
    <t>San Ramon</t>
  </si>
  <si>
    <t>37.774766, -121.979789</t>
  </si>
  <si>
    <t>Mount Vernon, IL</t>
  </si>
  <si>
    <t>222 Potomac Blvd</t>
  </si>
  <si>
    <t>Mt. Vernon</t>
  </si>
  <si>
    <t>38.316292, -88.955923</t>
  </si>
  <si>
    <t>Montauk, NY</t>
  </si>
  <si>
    <t>95 Carl Fisher Plaza</t>
  </si>
  <si>
    <t>Montauk</t>
  </si>
  <si>
    <t>41.035822, -71.943868</t>
  </si>
  <si>
    <t>Springfield, OR</t>
  </si>
  <si>
    <t>919 Kruse Way</t>
  </si>
  <si>
    <t>44.082605, -123.037471</t>
  </si>
  <si>
    <t>Sheffield, OH</t>
  </si>
  <si>
    <t>5295 Detroit Rd</t>
  </si>
  <si>
    <t>Sheffield</t>
  </si>
  <si>
    <t>41.426963, -82.076273</t>
  </si>
  <si>
    <t>Laredo, TX</t>
  </si>
  <si>
    <t>110 Calle Del Norte Dr</t>
  </si>
  <si>
    <t>Laredo</t>
  </si>
  <si>
    <t>27.555003, -99.49424</t>
  </si>
  <si>
    <t>East Brunswick - State Route 18, NJ</t>
  </si>
  <si>
    <t>755 State Route 18</t>
  </si>
  <si>
    <t>East Brunswick</t>
  </si>
  <si>
    <t>40.424107, -74.380069</t>
  </si>
  <si>
    <t>Marlton, NJ</t>
  </si>
  <si>
    <t>500 Route 73 South</t>
  </si>
  <si>
    <t>Marlton</t>
  </si>
  <si>
    <t>39.877547, -74.918491</t>
  </si>
  <si>
    <t>Menifee, CA</t>
  </si>
  <si>
    <t>30340 Haun Rd</t>
  </si>
  <si>
    <t>Menifee</t>
  </si>
  <si>
    <t>33.679646, -117.174095</t>
  </si>
  <si>
    <t>Windsor, CA</t>
  </si>
  <si>
    <t>8852 Lakewood Dr</t>
  </si>
  <si>
    <t>Windsor</t>
  </si>
  <si>
    <t>38.549856, -122.805465</t>
  </si>
  <si>
    <t>Robbinsdale, MN</t>
  </si>
  <si>
    <t>3435 W Broadway Ave</t>
  </si>
  <si>
    <t>Robbinsdale</t>
  </si>
  <si>
    <t>45.018928, -93.32583</t>
  </si>
  <si>
    <t>Orlando - N Alafaya Trail, FL</t>
  </si>
  <si>
    <t>435 N Alafaya Trail</t>
  </si>
  <si>
    <t>Orlando</t>
  </si>
  <si>
    <t>28.555278, -81.198944</t>
  </si>
  <si>
    <t>Alvarado, TX</t>
  </si>
  <si>
    <t>3313 S. Burleson Blvd</t>
  </si>
  <si>
    <t>Burleson</t>
  </si>
  <si>
    <t>32.464312, -97.264718</t>
  </si>
  <si>
    <t>Flagstaff, AZ</t>
  </si>
  <si>
    <t>2650 S Beulah Blvd</t>
  </si>
  <si>
    <t>Flagstaff</t>
  </si>
  <si>
    <t>35.174272, -111.66328</t>
  </si>
  <si>
    <t>Oshkosh, WI</t>
  </si>
  <si>
    <t>2415 Westown Ave</t>
  </si>
  <si>
    <t>Oshkosh</t>
  </si>
  <si>
    <t>44.028779, -88.592508</t>
  </si>
  <si>
    <t>Riverhead, NY</t>
  </si>
  <si>
    <t>1791 Old Country Rd</t>
  </si>
  <si>
    <t>Riverhead</t>
  </si>
  <si>
    <t>40.923322, -72.702788</t>
  </si>
  <si>
    <t>Lake Elsinore, CA</t>
  </si>
  <si>
    <t>17600 Collier Ave</t>
  </si>
  <si>
    <t>Lake Elsinore</t>
  </si>
  <si>
    <t>33.698437, -117.349113</t>
  </si>
  <si>
    <t>Parkersburg, WV</t>
  </si>
  <si>
    <t>1102 7th St</t>
  </si>
  <si>
    <t>Parkersburg</t>
  </si>
  <si>
    <t>39.2633181, -81.5446371</t>
  </si>
  <si>
    <t>Woodbridge, VA</t>
  </si>
  <si>
    <t>2700 Potomac Mills Circle</t>
  </si>
  <si>
    <t>Woodbridge</t>
  </si>
  <si>
    <t>38.64082, -77.29633</t>
  </si>
  <si>
    <t>Seekonk, MA</t>
  </si>
  <si>
    <t>965 Fall River Ave</t>
  </si>
  <si>
    <t>Seekonk</t>
  </si>
  <si>
    <t>41.799157, -71.331026</t>
  </si>
  <si>
    <t>Napa, CA</t>
  </si>
  <si>
    <t>Devlin Rd &amp; Airport Blvd</t>
  </si>
  <si>
    <t>Napa</t>
  </si>
  <si>
    <t>38.2356, -122.264</t>
  </si>
  <si>
    <t>San Luis Obispo, CA</t>
  </si>
  <si>
    <t>Madonna Inn, 100 Madonna Rd</t>
  </si>
  <si>
    <t>35.265182, -120.676288</t>
  </si>
  <si>
    <t>Cranberry Township - US 19, PA</t>
  </si>
  <si>
    <t>20111 Rt 19</t>
  </si>
  <si>
    <t>Cranberry Twp</t>
  </si>
  <si>
    <t>40.6821667, -80.1018333</t>
  </si>
  <si>
    <t>Augusta - Belair Frontage Rd, GA</t>
  </si>
  <si>
    <t>4329 Belair Frontage Rd</t>
  </si>
  <si>
    <t>Augusta</t>
  </si>
  <si>
    <t>33.481657, -82.130253</t>
  </si>
  <si>
    <t>San Jose - Blossom Hill Rd, CA</t>
  </si>
  <si>
    <t>1375 Blossom Hill Rd</t>
  </si>
  <si>
    <t>37.244638, -121.891141</t>
  </si>
  <si>
    <t>Katy - Katy Fwy, TX</t>
  </si>
  <si>
    <t>27700 Katy Fwy</t>
  </si>
  <si>
    <t>Katy</t>
  </si>
  <si>
    <t>29.779001, -95.848797</t>
  </si>
  <si>
    <t>Rancho Cucamonga, CA</t>
  </si>
  <si>
    <t>12505 North Main St</t>
  </si>
  <si>
    <t>Rancho Cucamonga</t>
  </si>
  <si>
    <t>34.113592, -117.529406</t>
  </si>
  <si>
    <t>Missoula, MT</t>
  </si>
  <si>
    <t>5280 Grant Creek Rd</t>
  </si>
  <si>
    <t>Missoula</t>
  </si>
  <si>
    <t>46.914375, -114.031924</t>
  </si>
  <si>
    <t>Austin - Research Blvd, TX</t>
  </si>
  <si>
    <t>9800 Stonelake Blvd</t>
  </si>
  <si>
    <t>30.389333, -97.73975</t>
  </si>
  <si>
    <t>Yonkers, NY</t>
  </si>
  <si>
    <t>Ridge Hill, 1 Ridge Hill Blvd</t>
  </si>
  <si>
    <t>Yonkers</t>
  </si>
  <si>
    <t>40.963462, -73.855127</t>
  </si>
  <si>
    <t>Richmond, VA</t>
  </si>
  <si>
    <t>4401 S Laburnum Ave</t>
  </si>
  <si>
    <t>37.529855, -77.353819</t>
  </si>
  <si>
    <t>Skokie, IL</t>
  </si>
  <si>
    <t>5507 W Touhy Ave</t>
  </si>
  <si>
    <t>Skokie</t>
  </si>
  <si>
    <t>42.009459, -87.766164</t>
  </si>
  <si>
    <t>Concord, NH</t>
  </si>
  <si>
    <t>11 Merchants Way</t>
  </si>
  <si>
    <t>43.289094, -71.579011</t>
  </si>
  <si>
    <t>Manchester, CT</t>
  </si>
  <si>
    <t>1470 Pleasant Valley Rd</t>
  </si>
  <si>
    <t>Manchester</t>
  </si>
  <si>
    <t>41.80455, -72.562267</t>
  </si>
  <si>
    <t>Woburn, MA</t>
  </si>
  <si>
    <t>101 Commerce Way</t>
  </si>
  <si>
    <t>Woburn</t>
  </si>
  <si>
    <t>42.518385, -71.137254</t>
  </si>
  <si>
    <t>Wall, SD</t>
  </si>
  <si>
    <t>407 Main St</t>
  </si>
  <si>
    <t>Wall</t>
  </si>
  <si>
    <t>43.994145, -102.24214</t>
  </si>
  <si>
    <t>Mashpee, MA</t>
  </si>
  <si>
    <t>38 Nathan Ellis Hwy</t>
  </si>
  <si>
    <t>Mashpee</t>
  </si>
  <si>
    <t>41.6175, -70.488528</t>
  </si>
  <si>
    <t>Madison - E Washington Ave, WI</t>
  </si>
  <si>
    <t>3801 E Washington Ave</t>
  </si>
  <si>
    <t>43.119137, -89.319052</t>
  </si>
  <si>
    <t>Chicago - North Broadway, IL</t>
  </si>
  <si>
    <t>3030 North Broadway</t>
  </si>
  <si>
    <t>41.937338, -87.644666</t>
  </si>
  <si>
    <t>Evergreen, AL</t>
  </si>
  <si>
    <t>90 Liberty Hill Pl</t>
  </si>
  <si>
    <t>Evergreen</t>
  </si>
  <si>
    <t>31.457228, -86.961555</t>
  </si>
  <si>
    <t>Crescent City, CA</t>
  </si>
  <si>
    <t>1000 Front St</t>
  </si>
  <si>
    <t>Crescent City</t>
  </si>
  <si>
    <t>41.752393, -124.1944</t>
  </si>
  <si>
    <t>Rochester, NH</t>
  </si>
  <si>
    <t>290 North Main St</t>
  </si>
  <si>
    <t>Rochester</t>
  </si>
  <si>
    <t>43.310917, -70.993265</t>
  </si>
  <si>
    <t>San Jose - Santana Row, CA</t>
  </si>
  <si>
    <t>330 Winchester Blvd</t>
  </si>
  <si>
    <t>37.322234, -121.949226</t>
  </si>
  <si>
    <t>El Paso, TX</t>
  </si>
  <si>
    <t>6401 Desert BLVD</t>
  </si>
  <si>
    <t>El Paso</t>
  </si>
  <si>
    <t>31.8839, -106.58379</t>
  </si>
  <si>
    <t>Thousand Oaks - East Thousand Oaks Blvd, CA</t>
  </si>
  <si>
    <t>180 Promenade Way</t>
  </si>
  <si>
    <t>Thousand Oaks</t>
  </si>
  <si>
    <t>34.158291, -118.82363</t>
  </si>
  <si>
    <t>Irvine - Michelson Dr, CA</t>
  </si>
  <si>
    <t>3021 Michelson Dr</t>
  </si>
  <si>
    <t>Irvine</t>
  </si>
  <si>
    <t>33.673394, -117.844666</t>
  </si>
  <si>
    <t>Idaho Springs, CO</t>
  </si>
  <si>
    <t>1319 Miner St</t>
  </si>
  <si>
    <t>Idaho Springs</t>
  </si>
  <si>
    <t>39.741549, -105.518358</t>
  </si>
  <si>
    <t>Manhattan Beach, CA</t>
  </si>
  <si>
    <t>3200 N Sepulveda Blvd</t>
  </si>
  <si>
    <t>Manhattan Beach</t>
  </si>
  <si>
    <t>33.901472, -118.393833</t>
  </si>
  <si>
    <t>Tampa, FL</t>
  </si>
  <si>
    <t>2502 N 50th St</t>
  </si>
  <si>
    <t>Tampa</t>
  </si>
  <si>
    <t>27.965757, -82.402577</t>
  </si>
  <si>
    <t>Lamar, CO</t>
  </si>
  <si>
    <t>173 E Beech St</t>
  </si>
  <si>
    <t>Lamar</t>
  </si>
  <si>
    <t>38.089378, -102.618303</t>
  </si>
  <si>
    <t>Phoenix - E Camelback Rd, AZ</t>
  </si>
  <si>
    <t>2502 E Camelback Rd</t>
  </si>
  <si>
    <t>33.511555, -112.026392</t>
  </si>
  <si>
    <t>Morgan Hill, CA</t>
  </si>
  <si>
    <t>1061 Cochrane Rd</t>
  </si>
  <si>
    <t>Morgan Hill</t>
  </si>
  <si>
    <t>37.156827, -121.653693</t>
  </si>
  <si>
    <t>Philadelphia - Center City, PA</t>
  </si>
  <si>
    <t>1118 Market St</t>
  </si>
  <si>
    <t>Philadelphia</t>
  </si>
  <si>
    <t>39.951276, -75.158667</t>
  </si>
  <si>
    <t>Los Angeles - W Olympic Blvd, CA</t>
  </si>
  <si>
    <t>11355 W Olympic Blvd</t>
  </si>
  <si>
    <t>Los Angeles</t>
  </si>
  <si>
    <t>34.03818, -118.443301</t>
  </si>
  <si>
    <t>Freehold, NJ</t>
  </si>
  <si>
    <t>909 NJ-33</t>
  </si>
  <si>
    <t>Freehold</t>
  </si>
  <si>
    <t>40.238319, -74.228021</t>
  </si>
  <si>
    <t>San Antonio, TX</t>
  </si>
  <si>
    <t>11745 IH-10 West</t>
  </si>
  <si>
    <t>San Antonio</t>
  </si>
  <si>
    <t>29.549585, -98.582722</t>
  </si>
  <si>
    <t>Washington - Wisconsin Ave NW, DC</t>
  </si>
  <si>
    <t>1855 Wisconsin Ave NW</t>
  </si>
  <si>
    <t>Washington</t>
  </si>
  <si>
    <t>DC</t>
  </si>
  <si>
    <t>38.91655, -77.066175</t>
  </si>
  <si>
    <t>Bandon, OR</t>
  </si>
  <si>
    <t>44 Michigan Ave NE</t>
  </si>
  <si>
    <t>Bandon</t>
  </si>
  <si>
    <t>43.121854, -124.398942</t>
  </si>
  <si>
    <t>Coralville, IA</t>
  </si>
  <si>
    <t>1914 8th St</t>
  </si>
  <si>
    <t>Coralville</t>
  </si>
  <si>
    <t>41.680372, -91.591467</t>
  </si>
  <si>
    <t>Sulphur Springs, TX</t>
  </si>
  <si>
    <t>300 W Tomlinson Street St</t>
  </si>
  <si>
    <t>Sulphur Springs</t>
  </si>
  <si>
    <t>33.137172, -95.603239</t>
  </si>
  <si>
    <t>Macon - Tom Hill Sr Rd, GA</t>
  </si>
  <si>
    <t>265 Tom Hill Sr Rd</t>
  </si>
  <si>
    <t>Macon</t>
  </si>
  <si>
    <t>32.897259, -83.689432</t>
  </si>
  <si>
    <t>Plantation, FL</t>
  </si>
  <si>
    <t>813 S University Dr</t>
  </si>
  <si>
    <t>Plantation</t>
  </si>
  <si>
    <t>26.108614, -80.252268</t>
  </si>
  <si>
    <t>Fairfield - Southbound, CT</t>
  </si>
  <si>
    <t>267 Round Hill Rd</t>
  </si>
  <si>
    <t>41.148076, -73.255582</t>
  </si>
  <si>
    <t>Watsonville, CA</t>
  </si>
  <si>
    <t>1415 Main St</t>
  </si>
  <si>
    <t>Watsonville</t>
  </si>
  <si>
    <t>36.916349, -121.773512</t>
  </si>
  <si>
    <t>Custer, SD</t>
  </si>
  <si>
    <t>800 Mount Rushmore Rd</t>
  </si>
  <si>
    <t>Custer</t>
  </si>
  <si>
    <t>43.767498, -103.594306</t>
  </si>
  <si>
    <t>Montecito, CA</t>
  </si>
  <si>
    <t>1595 S Jameson Ln</t>
  </si>
  <si>
    <t>34.420561, -119.627239</t>
  </si>
  <si>
    <t>Henrietta, TX</t>
  </si>
  <si>
    <t>237 Frontage Rd</t>
  </si>
  <si>
    <t>Henrietta</t>
  </si>
  <si>
    <t>33.80051, -98.196588</t>
  </si>
  <si>
    <t>Sedona, AZ</t>
  </si>
  <si>
    <t>7000 AZ-179</t>
  </si>
  <si>
    <t>Sedona</t>
  </si>
  <si>
    <t>34.775559, -111.764099</t>
  </si>
  <si>
    <t>Philadelphia - North 20th St, PA</t>
  </si>
  <si>
    <t>420 N 20th St</t>
  </si>
  <si>
    <t>39.962023, -75.172049</t>
  </si>
  <si>
    <t>Carlsbad, CA</t>
  </si>
  <si>
    <t>7710 El Camino Real</t>
  </si>
  <si>
    <t>Carlsbad</t>
  </si>
  <si>
    <t>33.084189, -117.266384</t>
  </si>
  <si>
    <t>Chicago - North Halsted, IL</t>
  </si>
  <si>
    <t>1457 N Halsted St</t>
  </si>
  <si>
    <t>41.908043, -87.647839</t>
  </si>
  <si>
    <t>Salisbury - N Salisbury Blvd, MD</t>
  </si>
  <si>
    <t>2740 Ocean Hwy</t>
  </si>
  <si>
    <t>Salisbury</t>
  </si>
  <si>
    <t>38.420772, -75.56579</t>
  </si>
  <si>
    <t>Chicago - South Canal Street, IL</t>
  </si>
  <si>
    <t>1100 South Canal St</t>
  </si>
  <si>
    <t>41.869126, -87.639971</t>
  </si>
  <si>
    <t>Indianapolis - Capitol Avenue, IN</t>
  </si>
  <si>
    <t>109 S Capitol Ave</t>
  </si>
  <si>
    <t>39.765443, -86.161222</t>
  </si>
  <si>
    <t>Fishers, IN</t>
  </si>
  <si>
    <t>9 Municipal Dr</t>
  </si>
  <si>
    <t>Fishers</t>
  </si>
  <si>
    <t>39.957683, -86.016131</t>
  </si>
  <si>
    <t>Los Gatos, CA</t>
  </si>
  <si>
    <t>192 Saratoga Los Gatos Rd</t>
  </si>
  <si>
    <t>Los Gatos</t>
  </si>
  <si>
    <t>37.229926, -121.979384</t>
  </si>
  <si>
    <t>Downey - Lakewood Blvd, CA</t>
  </si>
  <si>
    <t>9588 Lakewood Blvd</t>
  </si>
  <si>
    <t>Downey</t>
  </si>
  <si>
    <t>33.953335, -118.112914</t>
  </si>
  <si>
    <t>Sanford, FL</t>
  </si>
  <si>
    <t>1201 WP Ball Blvd</t>
  </si>
  <si>
    <t>Sanford</t>
  </si>
  <si>
    <t>28.799264, -81.338224</t>
  </si>
  <si>
    <t>Henderson, NC</t>
  </si>
  <si>
    <t>619 Ruin Creek Rd</t>
  </si>
  <si>
    <t>Henderson</t>
  </si>
  <si>
    <t>36.329537, -78.447534</t>
  </si>
  <si>
    <t>Pasadena, CA</t>
  </si>
  <si>
    <t>155 E Green St</t>
  </si>
  <si>
    <t>Pasadena</t>
  </si>
  <si>
    <t>34.144835, -118.146609</t>
  </si>
  <si>
    <t>Copiague, NY</t>
  </si>
  <si>
    <t>1147 Sunrise Hwy</t>
  </si>
  <si>
    <t>Copiague</t>
  </si>
  <si>
    <t>40.688444, -73.4055</t>
  </si>
  <si>
    <t>Zionsville, IN</t>
  </si>
  <si>
    <t>6650 Whitestown Pkwy</t>
  </si>
  <si>
    <t>Zionsville</t>
  </si>
  <si>
    <t>39.950563, -86.343779</t>
  </si>
  <si>
    <t>Rohnert Park, CA</t>
  </si>
  <si>
    <t>475 Rohnert Park Expy W</t>
  </si>
  <si>
    <t>Rohnert Park</t>
  </si>
  <si>
    <t>38.3475, -122.720944</t>
  </si>
  <si>
    <t>Barnegat, NJ</t>
  </si>
  <si>
    <t>945 W Bay Ave</t>
  </si>
  <si>
    <t>Barnegat</t>
  </si>
  <si>
    <t>39.759418, -74.253461</t>
  </si>
  <si>
    <t>Tucson - E Skyline Dr, AZ</t>
  </si>
  <si>
    <t>2905 E Skyline Dr</t>
  </si>
  <si>
    <t>32.32555, -110.930936</t>
  </si>
  <si>
    <t>Parsippany, NJ</t>
  </si>
  <si>
    <t>350 New Rd</t>
  </si>
  <si>
    <t>Parsippany</t>
  </si>
  <si>
    <t>40.850095, -74.350835</t>
  </si>
  <si>
    <t>North Bergen - John F Kennedy Blvd, NJ</t>
  </si>
  <si>
    <t>2819 John F. Kennedy Blvd</t>
  </si>
  <si>
    <t>North Bergen</t>
  </si>
  <si>
    <t>40.77386, -74.03814</t>
  </si>
  <si>
    <t>Corona, CA</t>
  </si>
  <si>
    <t>2615 Tuscany St</t>
  </si>
  <si>
    <t>Corona</t>
  </si>
  <si>
    <t>33.826338, -117.515411</t>
  </si>
  <si>
    <t>Fontana, CA</t>
  </si>
  <si>
    <t>15234 Summit Ave</t>
  </si>
  <si>
    <t>Fontana</t>
  </si>
  <si>
    <t>34.151177, -117.471412</t>
  </si>
  <si>
    <t>Pleasanton, CA</t>
  </si>
  <si>
    <t>6000 Johnson Dr</t>
  </si>
  <si>
    <t>Pleasanton</t>
  </si>
  <si>
    <t>37.700508, -121.908364</t>
  </si>
  <si>
    <t>Milpitas, CA</t>
  </si>
  <si>
    <t>901 East Calaveras Blvd</t>
  </si>
  <si>
    <t>Milpitas</t>
  </si>
  <si>
    <t>37.434536, -121.891387</t>
  </si>
  <si>
    <t>Los Angeles - Francisco St, CA</t>
  </si>
  <si>
    <t>899 South Francisco St</t>
  </si>
  <si>
    <t>34.047424, -118.264589</t>
  </si>
  <si>
    <t>Ojai, CA</t>
  </si>
  <si>
    <t>987 W Ojai Ave</t>
  </si>
  <si>
    <t>Ojai</t>
  </si>
  <si>
    <t>34.441994, -119.258898</t>
  </si>
  <si>
    <t>Bismarck, ND</t>
  </si>
  <si>
    <t>999 W Century Ave</t>
  </si>
  <si>
    <t>Bismarck</t>
  </si>
  <si>
    <t>ND</t>
  </si>
  <si>
    <t>46.832972, -100.807222</t>
  </si>
  <si>
    <t>Wickenburg, AZ</t>
  </si>
  <si>
    <t>155 N Tegner St</t>
  </si>
  <si>
    <t>Wickenburg</t>
  </si>
  <si>
    <t>33.9702333, -112.73165</t>
  </si>
  <si>
    <t>Stamford, CT</t>
  </si>
  <si>
    <t>1250 Summer St</t>
  </si>
  <si>
    <t>Stamford</t>
  </si>
  <si>
    <t>41.067836, -73.545266</t>
  </si>
  <si>
    <t>Hanover, MD</t>
  </si>
  <si>
    <t>7787 Arundel Mills Blvd</t>
  </si>
  <si>
    <t>Hanover</t>
  </si>
  <si>
    <t>39.153272, -76.743717</t>
  </si>
  <si>
    <t>Blaine, WA</t>
  </si>
  <si>
    <t>8135 Birch Bay Square St</t>
  </si>
  <si>
    <t>Blaine</t>
  </si>
  <si>
    <t>48.937851, -122.667679</t>
  </si>
  <si>
    <t>Riverdale Park, MD</t>
  </si>
  <si>
    <t>6761 45th St</t>
  </si>
  <si>
    <t>Riverdale</t>
  </si>
  <si>
    <t>38.970361, -76.937333</t>
  </si>
  <si>
    <t>Robbinsville, NJ</t>
  </si>
  <si>
    <t>255 Robbinsville Allentown Rd</t>
  </si>
  <si>
    <t>Robbinsville Twp</t>
  </si>
  <si>
    <t>40.1941978, -74.5953015</t>
  </si>
  <si>
    <t>Bethany, MO</t>
  </si>
  <si>
    <t>3807 Miller St</t>
  </si>
  <si>
    <t>Bethany</t>
  </si>
  <si>
    <t>40.265916, -94.015705</t>
  </si>
  <si>
    <t>Paulsboro, NJ</t>
  </si>
  <si>
    <t>51 Berkley Rd</t>
  </si>
  <si>
    <t>Paulsboro</t>
  </si>
  <si>
    <t>39.822355, -75.240447</t>
  </si>
  <si>
    <t>Thornton, CO</t>
  </si>
  <si>
    <t>237 E 120th Ave</t>
  </si>
  <si>
    <t>Thornton</t>
  </si>
  <si>
    <t>39.914711, -104.986758</t>
  </si>
  <si>
    <t>Glenview, IL</t>
  </si>
  <si>
    <t>1200 N Milwaukee Ave</t>
  </si>
  <si>
    <t>Glenview</t>
  </si>
  <si>
    <t>42.077128, -87.860788</t>
  </si>
  <si>
    <t>Arcadia, FL</t>
  </si>
  <si>
    <t>1737 E Oak St</t>
  </si>
  <si>
    <t>Arcadia</t>
  </si>
  <si>
    <t>27.209511, -81.837752</t>
  </si>
  <si>
    <t>Manchester, TN</t>
  </si>
  <si>
    <t>2224 Hillsboro Blvd</t>
  </si>
  <si>
    <t>35.458583, -86.057316</t>
  </si>
  <si>
    <t>El Cerrito, CA</t>
  </si>
  <si>
    <t>180 El Cerrito Plz</t>
  </si>
  <si>
    <t>El Cerrito</t>
  </si>
  <si>
    <t>37.898575, -122.30073</t>
  </si>
  <si>
    <t>Williams, CA</t>
  </si>
  <si>
    <t>464 6th St</t>
  </si>
  <si>
    <t>Williams</t>
  </si>
  <si>
    <t>39.15608, -122.149408</t>
  </si>
  <si>
    <t>Hyannis, MA</t>
  </si>
  <si>
    <t>425 Attucks Ln</t>
  </si>
  <si>
    <t>Hyannis</t>
  </si>
  <si>
    <t>41.676619, -70.307049</t>
  </si>
  <si>
    <t>Novato, CA</t>
  </si>
  <si>
    <t>208 Vintage Way</t>
  </si>
  <si>
    <t>Novato</t>
  </si>
  <si>
    <t>38.089447, -122.551755</t>
  </si>
  <si>
    <t>San Francisco - Letterman Drive, CA</t>
  </si>
  <si>
    <t>Truby St</t>
  </si>
  <si>
    <t>San Francisco</t>
  </si>
  <si>
    <t>37.798513, -122.449846</t>
  </si>
  <si>
    <t>Glendale, CA</t>
  </si>
  <si>
    <t>877 Americana Way, Parking level 7</t>
  </si>
  <si>
    <t>34.145099, -118.256433</t>
  </si>
  <si>
    <t>Miami - SW 7th St, FL</t>
  </si>
  <si>
    <t>CMX - Brickell City Centre, 701 South Miami Ave</t>
  </si>
  <si>
    <t>25.76768, -80.192467</t>
  </si>
  <si>
    <t>Cary, NC</t>
  </si>
  <si>
    <t>7119 O'Kelly Chapel Rd</t>
  </si>
  <si>
    <t>Cary</t>
  </si>
  <si>
    <t>35.843605, -78.886448</t>
  </si>
  <si>
    <t>Basking Ridge, NJ</t>
  </si>
  <si>
    <t>403 King George Rd</t>
  </si>
  <si>
    <t>Basking Ridge</t>
  </si>
  <si>
    <t>40.655361, -74.529919</t>
  </si>
  <si>
    <t>San Ramon, CA</t>
  </si>
  <si>
    <t>2610 Bishop Dr</t>
  </si>
  <si>
    <t>37.76292, -121.963662</t>
  </si>
  <si>
    <t>Santa Rosa, CA</t>
  </si>
  <si>
    <t>380 Coddingtown Way</t>
  </si>
  <si>
    <t>38.459554, -122.73023</t>
  </si>
  <si>
    <t>North Stamford, CT</t>
  </si>
  <si>
    <t>1115 High Ridge Rd</t>
  </si>
  <si>
    <t>41.107885, -73.5469602</t>
  </si>
  <si>
    <t>Evergreen Park, IL</t>
  </si>
  <si>
    <t>9200 S Western Ave</t>
  </si>
  <si>
    <t>Evergreen Park</t>
  </si>
  <si>
    <t>41.725315, -87.683693</t>
  </si>
  <si>
    <t>Merrillville, IN</t>
  </si>
  <si>
    <t>611 W Lincoln Hwy</t>
  </si>
  <si>
    <t>Merrillville</t>
  </si>
  <si>
    <t>41.468444, -87.343613</t>
  </si>
  <si>
    <t>Everett, WA</t>
  </si>
  <si>
    <t>405 SE Everett Mall Way</t>
  </si>
  <si>
    <t>Everett</t>
  </si>
  <si>
    <t>47.90934, -122.225824</t>
  </si>
  <si>
    <t>Dickinson, ND</t>
  </si>
  <si>
    <t>1681 3rd Ave W</t>
  </si>
  <si>
    <t>Dickinson</t>
  </si>
  <si>
    <t>46.901222, -102.790822</t>
  </si>
  <si>
    <t>Henderson, NV</t>
  </si>
  <si>
    <t>1550 Railroad Pass Casino Rd</t>
  </si>
  <si>
    <t>35.97141, -114.911332</t>
  </si>
  <si>
    <t>Tigard, OR</t>
  </si>
  <si>
    <t>9585 SW Washington Square Rd</t>
  </si>
  <si>
    <t>Tigard</t>
  </si>
  <si>
    <t>45.451608, -122.782599</t>
  </si>
  <si>
    <t>Springfield, VA</t>
  </si>
  <si>
    <t>6500 Springfield Mall</t>
  </si>
  <si>
    <t>38.774412, -77.177566</t>
  </si>
  <si>
    <t>Kansas City, MO</t>
  </si>
  <si>
    <t>8301 N St Clair Ave</t>
  </si>
  <si>
    <t>Kansas City</t>
  </si>
  <si>
    <t>39.24629, -94.644943</t>
  </si>
  <si>
    <t>Fort Worth - Whitmore St, TX</t>
  </si>
  <si>
    <t>2616 Whitmore St</t>
  </si>
  <si>
    <t>Fort Worth</t>
  </si>
  <si>
    <t>32.758293, -97.353585</t>
  </si>
  <si>
    <t>Mehlville, MO</t>
  </si>
  <si>
    <t>18 S County Center Way</t>
  </si>
  <si>
    <t>Mehlville</t>
  </si>
  <si>
    <t>38.508172, -90.331113</t>
  </si>
  <si>
    <t>Tampa - West Swann Ave, FL</t>
  </si>
  <si>
    <t>2100 West Swann Ave</t>
  </si>
  <si>
    <t>27.937057, -82.481113</t>
  </si>
  <si>
    <t>Estes Park, CO</t>
  </si>
  <si>
    <t>333 E Wonderview Ave</t>
  </si>
  <si>
    <t>Estes Park</t>
  </si>
  <si>
    <t>40.383833, -105.519783</t>
  </si>
  <si>
    <t>Petaluma, CA</t>
  </si>
  <si>
    <t>401 Kenilworth Dr #1030</t>
  </si>
  <si>
    <t>Petaluma</t>
  </si>
  <si>
    <t>38.242693, -122.625049</t>
  </si>
  <si>
    <t>Incline Village, NV</t>
  </si>
  <si>
    <t>930 Tahoe Blvd</t>
  </si>
  <si>
    <t>Incline Village</t>
  </si>
  <si>
    <t>39.250765, -119.948927</t>
  </si>
  <si>
    <t>Payson, AZ</t>
  </si>
  <si>
    <t>201 North Beeline Hwy</t>
  </si>
  <si>
    <t>Payson</t>
  </si>
  <si>
    <t>34.242065, -111.322538</t>
  </si>
  <si>
    <t>Escanaba, MI</t>
  </si>
  <si>
    <t>505 N 26th St</t>
  </si>
  <si>
    <t>Escanaba</t>
  </si>
  <si>
    <t>45.750542, -87.085129</t>
  </si>
  <si>
    <t>San Carlos, CA</t>
  </si>
  <si>
    <t>1127 Industrial Rd</t>
  </si>
  <si>
    <t>San Carlos</t>
  </si>
  <si>
    <t>37.502912, -122.245569</t>
  </si>
  <si>
    <t>Marietta - Dallas Hwy, GA</t>
  </si>
  <si>
    <t>3625 Dallas Highway</t>
  </si>
  <si>
    <t>Marietta</t>
  </si>
  <si>
    <t>33.953257, -84.657297</t>
  </si>
  <si>
    <t>Reading, PA</t>
  </si>
  <si>
    <t>5060 Perkiomen Ave</t>
  </si>
  <si>
    <t>Reading</t>
  </si>
  <si>
    <t>40.301734, -75.853085</t>
  </si>
  <si>
    <t>Brooklyn, OH</t>
  </si>
  <si>
    <t>10315 Cascade Crossing</t>
  </si>
  <si>
    <t>41.422533, -81.7584885</t>
  </si>
  <si>
    <t>Chestnut Hill, MA</t>
  </si>
  <si>
    <t>55 Boylston St</t>
  </si>
  <si>
    <t>Chestnut Hill</t>
  </si>
  <si>
    <t>42.322031, -71.172395</t>
  </si>
  <si>
    <t>Milpitas - Great Mall, CA</t>
  </si>
  <si>
    <t>1234 Great Mall Dr</t>
  </si>
  <si>
    <t>37.413353, -121.897995</t>
  </si>
  <si>
    <t>McComb, MS</t>
  </si>
  <si>
    <t>1436 Delaware Ave</t>
  </si>
  <si>
    <t>McComb</t>
  </si>
  <si>
    <t>31.248479, -90.471779</t>
  </si>
  <si>
    <t>Webster, TX</t>
  </si>
  <si>
    <t>1141 S Kobayashi Dr</t>
  </si>
  <si>
    <t>Webster</t>
  </si>
  <si>
    <t>29.519213, -95.121843</t>
  </si>
  <si>
    <t>Kuttawa, KY</t>
  </si>
  <si>
    <t>62 Days Inn Dr</t>
  </si>
  <si>
    <t>Kuttawa</t>
  </si>
  <si>
    <t>37.073405, -88.124752</t>
  </si>
  <si>
    <t>Livermore, CA</t>
  </si>
  <si>
    <t>2774 Livermore Outlets Dr</t>
  </si>
  <si>
    <t>Livermore</t>
  </si>
  <si>
    <t>37.700349, -121.841063</t>
  </si>
  <si>
    <t>Schertz, TX</t>
  </si>
  <si>
    <t>17640 IH 35 N</t>
  </si>
  <si>
    <t>Schertz</t>
  </si>
  <si>
    <t>29.598455, -98.276067</t>
  </si>
  <si>
    <t>Newport News, VA</t>
  </si>
  <si>
    <t>12300 Jefferson Ave</t>
  </si>
  <si>
    <t>Newport News</t>
  </si>
  <si>
    <t>37.114233, -76.494498</t>
  </si>
  <si>
    <t>Mission, KS</t>
  </si>
  <si>
    <t>6655 Martway St</t>
  </si>
  <si>
    <t>Mission</t>
  </si>
  <si>
    <t>39.02, -94.661182</t>
  </si>
  <si>
    <t>Seaford, DE</t>
  </si>
  <si>
    <t>22929 Sussex Hwy</t>
  </si>
  <si>
    <t>Seaford</t>
  </si>
  <si>
    <t>38.658528, -75.592966</t>
  </si>
  <si>
    <t>Beltsville, MD</t>
  </si>
  <si>
    <t>10515 Baltimore Ave</t>
  </si>
  <si>
    <t>Beltsville</t>
  </si>
  <si>
    <t>39.027391, -76.917328</t>
  </si>
  <si>
    <t>Erie - Perry Hwy, PA</t>
  </si>
  <si>
    <t>8180 Perry Hwy</t>
  </si>
  <si>
    <t>Erie</t>
  </si>
  <si>
    <t>42.065634, -80.037239</t>
  </si>
  <si>
    <t>Fairfield - Holiday Lane, CA</t>
  </si>
  <si>
    <t>1350 Holiday Ln</t>
  </si>
  <si>
    <t>38.256667, -122.065139</t>
  </si>
  <si>
    <t>Santa Monica - Santa Monica Place, CA</t>
  </si>
  <si>
    <t>395 Santa Monica Place</t>
  </si>
  <si>
    <t>Santa Monica</t>
  </si>
  <si>
    <t>34.013087, -118.493843</t>
  </si>
  <si>
    <t>Laytonville, CA</t>
  </si>
  <si>
    <t>45020 North Highway 101</t>
  </si>
  <si>
    <t>Laytonville</t>
  </si>
  <si>
    <t>39.689269, -123.483443</t>
  </si>
  <si>
    <t>Kill Devil Hills, NC</t>
  </si>
  <si>
    <t>2012 S Croatan Hwy</t>
  </si>
  <si>
    <t>Kill Devil Hills</t>
  </si>
  <si>
    <t>35.993328, -75.651124</t>
  </si>
  <si>
    <t>La Mesa, CA</t>
  </si>
  <si>
    <t>8765 Fletcher Pkwy</t>
  </si>
  <si>
    <t>La Mesa</t>
  </si>
  <si>
    <t>32.7808724, -117.0135593</t>
  </si>
  <si>
    <t>Boonton, NJ</t>
  </si>
  <si>
    <t>550 Myrtle Ave</t>
  </si>
  <si>
    <t>Boonton</t>
  </si>
  <si>
    <t>40.907627, -74.3976</t>
  </si>
  <si>
    <t>Tejon Ranch, CA</t>
  </si>
  <si>
    <t>5602 Dennis McCarthy Dr</t>
  </si>
  <si>
    <t>Lebec</t>
  </si>
  <si>
    <t>34.98734, -118.94623</t>
  </si>
  <si>
    <t>Celebration, FL</t>
  </si>
  <si>
    <t>6240 W. Irlo Bronson Memorial Hwy</t>
  </si>
  <si>
    <t>Kissimmee</t>
  </si>
  <si>
    <t>28.331356, -81.532453</t>
  </si>
  <si>
    <t>Polaris, OH</t>
  </si>
  <si>
    <t>1177 Polaris Pkwy</t>
  </si>
  <si>
    <t>40.141056, -82.988972</t>
  </si>
  <si>
    <t>Palo Alto - Stanford Shopping Center, CA</t>
  </si>
  <si>
    <t>660 Stanford Shopping Center</t>
  </si>
  <si>
    <t>Palo Alto</t>
  </si>
  <si>
    <t>37.441722, -122.170271</t>
  </si>
  <si>
    <t>West Cincinnati, OH</t>
  </si>
  <si>
    <t>6550 Harrison Ave</t>
  </si>
  <si>
    <t>Dent</t>
  </si>
  <si>
    <t>39.193996, -84.65871</t>
  </si>
  <si>
    <t>Tusayan, AZ</t>
  </si>
  <si>
    <t>149 AZ-64</t>
  </si>
  <si>
    <t>Grand Canyon Village</t>
  </si>
  <si>
    <t>35.969448, -112.127675</t>
  </si>
  <si>
    <t>Miami - SW 8th St, FL</t>
  </si>
  <si>
    <t>701 South Miami Ave</t>
  </si>
  <si>
    <t>25.766875, -80.194524</t>
  </si>
  <si>
    <t>Seattle - NE Northgate Way, WA</t>
  </si>
  <si>
    <t>401 NE Northgate Way</t>
  </si>
  <si>
    <t>Seattle</t>
  </si>
  <si>
    <t>47.705956, -122.327133</t>
  </si>
  <si>
    <t>Hayward, CA</t>
  </si>
  <si>
    <t>19661 Hesperian Blvd</t>
  </si>
  <si>
    <t>Hayward</t>
  </si>
  <si>
    <t>37.667227, -122.120338</t>
  </si>
  <si>
    <t>Shelby, IA</t>
  </si>
  <si>
    <t>12 East St</t>
  </si>
  <si>
    <t>Shelby</t>
  </si>
  <si>
    <t>41.500575, -95.451663</t>
  </si>
  <si>
    <t>Elkhart - George Craig Travel Plaza, IN</t>
  </si>
  <si>
    <t>2971 Moose Trail</t>
  </si>
  <si>
    <t>Elkhart</t>
  </si>
  <si>
    <t>41.731702, -86.005057</t>
  </si>
  <si>
    <t>West Melbourne, FL</t>
  </si>
  <si>
    <t>205 Palm Bay Rd NE</t>
  </si>
  <si>
    <t>West Melbourne</t>
  </si>
  <si>
    <t>28.037035, -80.664204</t>
  </si>
  <si>
    <t>Manteca, CA</t>
  </si>
  <si>
    <t>960 Perimeter Dr</t>
  </si>
  <si>
    <t>Manteca</t>
  </si>
  <si>
    <t>37.782622, -121.228683</t>
  </si>
  <si>
    <t>Leavenworth, WA</t>
  </si>
  <si>
    <t>1329 US-2</t>
  </si>
  <si>
    <t>Leavenworth</t>
  </si>
  <si>
    <t>47.598608, -120.655636</t>
  </si>
  <si>
    <t>Baileyville, ME</t>
  </si>
  <si>
    <t>32 Houlton Rd</t>
  </si>
  <si>
    <t>Baileyville</t>
  </si>
  <si>
    <t>45.123159, -67.348144</t>
  </si>
  <si>
    <t>Delray Beach, FL</t>
  </si>
  <si>
    <t>Delray Marketplace, 14851 Lyons Rd</t>
  </si>
  <si>
    <t>Delray Beach</t>
  </si>
  <si>
    <t>26.455815, -80.190072</t>
  </si>
  <si>
    <t>Elkhart - Henry Schricker Travel Plaza, IN</t>
  </si>
  <si>
    <t>28054 - 2 C.R. 4 West</t>
  </si>
  <si>
    <t>41.732798, -86.004993</t>
  </si>
  <si>
    <t>York, PA</t>
  </si>
  <si>
    <t>160 Leader Heights Rd</t>
  </si>
  <si>
    <t>York</t>
  </si>
  <si>
    <t>39.9102501, -76.7015182</t>
  </si>
  <si>
    <t>Mansfield, MA</t>
  </si>
  <si>
    <t>280 School St</t>
  </si>
  <si>
    <t>Mansfield</t>
  </si>
  <si>
    <t>42.013729, -71.231754</t>
  </si>
  <si>
    <t>Sandusky, OH</t>
  </si>
  <si>
    <t>4702 Milan Rd</t>
  </si>
  <si>
    <t>Sandusky</t>
  </si>
  <si>
    <t>41.410173, -82.662914</t>
  </si>
  <si>
    <t>Jamestown, ND</t>
  </si>
  <si>
    <t>2400 8th Ave SW</t>
  </si>
  <si>
    <t>Jamestown</t>
  </si>
  <si>
    <t>46.884658, -98.719555</t>
  </si>
  <si>
    <t>Jacksonville - Gate Parkway, FL</t>
  </si>
  <si>
    <t>4866 Gate Pkwy</t>
  </si>
  <si>
    <t>Jacksonville</t>
  </si>
  <si>
    <t>30.254019, -81.536459</t>
  </si>
  <si>
    <t>Huntsville, TX</t>
  </si>
  <si>
    <t>148 Interstate 45</t>
  </si>
  <si>
    <t>Huntsville</t>
  </si>
  <si>
    <t>30.716158, -95.565944</t>
  </si>
  <si>
    <t>Normal, IL</t>
  </si>
  <si>
    <t>Uptown Station Parking Deck 11 Uptown Circle</t>
  </si>
  <si>
    <t>Normal</t>
  </si>
  <si>
    <t>40.508497, -88.985575</t>
  </si>
  <si>
    <t>Sisseton, SD</t>
  </si>
  <si>
    <t>Dakota Crossing 2410 S Dakota Hwy 10</t>
  </si>
  <si>
    <t>Sisseton</t>
  </si>
  <si>
    <t>45.65847, -97.017933</t>
  </si>
  <si>
    <t>Nashville, TN</t>
  </si>
  <si>
    <t>61 E Thompson Ln</t>
  </si>
  <si>
    <t>Nashville</t>
  </si>
  <si>
    <t>36.110444, -86.723917</t>
  </si>
  <si>
    <t>Miami - NE 41st Street, FL</t>
  </si>
  <si>
    <t>90 NE 41st St</t>
  </si>
  <si>
    <t>25.813933, -80.194551</t>
  </si>
  <si>
    <t>Houston - Northwest Fwy, TX</t>
  </si>
  <si>
    <t>14620 Northwest Fwy</t>
  </si>
  <si>
    <t>29.867259, -95.538125</t>
  </si>
  <si>
    <t>Aspen, CO</t>
  </si>
  <si>
    <t>38750 Highway 82</t>
  </si>
  <si>
    <t>Aspen</t>
  </si>
  <si>
    <t>81611-2506</t>
  </si>
  <si>
    <t>39.204837, -106.858507</t>
  </si>
  <si>
    <t>Portage - John T McCutcheon Travel Plaza, IN</t>
  </si>
  <si>
    <t>Indiana Toll Rd</t>
  </si>
  <si>
    <t>Portage</t>
  </si>
  <si>
    <t>41.588366, -87.216556</t>
  </si>
  <si>
    <t>New London, CT</t>
  </si>
  <si>
    <t>369 N Frontage Rd</t>
  </si>
  <si>
    <t>New London</t>
  </si>
  <si>
    <t>41.370726, -72.119398</t>
  </si>
  <si>
    <t>Chester Springs, PA</t>
  </si>
  <si>
    <t>1800 Ticonderoga Blvd</t>
  </si>
  <si>
    <t>Chester Springs</t>
  </si>
  <si>
    <t>40.075235, -75.686034</t>
  </si>
  <si>
    <t>Napa - Factory Stores Drive, CA</t>
  </si>
  <si>
    <t>629 Factory Stores Dr</t>
  </si>
  <si>
    <t>38.297635, -122.302617</t>
  </si>
  <si>
    <t>Austin - S Congress Ave, TX</t>
  </si>
  <si>
    <t>1603 S Congress Ave</t>
  </si>
  <si>
    <t>30.247661, -97.750105</t>
  </si>
  <si>
    <t>Monroe Township, NJ</t>
  </si>
  <si>
    <t>960 NJ-33</t>
  </si>
  <si>
    <t>Monroe Township</t>
  </si>
  <si>
    <t>40.267115, -74.471887</t>
  </si>
  <si>
    <t>North Bethesda, MD</t>
  </si>
  <si>
    <t>11860 Trade St</t>
  </si>
  <si>
    <t>North Bethesda</t>
  </si>
  <si>
    <t>39.050339, -77.11657</t>
  </si>
  <si>
    <t>Corte Madera, CA</t>
  </si>
  <si>
    <t>1618 Redwood Hwy</t>
  </si>
  <si>
    <t>Corte Madera</t>
  </si>
  <si>
    <t>37.928278, -122.514823</t>
  </si>
  <si>
    <t>Altoona, IA</t>
  </si>
  <si>
    <t>1430 1st Ave N</t>
  </si>
  <si>
    <t>Altoona</t>
  </si>
  <si>
    <t>41.663503, -93.465484</t>
  </si>
  <si>
    <t>Lynchburg, VA</t>
  </si>
  <si>
    <t>14480 Wards Rd</t>
  </si>
  <si>
    <t>Lynchburg</t>
  </si>
  <si>
    <t>37.32486, -79.190523</t>
  </si>
  <si>
    <t>Portland, ME</t>
  </si>
  <si>
    <t>295 Forest Ave</t>
  </si>
  <si>
    <t>43.664423, -70.269631</t>
  </si>
  <si>
    <t>Big Sur, CA</t>
  </si>
  <si>
    <t>48123 Highway 1</t>
  </si>
  <si>
    <t>Big Sur</t>
  </si>
  <si>
    <t>36.226876, -121.761506</t>
  </si>
  <si>
    <t>Dover, DE</t>
  </si>
  <si>
    <t>2800 N Dupont Hwy</t>
  </si>
  <si>
    <t>Dover</t>
  </si>
  <si>
    <t>39.19477, -75.54729</t>
  </si>
  <si>
    <t>Cape May Court House, NJ</t>
  </si>
  <si>
    <t>11 Court House South Dennis Rd</t>
  </si>
  <si>
    <t>Cape May</t>
  </si>
  <si>
    <t>39.088417, -74.8215</t>
  </si>
  <si>
    <t>Lake Geneva, WI</t>
  </si>
  <si>
    <t>7036 Grand Geneva Way</t>
  </si>
  <si>
    <t>Lake Geneva</t>
  </si>
  <si>
    <t>42.60901, -88.407819</t>
  </si>
  <si>
    <t>Olathe, KS</t>
  </si>
  <si>
    <t>18101 W 119th St</t>
  </si>
  <si>
    <t>Olathe</t>
  </si>
  <si>
    <t>38.912194, -94.795583</t>
  </si>
  <si>
    <t>Middletown, NY</t>
  </si>
  <si>
    <t>601 E Main St</t>
  </si>
  <si>
    <t>Middletown</t>
  </si>
  <si>
    <t>41.442449, -74.376565</t>
  </si>
  <si>
    <t>Walker, MI</t>
  </si>
  <si>
    <t>2988 Walker Ave NW</t>
  </si>
  <si>
    <t>Walker</t>
  </si>
  <si>
    <t>43.018501, -85.723629</t>
  </si>
  <si>
    <t>Ukiah - N State St, CA</t>
  </si>
  <si>
    <t>1315 N State St</t>
  </si>
  <si>
    <t>39.168351, -123.210046</t>
  </si>
  <si>
    <t>Arlington, VA</t>
  </si>
  <si>
    <t>2800 Clarendon Blvd</t>
  </si>
  <si>
    <t>38.887481, -77.092956</t>
  </si>
  <si>
    <t>Fairfield - Northbound, CT</t>
  </si>
  <si>
    <t>165 Round Hill Rd</t>
  </si>
  <si>
    <t>41.146266, -73.257157</t>
  </si>
  <si>
    <t>Sault Ste. Marie, MI</t>
  </si>
  <si>
    <t>1138 W. 3 Mile Rd</t>
  </si>
  <si>
    <t>Sault Ste. Marie</t>
  </si>
  <si>
    <t>46.463553, -84.386795</t>
  </si>
  <si>
    <t>Sturbridge, MA</t>
  </si>
  <si>
    <t>196 Main St</t>
  </si>
  <si>
    <t>Sturbridge</t>
  </si>
  <si>
    <t>42.098547, -72.072596</t>
  </si>
  <si>
    <t>Hudson, MA</t>
  </si>
  <si>
    <t>2 Highland Common E</t>
  </si>
  <si>
    <t>Hudson</t>
  </si>
  <si>
    <t>42.395775, -71.594724</t>
  </si>
  <si>
    <t>Ithaca, NY</t>
  </si>
  <si>
    <t>744 S Meadow St</t>
  </si>
  <si>
    <t>Ithaca</t>
  </si>
  <si>
    <t>42.428639, -76.509111</t>
  </si>
  <si>
    <t>Antioch, CA</t>
  </si>
  <si>
    <t>5769 Lone Tree Way</t>
  </si>
  <si>
    <t>Antioch</t>
  </si>
  <si>
    <t>37.963695, -121.737262</t>
  </si>
  <si>
    <t>Mt Airy, NC</t>
  </si>
  <si>
    <t>2905 Rockford St</t>
  </si>
  <si>
    <t>Mt Airy</t>
  </si>
  <si>
    <t>36.458847, -80.636683</t>
  </si>
  <si>
    <t>Rancho Mirage, CA</t>
  </si>
  <si>
    <t>71800 CA-111</t>
  </si>
  <si>
    <t>Rancho Mirage</t>
  </si>
  <si>
    <t>33.741311, -116.409258</t>
  </si>
  <si>
    <t>Hudsonville, MI</t>
  </si>
  <si>
    <t>4075 32nd Ave</t>
  </si>
  <si>
    <t>Hudsonville</t>
  </si>
  <si>
    <t>42.843659, -85.862462</t>
  </si>
  <si>
    <t>Skowhegan, ME</t>
  </si>
  <si>
    <t>496 Madison Ave</t>
  </si>
  <si>
    <t>Skowhegan</t>
  </si>
  <si>
    <t>44.780304, -69.727027</t>
  </si>
  <si>
    <t>Las Vegas - Grand Central Parkway, NV</t>
  </si>
  <si>
    <t>875 S Grand Central Pkwy</t>
  </si>
  <si>
    <t>36.165908, -115.158343</t>
  </si>
  <si>
    <t>Acworth, GA</t>
  </si>
  <si>
    <t>3500 Baker Rd</t>
  </si>
  <si>
    <t>Acworth</t>
  </si>
  <si>
    <t>34.075443, -84.652009</t>
  </si>
  <si>
    <t>Williamsport, PA</t>
  </si>
  <si>
    <t>105 Maynard St</t>
  </si>
  <si>
    <t>Williamsport</t>
  </si>
  <si>
    <t>41.2328, -77.019865</t>
  </si>
  <si>
    <t>Framingham, MA</t>
  </si>
  <si>
    <t>1 Worcester Rd</t>
  </si>
  <si>
    <t>Framingham</t>
  </si>
  <si>
    <t>42.303637, -71.394171</t>
  </si>
  <si>
    <t>Staunton, VA</t>
  </si>
  <si>
    <t>1250 Richmond Ave #302</t>
  </si>
  <si>
    <t>Staunton</t>
  </si>
  <si>
    <t>38.1334859, -79.0434692</t>
  </si>
  <si>
    <t>San Jose - Coleman Ave, CA</t>
  </si>
  <si>
    <t>533 Coleman Ave</t>
  </si>
  <si>
    <t>37.339661, -121.905085</t>
  </si>
  <si>
    <t>Chico, CA</t>
  </si>
  <si>
    <t>1951 E 20th St</t>
  </si>
  <si>
    <t>Chico</t>
  </si>
  <si>
    <t>39.726633, -121.802538</t>
  </si>
  <si>
    <t>Palm Springs, CA</t>
  </si>
  <si>
    <t>N Museum Dr at N Belardo Rd</t>
  </si>
  <si>
    <t>Palm Springs</t>
  </si>
  <si>
    <t>33.824931, -116.548824</t>
  </si>
  <si>
    <t>Yorktown Heights, NY</t>
  </si>
  <si>
    <t>3303 Crompond Rd</t>
  </si>
  <si>
    <t>Yorktown Heights</t>
  </si>
  <si>
    <t>41.29053, -73.832532</t>
  </si>
  <si>
    <t>Albert Lea - Happy Trails Lane, MN</t>
  </si>
  <si>
    <t>820 Happy Trails Ln</t>
  </si>
  <si>
    <t>Albert Lea</t>
  </si>
  <si>
    <t>43.657608, -93.318547</t>
  </si>
  <si>
    <t>Haymarket, VA</t>
  </si>
  <si>
    <t>15315 Washington St</t>
  </si>
  <si>
    <t>Haymarket</t>
  </si>
  <si>
    <t>38.815129, -77.642614</t>
  </si>
  <si>
    <t>Alameda, CA</t>
  </si>
  <si>
    <t>523 South Shore Center</t>
  </si>
  <si>
    <t>Alameda</t>
  </si>
  <si>
    <t>37.756265, -122.249306</t>
  </si>
  <si>
    <t>Katy, TX</t>
  </si>
  <si>
    <t>25675 Nelson Way</t>
  </si>
  <si>
    <t>29.774658, -95.821859</t>
  </si>
  <si>
    <t>Marin City, CA</t>
  </si>
  <si>
    <t>190 Donahue St</t>
  </si>
  <si>
    <t>Sausalito</t>
  </si>
  <si>
    <t>37.872835, -122.510499</t>
  </si>
  <si>
    <t>Altoona, PA</t>
  </si>
  <si>
    <t>1915 Pleasant Valley Blvd</t>
  </si>
  <si>
    <t>40.499647, -78.391352</t>
  </si>
  <si>
    <t>Richmond, TX</t>
  </si>
  <si>
    <t>20500 Southwest Fwy</t>
  </si>
  <si>
    <t>29.561504, -95.695242</t>
  </si>
  <si>
    <t>Waterbury, CT</t>
  </si>
  <si>
    <t>160 Kukas Ln</t>
  </si>
  <si>
    <t>Waterbury</t>
  </si>
  <si>
    <t>41.53713, -73.005368</t>
  </si>
  <si>
    <t>St. Joseph, MO</t>
  </si>
  <si>
    <t>201 N Belt Hwy</t>
  </si>
  <si>
    <t>St. Joseph</t>
  </si>
  <si>
    <t>39.768966, -94.801118</t>
  </si>
  <si>
    <t>Seattle - Union St, WA</t>
  </si>
  <si>
    <t>601 Union St</t>
  </si>
  <si>
    <t>47.609686, -122.332152</t>
  </si>
  <si>
    <t>Raleigh, NC</t>
  </si>
  <si>
    <t>4191 The Circle At North Hills St</t>
  </si>
  <si>
    <t>Raleigh</t>
  </si>
  <si>
    <t>35.835623, -78.642569</t>
  </si>
  <si>
    <t>Kearny, NJ</t>
  </si>
  <si>
    <t>200 Harrison Ave</t>
  </si>
  <si>
    <t>Kearny</t>
  </si>
  <si>
    <t>40.749156, -74.136392</t>
  </si>
  <si>
    <t>Rockaway, NJ</t>
  </si>
  <si>
    <t>395 Mt Hope Ave</t>
  </si>
  <si>
    <t>Rockaway</t>
  </si>
  <si>
    <t>40.908225, -74.557405</t>
  </si>
  <si>
    <t>Madison, VA</t>
  </si>
  <si>
    <t>2902 S Seminole Trail</t>
  </si>
  <si>
    <t>38.34664, -78.286103</t>
  </si>
  <si>
    <t>Lynnfield, MA</t>
  </si>
  <si>
    <t>MarketStreet Lynnfield, 600 Market St</t>
  </si>
  <si>
    <t>Lynnfield</t>
  </si>
  <si>
    <t>42.516609, -71.032521</t>
  </si>
  <si>
    <t>Queens - Queens Center, NY</t>
  </si>
  <si>
    <t>90-15 Queens Blvd</t>
  </si>
  <si>
    <t>Queens</t>
  </si>
  <si>
    <t>40.735082, -73.87067</t>
  </si>
  <si>
    <t>Centennial, CO</t>
  </si>
  <si>
    <t>9535 E County Line Rd</t>
  </si>
  <si>
    <t>Englewood</t>
  </si>
  <si>
    <t>39.567218, -104.877928</t>
  </si>
  <si>
    <t>Flushing, NY</t>
  </si>
  <si>
    <t>136-20 38th Ave</t>
  </si>
  <si>
    <t>Flushing</t>
  </si>
  <si>
    <t>40.760821, -73.829676</t>
  </si>
  <si>
    <t>Lowell, AR</t>
  </si>
  <si>
    <t>898 W Monroe Ave</t>
  </si>
  <si>
    <t>Lowell</t>
  </si>
  <si>
    <t>36.255329, -94.152637</t>
  </si>
  <si>
    <t>Lafayette, LA</t>
  </si>
  <si>
    <t>Stirling Center Dr</t>
  </si>
  <si>
    <t>Lafayette</t>
  </si>
  <si>
    <t>30.265264, -91.994232</t>
  </si>
  <si>
    <t>Roscoe, NY</t>
  </si>
  <si>
    <t>1908 Old Rte 17</t>
  </si>
  <si>
    <t>Roscoe</t>
  </si>
  <si>
    <t>41.93056, -74.908742</t>
  </si>
  <si>
    <t>St. Joseph, MI</t>
  </si>
  <si>
    <t>3260 Niles Rd</t>
  </si>
  <si>
    <t>42.056357, -86.456352</t>
  </si>
  <si>
    <t>Oneonta, NY</t>
  </si>
  <si>
    <t>4968 NY-23</t>
  </si>
  <si>
    <t>Oneonta</t>
  </si>
  <si>
    <t>42.447575, -75.048622</t>
  </si>
  <si>
    <t>Bay City, MI</t>
  </si>
  <si>
    <t>2980 Wilder Rd</t>
  </si>
  <si>
    <t>Bay City</t>
  </si>
  <si>
    <t>43.622061, -83.932241</t>
  </si>
  <si>
    <t>Vero Beach, FL</t>
  </si>
  <si>
    <t>9050 20th St</t>
  </si>
  <si>
    <t>Vero Beach</t>
  </si>
  <si>
    <t>27.6400894, -80.5135068</t>
  </si>
  <si>
    <t>Collinsville, IL</t>
  </si>
  <si>
    <t>217 N Bluff Rd</t>
  </si>
  <si>
    <t>Collinsville</t>
  </si>
  <si>
    <t>38.67344, -90.013486</t>
  </si>
  <si>
    <t>Mount Pleasant, IA</t>
  </si>
  <si>
    <t>1700 E Washington St</t>
  </si>
  <si>
    <t>Mount Pleasant</t>
  </si>
  <si>
    <t>40.961378, -91.528249</t>
  </si>
  <si>
    <t>Reston, VA</t>
  </si>
  <si>
    <t>1904 Reston Station Blvd</t>
  </si>
  <si>
    <t>Reston</t>
  </si>
  <si>
    <t>38.949021, -77.339711</t>
  </si>
  <si>
    <t>St. Louis Park, MN</t>
  </si>
  <si>
    <t>3601 State Hwy 100 (MN-100)</t>
  </si>
  <si>
    <t>St. Louis Park</t>
  </si>
  <si>
    <t>44.935964, -93.347857</t>
  </si>
  <si>
    <t>Jackman, ME</t>
  </si>
  <si>
    <t>Jackman</t>
  </si>
  <si>
    <t>45.624071, -70.25201</t>
  </si>
  <si>
    <t>Superior, CO</t>
  </si>
  <si>
    <t>2 S Marshall Rd</t>
  </si>
  <si>
    <t>39.9548017, -105.1646291</t>
  </si>
  <si>
    <t>North Bend, WA</t>
  </si>
  <si>
    <t>46600 SE North Bend Way</t>
  </si>
  <si>
    <t>North Bend</t>
  </si>
  <si>
    <t>47.468107, -121.716454</t>
  </si>
  <si>
    <t>Tremonton, UT</t>
  </si>
  <si>
    <t>Hampton Inn 2145 W Main St</t>
  </si>
  <si>
    <t>Tremonton</t>
  </si>
  <si>
    <t>41.70995, -112.198576</t>
  </si>
  <si>
    <t>Spokane, WA</t>
  </si>
  <si>
    <t>10506 W Aero Rd</t>
  </si>
  <si>
    <t>Spokane</t>
  </si>
  <si>
    <t>47.590359, -117.56168</t>
  </si>
  <si>
    <t>Meriden, CT</t>
  </si>
  <si>
    <t>903 East Main St</t>
  </si>
  <si>
    <t>Meriden</t>
  </si>
  <si>
    <t>41.527018, -72.773982</t>
  </si>
  <si>
    <t>Flossmoor, IL</t>
  </si>
  <si>
    <t>3800 Vollmer Rd</t>
  </si>
  <si>
    <t>Flossmoor</t>
  </si>
  <si>
    <t>41.529391, -87.709287</t>
  </si>
  <si>
    <t>Vancouver - NE Vancouver Mall Dr, WA</t>
  </si>
  <si>
    <t>8700 NE Vancouver Mall Dr</t>
  </si>
  <si>
    <t>Vancouver</t>
  </si>
  <si>
    <t>45.659872, -122.582467</t>
  </si>
  <si>
    <t>Placerville - Broadway, CA</t>
  </si>
  <si>
    <t>1184 Broadway</t>
  </si>
  <si>
    <t>Placerville</t>
  </si>
  <si>
    <t>38.730606, -120.788085</t>
  </si>
  <si>
    <t>Ontario, OR</t>
  </si>
  <si>
    <t>243 NE East Ln</t>
  </si>
  <si>
    <t>Ontario</t>
  </si>
  <si>
    <t>44.025597, -116.942114</t>
  </si>
  <si>
    <t>Boulder, CO</t>
  </si>
  <si>
    <t>29th St</t>
  </si>
  <si>
    <t>Boulder</t>
  </si>
  <si>
    <t>40.020306, -105.257028</t>
  </si>
  <si>
    <t>Fort Lauderdale, FL</t>
  </si>
  <si>
    <t>2620 W Broward Blvd</t>
  </si>
  <si>
    <t>26.120885, -80.177098</t>
  </si>
  <si>
    <t>Clearwater, FL</t>
  </si>
  <si>
    <t>26508 US Highway 19</t>
  </si>
  <si>
    <t>28.013295, -82.736244</t>
  </si>
  <si>
    <t>Hattiesburg, MS</t>
  </si>
  <si>
    <t>6109 US-98 W</t>
  </si>
  <si>
    <t>Hattiesburg</t>
  </si>
  <si>
    <t>31.322701, -89.38188</t>
  </si>
  <si>
    <t>San Diego - A Street, CA</t>
  </si>
  <si>
    <t>1350 6th Ave</t>
  </si>
  <si>
    <t>32.719384, -117.159567</t>
  </si>
  <si>
    <t>Los Altos, CA</t>
  </si>
  <si>
    <t>4800 El Camino Real</t>
  </si>
  <si>
    <t>Los Altos</t>
  </si>
  <si>
    <t>37.398894, -122.110682</t>
  </si>
  <si>
    <t>Washington, PA</t>
  </si>
  <si>
    <t>331 Washington Rd</t>
  </si>
  <si>
    <t>40.1873056, -80.2293889</t>
  </si>
  <si>
    <t>Mission Viejo, CA</t>
  </si>
  <si>
    <t>555 Shops Blvd</t>
  </si>
  <si>
    <t>Mission Viejo</t>
  </si>
  <si>
    <t>33.557279, -117.668035</t>
  </si>
  <si>
    <t>North Canaan, CT</t>
  </si>
  <si>
    <t>11 E Main St</t>
  </si>
  <si>
    <t>Canaan</t>
  </si>
  <si>
    <t>42.024331, -73.322684</t>
  </si>
  <si>
    <t>Lakewood, CO</t>
  </si>
  <si>
    <t>14500 W Colfax Ave</t>
  </si>
  <si>
    <t>Lakewood</t>
  </si>
  <si>
    <t>39.733697, -105.154154</t>
  </si>
  <si>
    <t>Easton, MD</t>
  </si>
  <si>
    <t>7655 Ocean Gateway</t>
  </si>
  <si>
    <t>Easton</t>
  </si>
  <si>
    <t>38.759257, -76.061405</t>
  </si>
  <si>
    <t>Ocean City, MD</t>
  </si>
  <si>
    <t>12826A Ocean Gateway</t>
  </si>
  <si>
    <t>West Ocean City</t>
  </si>
  <si>
    <t>38.335586, -75.104509</t>
  </si>
  <si>
    <t>Lancaster, PA</t>
  </si>
  <si>
    <t>518 Greenfield Rd</t>
  </si>
  <si>
    <t>Lancaster</t>
  </si>
  <si>
    <t>40.052622, -76.254776</t>
  </si>
  <si>
    <t>Greenville, NC</t>
  </si>
  <si>
    <t>701 Moye Blvd</t>
  </si>
  <si>
    <t>Greenville</t>
  </si>
  <si>
    <t>35.6055, -77.4</t>
  </si>
  <si>
    <t>Glendive, MT</t>
  </si>
  <si>
    <t>1919 N Merrill Ave</t>
  </si>
  <si>
    <t>Glendive</t>
  </si>
  <si>
    <t>47.127042, -104.694456</t>
  </si>
  <si>
    <t>Walnut Creek - Plaza Escuela, CA</t>
  </si>
  <si>
    <t>1181 Locust St</t>
  </si>
  <si>
    <t>Walnut Creek</t>
  </si>
  <si>
    <t>37.895277, -122.061828</t>
  </si>
  <si>
    <t>Elk Grove - Elk Grove Blvd, CA</t>
  </si>
  <si>
    <t>8451 Elk Grove Blvd</t>
  </si>
  <si>
    <t>Elk Grove</t>
  </si>
  <si>
    <t>38.409389, -121.391028</t>
  </si>
  <si>
    <t>Kremmling, CO</t>
  </si>
  <si>
    <t>605 Park Ave</t>
  </si>
  <si>
    <t>Kremmling</t>
  </si>
  <si>
    <t>40.059575, -106.387881</t>
  </si>
  <si>
    <t>Milford - Southbound, CT</t>
  </si>
  <si>
    <t>1 CT Turnpike S</t>
  </si>
  <si>
    <t>41.246232, -73.010529</t>
  </si>
  <si>
    <t>Ashland, NH</t>
  </si>
  <si>
    <t>158 Main St</t>
  </si>
  <si>
    <t>Ashland</t>
  </si>
  <si>
    <t>43.698101, -71.640119</t>
  </si>
  <si>
    <t>San Diego - Friars Rd, CA</t>
  </si>
  <si>
    <t>7007 Friars Rd</t>
  </si>
  <si>
    <t>32.769144, -117.166271</t>
  </si>
  <si>
    <t>Mackinaw City, MI</t>
  </si>
  <si>
    <t>801 S Huron Ave</t>
  </si>
  <si>
    <t>Mackinaw City</t>
  </si>
  <si>
    <t>45.77225, -84.7265</t>
  </si>
  <si>
    <t>Maple Shade, NJ</t>
  </si>
  <si>
    <t>2801 Route 73 South</t>
  </si>
  <si>
    <t>Maple Shade</t>
  </si>
  <si>
    <t>39.937134, -74.970511</t>
  </si>
  <si>
    <t>Brentwood - Old Hickory Blvd, TN</t>
  </si>
  <si>
    <t>780 Old Hickory Blvd</t>
  </si>
  <si>
    <t>Brentwood</t>
  </si>
  <si>
    <t>36.042377, -86.777844</t>
  </si>
  <si>
    <t>Manteca - Spreckels Ave, CA</t>
  </si>
  <si>
    <t>280 Spreckels Ave</t>
  </si>
  <si>
    <t>37.795975, -121.19771</t>
  </si>
  <si>
    <t>Metter, GA</t>
  </si>
  <si>
    <t>1118 S Lewis St</t>
  </si>
  <si>
    <t>Metter</t>
  </si>
  <si>
    <t>32.378566, -82.062539</t>
  </si>
  <si>
    <t>Tumwater, WA</t>
  </si>
  <si>
    <t>2430 93rd Ave SW</t>
  </si>
  <si>
    <t>Tumwater</t>
  </si>
  <si>
    <t>46.952944, -122.935111</t>
  </si>
  <si>
    <t>Wareham, MA</t>
  </si>
  <si>
    <t>Wareham Crossing, 2421 Cranberry Hwy</t>
  </si>
  <si>
    <t>Wareham</t>
  </si>
  <si>
    <t>41.775093, -70.744321</t>
  </si>
  <si>
    <t>Madison, FL</t>
  </si>
  <si>
    <t>3907 Southwest SR 14</t>
  </si>
  <si>
    <t>30.43387, -83.4535</t>
  </si>
  <si>
    <t>Emporia, KS</t>
  </si>
  <si>
    <t>1330 Industrial Rd</t>
  </si>
  <si>
    <t>Emporia</t>
  </si>
  <si>
    <t>38.414266, -96.216714</t>
  </si>
  <si>
    <t>Minneapolis, MN</t>
  </si>
  <si>
    <t>1600 New Brighton Blvd</t>
  </si>
  <si>
    <t>Minneapolis</t>
  </si>
  <si>
    <t>45.004609, -93.229542</t>
  </si>
  <si>
    <t>Bloomington, IN</t>
  </si>
  <si>
    <t>3600 W Third St</t>
  </si>
  <si>
    <t>Bloomington</t>
  </si>
  <si>
    <t>39.166222, -86.579116</t>
  </si>
  <si>
    <t>Rockford, IL</t>
  </si>
  <si>
    <t>7200 Harrison Ave</t>
  </si>
  <si>
    <t>Rockford</t>
  </si>
  <si>
    <t>42.243896, -88.978877</t>
  </si>
  <si>
    <t>Miami - SW 24th Street, FL</t>
  </si>
  <si>
    <t>6971 SW 24th St</t>
  </si>
  <si>
    <t>25.7485018, -80.3084064</t>
  </si>
  <si>
    <t>Lincoln - Groveland Lane, CA</t>
  </si>
  <si>
    <t>950 Groveland Ln</t>
  </si>
  <si>
    <t>38.869969, -121.303187</t>
  </si>
  <si>
    <t>Sacramento - Freeport Blvd, CA</t>
  </si>
  <si>
    <t>4700 Freeport Blvd</t>
  </si>
  <si>
    <t>38.533691, -121.4961</t>
  </si>
  <si>
    <t>Darien - Southbound, CT</t>
  </si>
  <si>
    <t>I-95 South after exit 10</t>
  </si>
  <si>
    <t>Darien</t>
  </si>
  <si>
    <t>41.067299, -73.504926</t>
  </si>
  <si>
    <t>Reno - N Sierra St, NV</t>
  </si>
  <si>
    <t>303 N Sierra St</t>
  </si>
  <si>
    <t>39.529389, -119.815667</t>
  </si>
  <si>
    <t>Great Falls, MT</t>
  </si>
  <si>
    <t>2301 14th St SW</t>
  </si>
  <si>
    <t>Great Falls</t>
  </si>
  <si>
    <t>47.48295, -111.337681</t>
  </si>
  <si>
    <t>Miles City, MT</t>
  </si>
  <si>
    <t>1815 S Haynes Ave</t>
  </si>
  <si>
    <t>Miles City</t>
  </si>
  <si>
    <t>46.390475, -105.823359</t>
  </si>
  <si>
    <t>Alpharetta, GA</t>
  </si>
  <si>
    <t>5185 1st St</t>
  </si>
  <si>
    <t>Alpharetta</t>
  </si>
  <si>
    <t>34.071582, -84.275404</t>
  </si>
  <si>
    <t>Northbrook, IL</t>
  </si>
  <si>
    <t>840 Willow Rd</t>
  </si>
  <si>
    <t>Northbrook</t>
  </si>
  <si>
    <t>42.107745, -87.802496</t>
  </si>
  <si>
    <t>Revere, MA</t>
  </si>
  <si>
    <t>40 Furlong Dr</t>
  </si>
  <si>
    <t>Revere</t>
  </si>
  <si>
    <t>42.398547, -71.00021</t>
  </si>
  <si>
    <t>Mojave - Sierra Hwy, CA</t>
  </si>
  <si>
    <t>16246 Sierra Hwy</t>
  </si>
  <si>
    <t>35.056876, -118.174706</t>
  </si>
  <si>
    <t>Auburn, WA</t>
  </si>
  <si>
    <t>1101 Outlet Collection Way SW</t>
  </si>
  <si>
    <t>47.297976, -122.248274</t>
  </si>
  <si>
    <t>Riverside - Canyon Springs Pkwy, CA</t>
  </si>
  <si>
    <t>2755 Canyon Springs Pkwy</t>
  </si>
  <si>
    <t>33.939957, -117.282508</t>
  </si>
  <si>
    <t>Anaheim - E Katella Ave, CA</t>
  </si>
  <si>
    <t>2404 E Katella Ave</t>
  </si>
  <si>
    <t>33.805168, -117.882173</t>
  </si>
  <si>
    <t>Staten Island - Veterans Rd W, NY</t>
  </si>
  <si>
    <t>2925 Veterans Rd W</t>
  </si>
  <si>
    <t>Staten Island</t>
  </si>
  <si>
    <t>40.527562, -74.231359</t>
  </si>
  <si>
    <t>Helena, MT</t>
  </si>
  <si>
    <t>3120 Queen Anns St</t>
  </si>
  <si>
    <t>Helena</t>
  </si>
  <si>
    <t>46.618173, -112.007628</t>
  </si>
  <si>
    <t>Kokomo, IN</t>
  </si>
  <si>
    <t>2301 E Markland Ave</t>
  </si>
  <si>
    <t>Kokomo</t>
  </si>
  <si>
    <t>40.475169, -86.101306</t>
  </si>
  <si>
    <t>Miami - South Dixie Highway, FL</t>
  </si>
  <si>
    <t>8312 Dixie Highway</t>
  </si>
  <si>
    <t>25.693198, -80.304898</t>
  </si>
  <si>
    <t>Ashburn, VA</t>
  </si>
  <si>
    <t>43300 Southern Walk Plaza</t>
  </si>
  <si>
    <t>Ashburn</t>
  </si>
  <si>
    <t>39.008466, -77.504972</t>
  </si>
  <si>
    <t>Richmond, IN</t>
  </si>
  <si>
    <t>2507 Chester Blvd</t>
  </si>
  <si>
    <t>39.868255, -84.886326</t>
  </si>
  <si>
    <t>Ehrenberg, AZ</t>
  </si>
  <si>
    <t>14320 Frontage Rd N</t>
  </si>
  <si>
    <t>Ehrenberg</t>
  </si>
  <si>
    <t>33.601666, -114.522376</t>
  </si>
  <si>
    <t>South Padre Island, TX</t>
  </si>
  <si>
    <t>100 Padre Blvd</t>
  </si>
  <si>
    <t>South Padre Island</t>
  </si>
  <si>
    <t>26.081436, -97.16109</t>
  </si>
  <si>
    <t>White Marsh, MD</t>
  </si>
  <si>
    <t>5361 Nottingham Dr.</t>
  </si>
  <si>
    <t>White Marsh</t>
  </si>
  <si>
    <t>39.373985, -76.443133</t>
  </si>
  <si>
    <t>Forks, WA</t>
  </si>
  <si>
    <t>100 Fern Hill Rd</t>
  </si>
  <si>
    <t>Forks</t>
  </si>
  <si>
    <t>47.942522, -124.384748</t>
  </si>
  <si>
    <t>Woodcliff Lake, NJ</t>
  </si>
  <si>
    <t>441 Chestnut Ridge Rd</t>
  </si>
  <si>
    <t>Woodcliff Lake</t>
  </si>
  <si>
    <t>41.04175, -74.073701</t>
  </si>
  <si>
    <t>Conifer, CO</t>
  </si>
  <si>
    <t>25637 Conifer Rd</t>
  </si>
  <si>
    <t>Conifer</t>
  </si>
  <si>
    <t>39.544083, -105.289972</t>
  </si>
  <si>
    <t>Fargo, ND</t>
  </si>
  <si>
    <t>5680 23rd Ave S</t>
  </si>
  <si>
    <t>Fargo</t>
  </si>
  <si>
    <t>46.843601, -96.882492</t>
  </si>
  <si>
    <t>North Wales, PA</t>
  </si>
  <si>
    <t>593 DeKalb Pike</t>
  </si>
  <si>
    <t>North Wales</t>
  </si>
  <si>
    <t>40.219356, -75.247211</t>
  </si>
  <si>
    <t>Gilman, IL</t>
  </si>
  <si>
    <t>1043 S Crescent St</t>
  </si>
  <si>
    <t>Gilman</t>
  </si>
  <si>
    <t>40.752202, -87.996464</t>
  </si>
  <si>
    <t>Panama City Beach, FL</t>
  </si>
  <si>
    <t>14100 Panama City Beach Parkway</t>
  </si>
  <si>
    <t>Panama City Beach</t>
  </si>
  <si>
    <t>30.211432, -85.849367</t>
  </si>
  <si>
    <t>Madera - Ave 7, CA</t>
  </si>
  <si>
    <t>32685 Ave 7</t>
  </si>
  <si>
    <t>Madera</t>
  </si>
  <si>
    <t>36.851569, -119.950611</t>
  </si>
  <si>
    <t>Miami - SW 124th Ave, FL</t>
  </si>
  <si>
    <t>8521 SW 124th Ave</t>
  </si>
  <si>
    <t>25.689099, -80.393365</t>
  </si>
  <si>
    <t>Bakersfield - S Enos Ln, CA</t>
  </si>
  <si>
    <t>9741 S Enos Ln</t>
  </si>
  <si>
    <t>35.266688, -119.253836</t>
  </si>
  <si>
    <t>Kissimmee, FL</t>
  </si>
  <si>
    <t>7940 W Irlo Bronson Memorial Hwy</t>
  </si>
  <si>
    <t>28.34551, -81.604567</t>
  </si>
  <si>
    <t>New River, AZ</t>
  </si>
  <si>
    <t>3906 W New River Rd</t>
  </si>
  <si>
    <t>New River</t>
  </si>
  <si>
    <t>33.91578, -112.14417</t>
  </si>
  <si>
    <t>San Bernardino, CA</t>
  </si>
  <si>
    <t>400 Inland Center Dr</t>
  </si>
  <si>
    <t>San Bernardino</t>
  </si>
  <si>
    <t>34.08407, -117.299314</t>
  </si>
  <si>
    <t>San Jose - Cherry Avenue, CA</t>
  </si>
  <si>
    <t>5160 Cherry Ave</t>
  </si>
  <si>
    <t>37.258506, -121.871476</t>
  </si>
  <si>
    <t>Thousand Oaks - West Hillcrest Drive, CA</t>
  </si>
  <si>
    <t>350 West Hillcrest Dr</t>
  </si>
  <si>
    <t>34.18445, -118.890747</t>
  </si>
  <si>
    <t>New Haven, CT</t>
  </si>
  <si>
    <t>450 Sargent Dr</t>
  </si>
  <si>
    <t>New Haven</t>
  </si>
  <si>
    <t>41.297348, -72.917804</t>
  </si>
  <si>
    <t>Rockville, MD</t>
  </si>
  <si>
    <t>30 Maryland Ave</t>
  </si>
  <si>
    <t>Rockville</t>
  </si>
  <si>
    <t>39.085997, -77.149696</t>
  </si>
  <si>
    <t>Leon Springs, TX</t>
  </si>
  <si>
    <t>24165 W I-10 Frontage Rd</t>
  </si>
  <si>
    <t>29.665289, -98.633387</t>
  </si>
  <si>
    <t>Rutland, VT</t>
  </si>
  <si>
    <t>194 Woodstock Ave</t>
  </si>
  <si>
    <t>Rutland</t>
  </si>
  <si>
    <t>43.617562, -72.957208</t>
  </si>
  <si>
    <t>Salem, OR</t>
  </si>
  <si>
    <t>3790 Center St NE</t>
  </si>
  <si>
    <t>Salem</t>
  </si>
  <si>
    <t>44.93894, -122.987919</t>
  </si>
  <si>
    <t>Tahoe City, CA</t>
  </si>
  <si>
    <t>140 N. Lake Blvd</t>
  </si>
  <si>
    <t>Tahoe City</t>
  </si>
  <si>
    <t>39.167793, -120.14453</t>
  </si>
  <si>
    <t>Gainesville, FL</t>
  </si>
  <si>
    <t>3217 SW 35th Blvd</t>
  </si>
  <si>
    <t>Gainesville</t>
  </si>
  <si>
    <t>29.624756, -82.376597</t>
  </si>
  <si>
    <t>Veedersburg, IN</t>
  </si>
  <si>
    <t>1020 E Second St</t>
  </si>
  <si>
    <t>Veedersburg</t>
  </si>
  <si>
    <t>40.11273, -87.248021</t>
  </si>
  <si>
    <t>Cerritos - Los Cerritos Center, CA</t>
  </si>
  <si>
    <t>239 Los Cerritos Center</t>
  </si>
  <si>
    <t>Cerritos</t>
  </si>
  <si>
    <t>33.8643904, -118.0915723</t>
  </si>
  <si>
    <t>Tacna, AZ</t>
  </si>
  <si>
    <t>9250 South Ave 40E</t>
  </si>
  <si>
    <t>Tacna</t>
  </si>
  <si>
    <t>32.6900433, -113.9535836</t>
  </si>
  <si>
    <t>Manhattan - Vesey St, NY</t>
  </si>
  <si>
    <t>250 Vesey St</t>
  </si>
  <si>
    <t>New York</t>
  </si>
  <si>
    <t>40.714062, -74.015837</t>
  </si>
  <si>
    <t>Wallace, NC</t>
  </si>
  <si>
    <t>River Village Place</t>
  </si>
  <si>
    <t>Island Creek</t>
  </si>
  <si>
    <t>34.756276, -77.948019</t>
  </si>
  <si>
    <t>Florence, SC</t>
  </si>
  <si>
    <t>2701 David H McLeod Blvd</t>
  </si>
  <si>
    <t>Florence</t>
  </si>
  <si>
    <t>34.190371, -79.832575</t>
  </si>
  <si>
    <t>Marshall, MI</t>
  </si>
  <si>
    <t>15252 US Hwy 27 N</t>
  </si>
  <si>
    <t>Marshall</t>
  </si>
  <si>
    <t>42.292009, -84.964122</t>
  </si>
  <si>
    <t>Grand Rapids, MI</t>
  </si>
  <si>
    <t>5531 28th St SE</t>
  </si>
  <si>
    <t>Grand Rapids</t>
  </si>
  <si>
    <t>42.914231, -85.533057</t>
  </si>
  <si>
    <t>Mobile, AL</t>
  </si>
  <si>
    <t>3201 Airport Blvd</t>
  </si>
  <si>
    <t>Mobile</t>
  </si>
  <si>
    <t>30.671556, -88.118644</t>
  </si>
  <si>
    <t>Alexandria, MN</t>
  </si>
  <si>
    <t>4404 State Hwy 29</t>
  </si>
  <si>
    <t>45.850405, -95.388969</t>
  </si>
  <si>
    <t>Livonia, MI</t>
  </si>
  <si>
    <t>13000 Middlebelt Rd</t>
  </si>
  <si>
    <t>Livonia</t>
  </si>
  <si>
    <t>42.379485, -83.32954</t>
  </si>
  <si>
    <t>Pittsburgh, PA</t>
  </si>
  <si>
    <t>5550 Centre Ave</t>
  </si>
  <si>
    <t>Pittsburgh</t>
  </si>
  <si>
    <t>40.456432, -79.934125</t>
  </si>
  <si>
    <t>Hawthorne - El Segundo Blvd, CA</t>
  </si>
  <si>
    <t>4427 W El Segundo Blvd</t>
  </si>
  <si>
    <t>33.918036, -118.353197</t>
  </si>
  <si>
    <t>Florence - Houston Rd, KY</t>
  </si>
  <si>
    <t>4990 Houston Rd</t>
  </si>
  <si>
    <t>39.011489, -84.640279</t>
  </si>
  <si>
    <t>Greenville, SC</t>
  </si>
  <si>
    <t>108 Carolina Point Pkwy</t>
  </si>
  <si>
    <t>34.825895, -82.306973</t>
  </si>
  <si>
    <t>Marquette, MI</t>
  </si>
  <si>
    <t>3630 US-41</t>
  </si>
  <si>
    <t>Marquette</t>
  </si>
  <si>
    <t>46.551944, -87.470222</t>
  </si>
  <si>
    <t>Palmdale, CA</t>
  </si>
  <si>
    <t>1233 Rancho Vista Blvd</t>
  </si>
  <si>
    <t>Palmdale</t>
  </si>
  <si>
    <t>34.606207, -118.151386</t>
  </si>
  <si>
    <t>East Templeton, MA</t>
  </si>
  <si>
    <t>163 Patriots Rd</t>
  </si>
  <si>
    <t>Templeton</t>
  </si>
  <si>
    <t>42.561164, -72.040773</t>
  </si>
  <si>
    <t>Roseville - Galleria Boulevard, CA</t>
  </si>
  <si>
    <t>1112 Galleria Blvd</t>
  </si>
  <si>
    <t>38.767949, -121.263356</t>
  </si>
  <si>
    <t>Guaynabo, PR</t>
  </si>
  <si>
    <t>2–98 Calle Tabonuco</t>
  </si>
  <si>
    <t>18.405993, -66.106131</t>
  </si>
  <si>
    <t>Lincoln, NH</t>
  </si>
  <si>
    <t>22 S Mountain Dr</t>
  </si>
  <si>
    <t>44.042314, -71.668127</t>
  </si>
  <si>
    <t>Red Bluff, CA</t>
  </si>
  <si>
    <t>94 Belle Mill Rd</t>
  </si>
  <si>
    <t>40.182152, -122.227452</t>
  </si>
  <si>
    <t>Fishkill, NY</t>
  </si>
  <si>
    <t>18 Westage Dr</t>
  </si>
  <si>
    <t>Fishkill</t>
  </si>
  <si>
    <t>41.52727858284335, -73.893152475357</t>
  </si>
  <si>
    <t>Chestertown, NY</t>
  </si>
  <si>
    <t>6151 NY-8</t>
  </si>
  <si>
    <t>Chestertown</t>
  </si>
  <si>
    <t>43.665802, -73.784266</t>
  </si>
  <si>
    <t>Louisville - Towne Center Drive, KY</t>
  </si>
  <si>
    <t>4100 Towne Center Dr</t>
  </si>
  <si>
    <t>38.299, -85.556056</t>
  </si>
  <si>
    <t>Pismo Beach, CA</t>
  </si>
  <si>
    <t>333 Five Cities Dr</t>
  </si>
  <si>
    <t>Pismo Beach</t>
  </si>
  <si>
    <t>35.136408, -120.628662</t>
  </si>
  <si>
    <t>Deltona, FL</t>
  </si>
  <si>
    <t>3400 Howland Blvd</t>
  </si>
  <si>
    <t>Deltona</t>
  </si>
  <si>
    <t>28.9498974, -81.2508045</t>
  </si>
  <si>
    <t>Minnetonka, MN</t>
  </si>
  <si>
    <t>13201 Ridgedale Dr</t>
  </si>
  <si>
    <t>Minnetonka</t>
  </si>
  <si>
    <t>44.9698145, -93.4478659</t>
  </si>
  <si>
    <t>Baltimore - Boston Street, MD</t>
  </si>
  <si>
    <t>3779 Boston St</t>
  </si>
  <si>
    <t>Baltimore</t>
  </si>
  <si>
    <t>39.274972, -76.563528</t>
  </si>
  <si>
    <t>Big Sky, MT</t>
  </si>
  <si>
    <t>145 Town Center Ave</t>
  </si>
  <si>
    <t>Gallatin Gateway</t>
  </si>
  <si>
    <t>45.2606761, -111.3062058</t>
  </si>
  <si>
    <t>Miami Beach - Pennsylvania Ave, FL</t>
  </si>
  <si>
    <t>1661 Pennsylvania Ave</t>
  </si>
  <si>
    <t>Miami Beach</t>
  </si>
  <si>
    <t>25.79169, -80.134014</t>
  </si>
  <si>
    <t>Hermosa Beach, CA</t>
  </si>
  <si>
    <t>710 16th St</t>
  </si>
  <si>
    <t>Hermosa Beach</t>
  </si>
  <si>
    <t>33.864955, -118.394819</t>
  </si>
  <si>
    <t>Lake Placid, NY</t>
  </si>
  <si>
    <t>1930 Saranac Ave</t>
  </si>
  <si>
    <t>Lake Placid</t>
  </si>
  <si>
    <t>44.294797, -74.010526</t>
  </si>
  <si>
    <t>Hardeeville, SC</t>
  </si>
  <si>
    <t>16319 Whyte Hardee Blvd</t>
  </si>
  <si>
    <t>Hardeeville</t>
  </si>
  <si>
    <t>32.27012485, -81.08084499</t>
  </si>
  <si>
    <t>Estero, FL</t>
  </si>
  <si>
    <t>10801 Corkscrew Rd</t>
  </si>
  <si>
    <t>Estero</t>
  </si>
  <si>
    <t>26.43604, -81.773048</t>
  </si>
  <si>
    <t>Waterloo, NY</t>
  </si>
  <si>
    <t>1133 Ridge Rd</t>
  </si>
  <si>
    <t>Waterloo</t>
  </si>
  <si>
    <t>42.970012, -76.846134</t>
  </si>
  <si>
    <t>Miami Beach - West Avenue, FL</t>
  </si>
  <si>
    <t>959 West Ave</t>
  </si>
  <si>
    <t>25.780227, -80.141787</t>
  </si>
  <si>
    <t>Highland Park - Skokie Valley Rd, IL</t>
  </si>
  <si>
    <t>2099 Skokie Valley Rd</t>
  </si>
  <si>
    <t>Highland Park</t>
  </si>
  <si>
    <t>42.191936, -87.826741</t>
  </si>
  <si>
    <t>Hines, OR</t>
  </si>
  <si>
    <t>627 Hwy 20 N</t>
  </si>
  <si>
    <t>Hines</t>
  </si>
  <si>
    <t>43.572694, -119.074556</t>
  </si>
  <si>
    <t>Fresno - North Blackstone Ave, CA</t>
  </si>
  <si>
    <t>7965 N Blackstone Ave</t>
  </si>
  <si>
    <t>36.85085698, -119.79142427</t>
  </si>
  <si>
    <t>Beaumont, CA</t>
  </si>
  <si>
    <t>1551 E 2nd St</t>
  </si>
  <si>
    <t>Beaumont</t>
  </si>
  <si>
    <t>33.922543, -116.949167</t>
  </si>
  <si>
    <t>Chicago - O’Hare, IL</t>
  </si>
  <si>
    <t>10909–10929 W Higgins Rd</t>
  </si>
  <si>
    <t>41.99870660096533, -87.888457775115</t>
  </si>
  <si>
    <t>Marianna, FL</t>
  </si>
  <si>
    <t>2070 FL-71</t>
  </si>
  <si>
    <t>Marianna</t>
  </si>
  <si>
    <t>30.716016, -85.184269</t>
  </si>
  <si>
    <t>Great Barrington, MA</t>
  </si>
  <si>
    <t>700 Main St</t>
  </si>
  <si>
    <t>Great Barrington</t>
  </si>
  <si>
    <t>42.180663, -73.364632</t>
  </si>
  <si>
    <t>Quartzsite, AZ</t>
  </si>
  <si>
    <t>1451 W Main St</t>
  </si>
  <si>
    <t>Quartzsite</t>
  </si>
  <si>
    <t>33.661314, -114.242174</t>
  </si>
  <si>
    <t>Santa Clara, CA</t>
  </si>
  <si>
    <t>3945 Rivermark Plaza</t>
  </si>
  <si>
    <t>Santa Clara</t>
  </si>
  <si>
    <t>37.394816, -121.945157</t>
  </si>
  <si>
    <t>San Francisco, CA</t>
  </si>
  <si>
    <t>601 Van Ness Ave</t>
  </si>
  <si>
    <t>37.781296, -122.421394</t>
  </si>
  <si>
    <t>Lacey, WA</t>
  </si>
  <si>
    <t>655 Sleater Kinney Rd SE</t>
  </si>
  <si>
    <t>Lacey</t>
  </si>
  <si>
    <t>47.0427557461906, -122.836407423019</t>
  </si>
  <si>
    <t>Smithfield, NC</t>
  </si>
  <si>
    <t>1700 E Market St</t>
  </si>
  <si>
    <t>Smithfield</t>
  </si>
  <si>
    <t>35.505, -78.325583</t>
  </si>
  <si>
    <t>Vienna, VA</t>
  </si>
  <si>
    <t>465 Maple Ave W</t>
  </si>
  <si>
    <t>Vienna</t>
  </si>
  <si>
    <t>38.895195, -77.273938</t>
  </si>
  <si>
    <t>Chillicothe, OH</t>
  </si>
  <si>
    <t>1080 N Bridge St</t>
  </si>
  <si>
    <t>Chillicothe</t>
  </si>
  <si>
    <t>39.35835, -82.977277</t>
  </si>
  <si>
    <t>Santa Cruz, CA</t>
  </si>
  <si>
    <t>911 Soquel Ave</t>
  </si>
  <si>
    <t>Santa Cruz</t>
  </si>
  <si>
    <t>36.978635, -122.013968</t>
  </si>
  <si>
    <t>Clayton, NM</t>
  </si>
  <si>
    <t>315 S First St</t>
  </si>
  <si>
    <t>Clayton</t>
  </si>
  <si>
    <t>36.449444, -103.182028</t>
  </si>
  <si>
    <t>Bothell, WA</t>
  </si>
  <si>
    <t>19128 112th Ave NE</t>
  </si>
  <si>
    <t>Bothell</t>
  </si>
  <si>
    <t>47.767606, -122.191712</t>
  </si>
  <si>
    <t>Brunswick, GA</t>
  </si>
  <si>
    <t>500 Millennium Blvd</t>
  </si>
  <si>
    <t>Brunswick</t>
  </si>
  <si>
    <t>31.245874, -81.501667</t>
  </si>
  <si>
    <t>Burley, ID</t>
  </si>
  <si>
    <t>E 5th St N</t>
  </si>
  <si>
    <t>Heyburn</t>
  </si>
  <si>
    <t>42.56159, -113.790261</t>
  </si>
  <si>
    <t>Modesto - Sisk Rd, CA</t>
  </si>
  <si>
    <t>3900 Sisk Rd</t>
  </si>
  <si>
    <t>Modesto</t>
  </si>
  <si>
    <t>37.694343, -121.064215</t>
  </si>
  <si>
    <t>Farmville, VA</t>
  </si>
  <si>
    <t>2016 S Main St.</t>
  </si>
  <si>
    <t>Farmville</t>
  </si>
  <si>
    <t>37.271854, -78.401442</t>
  </si>
  <si>
    <t>Springfield - Cleveland Place, NJ</t>
  </si>
  <si>
    <t>697 Morris Tpke</t>
  </si>
  <si>
    <t>40.717706, -74.329462</t>
  </si>
  <si>
    <t>Deptford, NJ</t>
  </si>
  <si>
    <t>1750 Deptford Center Rd</t>
  </si>
  <si>
    <t>Deptford</t>
  </si>
  <si>
    <t>39.833413, -75.097737</t>
  </si>
  <si>
    <t>Montrose, CO</t>
  </si>
  <si>
    <t>533 N 1st St</t>
  </si>
  <si>
    <t>Montrose</t>
  </si>
  <si>
    <t>38.481242, -107.876472</t>
  </si>
  <si>
    <t>Greenbrae, CA</t>
  </si>
  <si>
    <t>Bon Air Center, Sir Francis Drake Blvd</t>
  </si>
  <si>
    <t>Greenbrae</t>
  </si>
  <si>
    <t>37.944776, -122.522706</t>
  </si>
  <si>
    <t>Tappahannock, VA</t>
  </si>
  <si>
    <t>1804 Tappahannock Blvd</t>
  </si>
  <si>
    <t>Tappahannock</t>
  </si>
  <si>
    <t>37.903836, -76.865734</t>
  </si>
  <si>
    <t>Lakeland, FL</t>
  </si>
  <si>
    <t>4320 US Hwy 98 N</t>
  </si>
  <si>
    <t>Lakeland</t>
  </si>
  <si>
    <t>28.0979989, -81.9746033</t>
  </si>
  <si>
    <t>Grand Forks, ND</t>
  </si>
  <si>
    <t>3601 32nd Ave S</t>
  </si>
  <si>
    <t>Grand Forks</t>
  </si>
  <si>
    <t>47.888156, -97.081142</t>
  </si>
  <si>
    <t>Traver, CA</t>
  </si>
  <si>
    <t>36005 CA-99</t>
  </si>
  <si>
    <t>Traver</t>
  </si>
  <si>
    <t>36.44881, -119.486404</t>
  </si>
  <si>
    <t>Menlo Park, CA</t>
  </si>
  <si>
    <t>325 Sharon Park Dr</t>
  </si>
  <si>
    <t>Menlo Park</t>
  </si>
  <si>
    <t>37.423372, -122.198189</t>
  </si>
  <si>
    <t>Torrance, CA</t>
  </si>
  <si>
    <t>3490 Fashion Way</t>
  </si>
  <si>
    <t>Torrance</t>
  </si>
  <si>
    <t>33.834811, -118.349039</t>
  </si>
  <si>
    <t>Gettysburg, PA</t>
  </si>
  <si>
    <t>30 Camp Letterman Dr</t>
  </si>
  <si>
    <t>Gettysburg</t>
  </si>
  <si>
    <t>39.844127, -77.19905</t>
  </si>
  <si>
    <t>Chula Vista, CA</t>
  </si>
  <si>
    <t>910 Eastlake Pkwy</t>
  </si>
  <si>
    <t>32.649168, -116.9676</t>
  </si>
  <si>
    <t>Big Pine Key, FL</t>
  </si>
  <si>
    <t>251 Key Deer Blvd</t>
  </si>
  <si>
    <t>Big Pine Key</t>
  </si>
  <si>
    <t>24.673431, -81.356383</t>
  </si>
  <si>
    <t>Brooksville, FL</t>
  </si>
  <si>
    <t>31100 Cortez Blvd</t>
  </si>
  <si>
    <t>Brooksville</t>
  </si>
  <si>
    <t>28.522692, -82.229948</t>
  </si>
  <si>
    <t>Elverson, PA</t>
  </si>
  <si>
    <t>1 Marsh Rd</t>
  </si>
  <si>
    <t>Elverson</t>
  </si>
  <si>
    <t>40.121588, -75.775761</t>
  </si>
  <si>
    <t>Gloucester, MA</t>
  </si>
  <si>
    <t>231 Gloucester Crossing</t>
  </si>
  <si>
    <t>Gloucester</t>
  </si>
  <si>
    <t>42.623417, -70.6545</t>
  </si>
  <si>
    <t>Petersburg - Wagner Rd, VA</t>
  </si>
  <si>
    <t>151 Wagner Rd</t>
  </si>
  <si>
    <t>Petersburg</t>
  </si>
  <si>
    <t>37.1906, -77.3663</t>
  </si>
  <si>
    <t>Seattle - NW Ballard Way, WA</t>
  </si>
  <si>
    <t>1416 NW Ballard Way</t>
  </si>
  <si>
    <t>47.662639, -122.374975</t>
  </si>
  <si>
    <t>Malibu - Whole Foods and the Park, CA</t>
  </si>
  <si>
    <t>23401 Civic Center Way</t>
  </si>
  <si>
    <t>Malibu</t>
  </si>
  <si>
    <t>34.037043, -118.685809</t>
  </si>
  <si>
    <t>Rehoboth Beach, DE</t>
  </si>
  <si>
    <t>30155 Veterans Way</t>
  </si>
  <si>
    <t>Rehoboth Beach</t>
  </si>
  <si>
    <t>38.712542, -75.10381</t>
  </si>
  <si>
    <t>Williamsburg, VA</t>
  </si>
  <si>
    <t>842 Merrimac Trail</t>
  </si>
  <si>
    <t>Williamsburg</t>
  </si>
  <si>
    <t>37.266487, -76.676613</t>
  </si>
  <si>
    <t>Perry, OK</t>
  </si>
  <si>
    <t>2812 Fir St</t>
  </si>
  <si>
    <t>Perry</t>
  </si>
  <si>
    <t>36.289315, -97.325935</t>
  </si>
  <si>
    <t>Malibu, CA</t>
  </si>
  <si>
    <t>3862 Cross Creek Rd</t>
  </si>
  <si>
    <t>34.036024, -118.684095</t>
  </si>
  <si>
    <t>Greenfield, CA</t>
  </si>
  <si>
    <t>560 Walnut Ave</t>
  </si>
  <si>
    <t>Greenfield</t>
  </si>
  <si>
    <t>36.32925, -121.245444</t>
  </si>
  <si>
    <t>Lady Lake, FL</t>
  </si>
  <si>
    <t>116 N. Highway 27/441</t>
  </si>
  <si>
    <t>Lady Lake</t>
  </si>
  <si>
    <t>28.917179, -81.923031</t>
  </si>
  <si>
    <t>Winter Garden, FL</t>
  </si>
  <si>
    <t>13501 W Colonial Dr</t>
  </si>
  <si>
    <t>Winter Garden</t>
  </si>
  <si>
    <t>28.551646, -81.584416</t>
  </si>
  <si>
    <t>San Mateo - Hillsdale Boulevard, CA</t>
  </si>
  <si>
    <t>1308 W Hillsdale Blvd</t>
  </si>
  <si>
    <t>37.533306, -122.327472</t>
  </si>
  <si>
    <t>Sand City, CA</t>
  </si>
  <si>
    <t>2040 California Ave</t>
  </si>
  <si>
    <t>Sand City</t>
  </si>
  <si>
    <t>36.621976, -121.844208</t>
  </si>
  <si>
    <t>Trenton - Richard Stockton, NJ</t>
  </si>
  <si>
    <t>Richard Stockton Service Area</t>
  </si>
  <si>
    <t>Trenton</t>
  </si>
  <si>
    <t>40.176935, -74.631786</t>
  </si>
  <si>
    <t>Georgetown, TX</t>
  </si>
  <si>
    <t>1015 W University Ave</t>
  </si>
  <si>
    <t>Georgetown</t>
  </si>
  <si>
    <t>30.632093, -97.694003</t>
  </si>
  <si>
    <t>Davenport, FL</t>
  </si>
  <si>
    <t>8103 Lake Wilson Rd</t>
  </si>
  <si>
    <t>28.258509, -81.590088</t>
  </si>
  <si>
    <t>Grove City, PA</t>
  </si>
  <si>
    <t>1931 Butler Pike</t>
  </si>
  <si>
    <t>Grove City</t>
  </si>
  <si>
    <t>41.143778, -80.157055</t>
  </si>
  <si>
    <t>Mt. Shasta - 134 Morgan Way, CA</t>
  </si>
  <si>
    <t>134 Morgan Way</t>
  </si>
  <si>
    <t>Mt. Shasta</t>
  </si>
  <si>
    <t>41.310348, -122.316039</t>
  </si>
  <si>
    <t>Baker City, OR</t>
  </si>
  <si>
    <t>1 Sunridge Ln</t>
  </si>
  <si>
    <t>Baker City</t>
  </si>
  <si>
    <t>44.782849, -117.812422</t>
  </si>
  <si>
    <t>San Diego - Qualcomm, CA</t>
  </si>
  <si>
    <t>10105 Pacific Heights Blvd</t>
  </si>
  <si>
    <t>32.902137, -117.193489</t>
  </si>
  <si>
    <t>The Dalles, OR</t>
  </si>
  <si>
    <t>2114 W 6th</t>
  </si>
  <si>
    <t>The Dalles</t>
  </si>
  <si>
    <t>45.611964, -121.208526</t>
  </si>
  <si>
    <t>Valdosta, GA</t>
  </si>
  <si>
    <t>2112 W Hill Ave</t>
  </si>
  <si>
    <t>Valdosta</t>
  </si>
  <si>
    <t>30.81732, -83.320889</t>
  </si>
  <si>
    <t>Ozark, AR</t>
  </si>
  <si>
    <t>3202 Pence Ln</t>
  </si>
  <si>
    <t>Ozark</t>
  </si>
  <si>
    <t>35.5238, -93.8636</t>
  </si>
  <si>
    <t>Cupertino - Stevens Creek Blvd, CA</t>
  </si>
  <si>
    <t>20745 Stevens Creek Blvd</t>
  </si>
  <si>
    <t>37.324722, -122.03684</t>
  </si>
  <si>
    <t>Elizabeth, NJ</t>
  </si>
  <si>
    <t>651 Kapkowski Rd</t>
  </si>
  <si>
    <t>Elizabeth</t>
  </si>
  <si>
    <t>40.662806, -74.173611</t>
  </si>
  <si>
    <t>Newark - Old Baltimore Pike, DE</t>
  </si>
  <si>
    <t>865 S Old Baltimore Pike</t>
  </si>
  <si>
    <t>39.642686, -75.729226</t>
  </si>
  <si>
    <t>San Clemente - Av. Vista Hermosa, CA</t>
  </si>
  <si>
    <t>990 Avenida Vista Hermosa</t>
  </si>
  <si>
    <t>San Clemente</t>
  </si>
  <si>
    <t>33.463091, -117.60783</t>
  </si>
  <si>
    <t>St. Johnsbury, VT</t>
  </si>
  <si>
    <t>2000 Memorial Drive</t>
  </si>
  <si>
    <t>St. Johnsbury</t>
  </si>
  <si>
    <t>44.460841, -72.014819</t>
  </si>
  <si>
    <t>Placerville, CA</t>
  </si>
  <si>
    <t>3968 Missouri Flat Rd</t>
  </si>
  <si>
    <t>38.709815, -120.842293</t>
  </si>
  <si>
    <t>Patterson - Speno Dr, CA</t>
  </si>
  <si>
    <t>2959 Speno Dr</t>
  </si>
  <si>
    <t>Patterson</t>
  </si>
  <si>
    <t>37.466496, -121.174403</t>
  </si>
  <si>
    <t>Goldsboro, NC</t>
  </si>
  <si>
    <t>1001 N Spence Ave</t>
  </si>
  <si>
    <t>Goldsboro</t>
  </si>
  <si>
    <t>35.386452, -77.948309</t>
  </si>
  <si>
    <t>San Diego - Balboa Mesa, CA</t>
  </si>
  <si>
    <t>5617 Balboa Av</t>
  </si>
  <si>
    <t>32.818922, -117.179792</t>
  </si>
  <si>
    <t>Flemington, NJ</t>
  </si>
  <si>
    <t>20 NJ-31</t>
  </si>
  <si>
    <t>Flemington</t>
  </si>
  <si>
    <t>40.505245, -74.851828</t>
  </si>
  <si>
    <t>Crystal River, FL</t>
  </si>
  <si>
    <t>509 US-19</t>
  </si>
  <si>
    <t>Crystal River</t>
  </si>
  <si>
    <t>28.899556, -82.586778</t>
  </si>
  <si>
    <t>Jacksonville - Philips Hwy, FL</t>
  </si>
  <si>
    <t>5735 Philips Hwy</t>
  </si>
  <si>
    <t>30.265516, -81.617034</t>
  </si>
  <si>
    <t>Baltimore - McHenry Row, MD</t>
  </si>
  <si>
    <t>1641 Whetstone Way</t>
  </si>
  <si>
    <t>39.268454, -76.59925</t>
  </si>
  <si>
    <t>Granada Hills, CA</t>
  </si>
  <si>
    <t>10823 Zelzah Ave</t>
  </si>
  <si>
    <t>Granada Hills</t>
  </si>
  <si>
    <t>34.266172, -118.524155</t>
  </si>
  <si>
    <t>Canoe Creek, FL</t>
  </si>
  <si>
    <t>Mile Post 229 Florida Turnpike</t>
  </si>
  <si>
    <t>Canoe Creek</t>
  </si>
  <si>
    <t>28.094603, -81.27413</t>
  </si>
  <si>
    <t>Wells, NV</t>
  </si>
  <si>
    <t>1440 6th St</t>
  </si>
  <si>
    <t>Wells</t>
  </si>
  <si>
    <t>41.101369, -114.956259</t>
  </si>
  <si>
    <t>Hermitage, PA</t>
  </si>
  <si>
    <t>2381 S Hermitage Rd</t>
  </si>
  <si>
    <t>Hermitage</t>
  </si>
  <si>
    <t>41.201068, -80.455205</t>
  </si>
  <si>
    <t>Cedar City, UT</t>
  </si>
  <si>
    <t>5249 West 3650 South</t>
  </si>
  <si>
    <t>Cedar City</t>
  </si>
  <si>
    <t>37.606299, -113.161244</t>
  </si>
  <si>
    <t>Van Buren, AR</t>
  </si>
  <si>
    <t>500 Pointer Trail</t>
  </si>
  <si>
    <t>Van Buren</t>
  </si>
  <si>
    <t>35.458391, -94.356308</t>
  </si>
  <si>
    <t>Yakima, WA</t>
  </si>
  <si>
    <t>121 N Fair Ave</t>
  </si>
  <si>
    <t>Yakima</t>
  </si>
  <si>
    <t>46.608814, -120.491244</t>
  </si>
  <si>
    <t>Loomis, CA</t>
  </si>
  <si>
    <t>6119 Horseshoe Bar Rd</t>
  </si>
  <si>
    <t>Loomis</t>
  </si>
  <si>
    <t>38.817444, -121.189472</t>
  </si>
  <si>
    <t>Salem, VA</t>
  </si>
  <si>
    <t>1340 West Main St</t>
  </si>
  <si>
    <t>37.289384, -80.079866</t>
  </si>
  <si>
    <t>Naples - Tarpon Bay Blvd, FL</t>
  </si>
  <si>
    <t>2415 Tarpon Bay Blvd</t>
  </si>
  <si>
    <t>Naples</t>
  </si>
  <si>
    <t>26.271106, -81.739504</t>
  </si>
  <si>
    <t>Dublin - Dublin Blvd, CA</t>
  </si>
  <si>
    <t>2800 Dublin Blvd</t>
  </si>
  <si>
    <t>Dublin</t>
  </si>
  <si>
    <t>37.703993, -121.852249</t>
  </si>
  <si>
    <t>Newark - Chestnut Hill Rd, DE</t>
  </si>
  <si>
    <t>274 E Chestnut Hill Rd</t>
  </si>
  <si>
    <t>39.662049, -75.73563</t>
  </si>
  <si>
    <t>Kingman, AZ</t>
  </si>
  <si>
    <t>789 W Beale St</t>
  </si>
  <si>
    <t>35.191331, -114.065592</t>
  </si>
  <si>
    <t>Kinston, NC</t>
  </si>
  <si>
    <t>4483 US-70 E</t>
  </si>
  <si>
    <t>Kinston</t>
  </si>
  <si>
    <t>35.26079, -77.649666</t>
  </si>
  <si>
    <t>Simi Valley - Tierra Rejada Rd, CA</t>
  </si>
  <si>
    <t>51 Tierra Rejada Rd</t>
  </si>
  <si>
    <t>Simi Valley</t>
  </si>
  <si>
    <t>34.272167, -118.797139</t>
  </si>
  <si>
    <t>Jacksonville - Chaffee Rd, FL</t>
  </si>
  <si>
    <t>703 Chaffee Rd S</t>
  </si>
  <si>
    <t>30.307077, -81.847887</t>
  </si>
  <si>
    <t>Bell, CA</t>
  </si>
  <si>
    <t>4410 Gage Ave</t>
  </si>
  <si>
    <t>Bell</t>
  </si>
  <si>
    <t>33.977915, -118.188681</t>
  </si>
  <si>
    <t>Towson, MD</t>
  </si>
  <si>
    <t>1300 E Joppa Rd</t>
  </si>
  <si>
    <t>Towson</t>
  </si>
  <si>
    <t>39.396234, -76.575626</t>
  </si>
  <si>
    <t>San Fernando - Celis St, CA</t>
  </si>
  <si>
    <t>1011 Pico St</t>
  </si>
  <si>
    <t>San Fernando</t>
  </si>
  <si>
    <t>34.281483, -118.44167</t>
  </si>
  <si>
    <t>Pasadena - E Glenarm St, CA</t>
  </si>
  <si>
    <t>Cnr Glenarm St and Arroyo Pkwy</t>
  </si>
  <si>
    <t>34.12699, -118.147727</t>
  </si>
  <si>
    <t>San Diego - Camino De La Plaza, CA</t>
  </si>
  <si>
    <t>4211 Camino De La Plaza</t>
  </si>
  <si>
    <t>San Ysidro</t>
  </si>
  <si>
    <t>32.54462, -117.042305</t>
  </si>
  <si>
    <t>Fort Pierce, FL</t>
  </si>
  <si>
    <t>5575 Okeechobee Rd</t>
  </si>
  <si>
    <t>Fort Pierce</t>
  </si>
  <si>
    <t>27.416538, -80.381845</t>
  </si>
  <si>
    <t>Watertown, SD</t>
  </si>
  <si>
    <t>1320 9th Ave SE</t>
  </si>
  <si>
    <t>44.889, -97.093</t>
  </si>
  <si>
    <t>Hamburg, PA</t>
  </si>
  <si>
    <t>515 Lowland Rd</t>
  </si>
  <si>
    <t>Hamburg</t>
  </si>
  <si>
    <t>40.564621, -76.007412</t>
  </si>
  <si>
    <t>Moosic, PA</t>
  </si>
  <si>
    <t>Shoppes at Montage, 2142–2598 Shoppes Blvd</t>
  </si>
  <si>
    <t>Moosic</t>
  </si>
  <si>
    <t>41.361979, -75.676596</t>
  </si>
  <si>
    <t>Orlando - W Sand Lake Rd, FL</t>
  </si>
  <si>
    <t>6500 W Sand Lake Rd</t>
  </si>
  <si>
    <t>28.449767, -81.466734</t>
  </si>
  <si>
    <t>Bear, DE</t>
  </si>
  <si>
    <t>1100 Pulaski Hwy</t>
  </si>
  <si>
    <t>Bear</t>
  </si>
  <si>
    <t>39.632175, -75.660374</t>
  </si>
  <si>
    <t>Brighton, CO</t>
  </si>
  <si>
    <t>5112 E Bromley Ln</t>
  </si>
  <si>
    <t>Brighton</t>
  </si>
  <si>
    <t>39.971722, -104.748972</t>
  </si>
  <si>
    <t>Titusville, FL</t>
  </si>
  <si>
    <t>3055 Columbia Blvd</t>
  </si>
  <si>
    <t>Titusville</t>
  </si>
  <si>
    <t>28.552782, -80.840594</t>
  </si>
  <si>
    <t>Clovis, CA</t>
  </si>
  <si>
    <t>870 Herndon Ave</t>
  </si>
  <si>
    <t>Clovis</t>
  </si>
  <si>
    <t>36.836939, -119.6982</t>
  </si>
  <si>
    <t>Yulee, FL</t>
  </si>
  <si>
    <t>20 Homegrown Way</t>
  </si>
  <si>
    <t>Yulee</t>
  </si>
  <si>
    <t>30.623736, -81.638238</t>
  </si>
  <si>
    <t>Madison - Whitney Way, WI</t>
  </si>
  <si>
    <t>675 S Whitney Way</t>
  </si>
  <si>
    <t>43.050266, -89.472382</t>
  </si>
  <si>
    <t>Stoughton, MA</t>
  </si>
  <si>
    <t>1 Hawes Way</t>
  </si>
  <si>
    <t>Stoughton</t>
  </si>
  <si>
    <t>42.152917, -71.073528</t>
  </si>
  <si>
    <t>Louisville - Preston Hwy, KY</t>
  </si>
  <si>
    <t>9500 Preston Hwy</t>
  </si>
  <si>
    <t>38.111814, -85.677355</t>
  </si>
  <si>
    <t>Port Saint Lucie - Florida's Turnpike, FL</t>
  </si>
  <si>
    <t>Mile Marker, 144 Florida's Turnpike</t>
  </si>
  <si>
    <t>27.300086, -80.372074</t>
  </si>
  <si>
    <t>Glen Mills, PA</t>
  </si>
  <si>
    <t>970 Baltimore Pike</t>
  </si>
  <si>
    <t>Glen Mills</t>
  </si>
  <si>
    <t>39.883186, -75.534198</t>
  </si>
  <si>
    <t>Asheville - S Tunnel Rd, NC</t>
  </si>
  <si>
    <t>35.584234, -82.523932</t>
  </si>
  <si>
    <t>Williston, VT</t>
  </si>
  <si>
    <t>129 Market St</t>
  </si>
  <si>
    <t>Williston</t>
  </si>
  <si>
    <t>44.449659, -73.108963</t>
  </si>
  <si>
    <t>Concord - Diamond Blvd, CA</t>
  </si>
  <si>
    <t>1975 Diamond Blvd</t>
  </si>
  <si>
    <t>37.969947, -122.058491</t>
  </si>
  <si>
    <t>Joplin, MO</t>
  </si>
  <si>
    <t>5002 S Main St</t>
  </si>
  <si>
    <t>Joplin</t>
  </si>
  <si>
    <t>37.033192, -94.515724</t>
  </si>
  <si>
    <t>Silverthorne, CO</t>
  </si>
  <si>
    <t>246-V Rainbow Dr</t>
  </si>
  <si>
    <t>Silverthorne</t>
  </si>
  <si>
    <t>39.631457, -106.070816</t>
  </si>
  <si>
    <t>Beavercreek, OH</t>
  </si>
  <si>
    <t>3822 Colonel Glenn Hwy</t>
  </si>
  <si>
    <t>Fairborn</t>
  </si>
  <si>
    <t>39.776163, -84.074435</t>
  </si>
  <si>
    <t>Elwood, NJ</t>
  </si>
  <si>
    <t>Atlantic City Expressway Mile Marker 20</t>
  </si>
  <si>
    <t>Hammonton</t>
  </si>
  <si>
    <t>39.550487, -74.735734</t>
  </si>
  <si>
    <t>Erie, PA</t>
  </si>
  <si>
    <t>2225 Downs Dr</t>
  </si>
  <si>
    <t>42.049602, -80.086345</t>
  </si>
  <si>
    <t>San Ramon - San Ramon Valley Blvd, CA</t>
  </si>
  <si>
    <t>21001 San Ramon Valley Blvd</t>
  </si>
  <si>
    <t>37.723081, -121.944252</t>
  </si>
  <si>
    <t>California, MD</t>
  </si>
  <si>
    <t>44900 St Andrews Church Rd</t>
  </si>
  <si>
    <t>California</t>
  </si>
  <si>
    <t>38.302946, -76.522367</t>
  </si>
  <si>
    <t>Newnan, GA</t>
  </si>
  <si>
    <t>555 Bullsboro Dr</t>
  </si>
  <si>
    <t>Newnan</t>
  </si>
  <si>
    <t>33.393341, -84.759097</t>
  </si>
  <si>
    <t>Brinkley, AR</t>
  </si>
  <si>
    <t>Pine Crest Shopping Center</t>
  </si>
  <si>
    <t>Brinkley</t>
  </si>
  <si>
    <t>34.904944, -91.200056</t>
  </si>
  <si>
    <t>Norfolk - N Military Hwy, VA</t>
  </si>
  <si>
    <t>6301 N Military Hwy</t>
  </si>
  <si>
    <t>36.897383, -76.226511</t>
  </si>
  <si>
    <t>Palm Beach Gardens, FL</t>
  </si>
  <si>
    <t>4431 PGA Blvd</t>
  </si>
  <si>
    <t>Palm Beach Gardens</t>
  </si>
  <si>
    <t>26.840149, -80.103969</t>
  </si>
  <si>
    <t>Florence - N Williston Rd, SC</t>
  </si>
  <si>
    <t>3390 N Williston Rd</t>
  </si>
  <si>
    <t>34.272134, -79.703346</t>
  </si>
  <si>
    <t>Yreka, CA</t>
  </si>
  <si>
    <t>1808 Fort Jones Rd</t>
  </si>
  <si>
    <t>Yreka</t>
  </si>
  <si>
    <t>41.701506, -122.645108</t>
  </si>
  <si>
    <t>Fort Bragg, CA</t>
  </si>
  <si>
    <t>101 Boatyard Dr</t>
  </si>
  <si>
    <t>Fort Bragg</t>
  </si>
  <si>
    <t>39.421063, -123.807299</t>
  </si>
  <si>
    <t>Evanston, IL</t>
  </si>
  <si>
    <t>1800 Maple Ave</t>
  </si>
  <si>
    <t>42.050353, -87.685491</t>
  </si>
  <si>
    <t>Inyokern - Locust Ave, CA</t>
  </si>
  <si>
    <t>6525 Inyokern Rd</t>
  </si>
  <si>
    <t>35.646509, -117.81326</t>
  </si>
  <si>
    <t>Aurora - IL-59, IL</t>
  </si>
  <si>
    <t>808 IL-59 S</t>
  </si>
  <si>
    <t>Aurora</t>
  </si>
  <si>
    <t>41.769119, -88.208105</t>
  </si>
  <si>
    <t>North Charleston, SC</t>
  </si>
  <si>
    <t>4855 Tanger Outlet Blvd</t>
  </si>
  <si>
    <t>North Charleston</t>
  </si>
  <si>
    <t>32.872626, -80.015535</t>
  </si>
  <si>
    <t>Entiat, WA</t>
  </si>
  <si>
    <t>14581 US Hwy 97a</t>
  </si>
  <si>
    <t>Entiat</t>
  </si>
  <si>
    <t>47.684662, -120.206959</t>
  </si>
  <si>
    <t>Daytona Beach, FL</t>
  </si>
  <si>
    <t>2380 W International Speedway Blvd</t>
  </si>
  <si>
    <t>29.183314, -81.07889</t>
  </si>
  <si>
    <t>Medford, OR</t>
  </si>
  <si>
    <t>2000 Crater Lake Hwy</t>
  </si>
  <si>
    <t>Medford</t>
  </si>
  <si>
    <t>42.347992, -122.878882</t>
  </si>
  <si>
    <t>Buffalo Grove, IL</t>
  </si>
  <si>
    <t>1550 Deerfield Pkwy</t>
  </si>
  <si>
    <t>Buffalo Grove</t>
  </si>
  <si>
    <t>42.168699, -87.923841</t>
  </si>
  <si>
    <t>Hartford - Leibert Rd, CT</t>
  </si>
  <si>
    <t>195 Leibert Rd</t>
  </si>
  <si>
    <t>Hartford</t>
  </si>
  <si>
    <t>41.788236, -72.65582</t>
  </si>
  <si>
    <t>Baton Rouge - Highland Rd, LA</t>
  </si>
  <si>
    <t>18149 Highland Rd</t>
  </si>
  <si>
    <t>30.348888, -91.028019</t>
  </si>
  <si>
    <t>Claymont - Philadelphia Pike, DE</t>
  </si>
  <si>
    <t>2621 Philadelphia Pike</t>
  </si>
  <si>
    <t>Claymont</t>
  </si>
  <si>
    <t>39.794717, -75.469534</t>
  </si>
  <si>
    <t>Jackson, CA</t>
  </si>
  <si>
    <t>31 CA-88</t>
  </si>
  <si>
    <t>38.347998, -120.7766</t>
  </si>
  <si>
    <t>Stockton, CA</t>
  </si>
  <si>
    <t>2323 Grand Canal Blvd</t>
  </si>
  <si>
    <t>Stockton</t>
  </si>
  <si>
    <t>37.984978, -121.335924</t>
  </si>
  <si>
    <t>Firebaugh, CA</t>
  </si>
  <si>
    <t>46272 W Panoche Rd</t>
  </si>
  <si>
    <t>Firebaugh</t>
  </si>
  <si>
    <t>36.639287, -120.625451</t>
  </si>
  <si>
    <t>Palm Coast, FL</t>
  </si>
  <si>
    <t>5600 FL-100 East</t>
  </si>
  <si>
    <t>Palm Coast</t>
  </si>
  <si>
    <t>29.475857, -81.206442</t>
  </si>
  <si>
    <t>Bishop, CA</t>
  </si>
  <si>
    <t>151 S Warren St</t>
  </si>
  <si>
    <t>Bishop</t>
  </si>
  <si>
    <t>37.360397, -118.396963</t>
  </si>
  <si>
    <t>Water Mill, NY</t>
  </si>
  <si>
    <t>760 Montauk Hwy</t>
  </si>
  <si>
    <t>Water Mill</t>
  </si>
  <si>
    <t>40.912008, -72.352969</t>
  </si>
  <si>
    <t>Hillsboro, OR</t>
  </si>
  <si>
    <t>18101 NW Evergreen Pkwy</t>
  </si>
  <si>
    <t>Hillsboro</t>
  </si>
  <si>
    <t>45.538579, -122.866166</t>
  </si>
  <si>
    <t>Rowland Heights, CA</t>
  </si>
  <si>
    <t>17247 Colima Rd</t>
  </si>
  <si>
    <t>Rowland Heights</t>
  </si>
  <si>
    <t>33.991811, -117.92803</t>
  </si>
  <si>
    <t>Playa Vista, CA</t>
  </si>
  <si>
    <t>12746 W Jefferson Blvd</t>
  </si>
  <si>
    <t>Playa Vista</t>
  </si>
  <si>
    <t>33.977104, -118.417167</t>
  </si>
  <si>
    <t>San Jose - Holger Way, CA</t>
  </si>
  <si>
    <t>95 Holger Wy</t>
  </si>
  <si>
    <t>37.417281, -121.956897</t>
  </si>
  <si>
    <t>Austin - Century Oaks Terrace, TX</t>
  </si>
  <si>
    <t>11410 Century Oaks Terrace</t>
  </si>
  <si>
    <t>30.4023, -97.7247</t>
  </si>
  <si>
    <t>Hesperia, CA</t>
  </si>
  <si>
    <t>12795 Main St</t>
  </si>
  <si>
    <t>Hesperia</t>
  </si>
  <si>
    <t>34.424864, -117.385861</t>
  </si>
  <si>
    <t>Falls Church, VA</t>
  </si>
  <si>
    <t>7501 Leesburg Pike</t>
  </si>
  <si>
    <t>Falls Church</t>
  </si>
  <si>
    <t>38.902472, -77.203588</t>
  </si>
  <si>
    <t>Emeryville - Christie Ave, CA</t>
  </si>
  <si>
    <t>5795 Christie Ave</t>
  </si>
  <si>
    <t>Emeryville</t>
  </si>
  <si>
    <t>37.837506, -122.295407</t>
  </si>
  <si>
    <t>Santa Ana - E 5th St, CA</t>
  </si>
  <si>
    <t>300 E 5th St</t>
  </si>
  <si>
    <t>33.748796, -117.866115</t>
  </si>
  <si>
    <t>Woodland, CA</t>
  </si>
  <si>
    <t>2185 Bronze Star Dr</t>
  </si>
  <si>
    <t>Woodland</t>
  </si>
  <si>
    <t>38.671368, -121.723893</t>
  </si>
  <si>
    <t>Land O’ Lakes, FL</t>
  </si>
  <si>
    <t>25155 Maren Way</t>
  </si>
  <si>
    <t>Land O’ Lakes</t>
  </si>
  <si>
    <t>28.189347, -82.40032</t>
  </si>
  <si>
    <t>Sunnyvale - S Bernardo Ave, CA</t>
  </si>
  <si>
    <t>639 S Bernardo Ave</t>
  </si>
  <si>
    <t>37.372668, -122.057332</t>
  </si>
  <si>
    <t>Waldorf, MD</t>
  </si>
  <si>
    <t>11505 Berry Rd</t>
  </si>
  <si>
    <t>Waldorf</t>
  </si>
  <si>
    <t>38.630127, -76.919032</t>
  </si>
  <si>
    <t>Hilton Head Island, SC</t>
  </si>
  <si>
    <t>33 Office Park Rd</t>
  </si>
  <si>
    <t>Hilton Head Island</t>
  </si>
  <si>
    <t>32.15369, -80.767933</t>
  </si>
  <si>
    <t>Sacramento - J St, CA</t>
  </si>
  <si>
    <t>500 David J Stern Walk</t>
  </si>
  <si>
    <t>38.580186, -121.499476</t>
  </si>
  <si>
    <t>Fremont - Pacific Commons, CA</t>
  </si>
  <si>
    <t>43950 Pacific Commons Blvd</t>
  </si>
  <si>
    <t>37.502482, -121.968927</t>
  </si>
  <si>
    <t>Pasco, WA</t>
  </si>
  <si>
    <t>4905 North Road 68</t>
  </si>
  <si>
    <t>Pasco</t>
  </si>
  <si>
    <t>46.272437, -119.182456</t>
  </si>
  <si>
    <t>Emeryville - Shellmound St, CA</t>
  </si>
  <si>
    <t>5901 Shellmound St</t>
  </si>
  <si>
    <t>37.840449, -122.293936</t>
  </si>
  <si>
    <t>Davis, CA</t>
  </si>
  <si>
    <t>2151 Cowell Blvd</t>
  </si>
  <si>
    <t>Davis</t>
  </si>
  <si>
    <t>38.542553, -121.725827</t>
  </si>
  <si>
    <t>Crestview, FL</t>
  </si>
  <si>
    <t>2670 S Ferdon Blvd</t>
  </si>
  <si>
    <t>Crestview</t>
  </si>
  <si>
    <t>30.733386, -86.566733</t>
  </si>
  <si>
    <t>Waco, TX</t>
  </si>
  <si>
    <t>701 Interstate 35</t>
  </si>
  <si>
    <t>Bellmead</t>
  </si>
  <si>
    <t>31.58224, -97.10915</t>
  </si>
  <si>
    <t>Washington - Market St NE, DC</t>
  </si>
  <si>
    <t>2438 Market St NE</t>
  </si>
  <si>
    <t>38.92225, -76.953333</t>
  </si>
  <si>
    <t>Denton - S I-35 E, TX</t>
  </si>
  <si>
    <t>2800 S Interstate 35 E</t>
  </si>
  <si>
    <t>33.178819, -97.101846</t>
  </si>
  <si>
    <t>Gilroy - Camino Arroyo, CA</t>
  </si>
  <si>
    <t>6705 Camino Arroyo</t>
  </si>
  <si>
    <t>37.000817, -121.554338</t>
  </si>
  <si>
    <t>Hilton Head - William Hilton Pkwy, SC</t>
  </si>
  <si>
    <t>430 William Hilton Pkwy</t>
  </si>
  <si>
    <t>32.21475, -80.703411</t>
  </si>
  <si>
    <t>Bethesda - Elm St, MD</t>
  </si>
  <si>
    <t>4950 Elm St</t>
  </si>
  <si>
    <t>Bethesda</t>
  </si>
  <si>
    <t>38.981159, -77.097958</t>
  </si>
  <si>
    <t>Oakland - 2nd St, CA</t>
  </si>
  <si>
    <t>255 2nd St</t>
  </si>
  <si>
    <t>Oakland</t>
  </si>
  <si>
    <t>37.794153, -122.272578</t>
  </si>
  <si>
    <t>Hagerstown - Venture Dr, MD</t>
  </si>
  <si>
    <t>17803 Venture Dr</t>
  </si>
  <si>
    <t>Hagerstown</t>
  </si>
  <si>
    <t>39.608895, -77.750802</t>
  </si>
  <si>
    <t>Rockledge, FL</t>
  </si>
  <si>
    <t>5410 Murrell Rd</t>
  </si>
  <si>
    <t>Rockledge</t>
  </si>
  <si>
    <t>28.26721, -80.71842</t>
  </si>
  <si>
    <t>Tilton, NH</t>
  </si>
  <si>
    <t>65 Laconia Rd</t>
  </si>
  <si>
    <t>Tilton</t>
  </si>
  <si>
    <t>43.455263, -71.564612</t>
  </si>
  <si>
    <t>Metairie, LA</t>
  </si>
  <si>
    <t>211 Veterans Memorial Blvd</t>
  </si>
  <si>
    <t>Metairie</t>
  </si>
  <si>
    <t>30.001862, -90.124675</t>
  </si>
  <si>
    <t>Charlotte - Northlake Centre Pkwy, NC</t>
  </si>
  <si>
    <t>9717 Northlake Centre Pkwy F</t>
  </si>
  <si>
    <t>North Charlotte</t>
  </si>
  <si>
    <t>35.34726, -80.85921</t>
  </si>
  <si>
    <t>Dobbs Ferry, NY</t>
  </si>
  <si>
    <t>47-55 Hamilton St</t>
  </si>
  <si>
    <t>Dobbs Ferry</t>
  </si>
  <si>
    <t>41.003783, -73.85642</t>
  </si>
  <si>
    <t>Fairfax - Fairfax Blvd, VA</t>
  </si>
  <si>
    <t>9700 Fairfax Blvd</t>
  </si>
  <si>
    <t>Fairfax</t>
  </si>
  <si>
    <t>38.864685, -77.280101</t>
  </si>
  <si>
    <t>San Luis Obispo - Los Osos Valley Rd, CA</t>
  </si>
  <si>
    <t>11990 Los Osos Valley Rd</t>
  </si>
  <si>
    <t>35.253753, -120.684317</t>
  </si>
  <si>
    <t>Lisbon, CT</t>
  </si>
  <si>
    <t>160 River Rd</t>
  </si>
  <si>
    <t>Lisbon</t>
  </si>
  <si>
    <t>41.58569, -71.991059</t>
  </si>
  <si>
    <t>Seattle - 1201 2nd Avenue, WA</t>
  </si>
  <si>
    <t>1201 2nd Ave</t>
  </si>
  <si>
    <t>47.6066581, -122.3371498</t>
  </si>
  <si>
    <t>Westampton - Rancocas Rd, NJ</t>
  </si>
  <si>
    <t>570 Rancocas Rd</t>
  </si>
  <si>
    <t>Westampton</t>
  </si>
  <si>
    <t>40.006811, -74.860835</t>
  </si>
  <si>
    <t>Burlington, MA</t>
  </si>
  <si>
    <t>75 Middlesex Turnpike</t>
  </si>
  <si>
    <t>42.4836, -71.2164</t>
  </si>
  <si>
    <t>Eastvale - Limonite Ave, CA</t>
  </si>
  <si>
    <t>12571 Limonite Ave</t>
  </si>
  <si>
    <t>Eastvale</t>
  </si>
  <si>
    <t>33.976911, -117.55442</t>
  </si>
  <si>
    <t>Littleton, MA</t>
  </si>
  <si>
    <t>812 Constitution Ave</t>
  </si>
  <si>
    <t>Littleton</t>
  </si>
  <si>
    <t>42.553135, -71.473819</t>
  </si>
  <si>
    <t>Santa Ysabel, CA</t>
  </si>
  <si>
    <t>30270 CA-78</t>
  </si>
  <si>
    <t>Santa Ysabel</t>
  </si>
  <si>
    <t>33.109253, -116.674419</t>
  </si>
  <si>
    <t>New Milford, CT</t>
  </si>
  <si>
    <t>291 Danbury Rd</t>
  </si>
  <si>
    <t>New Milford</t>
  </si>
  <si>
    <t>41.538744, -73.421791</t>
  </si>
  <si>
    <t>Archdale, NC</t>
  </si>
  <si>
    <t>10206 S Main St</t>
  </si>
  <si>
    <t>Archdale</t>
  </si>
  <si>
    <t>35.899472, -79.946472</t>
  </si>
  <si>
    <t>Brewster, NY</t>
  </si>
  <si>
    <t>1 Starr Ridge Rd</t>
  </si>
  <si>
    <t>Brewster</t>
  </si>
  <si>
    <t>41.39169, -73.595175</t>
  </si>
  <si>
    <t>Irvine - Walnut Ave, CA</t>
  </si>
  <si>
    <t>5406 Walnut Ave</t>
  </si>
  <si>
    <t>33.689853, -117.768924</t>
  </si>
  <si>
    <t>Fountain Valley - Warner Ave, CA</t>
  </si>
  <si>
    <t>9380 Warner Ave</t>
  </si>
  <si>
    <t>33.715666, -117.964945</t>
  </si>
  <si>
    <t>Sterling, VA</t>
  </si>
  <si>
    <t>23055 Oakgrove Rd</t>
  </si>
  <si>
    <t>Sterling</t>
  </si>
  <si>
    <t>38.977853, -77.41201</t>
  </si>
  <si>
    <t>Lexington (NB), MA</t>
  </si>
  <si>
    <t>690 Marrett Rd</t>
  </si>
  <si>
    <t>42.439697, -71.257982</t>
  </si>
  <si>
    <t>Philadelphia - Penrose Ave, PA</t>
  </si>
  <si>
    <t>2600 Penrose Ave</t>
  </si>
  <si>
    <t>39.905116, -75.19437</t>
  </si>
  <si>
    <t>Charlton - Westbound, MA</t>
  </si>
  <si>
    <t>6 Massachusetts Turnpike</t>
  </si>
  <si>
    <t>Charlton</t>
  </si>
  <si>
    <t>42.156788, -71.962909</t>
  </si>
  <si>
    <t>Newton, MA</t>
  </si>
  <si>
    <t>6 MA-128</t>
  </si>
  <si>
    <t>Newton</t>
  </si>
  <si>
    <t>42.330663, -71.255062</t>
  </si>
  <si>
    <t>Pembroke Pines - S Hiatus Rd, FL</t>
  </si>
  <si>
    <t>1600 S Hiatus Rd</t>
  </si>
  <si>
    <t>Pembroke Pines</t>
  </si>
  <si>
    <t>25.994288, -80.296384</t>
  </si>
  <si>
    <t>Terrell, TX</t>
  </si>
  <si>
    <t>506 I-20</t>
  </si>
  <si>
    <t>Terrell</t>
  </si>
  <si>
    <t>32.717529, -96.323024</t>
  </si>
  <si>
    <t>Stafford, VA</t>
  </si>
  <si>
    <t>105 Garrisonville Rd</t>
  </si>
  <si>
    <t>Stafford</t>
  </si>
  <si>
    <t>38.467411, -77.412069</t>
  </si>
  <si>
    <t>Douglasville, GA</t>
  </si>
  <si>
    <t>2950 Chapel Hill Rd</t>
  </si>
  <si>
    <t>Douglasville</t>
  </si>
  <si>
    <t>33.726907, -84.735784</t>
  </si>
  <si>
    <t>Baytown, TX</t>
  </si>
  <si>
    <t>4080 East Fwy</t>
  </si>
  <si>
    <t>Baytown</t>
  </si>
  <si>
    <t>29.801587, -94.997897</t>
  </si>
  <si>
    <t>Columbia, SC</t>
  </si>
  <si>
    <t>8910 Farrow Rd</t>
  </si>
  <si>
    <t>34.106319, -80.950723</t>
  </si>
  <si>
    <t>Plymouth, NC</t>
  </si>
  <si>
    <t>840 U.S. 64</t>
  </si>
  <si>
    <t>Plymouth</t>
  </si>
  <si>
    <t>35.850587, -76.756116</t>
  </si>
  <si>
    <t>Merced - Martin Luther King Junior Way, CA</t>
  </si>
  <si>
    <t>1425 Martin Luther King Jr Way</t>
  </si>
  <si>
    <t>Merced</t>
  </si>
  <si>
    <t>37.297988, -120.483354</t>
  </si>
  <si>
    <t>Brownsville, TX</t>
  </si>
  <si>
    <t>2155 Paredes Line Rd</t>
  </si>
  <si>
    <t>Brownsville</t>
  </si>
  <si>
    <t>25.950115, -97.488512</t>
  </si>
  <si>
    <t>Blanding, UT</t>
  </si>
  <si>
    <t>12 N Grayson Pkwy</t>
  </si>
  <si>
    <t>Blanding</t>
  </si>
  <si>
    <t>37.625553, -109.473841</t>
  </si>
  <si>
    <t>Draper, UT</t>
  </si>
  <si>
    <t>208 E 12300 St</t>
  </si>
  <si>
    <t>Draper</t>
  </si>
  <si>
    <t>40.526531, -111.88591</t>
  </si>
  <si>
    <t>Haubstadt - Ruffian Way, IN</t>
  </si>
  <si>
    <t>19920 Ruffian Way</t>
  </si>
  <si>
    <t>Haubstadt</t>
  </si>
  <si>
    <t>38.159762, -87.551955</t>
  </si>
  <si>
    <t>Glendale - Harvey Dr, CA</t>
  </si>
  <si>
    <t>310 Harvey Dr</t>
  </si>
  <si>
    <t>34.148107, -118.227151</t>
  </si>
  <si>
    <t>Grinnell, IA</t>
  </si>
  <si>
    <t>715 Lang Creek Ave</t>
  </si>
  <si>
    <t>Grinnell</t>
  </si>
  <si>
    <t>41.700046, -92.726636</t>
  </si>
  <si>
    <t>Chicago - N Elston Ave, IL</t>
  </si>
  <si>
    <t>2656 N Elston Ave</t>
  </si>
  <si>
    <t>41.928, -87.685478</t>
  </si>
  <si>
    <t>San Diego - Clairemont Mesa Blvd, CA</t>
  </si>
  <si>
    <t>7373 Clairemont Mesa Blvd</t>
  </si>
  <si>
    <t>32.831963, -117.159547</t>
  </si>
  <si>
    <t>Bowie, MD</t>
  </si>
  <si>
    <t>10400 Martin Luther King Hwy</t>
  </si>
  <si>
    <t>Bowie</t>
  </si>
  <si>
    <t>38.956171, -76.826008</t>
  </si>
  <si>
    <t>San Bruno - San Bruno Ave, CA</t>
  </si>
  <si>
    <t>2801 San Bruno Ave W</t>
  </si>
  <si>
    <t>San Bruno</t>
  </si>
  <si>
    <t>37.618905, -122.440524</t>
  </si>
  <si>
    <t>Denver, PA</t>
  </si>
  <si>
    <t>Pennsylvania Turnpike, Exit 286 Eastbound, Milepost 289.9</t>
  </si>
  <si>
    <t>Bowmansville</t>
  </si>
  <si>
    <t>40.202902, -76.015953</t>
  </si>
  <si>
    <t>East Point, GA</t>
  </si>
  <si>
    <t>3660 Marketplace Blvd</t>
  </si>
  <si>
    <t>East Point</t>
  </si>
  <si>
    <t>33.658708, -84.50122</t>
  </si>
  <si>
    <t>New Stanton, PA</t>
  </si>
  <si>
    <t>119 Bair Blvd</t>
  </si>
  <si>
    <t>New Stanton</t>
  </si>
  <si>
    <t>40.218355, -79.613656</t>
  </si>
  <si>
    <t>Bridgewater, NJ</t>
  </si>
  <si>
    <t>580 Union Ave</t>
  </si>
  <si>
    <t>Bridgewater Township</t>
  </si>
  <si>
    <t>40.56757, -74.563865</t>
  </si>
  <si>
    <t>Fredericksburg, VA</t>
  </si>
  <si>
    <t>10060 Jefferson Davis Hwy</t>
  </si>
  <si>
    <t>Fredericksburg</t>
  </si>
  <si>
    <t>38.225974, -77.506136</t>
  </si>
  <si>
    <t>Redlands - W Stuart Ave, CA</t>
  </si>
  <si>
    <t>275 W Stuart Ave</t>
  </si>
  <si>
    <t>Redlands</t>
  </si>
  <si>
    <t>34.059384, -117.185405</t>
  </si>
  <si>
    <t>San Francisco - Geary Blvd, CA</t>
  </si>
  <si>
    <t>2675 Geary Blvd</t>
  </si>
  <si>
    <t>37.781806, -122.446146</t>
  </si>
  <si>
    <t>Aguadilla, PR</t>
  </si>
  <si>
    <t>PR-2 , KM 124</t>
  </si>
  <si>
    <t>Aguadilla</t>
  </si>
  <si>
    <t>18.43941429, -67.13209925</t>
  </si>
  <si>
    <t>Peoria - N Sheridan Rd, IL</t>
  </si>
  <si>
    <t>4125 N Sheridan Rd #20</t>
  </si>
  <si>
    <t>Peoria</t>
  </si>
  <si>
    <t>40.739208, -89.606721</t>
  </si>
  <si>
    <t>St. Petersburg, FL</t>
  </si>
  <si>
    <t>3637 34th St S</t>
  </si>
  <si>
    <t>St. Petersburg</t>
  </si>
  <si>
    <t>27.734808, -82.680101</t>
  </si>
  <si>
    <t>Edgewater, MD</t>
  </si>
  <si>
    <t>3166 Solomons Island Rd</t>
  </si>
  <si>
    <t>Edgewater</t>
  </si>
  <si>
    <t>38.936193, -76.56776</t>
  </si>
  <si>
    <t>Copperopolis, CA</t>
  </si>
  <si>
    <t>100 Town Square Rd</t>
  </si>
  <si>
    <t>Copperopolis</t>
  </si>
  <si>
    <t>37.972864, -120.653276</t>
  </si>
  <si>
    <t>Tupelo, MS</t>
  </si>
  <si>
    <t>1001 Barnes Crossing Rd</t>
  </si>
  <si>
    <t>Tupelo</t>
  </si>
  <si>
    <t>34.311515, -88.700843</t>
  </si>
  <si>
    <t>Urbana, MD</t>
  </si>
  <si>
    <t>9180 Fingerboard Rd</t>
  </si>
  <si>
    <t>Urbana</t>
  </si>
  <si>
    <t>39.327271, -77.34652</t>
  </si>
  <si>
    <t>Glenwood Springs, CO</t>
  </si>
  <si>
    <t>125 Wulfsohn Rd</t>
  </si>
  <si>
    <t>Glenwood Springs</t>
  </si>
  <si>
    <t>39.55268, -107.340168</t>
  </si>
  <si>
    <t>Colfax, NC</t>
  </si>
  <si>
    <t>3202 Sandy Ridge Rd</t>
  </si>
  <si>
    <t>Colfax</t>
  </si>
  <si>
    <t>36.095012, -79.994674</t>
  </si>
  <si>
    <t>West Palm Beach - Garden Rd, FL</t>
  </si>
  <si>
    <t>7289 Garden Rd</t>
  </si>
  <si>
    <t>West Palm Beach</t>
  </si>
  <si>
    <t>26.782582, -80.092328</t>
  </si>
  <si>
    <t>Marietta, GA</t>
  </si>
  <si>
    <t>3000 Windy Hill Rd SE</t>
  </si>
  <si>
    <t>33.90375, -84.465778</t>
  </si>
  <si>
    <t>Chester, VA</t>
  </si>
  <si>
    <t>11701 Jefferson Davis Hwy</t>
  </si>
  <si>
    <t>Chester</t>
  </si>
  <si>
    <t>37.367323, -77.416947</t>
  </si>
  <si>
    <t>Baltimore - South Caton Avenue, MD</t>
  </si>
  <si>
    <t>1202 South Caton Ave</t>
  </si>
  <si>
    <t>Halethorpe</t>
  </si>
  <si>
    <t>39.268888, -76.668933</t>
  </si>
  <si>
    <t>Monument, CO</t>
  </si>
  <si>
    <t>17970 Knollwood Dr</t>
  </si>
  <si>
    <t>Monument</t>
  </si>
  <si>
    <t>39.092296, -104.852544</t>
  </si>
  <si>
    <t>Winter Park, FL</t>
  </si>
  <si>
    <t>901 N Orlando Ave</t>
  </si>
  <si>
    <t>Winter Park</t>
  </si>
  <si>
    <t>28.604988, -81.365915</t>
  </si>
  <si>
    <t>Mt. Hope, WV</t>
  </si>
  <si>
    <t>5481 Robert C. Byrd Dr</t>
  </si>
  <si>
    <t>Mount Hope</t>
  </si>
  <si>
    <t>37.847683, -81.196272</t>
  </si>
  <si>
    <t>Bastrop, TX</t>
  </si>
  <si>
    <t>1700 State Hwy 71</t>
  </si>
  <si>
    <t>Bastrop</t>
  </si>
  <si>
    <t>30.10603, -97.305318</t>
  </si>
  <si>
    <t>Okahumpka, FL</t>
  </si>
  <si>
    <t>299 FL-91</t>
  </si>
  <si>
    <t>Wildwood</t>
  </si>
  <si>
    <t>28.787015, -81.982383</t>
  </si>
  <si>
    <t>Monterey-Seaside, CA</t>
  </si>
  <si>
    <t>1901 Del Monte Blvd</t>
  </si>
  <si>
    <t>Seaside</t>
  </si>
  <si>
    <t>36.616759, -121.844014</t>
  </si>
  <si>
    <t>Gillette, WY</t>
  </si>
  <si>
    <t>Hampton Inn, 211 Decker Ct</t>
  </si>
  <si>
    <t>Gillette</t>
  </si>
  <si>
    <t>44.29301, -105.526628</t>
  </si>
  <si>
    <t>San Juan Capistrano, CA</t>
  </si>
  <si>
    <t>31971 Camino Capistrano</t>
  </si>
  <si>
    <t>San Juan Capistrano</t>
  </si>
  <si>
    <t>33.498458, -117.6632</t>
  </si>
  <si>
    <t>West Hartford, CT</t>
  </si>
  <si>
    <t>1445 New Britain Ave</t>
  </si>
  <si>
    <t>West Hartford</t>
  </si>
  <si>
    <t>41.722672, -72.759717</t>
  </si>
  <si>
    <t>Greenville, AL</t>
  </si>
  <si>
    <t>219 Interstate Dr</t>
  </si>
  <si>
    <t>31.855989, -86.635765</t>
  </si>
  <si>
    <t>Virginia Beach, VA</t>
  </si>
  <si>
    <t>2501 Virginia Beach Blvd</t>
  </si>
  <si>
    <t>36.840677, -76.055615</t>
  </si>
  <si>
    <t>Ellensburg, WA</t>
  </si>
  <si>
    <t>1620 Canyon Rd</t>
  </si>
  <si>
    <t>Ellensburg</t>
  </si>
  <si>
    <t>46.976918, -120.54162</t>
  </si>
  <si>
    <t>Truckee - Brockway Rd, CA</t>
  </si>
  <si>
    <t>The Rock 11209 Brockway Rd</t>
  </si>
  <si>
    <t>39.321865, -120.1621</t>
  </si>
  <si>
    <t>Macedonia, OH</t>
  </si>
  <si>
    <t>8210 Macedonia Commons Blvd</t>
  </si>
  <si>
    <t>Macedonia</t>
  </si>
  <si>
    <t>41.313663, -81.517018</t>
  </si>
  <si>
    <t>State College, PA</t>
  </si>
  <si>
    <t>223 Colonnade Blvd</t>
  </si>
  <si>
    <t>State College</t>
  </si>
  <si>
    <t>40.815605, -77.901757</t>
  </si>
  <si>
    <t>Springfield, IL</t>
  </si>
  <si>
    <t>3801 South MacArthur Blvd</t>
  </si>
  <si>
    <t>39.748868, -89.67119</t>
  </si>
  <si>
    <t>Silverthorne - Ruby Ranch Rd, CO</t>
  </si>
  <si>
    <t>101 Ruby Ranch Rd</t>
  </si>
  <si>
    <t>39.645998, -106.079617</t>
  </si>
  <si>
    <t>Cherry Hill - Haddonfield Rd, NJ</t>
  </si>
  <si>
    <t>904 Haddonfield Rd</t>
  </si>
  <si>
    <t>Cherry Hill</t>
  </si>
  <si>
    <t>39.925886, -75.032423</t>
  </si>
  <si>
    <t>San Jose - 925 Blossom Hill Rd, CA</t>
  </si>
  <si>
    <t>925 Blossom Hill Rd</t>
  </si>
  <si>
    <t>37.250854, -121.860731</t>
  </si>
  <si>
    <t>Lima, OH</t>
  </si>
  <si>
    <t>1933 Roschman Ave</t>
  </si>
  <si>
    <t>40.726668, -84.071932</t>
  </si>
  <si>
    <t>Seabrook, NH</t>
  </si>
  <si>
    <t>700 Lafayette Rd</t>
  </si>
  <si>
    <t>Seabrook</t>
  </si>
  <si>
    <t>42.895182, -70.869351</t>
  </si>
  <si>
    <t>Tinton Falls, NJ</t>
  </si>
  <si>
    <t>1 Premium Outlets Blvd</t>
  </si>
  <si>
    <t>Tinton Falls</t>
  </si>
  <si>
    <t>40.226272, -74.093538</t>
  </si>
  <si>
    <t>Murdo, SD</t>
  </si>
  <si>
    <t>302 W 5th St</t>
  </si>
  <si>
    <t>Murdo</t>
  </si>
  <si>
    <t>43.886915, -100.716887</t>
  </si>
  <si>
    <t>Strasburg, VA</t>
  </si>
  <si>
    <t>119 Hite Ln</t>
  </si>
  <si>
    <t>Strasburg</t>
  </si>
  <si>
    <t>39.00496, -78.337836</t>
  </si>
  <si>
    <t>Triadelphia, WV</t>
  </si>
  <si>
    <t>35 Bob Wise Dr</t>
  </si>
  <si>
    <t>Triadelphia</t>
  </si>
  <si>
    <t>40.060757, -80.602874</t>
  </si>
  <si>
    <t>Lone Pine, CA</t>
  </si>
  <si>
    <t>701 S Main St</t>
  </si>
  <si>
    <t>Lone Pine</t>
  </si>
  <si>
    <t>36.60059, -118.061916</t>
  </si>
  <si>
    <t>Leesburg - California Dr NE, VA</t>
  </si>
  <si>
    <t>601 California Dr NE</t>
  </si>
  <si>
    <t>Leesburg</t>
  </si>
  <si>
    <t>39.1029426, -77.525479</t>
  </si>
  <si>
    <t>Cameron Park, CA</t>
  </si>
  <si>
    <t>3501 Robin Lane</t>
  </si>
  <si>
    <t>Cameron Park</t>
  </si>
  <si>
    <t>38.655825, -120.965651</t>
  </si>
  <si>
    <t>Atlanta, GA</t>
  </si>
  <si>
    <t>1380 Atlantic Dr</t>
  </si>
  <si>
    <t>Atlanta</t>
  </si>
  <si>
    <t>33.793808, -84.397203</t>
  </si>
  <si>
    <t>West Springfield, MA</t>
  </si>
  <si>
    <t>935 Riverdale St</t>
  </si>
  <si>
    <t>West Springfield</t>
  </si>
  <si>
    <t>42.130914, -72.621435</t>
  </si>
  <si>
    <t>Eureka, CA</t>
  </si>
  <si>
    <t>Bayshore Mall, 3300 Broadway St</t>
  </si>
  <si>
    <t>Eureka</t>
  </si>
  <si>
    <t>40.778885, -124.188383</t>
  </si>
  <si>
    <t>Laurel, MD</t>
  </si>
  <si>
    <t>14700 Baltimore Ave</t>
  </si>
  <si>
    <t>Laurel</t>
  </si>
  <si>
    <t>39.095382, -76.858319</t>
  </si>
  <si>
    <t>Culver City, CA</t>
  </si>
  <si>
    <t>6000 Hannum Ave</t>
  </si>
  <si>
    <t>Culver City</t>
  </si>
  <si>
    <t>33.986779, -118.390213</t>
  </si>
  <si>
    <t>Naples, FL</t>
  </si>
  <si>
    <t>499 Bayfront Place</t>
  </si>
  <si>
    <t>26.14462, -81.788849</t>
  </si>
  <si>
    <t>Harrisburg, PA</t>
  </si>
  <si>
    <t>3915 Union Deposit Rd</t>
  </si>
  <si>
    <t>Harrisburg</t>
  </si>
  <si>
    <t>40.277134, -76.823255</t>
  </si>
  <si>
    <t>Victor, NY</t>
  </si>
  <si>
    <t>7979 Pittsford Victor Rd</t>
  </si>
  <si>
    <t>Victor</t>
  </si>
  <si>
    <t>43.028655, -77.440128</t>
  </si>
  <si>
    <t>Syracuse, NY</t>
  </si>
  <si>
    <t>439 Electronics Parkway,</t>
  </si>
  <si>
    <t>Liverpool</t>
  </si>
  <si>
    <t>43.102516, -76.187475</t>
  </si>
  <si>
    <t>Darien - Northbound, CT</t>
  </si>
  <si>
    <t>I-95 North after exit 12</t>
  </si>
  <si>
    <t>41.080321, -73.461365</t>
  </si>
  <si>
    <t>Grove City, OH</t>
  </si>
  <si>
    <t>2221 Stringtown Rd</t>
  </si>
  <si>
    <t>39.877253, -83.063448</t>
  </si>
  <si>
    <t>Utica, NY</t>
  </si>
  <si>
    <t>50 Auert Ave</t>
  </si>
  <si>
    <t>Utica</t>
  </si>
  <si>
    <t>43.113878, -75.206857</t>
  </si>
  <si>
    <t>Brattleboro, VT</t>
  </si>
  <si>
    <t>499 Canal St</t>
  </si>
  <si>
    <t>Brattleboro</t>
  </si>
  <si>
    <t>42.838443, -72.565798</t>
  </si>
  <si>
    <t>New York JFK, NY</t>
  </si>
  <si>
    <t>150th Ave and 147th St</t>
  </si>
  <si>
    <t>40.66319, -73.793192</t>
  </si>
  <si>
    <t>Princeton, WV</t>
  </si>
  <si>
    <t>1000 Oakvale Rd</t>
  </si>
  <si>
    <t>Princeton</t>
  </si>
  <si>
    <t>37.364002, -81.052394</t>
  </si>
  <si>
    <t>Grand Junction, CO</t>
  </si>
  <si>
    <t>2420 U.S. 6</t>
  </si>
  <si>
    <t>Grand Junction</t>
  </si>
  <si>
    <t>39.090758, -108.604325</t>
  </si>
  <si>
    <t>Hagerstown, MD</t>
  </si>
  <si>
    <t>495 Premium Outlets Blvd</t>
  </si>
  <si>
    <t>39.605859, -77.733324</t>
  </si>
  <si>
    <t>Cheyenne, WY</t>
  </si>
  <si>
    <t>1400 Dell Range Blvd</t>
  </si>
  <si>
    <t>Cheyenne</t>
  </si>
  <si>
    <t>41.161085, -104.804955</t>
  </si>
  <si>
    <t>Edison, NJ</t>
  </si>
  <si>
    <t>199 Lafayette Ave</t>
  </si>
  <si>
    <t>Edison</t>
  </si>
  <si>
    <t>40.5448144, -74.333248</t>
  </si>
  <si>
    <t>Albany, NY</t>
  </si>
  <si>
    <t>131 Colonie Center</t>
  </si>
  <si>
    <t>42.710356, -73.819109</t>
  </si>
  <si>
    <t>Buffalo, NY</t>
  </si>
  <si>
    <t>4455 Transit Rd</t>
  </si>
  <si>
    <t>42.968673, -78.696128</t>
  </si>
  <si>
    <t>Soldotna, AK</t>
  </si>
  <si>
    <t>43540 Whistle Hill Loop</t>
  </si>
  <si>
    <t>Soldotna</t>
  </si>
  <si>
    <t>AK</t>
  </si>
  <si>
    <t>60.494628, -151.045047</t>
  </si>
  <si>
    <t>Elk Grove - 7119 Elk Grove Blvd, CA</t>
  </si>
  <si>
    <t>7119 Elk Grove Blvd</t>
  </si>
  <si>
    <t>38.4099, -121.4181</t>
  </si>
  <si>
    <t>West Lebanon, NH</t>
  </si>
  <si>
    <t>285 N Plainfield Rd #1</t>
  </si>
  <si>
    <t>West Lebanon</t>
  </si>
  <si>
    <t>43.623536, -72.3258949</t>
  </si>
  <si>
    <t>Jim Thorpe - Northbound, PA</t>
  </si>
  <si>
    <t>Pennsylvania Turnpike Milepost 86.1</t>
  </si>
  <si>
    <t>Jim Thorpe</t>
  </si>
  <si>
    <t>40.971484, -75.63068</t>
  </si>
  <si>
    <t>Dublin - Amador Plaza, CA</t>
  </si>
  <si>
    <t>6701 Amador Plaza Rd</t>
  </si>
  <si>
    <t>37.703183, -121.925327</t>
  </si>
  <si>
    <t>Plant City, FL</t>
  </si>
  <si>
    <t>2705 Thonotosassa Rd</t>
  </si>
  <si>
    <t>Plant City</t>
  </si>
  <si>
    <t>28.026083, -82.151705</t>
  </si>
  <si>
    <t>Breezewood, PA</t>
  </si>
  <si>
    <t>16417 Lincoln Hwy</t>
  </si>
  <si>
    <t>Breezewood</t>
  </si>
  <si>
    <t>39.999842, -78.238697</t>
  </si>
  <si>
    <t>Hamilton Township, NJ</t>
  </si>
  <si>
    <t>425 Marketplace Blvd</t>
  </si>
  <si>
    <t>Hamilton</t>
  </si>
  <si>
    <t>40.195539, -74.641375</t>
  </si>
  <si>
    <t>Grasonville, MD</t>
  </si>
  <si>
    <t>Royal Farms, 108 Jackson Creek Rd</t>
  </si>
  <si>
    <t>Grasonville</t>
  </si>
  <si>
    <t>38.965706, -76.220905</t>
  </si>
  <si>
    <t>Jim Thorpe - Southbound, PA</t>
  </si>
  <si>
    <t>40.969331, -75.631379</t>
  </si>
  <si>
    <t>Boston - Allstate Road, MA</t>
  </si>
  <si>
    <t>8 Allstate Rd, 6th floor</t>
  </si>
  <si>
    <t>Boston</t>
  </si>
  <si>
    <t>42.325662, -71.063013</t>
  </si>
  <si>
    <t>San Diego - Mira Mesa Blvd, CA</t>
  </si>
  <si>
    <t>8251 Mira Mesa Blvd</t>
  </si>
  <si>
    <t>32.911707, -117.145653</t>
  </si>
  <si>
    <t>Madison - S Livingston, WI</t>
  </si>
  <si>
    <t>722 East Main St</t>
  </si>
  <si>
    <t>43.080622, -89.375068</t>
  </si>
  <si>
    <t>Erwin, NY</t>
  </si>
  <si>
    <t>125 Victory Highway</t>
  </si>
  <si>
    <t>Painted Post</t>
  </si>
  <si>
    <t>42.170919, -77.107728</t>
  </si>
  <si>
    <t>Menomonee Falls, WI</t>
  </si>
  <si>
    <t>W124N8145 WI-145</t>
  </si>
  <si>
    <t>Menomonee Falls</t>
  </si>
  <si>
    <t>43.16438, -88.065848</t>
  </si>
  <si>
    <t>Glen Allen, VA</t>
  </si>
  <si>
    <t>9860 Brook Rd</t>
  </si>
  <si>
    <t>Glen Allen</t>
  </si>
  <si>
    <t>37.669832, -77.461419</t>
  </si>
  <si>
    <t>Somerset - Eastbound Service Plaza, PA</t>
  </si>
  <si>
    <t>327 Industrial Park Rd</t>
  </si>
  <si>
    <t>39.9995422, -79.0474265</t>
  </si>
  <si>
    <t>Bensalem, PA</t>
  </si>
  <si>
    <t>3620 Street Rd</t>
  </si>
  <si>
    <t>Bensalem</t>
  </si>
  <si>
    <t>40.124944, -74.963908</t>
  </si>
  <si>
    <t>Clarksburg, NJ</t>
  </si>
  <si>
    <t>548 Monmouth Rd</t>
  </si>
  <si>
    <t>Millstone</t>
  </si>
  <si>
    <t>40.15767, -74.430151</t>
  </si>
  <si>
    <t>Guilderland, NY</t>
  </si>
  <si>
    <t>1 Crossgates Mall Rd</t>
  </si>
  <si>
    <t>Guilderland</t>
  </si>
  <si>
    <t>42.688932, -73.853554</t>
  </si>
  <si>
    <t>Odessa, FL</t>
  </si>
  <si>
    <t>12048 FL-54</t>
  </si>
  <si>
    <t>Odessa</t>
  </si>
  <si>
    <t>28.190073, -82.616178</t>
  </si>
  <si>
    <t>Harrisonburg, VA</t>
  </si>
  <si>
    <t>533 University Blvd</t>
  </si>
  <si>
    <t>Harrisonburg</t>
  </si>
  <si>
    <t>38.429826, -78.856029</t>
  </si>
  <si>
    <t>Lake Grove, NY</t>
  </si>
  <si>
    <t>313 Smith Haven Mall</t>
  </si>
  <si>
    <t>Lake Grove</t>
  </si>
  <si>
    <t>40.862269, -73.129075</t>
  </si>
  <si>
    <t>Dublin, OH</t>
  </si>
  <si>
    <t>6175 Sawmill Rd</t>
  </si>
  <si>
    <t>40.0930008, -83.0936558</t>
  </si>
  <si>
    <t>Hollister, CA</t>
  </si>
  <si>
    <t>Casa de Fruta, 10021 Pacheco Pass Hwy</t>
  </si>
  <si>
    <t>Hollister</t>
  </si>
  <si>
    <t>36.989869, -121.380535</t>
  </si>
  <si>
    <t>King George - Owens Drive, VA</t>
  </si>
  <si>
    <t>17188 Owens Dr</t>
  </si>
  <si>
    <t>King George</t>
  </si>
  <si>
    <t>38.353581, -77.048857</t>
  </si>
  <si>
    <t>Hamden - Dixwell Avenue, CT</t>
  </si>
  <si>
    <t>2100 Dixwell Ave</t>
  </si>
  <si>
    <t>Hamden</t>
  </si>
  <si>
    <t>41.369666, -72.919942</t>
  </si>
  <si>
    <t>Cedar Rapids, IA</t>
  </si>
  <si>
    <t>20 Wilson Ave SW</t>
  </si>
  <si>
    <t>Cedar Rapids</t>
  </si>
  <si>
    <t>41.9564935, -91.6579808</t>
  </si>
  <si>
    <t>Mechanicsville, VA</t>
  </si>
  <si>
    <t>7847 Compass Point Ln</t>
  </si>
  <si>
    <t>Mechanicsville</t>
  </si>
  <si>
    <t>37.613437, -77.328344</t>
  </si>
  <si>
    <t>Montgomery, AL</t>
  </si>
  <si>
    <t>2576 Berryhill Rd</t>
  </si>
  <si>
    <t>Montgomery</t>
  </si>
  <si>
    <t>32.361192, -86.161314</t>
  </si>
  <si>
    <t>Kernersville, NC</t>
  </si>
  <si>
    <t>1551 Glenn Center Dr</t>
  </si>
  <si>
    <t>Kernersville</t>
  </si>
  <si>
    <t>36.069842, -80.112057</t>
  </si>
  <si>
    <t>San Jose - Santana Row (Valet), CA</t>
  </si>
  <si>
    <t>37.321459, -121.948969</t>
  </si>
  <si>
    <t>Sioux City - Southern Hills Dr, IA</t>
  </si>
  <si>
    <t>4727 Southern Hills Dr</t>
  </si>
  <si>
    <t>Sioux City</t>
  </si>
  <si>
    <t>42.440787, -96.346112</t>
  </si>
  <si>
    <t>Tustin, CA</t>
  </si>
  <si>
    <t>15000-15190 Kensington Park Dr</t>
  </si>
  <si>
    <t>Tustin</t>
  </si>
  <si>
    <t>33.7123, -117.8163</t>
  </si>
  <si>
    <t>Philadelphia - Church St, PA</t>
  </si>
  <si>
    <t>2501 Church St</t>
  </si>
  <si>
    <t>40.001987, -75.081547</t>
  </si>
  <si>
    <t>Brooklyn - Brooklyn Museum, NY</t>
  </si>
  <si>
    <t>878 Washington Ave</t>
  </si>
  <si>
    <t>40.670085, -73.962826</t>
  </si>
  <si>
    <t>Fresno - North Riverside Drive, CA</t>
  </si>
  <si>
    <t>5001 N Riverside Dr</t>
  </si>
  <si>
    <t>36.832164, -119.908341</t>
  </si>
  <si>
    <t>Rolling Meadows, IL</t>
  </si>
  <si>
    <t>1301 Meijer Dr</t>
  </si>
  <si>
    <t>Rolling Meadows</t>
  </si>
  <si>
    <t>42.049702, -87.994915</t>
  </si>
  <si>
    <t>Laramie, WY</t>
  </si>
  <si>
    <t>1673 Centennial Dr</t>
  </si>
  <si>
    <t>Laramie</t>
  </si>
  <si>
    <t>41.32512, -105.618117</t>
  </si>
  <si>
    <t>Irvine - Culver Drive, CA</t>
  </si>
  <si>
    <t>14346 Culver Dr</t>
  </si>
  <si>
    <t>33.706784, -117.785164</t>
  </si>
  <si>
    <t>Leeds, AL</t>
  </si>
  <si>
    <t>6900 Buc-ee's Blvd</t>
  </si>
  <si>
    <t>Leeds</t>
  </si>
  <si>
    <t>33.543942, -86.588636</t>
  </si>
  <si>
    <t>Exmore, VA</t>
  </si>
  <si>
    <t>4317 Lankford Hwy</t>
  </si>
  <si>
    <t>Exmore</t>
  </si>
  <si>
    <t>37.516011, -75.831544</t>
  </si>
  <si>
    <t>Nashville - Charlotte Pike, TN</t>
  </si>
  <si>
    <t>6814 Charlotte Pike</t>
  </si>
  <si>
    <t>36.133938, -86.891832</t>
  </si>
  <si>
    <t>Madison, GA</t>
  </si>
  <si>
    <t>2012 Eatonton Rd</t>
  </si>
  <si>
    <t>33.558083, -83.473861</t>
  </si>
  <si>
    <t>Apopka, FL</t>
  </si>
  <si>
    <t>1615 S Orange Blossom Trail</t>
  </si>
  <si>
    <t>Apopka</t>
  </si>
  <si>
    <t>28.6541, -81.4686</t>
  </si>
  <si>
    <t>Monticello, MN</t>
  </si>
  <si>
    <t>216 7th St W</t>
  </si>
  <si>
    <t>Monticello</t>
  </si>
  <si>
    <t>45.3008, -93.7995</t>
  </si>
  <si>
    <t>Medway, ME</t>
  </si>
  <si>
    <t>1941 Medway Rd</t>
  </si>
  <si>
    <t>Medway</t>
  </si>
  <si>
    <t>45.609675, -68.522956</t>
  </si>
  <si>
    <t>Swartz Creek, MI</t>
  </si>
  <si>
    <t>4141 Morrish Rd</t>
  </si>
  <si>
    <t>Swartz Creek</t>
  </si>
  <si>
    <t>42.96744, -83.828794</t>
  </si>
  <si>
    <t>Plainview, NY</t>
  </si>
  <si>
    <t>1528 Old Country Rd</t>
  </si>
  <si>
    <t>Plainview</t>
  </si>
  <si>
    <t>40.779989, -73.450258</t>
  </si>
  <si>
    <t>Valley Stream, NY</t>
  </si>
  <si>
    <t>23 Green Acres Rd W</t>
  </si>
  <si>
    <t>Valley Stream</t>
  </si>
  <si>
    <t>40.66402, -73.7251</t>
  </si>
  <si>
    <t>Vancouver, WA</t>
  </si>
  <si>
    <t>800 NE Tenney Rd</t>
  </si>
  <si>
    <t>45.721663, -122.663461</t>
  </si>
  <si>
    <t>Wausau, WI</t>
  </si>
  <si>
    <t>2101 N Mountain Rd</t>
  </si>
  <si>
    <t>Wausau</t>
  </si>
  <si>
    <t>44.931202, -89.662213</t>
  </si>
  <si>
    <t>Boston - Boylston Street, MA</t>
  </si>
  <si>
    <t>800 Boylston St</t>
  </si>
  <si>
    <t>42.34717, -71.081003</t>
  </si>
  <si>
    <t>Muskegon, MI</t>
  </si>
  <si>
    <t>5300 Harvey St</t>
  </si>
  <si>
    <t>Muskegon</t>
  </si>
  <si>
    <t>43.155333, -86.202939</t>
  </si>
  <si>
    <t>St. Charles - Beale St, MO</t>
  </si>
  <si>
    <t>1650 Beale St</t>
  </si>
  <si>
    <t>38.765655, -90.493552</t>
  </si>
  <si>
    <t>New York - E 47th Street, NY</t>
  </si>
  <si>
    <t>212 East 47th St</t>
  </si>
  <si>
    <t>40.753356, -73.971685</t>
  </si>
  <si>
    <t>New York - Mott Street, NY</t>
  </si>
  <si>
    <t>106 Mott St</t>
  </si>
  <si>
    <t>10013-4600</t>
  </si>
  <si>
    <t>40.717522, -73.997302</t>
  </si>
  <si>
    <t>New York - W 75th Street, NY</t>
  </si>
  <si>
    <t>201 W 75th St</t>
  </si>
  <si>
    <t>10023-1704</t>
  </si>
  <si>
    <t>40.780976, -73.980414</t>
  </si>
  <si>
    <t>Detroit Lake, OR</t>
  </si>
  <si>
    <t>210 D St</t>
  </si>
  <si>
    <t>Detroit</t>
  </si>
  <si>
    <t>44.737025, -122.152108</t>
  </si>
  <si>
    <t>Giddings, TX</t>
  </si>
  <si>
    <t>3025 E Austin St</t>
  </si>
  <si>
    <t>Giddings</t>
  </si>
  <si>
    <t>30.178912, -96.907004</t>
  </si>
  <si>
    <t>Aberdeen, WA</t>
  </si>
  <si>
    <t>416 Wishkah St</t>
  </si>
  <si>
    <t>46.976679, -123.813485</t>
  </si>
  <si>
    <t>Sequim, WA</t>
  </si>
  <si>
    <t>1441 E Washington St</t>
  </si>
  <si>
    <t>Sequim</t>
  </si>
  <si>
    <t>48.071232, -123.074527</t>
  </si>
  <si>
    <t>Huntington, WV</t>
  </si>
  <si>
    <t>432 18th St W</t>
  </si>
  <si>
    <t>Huntington</t>
  </si>
  <si>
    <t>38.410941, -82.487122</t>
  </si>
  <si>
    <t>Rawlins, WY</t>
  </si>
  <si>
    <t>2370 E Cedar St</t>
  </si>
  <si>
    <t>Rawlins</t>
  </si>
  <si>
    <t>41.79082, -107.210272</t>
  </si>
  <si>
    <t>Danbury, CT</t>
  </si>
  <si>
    <t>7 Backus Ave</t>
  </si>
  <si>
    <t>Danbury</t>
  </si>
  <si>
    <t>41.379222, -73.477689</t>
  </si>
  <si>
    <t>Somerset - Westbound Service Plaza, PA</t>
  </si>
  <si>
    <t>179 N Plaza Access Rd</t>
  </si>
  <si>
    <t>39.999603, -79.043673</t>
  </si>
  <si>
    <t>Fremont - 39201 Fremont Blvd, CA</t>
  </si>
  <si>
    <t>39201 Fremont Blvd</t>
  </si>
  <si>
    <t>37.544506, -121.983822</t>
  </si>
  <si>
    <t>Chino Hills, CA</t>
  </si>
  <si>
    <t>13920 City Center Dr</t>
  </si>
  <si>
    <t>Chino Hills</t>
  </si>
  <si>
    <t>34.002163, -117.731326</t>
  </si>
  <si>
    <t>Vallejo - Solano Ave, CA</t>
  </si>
  <si>
    <t>2001-2155 Solano Ave</t>
  </si>
  <si>
    <t>Vallejo</t>
  </si>
  <si>
    <t>38.104444, -122.230234</t>
  </si>
  <si>
    <t>New York - 59 Allen Street, NY</t>
  </si>
  <si>
    <t>59 Allen St</t>
  </si>
  <si>
    <t>Lower Manhattan</t>
  </si>
  <si>
    <t>40.717153, -73.991869</t>
  </si>
  <si>
    <t>Jersey City, NJ</t>
  </si>
  <si>
    <t>160 First St</t>
  </si>
  <si>
    <t>Jersey City</t>
  </si>
  <si>
    <t>40.721595, -74.040469</t>
  </si>
  <si>
    <t>Claymont, DE</t>
  </si>
  <si>
    <t>691 Naamans Rd</t>
  </si>
  <si>
    <t>39.817478, -75.457282</t>
  </si>
  <si>
    <t>Athens, GA</t>
  </si>
  <si>
    <t>1791 Oconee Connector</t>
  </si>
  <si>
    <t>33.916675, -83.452965</t>
  </si>
  <si>
    <t>Carmel, IN</t>
  </si>
  <si>
    <t>1426 W Carmel Dr</t>
  </si>
  <si>
    <t>Carmel</t>
  </si>
  <si>
    <t>39.97193, -86.152619</t>
  </si>
  <si>
    <t>Daly City, CA</t>
  </si>
  <si>
    <t>1 Serramonte Center</t>
  </si>
  <si>
    <t>Daly City</t>
  </si>
  <si>
    <t>37.673998, -122.472257</t>
  </si>
  <si>
    <t>Issaquah, WA</t>
  </si>
  <si>
    <t>6100 E Lake Sammamish Pkwy SE</t>
  </si>
  <si>
    <t>Issaquah</t>
  </si>
  <si>
    <t>47.548026, -122.040026</t>
  </si>
  <si>
    <t>Buford, GA</t>
  </si>
  <si>
    <t>1705 Mall of Georgia Blvd</t>
  </si>
  <si>
    <t>Buford</t>
  </si>
  <si>
    <t>34.061572, -83.994606</t>
  </si>
  <si>
    <t>Pembroke Pines, FL</t>
  </si>
  <si>
    <t>14916 Pines Blvd</t>
  </si>
  <si>
    <t>26.006948, -80.348953</t>
  </si>
  <si>
    <t>Aventura, FL</t>
  </si>
  <si>
    <t>19501 Biscayne Blvd</t>
  </si>
  <si>
    <t>Aventura</t>
  </si>
  <si>
    <t>25.956403, -80.143001</t>
  </si>
  <si>
    <t>Fort Myers - Gulf Coast Main St, FL</t>
  </si>
  <si>
    <t>9903 Gulf Coast Main St</t>
  </si>
  <si>
    <t>Fort Myers</t>
  </si>
  <si>
    <t>26.488531, -81.787028</t>
  </si>
  <si>
    <t>Piedmont, SC</t>
  </si>
  <si>
    <t>2401 River Rd</t>
  </si>
  <si>
    <t>Piedmont</t>
  </si>
  <si>
    <t>34.757187, -82.474101</t>
  </si>
  <si>
    <t>Hialeah, FL</t>
  </si>
  <si>
    <t>18600 NW 87th Ave</t>
  </si>
  <si>
    <t>Miami Gardens</t>
  </si>
  <si>
    <t>25.942859, -80.344869</t>
  </si>
  <si>
    <t>Downey - Stonewood St, CA</t>
  </si>
  <si>
    <t>251 Stonewood St</t>
  </si>
  <si>
    <t>33.934643, -118.12117</t>
  </si>
  <si>
    <t>Kennebunk - Northbound, ME</t>
  </si>
  <si>
    <t>Maine Turnpike</t>
  </si>
  <si>
    <t>Kennebunk</t>
  </si>
  <si>
    <t>43.409493, -70.558551</t>
  </si>
  <si>
    <t>Kennebunk - Southbound, ME</t>
  </si>
  <si>
    <t>I-95 Service Plaza</t>
  </si>
  <si>
    <t>43.410693, -70.560923</t>
  </si>
  <si>
    <t>East Palo Alto, CA</t>
  </si>
  <si>
    <t>1775 E Bayshore Rd</t>
  </si>
  <si>
    <t>East Palo Alto</t>
  </si>
  <si>
    <t>37.459659, -122.137651</t>
  </si>
  <si>
    <t>Oxford, AL</t>
  </si>
  <si>
    <t>550 Oxford Exchange Blvd</t>
  </si>
  <si>
    <t>Oxford</t>
  </si>
  <si>
    <t>33.610651, -85.782355</t>
  </si>
  <si>
    <t>Islandia, NY</t>
  </si>
  <si>
    <t>1750 Veterans Hwy</t>
  </si>
  <si>
    <t>Islandia</t>
  </si>
  <si>
    <t>40.805079, -73.180528</t>
  </si>
  <si>
    <t>North Brunswick, NJ</t>
  </si>
  <si>
    <t>301 Grand Ave</t>
  </si>
  <si>
    <t>North Brunswick</t>
  </si>
  <si>
    <t>40.439373, -74.504769</t>
  </si>
  <si>
    <t>King of Prussia - South Henderson Rd, PA</t>
  </si>
  <si>
    <t>310 S Henderson Rd</t>
  </si>
  <si>
    <t>King of Prussia</t>
  </si>
  <si>
    <t>40.092333, -75.359222</t>
  </si>
  <si>
    <t>Federal Way, WA</t>
  </si>
  <si>
    <t>1414 S 324th St</t>
  </si>
  <si>
    <t>Federal Way</t>
  </si>
  <si>
    <t>47.314917, -122.315972</t>
  </si>
  <si>
    <t>Brentwood, CA</t>
  </si>
  <si>
    <t>2455 Sand Creek Rd</t>
  </si>
  <si>
    <t>37.9466789, -121.7409128</t>
  </si>
  <si>
    <t>Fort Myers, FL</t>
  </si>
  <si>
    <t>9357 6 Mile Cypress Pkwy</t>
  </si>
  <si>
    <t>26.608585, -81.809444</t>
  </si>
  <si>
    <t>Bellevue, WA</t>
  </si>
  <si>
    <t>10333 NE 1st St</t>
  </si>
  <si>
    <t>Bellevue</t>
  </si>
  <si>
    <t>47.610717, -122.202226</t>
  </si>
  <si>
    <t>Hannibal, MO</t>
  </si>
  <si>
    <t>4215 McMasters Ave</t>
  </si>
  <si>
    <t>Hannibal</t>
  </si>
  <si>
    <t>39.718198, -91.392441</t>
  </si>
  <si>
    <t>Augusta, GA</t>
  </si>
  <si>
    <t>1069 Stevens Creek Rd</t>
  </si>
  <si>
    <t>33.515004, -82.044443</t>
  </si>
  <si>
    <t>Fairmont, WV</t>
  </si>
  <si>
    <t>1000 Fairmont Ave</t>
  </si>
  <si>
    <t>Fairmont</t>
  </si>
  <si>
    <t>39.471945, -80.153302</t>
  </si>
  <si>
    <t>Hartford, CT</t>
  </si>
  <si>
    <t>42 Asylum St</t>
  </si>
  <si>
    <t>41.766116, -72.673977</t>
  </si>
  <si>
    <t>Steele, AL</t>
  </si>
  <si>
    <t>905 Steele Station Rd</t>
  </si>
  <si>
    <t>Steele</t>
  </si>
  <si>
    <t>33.933824, -86.191611</t>
  </si>
  <si>
    <t>Doylestown, PA</t>
  </si>
  <si>
    <t>425 S Main St</t>
  </si>
  <si>
    <t>Doylestown</t>
  </si>
  <si>
    <t>40.300112, -75.127537</t>
  </si>
  <si>
    <t>St. Augustine, FL</t>
  </si>
  <si>
    <t>2700 State Road 16, Suite 200</t>
  </si>
  <si>
    <t>29.924286, -81.416018</t>
  </si>
  <si>
    <t>Augusta, ME</t>
  </si>
  <si>
    <t>13 Stephen King Dr</t>
  </si>
  <si>
    <t>44.34787, -69.786088</t>
  </si>
  <si>
    <t>Cabazon - Morongo Trail, CA</t>
  </si>
  <si>
    <t>49020 Seminole Dr</t>
  </si>
  <si>
    <t>33.923726, -116.803246</t>
  </si>
  <si>
    <t>Waterloo, IA</t>
  </si>
  <si>
    <t>1422 Flammang Dr</t>
  </si>
  <si>
    <t>42.459333, -92.328806</t>
  </si>
  <si>
    <t>Marion, IL</t>
  </si>
  <si>
    <t>2603 The Hill Ave</t>
  </si>
  <si>
    <t>Marion</t>
  </si>
  <si>
    <t>37.744427, -88.962303</t>
  </si>
  <si>
    <t>St. Louis, MO</t>
  </si>
  <si>
    <t>4565 McRee Ave</t>
  </si>
  <si>
    <t>St. Louis</t>
  </si>
  <si>
    <t>38.620823, -90.260954</t>
  </si>
  <si>
    <t>Tracy - West Grant Line Rd, CA</t>
  </si>
  <si>
    <t>2850 W Grant Line Rd</t>
  </si>
  <si>
    <t>Tracy</t>
  </si>
  <si>
    <t>37.753054, -121.467549</t>
  </si>
  <si>
    <t>Shelbyville, IN</t>
  </si>
  <si>
    <t>1930 N Morristown Rd</t>
  </si>
  <si>
    <t>Shelbyville</t>
  </si>
  <si>
    <t>39.5539, -85.7745</t>
  </si>
  <si>
    <t>Langhorne, PA</t>
  </si>
  <si>
    <t>607 E Lincoln Hwy</t>
  </si>
  <si>
    <t>Langhorne</t>
  </si>
  <si>
    <t>40.163345, -74.904428</t>
  </si>
  <si>
    <t>Rochester, MN</t>
  </si>
  <si>
    <t>Hy-Vee, 500 Crossroads Dr SW</t>
  </si>
  <si>
    <t>44.006329, -92.470902</t>
  </si>
  <si>
    <t>Wilmington, NC</t>
  </si>
  <si>
    <t>1022 International Dr</t>
  </si>
  <si>
    <t>Wilmington</t>
  </si>
  <si>
    <t>34.240825, -77.829189</t>
  </si>
  <si>
    <t>Sidney, NE</t>
  </si>
  <si>
    <t>645 Cabela Dr</t>
  </si>
  <si>
    <t>Sidney</t>
  </si>
  <si>
    <t>41.115424, -102.949694</t>
  </si>
  <si>
    <t>Jersey City - Mall Drive West, NJ</t>
  </si>
  <si>
    <t>30 Mall Dr W</t>
  </si>
  <si>
    <t>40.727327, -74.039344</t>
  </si>
  <si>
    <t>West Nyack, NY</t>
  </si>
  <si>
    <t>1920 Palisades Center Dr</t>
  </si>
  <si>
    <t>West Nyack</t>
  </si>
  <si>
    <t>41.094692, -73.955497</t>
  </si>
  <si>
    <t>Seaside, OR</t>
  </si>
  <si>
    <t>1111 North Roosevelt Dr</t>
  </si>
  <si>
    <t>46.00101, -123.91683</t>
  </si>
  <si>
    <t>Chantilly, VA</t>
  </si>
  <si>
    <t>25451 Lizzie Center Dr</t>
  </si>
  <si>
    <t>South Riding</t>
  </si>
  <si>
    <t>38.9137222, -77.4869722</t>
  </si>
  <si>
    <t>Italy, TX</t>
  </si>
  <si>
    <t>1021 Dale Evans Dr</t>
  </si>
  <si>
    <t>Italy</t>
  </si>
  <si>
    <t>32.194947, -96.89875</t>
  </si>
  <si>
    <t>Pedricktown - John Fenwick, NJ</t>
  </si>
  <si>
    <t>John Fenwick Travel Plaza, New Jersey Tpke Mile Marker 5.4</t>
  </si>
  <si>
    <t>Pedricktown</t>
  </si>
  <si>
    <t>39.696093, -75.395823</t>
  </si>
  <si>
    <t>West Hollywood, CA</t>
  </si>
  <si>
    <t>8775 Sunset Blvd</t>
  </si>
  <si>
    <t>West Hollywood</t>
  </si>
  <si>
    <t>34.091635, -118.382241</t>
  </si>
  <si>
    <t>Bay Shore, NY</t>
  </si>
  <si>
    <t>838 Sunrise Hwy</t>
  </si>
  <si>
    <t>Bay Shore</t>
  </si>
  <si>
    <t>40.727358, -73.276843</t>
  </si>
  <si>
    <t>Cambridge, MA</t>
  </si>
  <si>
    <t>100 Cambridgeside Place</t>
  </si>
  <si>
    <t>42.368483, -71.076189</t>
  </si>
  <si>
    <t>Ann Arbor, MI</t>
  </si>
  <si>
    <t>3145 Saline Rd</t>
  </si>
  <si>
    <t>Ann Arbor</t>
  </si>
  <si>
    <t>42.240687, -83.766265</t>
  </si>
  <si>
    <t>Arroyo Grande - W Branch Rd, CA</t>
  </si>
  <si>
    <t>1160 W Branch St</t>
  </si>
  <si>
    <t>Arroyo Grande</t>
  </si>
  <si>
    <t>35.126833, -120.595972</t>
  </si>
  <si>
    <t>Santa Maria, CA</t>
  </si>
  <si>
    <t>371 Town Center E</t>
  </si>
  <si>
    <t>Santa Maria</t>
  </si>
  <si>
    <t>34.952928, -120.434555</t>
  </si>
  <si>
    <t>Indianapolis, IN</t>
  </si>
  <si>
    <t>5120 Victory Dr</t>
  </si>
  <si>
    <t>39.702444, -86.079687</t>
  </si>
  <si>
    <t>Columbus, GA</t>
  </si>
  <si>
    <t>1591 Bradley Park Dr</t>
  </si>
  <si>
    <t>32.533485, -84.971362</t>
  </si>
  <si>
    <t>D'Iberville, MS</t>
  </si>
  <si>
    <t>3586 Sangani Blvd</t>
  </si>
  <si>
    <t>D'Iberville</t>
  </si>
  <si>
    <t>30.459066, -88.893288</t>
  </si>
  <si>
    <t>Sherman Oaks - Ventura Blvd, CA</t>
  </si>
  <si>
    <t>15301 Ventura Blvd</t>
  </si>
  <si>
    <t>Sherman Oaks</t>
  </si>
  <si>
    <t>34.156902, -118.467539</t>
  </si>
  <si>
    <t>Union, NJ</t>
  </si>
  <si>
    <t>1750 Route 22 East</t>
  </si>
  <si>
    <t>Union</t>
  </si>
  <si>
    <t>40.695914, -74.254049</t>
  </si>
  <si>
    <t>Pedricktown - Clara Barton, NJ</t>
  </si>
  <si>
    <t>Clara Barton Service Area</t>
  </si>
  <si>
    <t>39.697702, -75.39773</t>
  </si>
  <si>
    <t>Oakhurst, CA</t>
  </si>
  <si>
    <t>Comfort Inn 40489 CA-41</t>
  </si>
  <si>
    <t>Oakhurst</t>
  </si>
  <si>
    <t>37.333611, -119.645191</t>
  </si>
  <si>
    <t>Moab, UT</t>
  </si>
  <si>
    <t>16 South Main St</t>
  </si>
  <si>
    <t>Moab</t>
  </si>
  <si>
    <t>38.573122, -109.552368</t>
  </si>
  <si>
    <t>Venice, FL</t>
  </si>
  <si>
    <t>370 Commercial Ct</t>
  </si>
  <si>
    <t>Venice</t>
  </si>
  <si>
    <t>27.107859, -82.385275</t>
  </si>
  <si>
    <t>Walcott, IA</t>
  </si>
  <si>
    <t>755 W Iowa 80 Rd</t>
  </si>
  <si>
    <t>Walcott</t>
  </si>
  <si>
    <t>41.619789, -90.782433</t>
  </si>
  <si>
    <t>Hamilton - Woodrow Wilson, NJ</t>
  </si>
  <si>
    <t>Woodrow Wilson Service Area</t>
  </si>
  <si>
    <t>Hamilton Township</t>
  </si>
  <si>
    <t>40.175932, -74.630183</t>
  </si>
  <si>
    <t>Chipley, FL</t>
  </si>
  <si>
    <t>1698 Main St</t>
  </si>
  <si>
    <t>Chipley</t>
  </si>
  <si>
    <t>30.751833, -85.551682</t>
  </si>
  <si>
    <t>Cottondale, AL</t>
  </si>
  <si>
    <t>6400 Interstate Dr</t>
  </si>
  <si>
    <t>Cottondale</t>
  </si>
  <si>
    <t>33.175259, -87.449694</t>
  </si>
  <si>
    <t>Lexington - E Nelson St, VA</t>
  </si>
  <si>
    <t>600 E Nelson Street</t>
  </si>
  <si>
    <t>37.778564, -79.434062</t>
  </si>
  <si>
    <t>Kearney, NE</t>
  </si>
  <si>
    <t>815 2nd Ave E</t>
  </si>
  <si>
    <t>Kearney</t>
  </si>
  <si>
    <t>40.6822, -99.0834</t>
  </si>
  <si>
    <t>Ruston, LA</t>
  </si>
  <si>
    <t>1401 Eagle Dr</t>
  </si>
  <si>
    <t>Ruston</t>
  </si>
  <si>
    <t>32.542727, -92.62574</t>
  </si>
  <si>
    <t>Chattanooga - Hamilton Place Blvd, TN</t>
  </si>
  <si>
    <t>2100 Hamilton Pl Blvd 1</t>
  </si>
  <si>
    <t>35.036667, -85.16009</t>
  </si>
  <si>
    <t>Pasadena - 3363 E Foothill Blvd, CA</t>
  </si>
  <si>
    <t>3363 East Foothill Blvd</t>
  </si>
  <si>
    <t>34.153571, -118.081718</t>
  </si>
  <si>
    <t>Aiea, HI</t>
  </si>
  <si>
    <t>98-1005 Moanalua Rd</t>
  </si>
  <si>
    <t>Aiea</t>
  </si>
  <si>
    <t>HI</t>
  </si>
  <si>
    <t>21.385583, -157.941632</t>
  </si>
  <si>
    <t>Covington, LA</t>
  </si>
  <si>
    <t>69320 LA-21</t>
  </si>
  <si>
    <t>Covington</t>
  </si>
  <si>
    <t>30.443505, -90.141137</t>
  </si>
  <si>
    <t>Morgantown, WV</t>
  </si>
  <si>
    <t>21 Asturias Lane</t>
  </si>
  <si>
    <t>Morgantown</t>
  </si>
  <si>
    <t>39.579175, -79.953493</t>
  </si>
  <si>
    <t>Red Hook, NY</t>
  </si>
  <si>
    <t>35 Hannaford Dr</t>
  </si>
  <si>
    <t>Red Hook</t>
  </si>
  <si>
    <t>41.979518, -73.88216</t>
  </si>
  <si>
    <t>Pacific Palisades, CA</t>
  </si>
  <si>
    <t>1038 N Swarthmore Ave</t>
  </si>
  <si>
    <t>Pacific Palisades</t>
  </si>
  <si>
    <t>34.047878, -118.524987</t>
  </si>
  <si>
    <t>Fort Mill, SC</t>
  </si>
  <si>
    <t>3725 Avenue of the Carolinas</t>
  </si>
  <si>
    <t>Fort Mill</t>
  </si>
  <si>
    <t>35.0964, -80.9359</t>
  </si>
  <si>
    <t>Westminster, CO</t>
  </si>
  <si>
    <t>7450 Federal Blvd</t>
  </si>
  <si>
    <t>39.832103, -105.023901</t>
  </si>
  <si>
    <t>San Gabriel, CA</t>
  </si>
  <si>
    <t>140 W Valley Blvd</t>
  </si>
  <si>
    <t>San Gabriel</t>
  </si>
  <si>
    <t>34.077694, -118.100109</t>
  </si>
  <si>
    <t>Lodi, NJ</t>
  </si>
  <si>
    <t>150 Essex St</t>
  </si>
  <si>
    <t>Lodi</t>
  </si>
  <si>
    <t>40.89146, -74.07267</t>
  </si>
  <si>
    <t>San Marcos, CA</t>
  </si>
  <si>
    <t>573 Grand Ave</t>
  </si>
  <si>
    <t>33.13658, -117.176119</t>
  </si>
  <si>
    <t>Speedway, IN</t>
  </si>
  <si>
    <t>6311 Crawfordsville Rd</t>
  </si>
  <si>
    <t>39.80066, -86.270482</t>
  </si>
  <si>
    <t>Middletown, DE</t>
  </si>
  <si>
    <t>5018 Summit Bridge Rd</t>
  </si>
  <si>
    <t>39.47951, -75.722099</t>
  </si>
  <si>
    <t>Dwight, IL</t>
  </si>
  <si>
    <t>100 Watters Dr</t>
  </si>
  <si>
    <t>Dwight</t>
  </si>
  <si>
    <t>41.093395, -88.442109</t>
  </si>
  <si>
    <t>Cranford, NJ</t>
  </si>
  <si>
    <t>370 N Ave E</t>
  </si>
  <si>
    <t>Cranford</t>
  </si>
  <si>
    <t>40.658207, -74.287872</t>
  </si>
  <si>
    <t>Charlton - Eastbound, MA</t>
  </si>
  <si>
    <t>42.139201, -72.025772</t>
  </si>
  <si>
    <t>Diamond Bar, CA</t>
  </si>
  <si>
    <t>2785 S Diamond Bar Blvd</t>
  </si>
  <si>
    <t>Diamond Bar</t>
  </si>
  <si>
    <t>33.97577, -117.838484</t>
  </si>
  <si>
    <t>Columbia - W Broadway, MO</t>
  </si>
  <si>
    <t>3100 W Broadway</t>
  </si>
  <si>
    <t>38.954387, -92.383074</t>
  </si>
  <si>
    <t>Auburn, CA</t>
  </si>
  <si>
    <t>13431 Bowman Rd</t>
  </si>
  <si>
    <t>38.926253, -121.058008</t>
  </si>
  <si>
    <t>Doral, FL</t>
  </si>
  <si>
    <t>3300 NW 87th Ave</t>
  </si>
  <si>
    <t>Doral</t>
  </si>
  <si>
    <t>25.80622, -80.337826</t>
  </si>
  <si>
    <t>Tampa - N Dale Mabry Hwy, FL</t>
  </si>
  <si>
    <t>401 N Dale Mabry Hwy</t>
  </si>
  <si>
    <t>27.949242, -82.504944</t>
  </si>
  <si>
    <t>San Bruno - El Camino Real, CA</t>
  </si>
  <si>
    <t>1150 El Camino Real</t>
  </si>
  <si>
    <t>37.636105, -122.420515</t>
  </si>
  <si>
    <t>Malta, NY</t>
  </si>
  <si>
    <t>2951 State Hwy 9</t>
  </si>
  <si>
    <t>Ballston Spa</t>
  </si>
  <si>
    <t>43.0262, -73.792</t>
  </si>
  <si>
    <t>Alturas, CA</t>
  </si>
  <si>
    <t>1200 W 12th St</t>
  </si>
  <si>
    <t>Alturas</t>
  </si>
  <si>
    <t>41.495424, -120.55978</t>
  </si>
  <si>
    <t>Rolling Prairie - S Knute Rockne Plaza, IN</t>
  </si>
  <si>
    <t>3 S Knute Rockne Plaza</t>
  </si>
  <si>
    <t>Rolling Prairie</t>
  </si>
  <si>
    <t>41.705116, -86.621519</t>
  </si>
  <si>
    <t>Rolling Prairie - Wilbur Shaw Travel Plaza, IN</t>
  </si>
  <si>
    <t>7 N Wilbur Shaw Plaza</t>
  </si>
  <si>
    <t>41.707691, -86.623162</t>
  </si>
  <si>
    <t>Liberty, MO</t>
  </si>
  <si>
    <t>109 Blue Jay Dr</t>
  </si>
  <si>
    <t>Liberty</t>
  </si>
  <si>
    <t>39.245809, -94.448108</t>
  </si>
  <si>
    <t>West Palm Beach - Palm Beach Outlets, FL</t>
  </si>
  <si>
    <t>1801 Palm Beach Lakes Blvd</t>
  </si>
  <si>
    <t>26.72622, -80.0875</t>
  </si>
  <si>
    <t>Benton Harbor, MI</t>
  </si>
  <si>
    <t>1920 Pipestone Rd</t>
  </si>
  <si>
    <t>Benton Harbor</t>
  </si>
  <si>
    <t>42.082115, -86.423841</t>
  </si>
  <si>
    <t>New Paltz, NY</t>
  </si>
  <si>
    <t>271 Main St</t>
  </si>
  <si>
    <t>New Paltz</t>
  </si>
  <si>
    <t>41.743731, -74.070122</t>
  </si>
  <si>
    <t>Sonoma, CA</t>
  </si>
  <si>
    <t>276 E Napa St</t>
  </si>
  <si>
    <t>Sonoma</t>
  </si>
  <si>
    <t>38.29179, -122.452126</t>
  </si>
  <si>
    <t>Houston - Hempstead Rd (SC), TX</t>
  </si>
  <si>
    <t>19820 Hempstead Road</t>
  </si>
  <si>
    <t>29.912978, -95.615944</t>
  </si>
  <si>
    <t>Topeka - Topeka Service Area, KS</t>
  </si>
  <si>
    <t>8000 I-70</t>
  </si>
  <si>
    <t>39.0195, -95.508</t>
  </si>
  <si>
    <t>Lawrence - Lawrence Service Plaza, KS</t>
  </si>
  <si>
    <t>209 Kansas Turnpike</t>
  </si>
  <si>
    <t>Lawrence</t>
  </si>
  <si>
    <t>39.0205, -95.1348</t>
  </si>
  <si>
    <t>Howe - Gene Stratton Travel Plaza, IN</t>
  </si>
  <si>
    <t>Gene Stratton Porter Travel Plaza Eastbound</t>
  </si>
  <si>
    <t>Howe</t>
  </si>
  <si>
    <t>41.744917, -85.330167</t>
  </si>
  <si>
    <t>Howe - Ernie Pyle Travel Plaza, IN</t>
  </si>
  <si>
    <t>Ernie Pyle Travel Plaza Westbound</t>
  </si>
  <si>
    <t>41.747139, -85.32775</t>
  </si>
  <si>
    <t>Durham, NC</t>
  </si>
  <si>
    <t>Sayward Drive</t>
  </si>
  <si>
    <t>Durham</t>
  </si>
  <si>
    <t>35.953056, -78.991056</t>
  </si>
  <si>
    <t>Commerce, CA</t>
  </si>
  <si>
    <t>100 Citadel Dr</t>
  </si>
  <si>
    <t>Commerce</t>
  </si>
  <si>
    <t>34.006382, -118.148878</t>
  </si>
  <si>
    <t>Jacksonville, NC</t>
  </si>
  <si>
    <t>1105 Gum Branch Rd</t>
  </si>
  <si>
    <t>34.776774, -77.414566</t>
  </si>
  <si>
    <t>Orland Park, IL</t>
  </si>
  <si>
    <t>14225 95th Ave</t>
  </si>
  <si>
    <t>Orland Park</t>
  </si>
  <si>
    <t>41.632333, -87.850228</t>
  </si>
  <si>
    <t>Crossville - Genesis Rd, TN</t>
  </si>
  <si>
    <t>2045 Genesis Rd</t>
  </si>
  <si>
    <t>Crossville</t>
  </si>
  <si>
    <t>35.979515, -85.015308</t>
  </si>
  <si>
    <t>Madisonville, TX</t>
  </si>
  <si>
    <t>205 IH 45</t>
  </si>
  <si>
    <t>Madisonville</t>
  </si>
  <si>
    <t>30.966229, -95.880841</t>
  </si>
  <si>
    <t>Chevy Chase, MD</t>
  </si>
  <si>
    <t>8525 Chevy Chase Lake Terrace</t>
  </si>
  <si>
    <t>Chevy Chase</t>
  </si>
  <si>
    <t>38.996112, -77.075633</t>
  </si>
  <si>
    <t>El Dorado - Towanda Service Plaza, KS</t>
  </si>
  <si>
    <t>Mile 65 Kansas Turnpike</t>
  </si>
  <si>
    <t>Towanda</t>
  </si>
  <si>
    <t>37.765506, -96.982618</t>
  </si>
  <si>
    <t>North Branch, MN</t>
  </si>
  <si>
    <t>5842 Main St</t>
  </si>
  <si>
    <t>North Branch</t>
  </si>
  <si>
    <t>45.510887, -92.990596</t>
  </si>
  <si>
    <t>Salt Lake City - S State St, UT</t>
  </si>
  <si>
    <t>2312 S State St</t>
  </si>
  <si>
    <t>South Salt Lake City</t>
  </si>
  <si>
    <t>40.720353, -111.888706</t>
  </si>
  <si>
    <t>Benson, NC</t>
  </si>
  <si>
    <t>100 Water Pl Landing</t>
  </si>
  <si>
    <t>Benson</t>
  </si>
  <si>
    <t>35.374508, -78.541871</t>
  </si>
  <si>
    <t>Salt Lake City (SC), UT</t>
  </si>
  <si>
    <t>1038 S 300 W</t>
  </si>
  <si>
    <t>40.746393, -111.900534</t>
  </si>
  <si>
    <t>Syosset - Jericho Tpke, NY</t>
  </si>
  <si>
    <t>267 Jericho Tpke</t>
  </si>
  <si>
    <t>Syosset</t>
  </si>
  <si>
    <t>40.8109, -73.5054</t>
  </si>
  <si>
    <t>San Diego - Truxtun Rd, CA</t>
  </si>
  <si>
    <t>Truxtun Rd</t>
  </si>
  <si>
    <t>32.737743, -117.217061</t>
  </si>
  <si>
    <t>Amarillo - E Interstate 40, TX</t>
  </si>
  <si>
    <t>8507 I-40</t>
  </si>
  <si>
    <t>35.194253, -101.743828</t>
  </si>
  <si>
    <t>Harrisburg, OR</t>
  </si>
  <si>
    <t>32900 Diamond Hill Rd,</t>
  </si>
  <si>
    <t>44.27972, -123.063083</t>
  </si>
  <si>
    <t>Robertsdale, AL</t>
  </si>
  <si>
    <t>20403 Co Rd 68</t>
  </si>
  <si>
    <t>Robertsdale</t>
  </si>
  <si>
    <t>30.633696, -87.677561</t>
  </si>
  <si>
    <t>Mill Hall, PA</t>
  </si>
  <si>
    <t>5477 Nittany Valley Dr</t>
  </si>
  <si>
    <t>Mill Hall</t>
  </si>
  <si>
    <t>41.0251, -77.5243</t>
  </si>
  <si>
    <t>Soledad - H Dela Rosa St, CA</t>
  </si>
  <si>
    <t>3070 H Dela Rosa Sr St</t>
  </si>
  <si>
    <t>36.4162019, -121.320846</t>
  </si>
  <si>
    <t>Harlingen, TX</t>
  </si>
  <si>
    <t>6710 W Expy 83</t>
  </si>
  <si>
    <t>Harlingen</t>
  </si>
  <si>
    <t>26.1877, -97.7563</t>
  </si>
  <si>
    <t>Marinette, WI</t>
  </si>
  <si>
    <t>2301 Roosevelt Rd</t>
  </si>
  <si>
    <t>Marinette</t>
  </si>
  <si>
    <t>45.0801, -87.6621</t>
  </si>
  <si>
    <t>Pigeon Forge, TN</t>
  </si>
  <si>
    <t>2655 Teaster Ln</t>
  </si>
  <si>
    <t>Pigeon Forge</t>
  </si>
  <si>
    <t>35.806348, -83.572721</t>
  </si>
  <si>
    <t>Asheville, NC</t>
  </si>
  <si>
    <t>800 Brevard Rd</t>
  </si>
  <si>
    <t>35.531391, -82.604487</t>
  </si>
  <si>
    <t>Fair Play, SC</t>
  </si>
  <si>
    <t>272 Herring Rd</t>
  </si>
  <si>
    <t>Fair Play</t>
  </si>
  <si>
    <t>34.504955, -82.965706</t>
  </si>
  <si>
    <t>Turlock, CA</t>
  </si>
  <si>
    <t>1684 Countryside Dr</t>
  </si>
  <si>
    <t>Turlock</t>
  </si>
  <si>
    <t>37.508786, -120.876109</t>
  </si>
  <si>
    <t>Twinsburg, OH</t>
  </si>
  <si>
    <t>2495 E Aurora Rd</t>
  </si>
  <si>
    <t>Twinsburg</t>
  </si>
  <si>
    <t>41.311733, -81.449531</t>
  </si>
  <si>
    <t>Houston - W Alabama St, TX</t>
  </si>
  <si>
    <t>1701 W Alabama St</t>
  </si>
  <si>
    <t>29.736538, -95.402318</t>
  </si>
  <si>
    <t>Abingdon - Woodsdale Rd, MD</t>
  </si>
  <si>
    <t>3500 Woodsdale Rd</t>
  </si>
  <si>
    <t>Abingdon</t>
  </si>
  <si>
    <t>39.46561, -76.311042</t>
  </si>
  <si>
    <t>Temecula - Temecula Pkwy, CA</t>
  </si>
  <si>
    <t>30515 Temecula Pkwy</t>
  </si>
  <si>
    <t>33.475122, -117.129563</t>
  </si>
  <si>
    <t>City of Industry - Gale Ave, CA</t>
  </si>
  <si>
    <t>18558 Gale Ave</t>
  </si>
  <si>
    <t>City of Industry</t>
  </si>
  <si>
    <t>33.994605, -117.899677</t>
  </si>
  <si>
    <t>Concordia, MO</t>
  </si>
  <si>
    <t>101 N Main St</t>
  </si>
  <si>
    <t>Concordia</t>
  </si>
  <si>
    <t>38.989771, -93.566975</t>
  </si>
  <si>
    <t>Kyle, TX</t>
  </si>
  <si>
    <t>151 Evans Drive</t>
  </si>
  <si>
    <t>Kyle</t>
  </si>
  <si>
    <t>30.013004, -97.862665</t>
  </si>
  <si>
    <t>Susanville, CA</t>
  </si>
  <si>
    <t>900 Skyline Rd</t>
  </si>
  <si>
    <t>Susanville</t>
  </si>
  <si>
    <t>40.430902, -120.657897</t>
  </si>
  <si>
    <t>Brentwood, MO</t>
  </si>
  <si>
    <t>1 Brentwood Promenade Ct</t>
  </si>
  <si>
    <t>38.626722, -90.344139</t>
  </si>
  <si>
    <t>San Leandro, CA</t>
  </si>
  <si>
    <t>1201 Marina Blvd</t>
  </si>
  <si>
    <t>San Leandro</t>
  </si>
  <si>
    <t>37.709813, -122.164607</t>
  </si>
  <si>
    <t>Austin - Frontage Rd, TX</t>
  </si>
  <si>
    <t>9500 S IH Frontage Rd</t>
  </si>
  <si>
    <t>30.16287, -97.792063</t>
  </si>
  <si>
    <t>Craig, CO</t>
  </si>
  <si>
    <t>700 E Victory Way</t>
  </si>
  <si>
    <t>Craig</t>
  </si>
  <si>
    <t>40.513995, -107.538785</t>
  </si>
  <si>
    <t>Chowchilla, CA</t>
  </si>
  <si>
    <t>1225 East Robertson Blvd</t>
  </si>
  <si>
    <t>Chowchilla</t>
  </si>
  <si>
    <t>37.126287, -120.247428</t>
  </si>
  <si>
    <t>Kettleman City - Bernard Dr, CA</t>
  </si>
  <si>
    <t>Bernard Dr</t>
  </si>
  <si>
    <t>35.9861622, -119.957565</t>
  </si>
  <si>
    <t>East Hampton, NY</t>
  </si>
  <si>
    <t>8 Osborne Ln</t>
  </si>
  <si>
    <t>East Hampton</t>
  </si>
  <si>
    <t>40.965501, -72.189633</t>
  </si>
  <si>
    <t>San Diego - Carmel Mountain Rd, CA</t>
  </si>
  <si>
    <t>4639 Carmel Mountain Rd</t>
  </si>
  <si>
    <t>32.920824, -117.21491</t>
  </si>
  <si>
    <t>San Diego - Mission Center Rd, CA</t>
  </si>
  <si>
    <t>5694 Mission Center Rd</t>
  </si>
  <si>
    <t>32.776392, -117.155136</t>
  </si>
  <si>
    <t>Oxford, NC</t>
  </si>
  <si>
    <t>1015 Lewis St</t>
  </si>
  <si>
    <t>36.2803, -78.6047</t>
  </si>
  <si>
    <t>Mt. Shasta - 111 Morgan Way, CA</t>
  </si>
  <si>
    <t>111 Morgan Way</t>
  </si>
  <si>
    <t>41.310233, -122.317278</t>
  </si>
  <si>
    <t>Bristol, VA</t>
  </si>
  <si>
    <t>2415 Lee Highway</t>
  </si>
  <si>
    <t>36.628538, -82.148888</t>
  </si>
  <si>
    <t>Siler City, NC</t>
  </si>
  <si>
    <t>1605 E 11th St</t>
  </si>
  <si>
    <t>Siler City</t>
  </si>
  <si>
    <t>35.73499, -79.442016</t>
  </si>
  <si>
    <t>South Boston - Philpott Rd, VA</t>
  </si>
  <si>
    <t>1007 Philpott Rd</t>
  </si>
  <si>
    <t>South Boston</t>
  </si>
  <si>
    <t>36.68665, -78.900855</t>
  </si>
  <si>
    <t>Perry, FL</t>
  </si>
  <si>
    <t>2717 South Byron Butler Parkway</t>
  </si>
  <si>
    <t>30.086266, -83.571338</t>
  </si>
  <si>
    <t>Brea, CA</t>
  </si>
  <si>
    <t>250 Brea Mall</t>
  </si>
  <si>
    <t>Brea</t>
  </si>
  <si>
    <t>33.914491, -117.883662</t>
  </si>
  <si>
    <t>Columbia, NJ</t>
  </si>
  <si>
    <t>19 Simpson Rd</t>
  </si>
  <si>
    <t>40.933846, -75.100997</t>
  </si>
  <si>
    <t>Elgin, IL</t>
  </si>
  <si>
    <t>815 S Randall Rd</t>
  </si>
  <si>
    <t>Elgin</t>
  </si>
  <si>
    <t>42.012497, -88.335638</t>
  </si>
  <si>
    <t>Morrow, GA</t>
  </si>
  <si>
    <t>1000 Southlake Cir</t>
  </si>
  <si>
    <t>Morrow</t>
  </si>
  <si>
    <t>33.5769, -84.354123</t>
  </si>
  <si>
    <t>Tyngsborough, MA</t>
  </si>
  <si>
    <t>440 Middlesex Rd</t>
  </si>
  <si>
    <t>Tyngsborough</t>
  </si>
  <si>
    <t>42.697265, -71.43988</t>
  </si>
  <si>
    <t>Buena Park - Beach Blvd, CA</t>
  </si>
  <si>
    <t>6911 Brenner Ave</t>
  </si>
  <si>
    <t>Buena Park</t>
  </si>
  <si>
    <t>33.86044, -117.996347</t>
  </si>
  <si>
    <t>Bel Air, MD</t>
  </si>
  <si>
    <t>601 Hoagie Dr</t>
  </si>
  <si>
    <t>Bel Air</t>
  </si>
  <si>
    <t>39.568667, -76.353746</t>
  </si>
  <si>
    <t>Punta Gorda, FL</t>
  </si>
  <si>
    <t>26415 Indian Trail Dr</t>
  </si>
  <si>
    <t>Punta Gorda</t>
  </si>
  <si>
    <t>26.89569, -82.011268</t>
  </si>
  <si>
    <t>Carlton, MN</t>
  </si>
  <si>
    <t>1785 MN-210</t>
  </si>
  <si>
    <t>Carlton</t>
  </si>
  <si>
    <t>46.664849, -92.477676</t>
  </si>
  <si>
    <t>Old Bridge, NJ</t>
  </si>
  <si>
    <t>1453 NJ-18</t>
  </si>
  <si>
    <t>Old Bridge</t>
  </si>
  <si>
    <t>40.39113, -74.340201</t>
  </si>
  <si>
    <t>Woodstock, VA</t>
  </si>
  <si>
    <t>111 W Reservoir Rd</t>
  </si>
  <si>
    <t>38.866754, -78.5192</t>
  </si>
  <si>
    <t>South Barrington, IL</t>
  </si>
  <si>
    <t>100 W Higgins Rd</t>
  </si>
  <si>
    <t>South Barrington</t>
  </si>
  <si>
    <t>42.0748, -88.1868</t>
  </si>
  <si>
    <t>Bloomington, MN</t>
  </si>
  <si>
    <t>2555 W 79th St</t>
  </si>
  <si>
    <t>44.861, -93.3124</t>
  </si>
  <si>
    <t>Maple Grove, MN</t>
  </si>
  <si>
    <t>15300 Grove Cir N</t>
  </si>
  <si>
    <t>Maple Grove</t>
  </si>
  <si>
    <t>45.135263, -93.474392</t>
  </si>
  <si>
    <t>San Diego - University Center Lane, CA</t>
  </si>
  <si>
    <t>8970 University Center Ln</t>
  </si>
  <si>
    <t>32.870556, -117.224664</t>
  </si>
  <si>
    <t>Cape Girardeau, MO</t>
  </si>
  <si>
    <t>2505 Veterans Memorial Dr</t>
  </si>
  <si>
    <t>Cape Girardeau</t>
  </si>
  <si>
    <t>37.348729, -89.598272</t>
  </si>
  <si>
    <t>McDonough, GA</t>
  </si>
  <si>
    <t>South Point Shopping Center, 1380 GA-20 West</t>
  </si>
  <si>
    <t>McDonough</t>
  </si>
  <si>
    <t>33.425818, -84.18787</t>
  </si>
  <si>
    <t>Carlsbad - Paseo Del Norte, CA</t>
  </si>
  <si>
    <t>5620 Paseo Del Norte</t>
  </si>
  <si>
    <t>33.124351, -117.31912</t>
  </si>
  <si>
    <t>Kingston, NY</t>
  </si>
  <si>
    <t>640 Washington Ave</t>
  </si>
  <si>
    <t>Kingston</t>
  </si>
  <si>
    <t>41.941916, -74.027208</t>
  </si>
  <si>
    <t>Beaumont - Walden Rd, TX</t>
  </si>
  <si>
    <t>5780 Walden Rd</t>
  </si>
  <si>
    <t>30.039029, -94.160606</t>
  </si>
  <si>
    <t>Central Valley, NY</t>
  </si>
  <si>
    <t>498 Red Apple Ct</t>
  </si>
  <si>
    <t>Central Valley</t>
  </si>
  <si>
    <t>41.313222, -74.125034</t>
  </si>
  <si>
    <t>Round Rock, TX</t>
  </si>
  <si>
    <t>110 N Interstate Hwy 35</t>
  </si>
  <si>
    <t>Round Rock</t>
  </si>
  <si>
    <t>30.509711, -97.687749</t>
  </si>
  <si>
    <t>Dublin, GA</t>
  </si>
  <si>
    <t>2180 Us Hwy 441 South, GA-404</t>
  </si>
  <si>
    <t>32.490203, -82.93261</t>
  </si>
  <si>
    <t>Farmington - Hannaford Dr, ME</t>
  </si>
  <si>
    <t>131 Hannaford Drive</t>
  </si>
  <si>
    <t>44.65037, -70.150196</t>
  </si>
  <si>
    <t>Winchester, VA</t>
  </si>
  <si>
    <t>1683 Berryville Pike</t>
  </si>
  <si>
    <t>Winchester</t>
  </si>
  <si>
    <t>39.1881397, -78.1257883</t>
  </si>
  <si>
    <t>Triadelphia - Gantzer Ridge Rd, WV</t>
  </si>
  <si>
    <t>25 Gantzer Ridge Rd</t>
  </si>
  <si>
    <t>40.060289, -80.588981</t>
  </si>
  <si>
    <t>Sarasota - Clark Rd, FL</t>
  </si>
  <si>
    <t>5321 Clark Rd</t>
  </si>
  <si>
    <t>27.270298, -82.462865</t>
  </si>
  <si>
    <t>Nevada, MO</t>
  </si>
  <si>
    <t>500 E Austin Blvd</t>
  </si>
  <si>
    <t>Nevada</t>
  </si>
  <si>
    <t>37.83677, -94.351404</t>
  </si>
  <si>
    <t>Bemidji, MN</t>
  </si>
  <si>
    <t>2000 Paul Bunyan Dr NW</t>
  </si>
  <si>
    <t>Bemidji</t>
  </si>
  <si>
    <t>47.492201, -94.907057</t>
  </si>
  <si>
    <t>Bartonsville, PA</t>
  </si>
  <si>
    <t>65 PA-611</t>
  </si>
  <si>
    <t>Bartonsville</t>
  </si>
  <si>
    <t>41.001772, -75.273151</t>
  </si>
  <si>
    <t>Crossville, TN</t>
  </si>
  <si>
    <t>2444 Genesis Rd</t>
  </si>
  <si>
    <t>35.985369, -85.010956</t>
  </si>
  <si>
    <t>West Palm Beach - Florida Turnpike Service Plaza, FL</t>
  </si>
  <si>
    <t>9450 Floridas Tpke</t>
  </si>
  <si>
    <t>Wellington</t>
  </si>
  <si>
    <t>26.635504, -80.174903</t>
  </si>
  <si>
    <t>Portage - Westnedge Ave, MI</t>
  </si>
  <si>
    <t>5121 S Westnedge Ave</t>
  </si>
  <si>
    <t>42.244, -85.587575</t>
  </si>
  <si>
    <t>Cedar Park, TX</t>
  </si>
  <si>
    <t>1001 E. Whitestone Blvd</t>
  </si>
  <si>
    <t>Cedar Park</t>
  </si>
  <si>
    <t>30.525402, -97.819337</t>
  </si>
  <si>
    <t>Laurel - Van Dusen Rd, MD</t>
  </si>
  <si>
    <t>6901 Van Dusen Rd</t>
  </si>
  <si>
    <t>39.081527, -76.888961</t>
  </si>
  <si>
    <t>Cincinnati, OH</t>
  </si>
  <si>
    <t>4825 Marburg Ave</t>
  </si>
  <si>
    <t>Cincinnati</t>
  </si>
  <si>
    <t>39.162833, -84.426528</t>
  </si>
  <si>
    <t>Los Angeles - Alameda St, CA</t>
  </si>
  <si>
    <t>777 Alameda St</t>
  </si>
  <si>
    <t>34.033502, -118.240852</t>
  </si>
  <si>
    <t>Hauppauge - Motor Pkwy, NY</t>
  </si>
  <si>
    <t>694 Motor Pkwy</t>
  </si>
  <si>
    <t>Hauppauge</t>
  </si>
  <si>
    <t>40.806913, -73.238313</t>
  </si>
  <si>
    <t>Pompano Beach - Florida Turnpike Service Plaza, FL</t>
  </si>
  <si>
    <t>MM 65 Florida's Turnpike</t>
  </si>
  <si>
    <t>Pompano Beach</t>
  </si>
  <si>
    <t>26.226546, -80.182431</t>
  </si>
  <si>
    <t>Mountain Village - Mountain Village Blvd, CO</t>
  </si>
  <si>
    <t>455 Mountain Village Blvd</t>
  </si>
  <si>
    <t>Mountain Village</t>
  </si>
  <si>
    <t>37.933428, -107.854146</t>
  </si>
  <si>
    <t>Mountain Brook, AL</t>
  </si>
  <si>
    <t>1000 Jemison Lane</t>
  </si>
  <si>
    <t>Mountain Brook</t>
  </si>
  <si>
    <t>33.486691, -86.772681</t>
  </si>
  <si>
    <t>New Castle, DE</t>
  </si>
  <si>
    <t>4000 N Dupont Hwy</t>
  </si>
  <si>
    <t>New Castle</t>
  </si>
  <si>
    <t>39.709271, -75.562365</t>
  </si>
  <si>
    <t>Meredith, NH</t>
  </si>
  <si>
    <t>81 NH-25</t>
  </si>
  <si>
    <t>Meredith</t>
  </si>
  <si>
    <t>43.66114, -71.493944</t>
  </si>
  <si>
    <t>Union City, CA</t>
  </si>
  <si>
    <t>34536 Alvarado Niles Rd</t>
  </si>
  <si>
    <t>Union City</t>
  </si>
  <si>
    <t>37.587128, -122.020442</t>
  </si>
  <si>
    <t>Austin - FM 969, TX</t>
  </si>
  <si>
    <t>12200 FM 969</t>
  </si>
  <si>
    <t>30.254984, -97.605605</t>
  </si>
  <si>
    <t>Rancho Cucamonga - Foothill Blvd, CA</t>
  </si>
  <si>
    <t>12750 Foothill Blvd</t>
  </si>
  <si>
    <t>34.106627, -117.527064</t>
  </si>
  <si>
    <t>Roslyn Heights - Willis Ave, NY</t>
  </si>
  <si>
    <t>373 Willis Ave</t>
  </si>
  <si>
    <t>Roslyn Heights</t>
  </si>
  <si>
    <t>40.77956, -73.651063</t>
  </si>
  <si>
    <t>Liberty Lake (SC), WA</t>
  </si>
  <si>
    <t>1805 N Pepper Ln</t>
  </si>
  <si>
    <t>Liberty Lake</t>
  </si>
  <si>
    <t>47.673313, -117.113505</t>
  </si>
  <si>
    <t>Culver City - 11924 Washington Blvd, CA</t>
  </si>
  <si>
    <t>11924 Washington Blvd</t>
  </si>
  <si>
    <t>33.997487, -118.421155</t>
  </si>
  <si>
    <t>Orlando - Palm Pkwy, FL</t>
  </si>
  <si>
    <t>8462 Palm Pkwy</t>
  </si>
  <si>
    <t>28.3848995, -81.5011005</t>
  </si>
  <si>
    <t>Jacksonville - Wilson Blvd, FL</t>
  </si>
  <si>
    <t>6787 Wilson Blvd</t>
  </si>
  <si>
    <t>30.270331, -81.756107</t>
  </si>
  <si>
    <t>Hudson, NY</t>
  </si>
  <si>
    <t>5805 NY-9G</t>
  </si>
  <si>
    <t>42.22314, -73.826845</t>
  </si>
  <si>
    <t>Yuma - S Fortuna Rd, AZ</t>
  </si>
  <si>
    <t>11235 S Fortuna Rd</t>
  </si>
  <si>
    <t>32.668143, -114.443438</t>
  </si>
  <si>
    <t>Denver - Pontiac St, CO</t>
  </si>
  <si>
    <t>44 N Pontiac St</t>
  </si>
  <si>
    <t>39.717869, -104.9057064</t>
  </si>
  <si>
    <t>Boca Raton, FL</t>
  </si>
  <si>
    <t>6000 Glades Rd</t>
  </si>
  <si>
    <t>Boca Raton</t>
  </si>
  <si>
    <t>26.36496, -80.133209</t>
  </si>
  <si>
    <t>Cordele, GA</t>
  </si>
  <si>
    <t>1011 16th Ave E</t>
  </si>
  <si>
    <t>Cordele</t>
  </si>
  <si>
    <t>31.963626, -83.766165</t>
  </si>
  <si>
    <t>Austin - 5601 Brodie Ln, TX</t>
  </si>
  <si>
    <t>5601 Brodie Ln</t>
  </si>
  <si>
    <t>30.226235, -97.821991</t>
  </si>
  <si>
    <t>Menomonie, WI</t>
  </si>
  <si>
    <t>207 Pine Ave E W</t>
  </si>
  <si>
    <t>Menomonie</t>
  </si>
  <si>
    <t>44.901325, -91.933569</t>
  </si>
  <si>
    <t>Marina, CA</t>
  </si>
  <si>
    <t>145 General Stillwell Dr</t>
  </si>
  <si>
    <t>Marina</t>
  </si>
  <si>
    <t>36.666436, -121.810168</t>
  </si>
  <si>
    <t>Cutler Bay, FL</t>
  </si>
  <si>
    <t>11101 SW 184th St</t>
  </si>
  <si>
    <t>Cutler Bay</t>
  </si>
  <si>
    <t>25.598305, -80.37199</t>
  </si>
  <si>
    <t>Mansfield, PA</t>
  </si>
  <si>
    <t>85 West Wellsboro Street</t>
  </si>
  <si>
    <t>41.8049603, -77.08515356</t>
  </si>
  <si>
    <t>Chicopee, MA</t>
  </si>
  <si>
    <t>650 Memorial Dr</t>
  </si>
  <si>
    <t>Chicopee</t>
  </si>
  <si>
    <t>42.174804, -72.578159</t>
  </si>
  <si>
    <t>Franklin, MA</t>
  </si>
  <si>
    <t>250 Franklin Village Drive</t>
  </si>
  <si>
    <t>Franklin</t>
  </si>
  <si>
    <t>42.090329, -71.424835</t>
  </si>
  <si>
    <t>Adairsville, GA</t>
  </si>
  <si>
    <t>7867 Adairsville Hwy</t>
  </si>
  <si>
    <t>Adairsville</t>
  </si>
  <si>
    <t>34.377883, -84.915729</t>
  </si>
  <si>
    <t>Knoxville - Brookview Centre Way, TN</t>
  </si>
  <si>
    <t>250 Brookview Centre Way</t>
  </si>
  <si>
    <t>35.935852, -84.004146</t>
  </si>
  <si>
    <t>Beaver Dam, KY</t>
  </si>
  <si>
    <t>675 Western Kentucky Pkwy</t>
  </si>
  <si>
    <t>Beaver Dam</t>
  </si>
  <si>
    <t>37.377254, -86.82612</t>
  </si>
  <si>
    <t>Morgantown - Earl L Core Rd, WV</t>
  </si>
  <si>
    <t>1901 Earl L Core Rd</t>
  </si>
  <si>
    <t>39.62, -79.9234</t>
  </si>
  <si>
    <t>Aberdeen - Churchville Rd, MD</t>
  </si>
  <si>
    <t>3710 Churchville Rd</t>
  </si>
  <si>
    <t>39.529653, -76.194605</t>
  </si>
  <si>
    <t>Tomah, WI</t>
  </si>
  <si>
    <t>201 Helen Walton Dr</t>
  </si>
  <si>
    <t>Tomah</t>
  </si>
  <si>
    <t>44.018885, -90.507493</t>
  </si>
  <si>
    <t>Yorba Linda, CA</t>
  </si>
  <si>
    <t>18601 Yorba Linda Blvd</t>
  </si>
  <si>
    <t>Yorba Linda</t>
  </si>
  <si>
    <t>33.889175, -117.808082</t>
  </si>
  <si>
    <t>Richmond, KY</t>
  </si>
  <si>
    <t>1013 Buc-ee's Blvd</t>
  </si>
  <si>
    <t>37.67173, -84.308365</t>
  </si>
  <si>
    <t>Bee Cave, TX</t>
  </si>
  <si>
    <t>12770 Shops Pkwy</t>
  </si>
  <si>
    <t>Bee Cave</t>
  </si>
  <si>
    <t>30.303714, -97.941726</t>
  </si>
  <si>
    <t>Yemassee, SC</t>
  </si>
  <si>
    <t>810 US-17</t>
  </si>
  <si>
    <t>Yemassee</t>
  </si>
  <si>
    <t>32.634231, -80.875183</t>
  </si>
  <si>
    <t>Two Harbors, MN</t>
  </si>
  <si>
    <t>820 11th St</t>
  </si>
  <si>
    <t>Two Harbors</t>
  </si>
  <si>
    <t>47.028302, -91.6808</t>
  </si>
  <si>
    <t>Tillamook, OR</t>
  </si>
  <si>
    <t>2325 Latimer Rd N</t>
  </si>
  <si>
    <t>Tillamook</t>
  </si>
  <si>
    <t>45.481359, -123.843893</t>
  </si>
  <si>
    <t>Hanover, MA</t>
  </si>
  <si>
    <t>1775 Washington St</t>
  </si>
  <si>
    <t>42.1474, -70.8432</t>
  </si>
  <si>
    <t>San Diego - Scripps Poway Pkwy, CA</t>
  </si>
  <si>
    <t>10555 Scripps Poway Pkwy, CA</t>
  </si>
  <si>
    <t>32.9362, -117.098848</t>
  </si>
  <si>
    <t>Sutherlin, OR</t>
  </si>
  <si>
    <t>116 Clover Leaf Loop</t>
  </si>
  <si>
    <t>Sutherlin</t>
  </si>
  <si>
    <t>43.386902, -123.341367</t>
  </si>
  <si>
    <t>Millen, GA</t>
  </si>
  <si>
    <t>104 E Winthrope Ave</t>
  </si>
  <si>
    <t>Millen</t>
  </si>
  <si>
    <t>32.8032, -81.9486</t>
  </si>
  <si>
    <t>Joppatowne, MD</t>
  </si>
  <si>
    <t>1419 Mountain Rd</t>
  </si>
  <si>
    <t>Joppatowne</t>
  </si>
  <si>
    <t>39.440207, -76.345305</t>
  </si>
  <si>
    <t>Janesville, WI</t>
  </si>
  <si>
    <t>2819 N Lexington Dr</t>
  </si>
  <si>
    <t>Janesville</t>
  </si>
  <si>
    <t>42.7176917, -88.9947624</t>
  </si>
  <si>
    <t>Culver City - Washington Blvd, CA</t>
  </si>
  <si>
    <t>8850 Washington Blvd</t>
  </si>
  <si>
    <t>34.027046, -118.388416</t>
  </si>
  <si>
    <t>Las Vegas - Bridger Ave, NV</t>
  </si>
  <si>
    <t>701 Bridger Ave</t>
  </si>
  <si>
    <t>36.165906, -115.138655</t>
  </si>
  <si>
    <t>Las Vegas - High Roller at LINQ, NV</t>
  </si>
  <si>
    <t>3993 Audrie St</t>
  </si>
  <si>
    <t>36.11671, -115.168258</t>
  </si>
  <si>
    <t>Alachua, FL</t>
  </si>
  <si>
    <t>15560 NW HWY 441</t>
  </si>
  <si>
    <t>Alachua</t>
  </si>
  <si>
    <t>29.796918, -82.500844</t>
  </si>
  <si>
    <t>Rocky Hill, CT</t>
  </si>
  <si>
    <t>632 Cromwell Ave</t>
  </si>
  <si>
    <t>Rocky Hill</t>
  </si>
  <si>
    <t>41.653283, -72.679252</t>
  </si>
  <si>
    <t>Leland, NC</t>
  </si>
  <si>
    <t>2020 Olde Regent Way</t>
  </si>
  <si>
    <t>Leland</t>
  </si>
  <si>
    <t>34.2173, -78.0185</t>
  </si>
  <si>
    <t>Appleton, WI</t>
  </si>
  <si>
    <t>3801 N Richmond St</t>
  </si>
  <si>
    <t>Appleton</t>
  </si>
  <si>
    <t>44.301045, -88.416975</t>
  </si>
  <si>
    <t>Natchitoches, LA</t>
  </si>
  <si>
    <t>5423 University Pkwy</t>
  </si>
  <si>
    <t>Natchitoches</t>
  </si>
  <si>
    <t>31.724944, -93.162309</t>
  </si>
  <si>
    <t>Warsaw - NC-24, NC</t>
  </si>
  <si>
    <t>2669 NC-24</t>
  </si>
  <si>
    <t>Warsaw</t>
  </si>
  <si>
    <t>34.992695, -78.135604</t>
  </si>
  <si>
    <t>Ypsilanti, MI</t>
  </si>
  <si>
    <t>3825 Carpenter Rd</t>
  </si>
  <si>
    <t>Ypsilanti</t>
  </si>
  <si>
    <t>42.232722, -83.678722</t>
  </si>
  <si>
    <t>Ellensburg - Canyon Rd, WA</t>
  </si>
  <si>
    <t>1500 Canyon Rd</t>
  </si>
  <si>
    <t>46.978013, -120.542423</t>
  </si>
  <si>
    <t>Allen, TX</t>
  </si>
  <si>
    <t>939 W Stacy Rd</t>
  </si>
  <si>
    <t>Allen</t>
  </si>
  <si>
    <t>33.129609, -96.673894</t>
  </si>
  <si>
    <t>Freetown, MA</t>
  </si>
  <si>
    <t>36 Innovation Way</t>
  </si>
  <si>
    <t>Freetown</t>
  </si>
  <si>
    <t>41.7628, -71.0955</t>
  </si>
  <si>
    <t>Baton Rouge - Airline Hwy, LA</t>
  </si>
  <si>
    <t>9650 Airline Hwy</t>
  </si>
  <si>
    <t>30.432893, -91.081966</t>
  </si>
  <si>
    <t>Scottsdale - E Shea Blvd, AZ</t>
  </si>
  <si>
    <t>8740 E Shea Blvd</t>
  </si>
  <si>
    <t>33.5835, -111.894</t>
  </si>
  <si>
    <t>Syracuse - Destiny USA Dr, NY</t>
  </si>
  <si>
    <t>1 Destiny USA Dr</t>
  </si>
  <si>
    <t>Syracuse</t>
  </si>
  <si>
    <t>43.0674, -76.1753</t>
  </si>
  <si>
    <t>Verona, NY</t>
  </si>
  <si>
    <t>5218 Patrick Rd</t>
  </si>
  <si>
    <t>Verona</t>
  </si>
  <si>
    <t>43.113201, -75.591176</t>
  </si>
  <si>
    <t>Glendale, WI</t>
  </si>
  <si>
    <t>5699 N Centerpark Way</t>
  </si>
  <si>
    <t>43.121, -87.916222</t>
  </si>
  <si>
    <t>Carle Place, NY</t>
  </si>
  <si>
    <t>165 Old Country Rd</t>
  </si>
  <si>
    <t>Carle Place</t>
  </si>
  <si>
    <t>40.744718, -73.61626</t>
  </si>
  <si>
    <t>Fort Lauderdale - East Sunrise Blvd, FL</t>
  </si>
  <si>
    <t>2414 E Sunrise Blvd</t>
  </si>
  <si>
    <t>26.136936, -80.113134</t>
  </si>
  <si>
    <t>Abbott, TX</t>
  </si>
  <si>
    <t>1197 I-35</t>
  </si>
  <si>
    <t>Abbott</t>
  </si>
  <si>
    <t>31.898651, -97.091114</t>
  </si>
  <si>
    <t>Lake Arrowhead, CA</t>
  </si>
  <si>
    <t>28200 State Hwy 189</t>
  </si>
  <si>
    <t>Lake Arrowhead</t>
  </si>
  <si>
    <t>34.250676, -117.189756</t>
  </si>
  <si>
    <t>Stockton - E Morada Ln, CA</t>
  </si>
  <si>
    <t>4255 E Morada Ln</t>
  </si>
  <si>
    <t>38.039095, -121.260928</t>
  </si>
  <si>
    <t>Myrtle Creek, OR</t>
  </si>
  <si>
    <t>130 Petite St</t>
  </si>
  <si>
    <t>Myrtle Creek</t>
  </si>
  <si>
    <t>42.97264, -123.339021</t>
  </si>
  <si>
    <t>Del Valle, TX</t>
  </si>
  <si>
    <t>12201 Pearce Ln</t>
  </si>
  <si>
    <t>Del Valle</t>
  </si>
  <si>
    <t>30.172397, -97.630394</t>
  </si>
  <si>
    <t>Troutdale, OR</t>
  </si>
  <si>
    <t>450 NW 257th Way</t>
  </si>
  <si>
    <t>Troutdale</t>
  </si>
  <si>
    <t>45.542901, -122.38935</t>
  </si>
  <si>
    <t>Bronx - Bay Plaza, NY</t>
  </si>
  <si>
    <t>270 Baychester Ave</t>
  </si>
  <si>
    <t>Bronx</t>
  </si>
  <si>
    <t>40.86368, -73.82916</t>
  </si>
  <si>
    <t>Beaver - 525 W, UT</t>
  </si>
  <si>
    <t>1780 Littlefield Interchange</t>
  </si>
  <si>
    <t>Beaver</t>
  </si>
  <si>
    <t>38.2484296, -112.6531868</t>
  </si>
  <si>
    <t>New Bern, NC</t>
  </si>
  <si>
    <t>2507 Dr. M.L.K. Jr Blvd</t>
  </si>
  <si>
    <t>New Bern</t>
  </si>
  <si>
    <t>35.104124, -77.080448</t>
  </si>
  <si>
    <t>Fair Oaks, IN</t>
  </si>
  <si>
    <t>856 N 600 E</t>
  </si>
  <si>
    <t>Fair Oaks</t>
  </si>
  <si>
    <t>41.010608, -87.276583</t>
  </si>
  <si>
    <t>Massapequa, NY</t>
  </si>
  <si>
    <t>926 Carmans Rd</t>
  </si>
  <si>
    <t>Massapequa</t>
  </si>
  <si>
    <t>40.701916, -73.432817</t>
  </si>
  <si>
    <t>St. George, SC</t>
  </si>
  <si>
    <t>5920 W Jim Bilton Blvd</t>
  </si>
  <si>
    <t>33.195556, -80.599395</t>
  </si>
  <si>
    <t>Garner, NC</t>
  </si>
  <si>
    <t>5180 NC-42</t>
  </si>
  <si>
    <t>Garner</t>
  </si>
  <si>
    <t>35.608443, -78.563054</t>
  </si>
  <si>
    <t>Edwards, CO</t>
  </si>
  <si>
    <t>436 Edwards Access Rd</t>
  </si>
  <si>
    <t>Edwards</t>
  </si>
  <si>
    <t>39.648581, -106.587182</t>
  </si>
  <si>
    <t>Lexington, SC</t>
  </si>
  <si>
    <t>1123 S Lake Dr</t>
  </si>
  <si>
    <t>33.9521519, -81.2326944</t>
  </si>
  <si>
    <t>Garden City, NY</t>
  </si>
  <si>
    <t>630 Old Country Rd</t>
  </si>
  <si>
    <t>Garden City</t>
  </si>
  <si>
    <t>40.7416044, -73.6129391</t>
  </si>
  <si>
    <t>North Miami Beach, FL</t>
  </si>
  <si>
    <t>14075 Biscayne Blvd</t>
  </si>
  <si>
    <t>North Miami Beac</t>
  </si>
  <si>
    <t>25.906606, -80.157279</t>
  </si>
  <si>
    <t>Chesapeake, VA</t>
  </si>
  <si>
    <t>101 Hillcrest Pkwy</t>
  </si>
  <si>
    <t>Chesapeake</t>
  </si>
  <si>
    <t>36.657929, -76.224462</t>
  </si>
  <si>
    <t>Halifax, NC</t>
  </si>
  <si>
    <t>10401 NC-903</t>
  </si>
  <si>
    <t>Halifax</t>
  </si>
  <si>
    <t>36.366063, -77.674315</t>
  </si>
  <si>
    <t>Annapolis - Buschs Frontage Rd, MD</t>
  </si>
  <si>
    <t>321 Buschs Frontage Rd</t>
  </si>
  <si>
    <t>Annapolis</t>
  </si>
  <si>
    <t>39.027063, -76.455758</t>
  </si>
  <si>
    <t>Bethel Park, PA</t>
  </si>
  <si>
    <t>7000 Oxford Dr</t>
  </si>
  <si>
    <t>Bethel Park</t>
  </si>
  <si>
    <t>40.346018, -80.047168</t>
  </si>
  <si>
    <t>Burr Ridge, IL</t>
  </si>
  <si>
    <t>515 Village Center Dr</t>
  </si>
  <si>
    <t>Burr Ridge</t>
  </si>
  <si>
    <t>41.7523, -87.9137</t>
  </si>
  <si>
    <t>Hutto, TX</t>
  </si>
  <si>
    <t>5000 Gattis School Rd</t>
  </si>
  <si>
    <t>Hutto</t>
  </si>
  <si>
    <t>30.502813, -97.580947</t>
  </si>
  <si>
    <t>Falmouth, ME</t>
  </si>
  <si>
    <t>65 Gray Rd</t>
  </si>
  <si>
    <t>Falmouth</t>
  </si>
  <si>
    <t>43.734299, -70.293547</t>
  </si>
  <si>
    <t>Algonquin, IL</t>
  </si>
  <si>
    <t>400 S Randall Rd</t>
  </si>
  <si>
    <t>Algonquin</t>
  </si>
  <si>
    <t>42.171166, -88.336632</t>
  </si>
  <si>
    <t>Waterville, ME</t>
  </si>
  <si>
    <t>140 Elm Plaza</t>
  </si>
  <si>
    <t>Waterville</t>
  </si>
  <si>
    <t>44.569032, -69.639469</t>
  </si>
  <si>
    <t>Red Oak, TX</t>
  </si>
  <si>
    <t>200 I- 35 Service Rd</t>
  </si>
  <si>
    <t>Red Oak</t>
  </si>
  <si>
    <t>32.517, -96.8214</t>
  </si>
  <si>
    <t>Huntsville, AL</t>
  </si>
  <si>
    <t>5909 University Dr</t>
  </si>
  <si>
    <t>34.739127, -86.666295</t>
  </si>
  <si>
    <t>Fort Wayne - Illinois Rd, IN</t>
  </si>
  <si>
    <t>5909 Illinois Rd</t>
  </si>
  <si>
    <t>41.07321, -85.21819</t>
  </si>
  <si>
    <t>Calabasas - Commons Way, CA</t>
  </si>
  <si>
    <t>4799 Commons Way</t>
  </si>
  <si>
    <t>Calabasas</t>
  </si>
  <si>
    <t>34.154607, -118.645367</t>
  </si>
  <si>
    <t>Saco, ME</t>
  </si>
  <si>
    <t>532 Main St</t>
  </si>
  <si>
    <t>Saco</t>
  </si>
  <si>
    <t>43.5112, -70.4348</t>
  </si>
  <si>
    <t>Scappoose, OR</t>
  </si>
  <si>
    <t>52469 SE 2nd St</t>
  </si>
  <si>
    <t>Scappoose</t>
  </si>
  <si>
    <t>45.7562, -122.8764</t>
  </si>
  <si>
    <t>Highland, CA</t>
  </si>
  <si>
    <t>27961 Highland Avenue</t>
  </si>
  <si>
    <t>Highland</t>
  </si>
  <si>
    <t>34.135136, -117.195193</t>
  </si>
  <si>
    <t>Shenandoah, TX</t>
  </si>
  <si>
    <t>10973 I-45</t>
  </si>
  <si>
    <t>Shenandoah</t>
  </si>
  <si>
    <t>30.188746, -95.452171</t>
  </si>
  <si>
    <t>Genoa - Wyandot Service Plaza, OH</t>
  </si>
  <si>
    <t>Wyandot Service Plaza, Ohio Turnpike</t>
  </si>
  <si>
    <t>Genoa</t>
  </si>
  <si>
    <t>41.489964, -83.37048</t>
  </si>
  <si>
    <t>Mystic, CT</t>
  </si>
  <si>
    <t>12 Coogan Blvd</t>
  </si>
  <si>
    <t>Mystic</t>
  </si>
  <si>
    <t>41.372386, -71.956586</t>
  </si>
  <si>
    <t>Lubbock (SC), TX</t>
  </si>
  <si>
    <t>6544 82nd St</t>
  </si>
  <si>
    <t>Lubbock</t>
  </si>
  <si>
    <t>33.520954, -101.961588</t>
  </si>
  <si>
    <t>Dallas - The Hill, TX</t>
  </si>
  <si>
    <t>9740 North Central Expressway</t>
  </si>
  <si>
    <t>32.881155, -96.769519</t>
  </si>
  <si>
    <t>Bad Axe, MI</t>
  </si>
  <si>
    <t>100 Pigeon Rd</t>
  </si>
  <si>
    <t>Bad Axe</t>
  </si>
  <si>
    <t>43.82471, -83.00583</t>
  </si>
  <si>
    <t>Danvers, MA</t>
  </si>
  <si>
    <t>301 Newbury St</t>
  </si>
  <si>
    <t>Danvers</t>
  </si>
  <si>
    <t>42.585318, -70.96587</t>
  </si>
  <si>
    <t>Tempe, AZ</t>
  </si>
  <si>
    <t>5000 S Arizona Mills Cir</t>
  </si>
  <si>
    <t>Tempe</t>
  </si>
  <si>
    <t>33.381, -111.963</t>
  </si>
  <si>
    <t>North Babylon, NY</t>
  </si>
  <si>
    <t>1261 Deer Pk Ave</t>
  </si>
  <si>
    <t>North Babylon</t>
  </si>
  <si>
    <t>40.739557, -73.319465</t>
  </si>
  <si>
    <t>Tampa - E Hillsborough Ave, FL</t>
  </si>
  <si>
    <t>7408 E Hillsborough Ave</t>
  </si>
  <si>
    <t>27.996805, -82.372668</t>
  </si>
  <si>
    <t>Tampa - East Bearss Ave, FL</t>
  </si>
  <si>
    <t>804 E Bearss Ave</t>
  </si>
  <si>
    <t>28.088551, -82.4521</t>
  </si>
  <si>
    <t>Chula Vista - Showroom Pl, CA</t>
  </si>
  <si>
    <t>881 Showroom Pl</t>
  </si>
  <si>
    <t>32.651478, -116.954543</t>
  </si>
  <si>
    <t>Somerville, MA</t>
  </si>
  <si>
    <t>779 McGrath Hwy</t>
  </si>
  <si>
    <t>Somerville</t>
  </si>
  <si>
    <t>42.390558, -71.086016</t>
  </si>
  <si>
    <t>Genoa - Blue Heron Service Plaza, OH</t>
  </si>
  <si>
    <t>Blue Heron Service Plaza, Ohio Turnpike</t>
  </si>
  <si>
    <t>41.490708, -83.366736</t>
  </si>
  <si>
    <t>Hood River - Cascade Ave, OR</t>
  </si>
  <si>
    <t>2249 Cascade Ave</t>
  </si>
  <si>
    <t>Hood River</t>
  </si>
  <si>
    <t>45.709603, -121.534581</t>
  </si>
  <si>
    <t>St. Paul, MN</t>
  </si>
  <si>
    <t>1300 University Ave W</t>
  </si>
  <si>
    <t>St. Paul</t>
  </si>
  <si>
    <t>44.954518, -93.15492</t>
  </si>
  <si>
    <t>Glendale, AZ</t>
  </si>
  <si>
    <t>6755 N Sunset Blvd</t>
  </si>
  <si>
    <t>33.535965, -112.262776</t>
  </si>
  <si>
    <t>Chugiak, AK</t>
  </si>
  <si>
    <t>22211 Birchwood Loop Rd</t>
  </si>
  <si>
    <t>Chugiak</t>
  </si>
  <si>
    <t>61.403462, -149.46797</t>
  </si>
  <si>
    <t>North Bergen, NJ</t>
  </si>
  <si>
    <t>3131 John F. Kennedy Blvd</t>
  </si>
  <si>
    <t>40.775375, -74.034666</t>
  </si>
  <si>
    <t>Needles - W Broadway St, CA</t>
  </si>
  <si>
    <t>2410 W Broadway St</t>
  </si>
  <si>
    <t>Needles</t>
  </si>
  <si>
    <t>34.850856, -114.622865</t>
  </si>
  <si>
    <t>Melville, NY</t>
  </si>
  <si>
    <t>890 Walt Whitman Rd</t>
  </si>
  <si>
    <t>Melville</t>
  </si>
  <si>
    <t>40.798738, -73.41226</t>
  </si>
  <si>
    <t>Perry Hall, MD</t>
  </si>
  <si>
    <t>9809 Belair Rd</t>
  </si>
  <si>
    <t>Perry Hall</t>
  </si>
  <si>
    <t>39.4189, -76.4558</t>
  </si>
  <si>
    <t>Needles - E Broadway St, CA</t>
  </si>
  <si>
    <t>1020 E Broadway St</t>
  </si>
  <si>
    <t>34.825734, -114.594896</t>
  </si>
  <si>
    <t>Socorro, NM</t>
  </si>
  <si>
    <t>1100 N California Street</t>
  </si>
  <si>
    <t>Socorro</t>
  </si>
  <si>
    <t>34.071707, -106.892957</t>
  </si>
  <si>
    <t>Salisbury, MD</t>
  </si>
  <si>
    <t>2300 North Salisbury Blvd</t>
  </si>
  <si>
    <t>38.401648, -75.564818</t>
  </si>
  <si>
    <t>Needles, CA</t>
  </si>
  <si>
    <t>2451 Needles Hwy</t>
  </si>
  <si>
    <t>34.850835, -114.624329</t>
  </si>
  <si>
    <t>Ontario, CA</t>
  </si>
  <si>
    <t>155 E C St</t>
  </si>
  <si>
    <t>34.066162, -117.65027</t>
  </si>
  <si>
    <t>Iowa City, IA</t>
  </si>
  <si>
    <t>1103 N Dodge St</t>
  </si>
  <si>
    <t>Iowa City</t>
  </si>
  <si>
    <t>41.675785, -91.520803</t>
  </si>
  <si>
    <t>Palmer, MA</t>
  </si>
  <si>
    <t>1178 Thorndike St</t>
  </si>
  <si>
    <t>Palmer</t>
  </si>
  <si>
    <t>42.173452, -72.324767</t>
  </si>
  <si>
    <t>Winston-Salem, NC</t>
  </si>
  <si>
    <t>276 Harvey St</t>
  </si>
  <si>
    <t>Winston-Salem</t>
  </si>
  <si>
    <t>36.084444, -80.295348</t>
  </si>
  <si>
    <t>Creswell, OR</t>
  </si>
  <si>
    <t>365 E Oregon Ave</t>
  </si>
  <si>
    <t>Creswell</t>
  </si>
  <si>
    <t>43.916972, -123.013799</t>
  </si>
  <si>
    <t>Mokena, IL</t>
  </si>
  <si>
    <t>11305 Lincoln Hwy</t>
  </si>
  <si>
    <t>Mokena</t>
  </si>
  <si>
    <t>41.49984, -87.88864</t>
  </si>
  <si>
    <t>Pueblo, CO</t>
  </si>
  <si>
    <t>301 Central Main St</t>
  </si>
  <si>
    <t>Pueblo</t>
  </si>
  <si>
    <t>38.266591, -104.609086</t>
  </si>
  <si>
    <t>Aventura - Biscayne Blvd, FL</t>
  </si>
  <si>
    <t>21005 Biscayne Blvd</t>
  </si>
  <si>
    <t>25.970508, -80.141165</t>
  </si>
  <si>
    <t>Ocala - W. Silver Springs Blvd, FL</t>
  </si>
  <si>
    <t>3312 W Silver Springs Blvd</t>
  </si>
  <si>
    <t>29.1853376, -82.1773968</t>
  </si>
  <si>
    <t>Detroit, MI</t>
  </si>
  <si>
    <t>1301 W 8 Mile Road</t>
  </si>
  <si>
    <t>42.445534, -83.11792</t>
  </si>
  <si>
    <t>Girard, OH</t>
  </si>
  <si>
    <t>420 S State St</t>
  </si>
  <si>
    <t>Girard</t>
  </si>
  <si>
    <t>41.1493, -80.7</t>
  </si>
  <si>
    <t>Boardman, OR</t>
  </si>
  <si>
    <t>101 Olson Rd SE</t>
  </si>
  <si>
    <t>Boardman</t>
  </si>
  <si>
    <t>45.841463, -119.684207</t>
  </si>
  <si>
    <t>Melville - Walt Whitman Rd, NY</t>
  </si>
  <si>
    <t>1350 Walt Whitman Rd</t>
  </si>
  <si>
    <t>40.782905, -73.42252</t>
  </si>
  <si>
    <t>Memphis - North Germantown Pkwy, TN</t>
  </si>
  <si>
    <t>2751 Wolf Creek Pkwy</t>
  </si>
  <si>
    <t>35.202146, -89.794496</t>
  </si>
  <si>
    <t>White Plains, MD</t>
  </si>
  <si>
    <t>4210 Crain Hwy</t>
  </si>
  <si>
    <t>White Plains</t>
  </si>
  <si>
    <t>38.5955, -76.9372</t>
  </si>
  <si>
    <t>Sturgeon Bay, WI</t>
  </si>
  <si>
    <t>622 S Ashland Ave</t>
  </si>
  <si>
    <t>Sturgeon Bay</t>
  </si>
  <si>
    <t>44.822043, -87.402726</t>
  </si>
  <si>
    <t>Hickory - NC-127, NC</t>
  </si>
  <si>
    <t>2631 NC-127</t>
  </si>
  <si>
    <t>35.692297, -81.357075</t>
  </si>
  <si>
    <t>Weaverville, CA</t>
  </si>
  <si>
    <t>1665 Main St</t>
  </si>
  <si>
    <t>Weaverville</t>
  </si>
  <si>
    <t>40.720505, -122.928071</t>
  </si>
  <si>
    <t>Chehalis, WA</t>
  </si>
  <si>
    <t>700 NW Arkansas Way</t>
  </si>
  <si>
    <t>Chehalis</t>
  </si>
  <si>
    <t>46.679783, -122.977105</t>
  </si>
  <si>
    <t>Las Vegas - E Sahara Ave (SC), NV</t>
  </si>
  <si>
    <t>3250 E Sahara Ave</t>
  </si>
  <si>
    <t>36.145327, -115.102898</t>
  </si>
  <si>
    <t>Mount Juliet, TN</t>
  </si>
  <si>
    <t>50 Old Pleasant Grove Rd</t>
  </si>
  <si>
    <t>Mount Juliet</t>
  </si>
  <si>
    <t>36.173769, -86.513564</t>
  </si>
  <si>
    <t>San Diego - Genesee Ave, CA</t>
  </si>
  <si>
    <t>4310 Genesee Ave</t>
  </si>
  <si>
    <t>32.821662, -117.184317</t>
  </si>
  <si>
    <t>Boone, NC</t>
  </si>
  <si>
    <t>2147 Blowing Rock Rd</t>
  </si>
  <si>
    <t>Boone</t>
  </si>
  <si>
    <t>36.196087, -81.653014</t>
  </si>
  <si>
    <t>Kissimmee - W Osceola Pkwy, FL</t>
  </si>
  <si>
    <t>751 Centerview Blvd</t>
  </si>
  <si>
    <t>28.341509, -81.411159</t>
  </si>
  <si>
    <t>Bakersfield - Copus Rd, CA</t>
  </si>
  <si>
    <t>10565 Copus Rd</t>
  </si>
  <si>
    <t>Kern County</t>
  </si>
  <si>
    <t>35.094874, -119.040158</t>
  </si>
  <si>
    <t>Orlando - S Orange Blossom Trl, FL</t>
  </si>
  <si>
    <t>8001 S Orange Blossom Trail</t>
  </si>
  <si>
    <t>28.448461, -81.394583</t>
  </si>
  <si>
    <t>Mesquite, NV</t>
  </si>
  <si>
    <t>950 W Mesquite Blvd</t>
  </si>
  <si>
    <t>Mesquite</t>
  </si>
  <si>
    <t>36.802978, -114.099928</t>
  </si>
  <si>
    <t>Lenox, MA</t>
  </si>
  <si>
    <t>55 Pittsfield Rd</t>
  </si>
  <si>
    <t>Lenox</t>
  </si>
  <si>
    <t>42.377028, -73.277352</t>
  </si>
  <si>
    <t>Jasper, FL</t>
  </si>
  <si>
    <t>6723 US-129</t>
  </si>
  <si>
    <t>Jasper</t>
  </si>
  <si>
    <t>30.446647, -82.933586</t>
  </si>
  <si>
    <t>Jonesboro, AR</t>
  </si>
  <si>
    <t>3920 Southwest Dr</t>
  </si>
  <si>
    <t>Jonesboro</t>
  </si>
  <si>
    <t>35.7966, -90.7307</t>
  </si>
  <si>
    <t>Thomasville, NC</t>
  </si>
  <si>
    <t>1810 Liberty Dr</t>
  </si>
  <si>
    <t>Thomasville</t>
  </si>
  <si>
    <t>35.855555, -80.072156</t>
  </si>
  <si>
    <t>Sprague, WA</t>
  </si>
  <si>
    <t>2008 Durry Rd</t>
  </si>
  <si>
    <t>Sprague</t>
  </si>
  <si>
    <t>47.209072, -118.22589</t>
  </si>
  <si>
    <t>Urbana, IL</t>
  </si>
  <si>
    <t>2100 E University Ave</t>
  </si>
  <si>
    <t>40.115628, -88.182804</t>
  </si>
  <si>
    <t>Selma, CA</t>
  </si>
  <si>
    <t>2851 Highland Ave</t>
  </si>
  <si>
    <t>Selma</t>
  </si>
  <si>
    <t>36.574434, -119.629402</t>
  </si>
  <si>
    <t>Rockingham, NC</t>
  </si>
  <si>
    <t>1305 E Broad Ave</t>
  </si>
  <si>
    <t>Rockingham</t>
  </si>
  <si>
    <t>34.921509, -79.74772</t>
  </si>
  <si>
    <t>Kenosha, WI</t>
  </si>
  <si>
    <t>7145 118th Ave</t>
  </si>
  <si>
    <t>Kenosha</t>
  </si>
  <si>
    <t>42.56911, -87.947466</t>
  </si>
  <si>
    <t>Findlay, OH</t>
  </si>
  <si>
    <t>1051 Interstate Ct</t>
  </si>
  <si>
    <t>Findlay</t>
  </si>
  <si>
    <t>41.059623, -83.671058</t>
  </si>
  <si>
    <t>Denison, TX</t>
  </si>
  <si>
    <t>TX-91</t>
  </si>
  <si>
    <t>Denison</t>
  </si>
  <si>
    <t>33.793806, -96.554709</t>
  </si>
  <si>
    <t>Normal - E College Ave, IL</t>
  </si>
  <si>
    <t>1900 E College Ave</t>
  </si>
  <si>
    <t>40.511235, -88.947814</t>
  </si>
  <si>
    <t>Kimball, TN</t>
  </si>
  <si>
    <t>300 Kimball Crossing Dr</t>
  </si>
  <si>
    <t>Kimball</t>
  </si>
  <si>
    <t>35.039825, -85.685066</t>
  </si>
  <si>
    <t>Johnson City - US-281, TX</t>
  </si>
  <si>
    <t>405 US 281</t>
  </si>
  <si>
    <t>Johnson City</t>
  </si>
  <si>
    <t>30.269934, -98.398065</t>
  </si>
  <si>
    <t>Madras, OR</t>
  </si>
  <si>
    <t>1575 US-97</t>
  </si>
  <si>
    <t>Madras</t>
  </si>
  <si>
    <t>44.614312, -121.134674</t>
  </si>
  <si>
    <t>Barstow - E Main St, CA</t>
  </si>
  <si>
    <t>1866 E Main St</t>
  </si>
  <si>
    <t>34.8881, -116.9955</t>
  </si>
  <si>
    <t>Woodbridge, NJ</t>
  </si>
  <si>
    <t>440 King Georges Rd</t>
  </si>
  <si>
    <t>40.535862, -74.297271</t>
  </si>
  <si>
    <t>St. Peter, MN</t>
  </si>
  <si>
    <t>1002 Old Minnesota Ave</t>
  </si>
  <si>
    <t>St. Peter</t>
  </si>
  <si>
    <t>44.336448, -93.950131</t>
  </si>
  <si>
    <t>Llano, TX</t>
  </si>
  <si>
    <t>115 E. Main St</t>
  </si>
  <si>
    <t>Llano</t>
  </si>
  <si>
    <t>30.750554, -98.67491</t>
  </si>
  <si>
    <t>Woodbridge - Potomac Town Place, VA</t>
  </si>
  <si>
    <t>15201 Potomac Town Pl</t>
  </si>
  <si>
    <t>38.629244, -77.289539</t>
  </si>
  <si>
    <t>Rochelle, IL</t>
  </si>
  <si>
    <t>330 S 7th St</t>
  </si>
  <si>
    <t>Rochelle</t>
  </si>
  <si>
    <t>41.916936, -89.069076</t>
  </si>
  <si>
    <t>Wharton, TX</t>
  </si>
  <si>
    <t>10484 US-59</t>
  </si>
  <si>
    <t>Wharton</t>
  </si>
  <si>
    <t>29.325098, -96.124308</t>
  </si>
  <si>
    <t>Folsom - Iron Point Rd, CA</t>
  </si>
  <si>
    <t>13000 Folsom Blvd</t>
  </si>
  <si>
    <t>38.64258, -121.18806</t>
  </si>
  <si>
    <t>Clyde, TX</t>
  </si>
  <si>
    <t>8075 I-20, S Access Rd West</t>
  </si>
  <si>
    <t>Clyde</t>
  </si>
  <si>
    <t>32.417468, -99.526532</t>
  </si>
  <si>
    <t>Riverview - Hwy 301 S, FL</t>
  </si>
  <si>
    <t>9617 US-301</t>
  </si>
  <si>
    <t>27.858153, -82.327561</t>
  </si>
  <si>
    <t>Orlando - 7826 W Sand Lake Rd, FL</t>
  </si>
  <si>
    <t>7826 W Sand Lake Rd</t>
  </si>
  <si>
    <t>28.449537, -81.490195</t>
  </si>
  <si>
    <t>Atlanta - Peachtree Rd, GA</t>
  </si>
  <si>
    <t>3393 Peachtree Rd</t>
  </si>
  <si>
    <t>33.848756, -84.36434</t>
  </si>
  <si>
    <t>Charlottesville - Proffit Rd, VA</t>
  </si>
  <si>
    <t>3267 Proffit Rd</t>
  </si>
  <si>
    <t>38.132266, -78.434391</t>
  </si>
  <si>
    <t>Laguna Seca, CA</t>
  </si>
  <si>
    <t>1021 Monterey Salinas Hwy</t>
  </si>
  <si>
    <t>36.586463, -121.756108</t>
  </si>
  <si>
    <t>West Lake Hills, TX</t>
  </si>
  <si>
    <t>701 S Capital of Texas Hwy</t>
  </si>
  <si>
    <t>West Lake Hills</t>
  </si>
  <si>
    <t>30.289722, -97.827417</t>
  </si>
  <si>
    <t>New Braunfels, TX</t>
  </si>
  <si>
    <t>2760 N IH 35</t>
  </si>
  <si>
    <t>New Braunfels</t>
  </si>
  <si>
    <t>29.726598, -98.078702</t>
  </si>
  <si>
    <t>Evansville, WY</t>
  </si>
  <si>
    <t>6985 Nugget St</t>
  </si>
  <si>
    <t>Evansville</t>
  </si>
  <si>
    <t>42.846691, -106.214485</t>
  </si>
  <si>
    <t>Mocksville, NC</t>
  </si>
  <si>
    <t>1449 Yadkinville Rd</t>
  </si>
  <si>
    <t>Mocksville</t>
  </si>
  <si>
    <t>35.9189, -80.5856</t>
  </si>
  <si>
    <t>Mesa, AZ</t>
  </si>
  <si>
    <t>1859 S Stapley Dr</t>
  </si>
  <si>
    <t>Mesa</t>
  </si>
  <si>
    <t>33.3803, -111.8056</t>
  </si>
  <si>
    <t>Orlando - Millenia Plaza Way, FL</t>
  </si>
  <si>
    <t>4750 Millenia Plaza Way</t>
  </si>
  <si>
    <t>28.492365, -81.429161</t>
  </si>
  <si>
    <t>Ashland, VA</t>
  </si>
  <si>
    <t>12341 Washington Hwy</t>
  </si>
  <si>
    <t>37.745769, -77.472412</t>
  </si>
  <si>
    <t>Alice, TX</t>
  </si>
  <si>
    <t>700 E Front St</t>
  </si>
  <si>
    <t>Alice</t>
  </si>
  <si>
    <t>27.749045, -98.06881</t>
  </si>
  <si>
    <t>Jacksonville - County Road, FL</t>
  </si>
  <si>
    <t>2220 County Road 210 W</t>
  </si>
  <si>
    <t>St. Johns</t>
  </si>
  <si>
    <t>30.060278, -81.513861</t>
  </si>
  <si>
    <t>North Platte, NE</t>
  </si>
  <si>
    <t>202 E Leota St</t>
  </si>
  <si>
    <t>North Platte</t>
  </si>
  <si>
    <t>41.120588, -100.762642</t>
  </si>
  <si>
    <t>Hancock, NY</t>
  </si>
  <si>
    <t>661 W Main St</t>
  </si>
  <si>
    <t>Hancock</t>
  </si>
  <si>
    <t>41.956228, -75.294742</t>
  </si>
  <si>
    <t>Boynton Beach, FL</t>
  </si>
  <si>
    <t>650 N Congress Ave</t>
  </si>
  <si>
    <t>Boynton Beach</t>
  </si>
  <si>
    <t>26.533567, -80.089394</t>
  </si>
  <si>
    <t>Easton, PA</t>
  </si>
  <si>
    <t>100 Trolley Line Dr</t>
  </si>
  <si>
    <t>40.739349, -75.263529</t>
  </si>
  <si>
    <t>Oakland - Hegenberger Rd, CA</t>
  </si>
  <si>
    <t>640 Hegenberger Rd</t>
  </si>
  <si>
    <t>37.746403, -122.195614</t>
  </si>
  <si>
    <t>Corpus Christi, TX</t>
  </si>
  <si>
    <t>4938 S Staples St</t>
  </si>
  <si>
    <t>Corpus Christi</t>
  </si>
  <si>
    <t>27.709319, -97.368357</t>
  </si>
  <si>
    <t>Paramus - NJ-17, NJ</t>
  </si>
  <si>
    <t>501 NJ-17</t>
  </si>
  <si>
    <t>Paramus</t>
  </si>
  <si>
    <t>40.955391, -74.07467</t>
  </si>
  <si>
    <t>Elizabethtown, KY</t>
  </si>
  <si>
    <t>809 E Dixie Ave</t>
  </si>
  <si>
    <t>Elizabethtown</t>
  </si>
  <si>
    <t>37.671622, -85.845453</t>
  </si>
  <si>
    <t>Sebring, FL</t>
  </si>
  <si>
    <t>3838 US Hwy 27 S</t>
  </si>
  <si>
    <t>Sebring</t>
  </si>
  <si>
    <t>27.465749, -81.434147</t>
  </si>
  <si>
    <t>Hood River - Anchor Way, OR</t>
  </si>
  <si>
    <t>501 Portway Ave</t>
  </si>
  <si>
    <t>45.714111, -121.515793</t>
  </si>
  <si>
    <t>Old Fort, NC</t>
  </si>
  <si>
    <t>121 Parker Padgett Rd</t>
  </si>
  <si>
    <t>Old Fort</t>
  </si>
  <si>
    <t>35.638228, -82.143169</t>
  </si>
  <si>
    <t>Tucson - W River Rd, AZ</t>
  </si>
  <si>
    <t>3844 W River Rd</t>
  </si>
  <si>
    <t>32.321657, -111.044732</t>
  </si>
  <si>
    <t>Pooler, GA</t>
  </si>
  <si>
    <t>2111 Pooler Pkwy</t>
  </si>
  <si>
    <t>Parker</t>
  </si>
  <si>
    <t>32.079619, -81.281224</t>
  </si>
  <si>
    <t>Asheville - Thetford St, NC</t>
  </si>
  <si>
    <t>264 Thetford St</t>
  </si>
  <si>
    <t>35.484012, -82.557638</t>
  </si>
  <si>
    <t>Manassas, VA</t>
  </si>
  <si>
    <t>10691 Davidson Pl</t>
  </si>
  <si>
    <t>Manassas</t>
  </si>
  <si>
    <t>38.793019, -77.515512</t>
  </si>
  <si>
    <t>Melbourne, FL</t>
  </si>
  <si>
    <t>4429 W Eau Gallie Blvd</t>
  </si>
  <si>
    <t>Melbourne</t>
  </si>
  <si>
    <t>28.119865, -80.699588</t>
  </si>
  <si>
    <t>Stuart, FL</t>
  </si>
  <si>
    <t>2401 S Kanner Hwy</t>
  </si>
  <si>
    <t>Stuart</t>
  </si>
  <si>
    <t>27.175517, -80.252532</t>
  </si>
  <si>
    <t>Davie, FL</t>
  </si>
  <si>
    <t>1904 S University Dr</t>
  </si>
  <si>
    <t>Davie</t>
  </si>
  <si>
    <t>26.0923282, -80.2496536</t>
  </si>
  <si>
    <t>Castaic, CA</t>
  </si>
  <si>
    <t>29435 The Old Rd</t>
  </si>
  <si>
    <t>Castaic</t>
  </si>
  <si>
    <t>34.452312, -118.61614</t>
  </si>
  <si>
    <t>Burbank - N San Fernando Blvd, CA</t>
  </si>
  <si>
    <t>1009 N San Fernando Blvd</t>
  </si>
  <si>
    <t>34.187565, -118.318197</t>
  </si>
  <si>
    <t>St. Augustine - Inman Rd, FL</t>
  </si>
  <si>
    <t>2222 FL-16</t>
  </si>
  <si>
    <t>29.916415, -81.403632</t>
  </si>
  <si>
    <t>Ridgefield, WA</t>
  </si>
  <si>
    <t>125 N 65th Ave</t>
  </si>
  <si>
    <t>Ridgefield</t>
  </si>
  <si>
    <t>45.8177, -122.6828</t>
  </si>
  <si>
    <t>Oak Brook, IL</t>
  </si>
  <si>
    <t>1600 W 16th St</t>
  </si>
  <si>
    <t>Oak Brook</t>
  </si>
  <si>
    <t>41.854435, -87.958496</t>
  </si>
  <si>
    <t>Portage - George Ade Travel Plaza, IN</t>
  </si>
  <si>
    <t>41.5874, -87.2176</t>
  </si>
  <si>
    <t>Ellsworth, ME</t>
  </si>
  <si>
    <t>225 High St</t>
  </si>
  <si>
    <t>Ellsworth</t>
  </si>
  <si>
    <t>44.532641, -68.411381</t>
  </si>
  <si>
    <t>Newhall, CA</t>
  </si>
  <si>
    <t>23502 Newhall Ave</t>
  </si>
  <si>
    <t>34.3683, -118.5092</t>
  </si>
  <si>
    <t>Richmond, RI</t>
  </si>
  <si>
    <t>1175 Main St</t>
  </si>
  <si>
    <t>41.513891, -71.698256</t>
  </si>
  <si>
    <t>Duluth, GA</t>
  </si>
  <si>
    <t>3585 Peachtree Industrial Blvd</t>
  </si>
  <si>
    <t>34.0004, -84.169</t>
  </si>
  <si>
    <t>Northville, MI</t>
  </si>
  <si>
    <t>20401 Haggerty Rd</t>
  </si>
  <si>
    <t>Northville</t>
  </si>
  <si>
    <t>42.4372, -83.4381</t>
  </si>
  <si>
    <t>Manorville, NY</t>
  </si>
  <si>
    <t>485 County Rd 111</t>
  </si>
  <si>
    <t>Manorville</t>
  </si>
  <si>
    <t>40.871424, -72.798971</t>
  </si>
  <si>
    <t>Breezewood - Lincoln Hwy, PA</t>
  </si>
  <si>
    <t>16520 Lincoln Hwy</t>
  </si>
  <si>
    <t>39.998748, -78.236263</t>
  </si>
  <si>
    <t>Boston - Richard B. Ross Way, MA</t>
  </si>
  <si>
    <t>1341 Boylston St</t>
  </si>
  <si>
    <t>42.344691, -71.099322</t>
  </si>
  <si>
    <t>Leesburg, VA</t>
  </si>
  <si>
    <t>1602 Village Market Blvd SE Suite 215</t>
  </si>
  <si>
    <t>39.089677, -77.526324</t>
  </si>
  <si>
    <t>Colonial Heights, VA</t>
  </si>
  <si>
    <t>15840 Jefferson Davis Hwy</t>
  </si>
  <si>
    <t>Colonial Heights</t>
  </si>
  <si>
    <t>37.305593, -77.409675</t>
  </si>
  <si>
    <t>Richmond - S Providence Rd, VA</t>
  </si>
  <si>
    <t>20 S Providence Rd</t>
  </si>
  <si>
    <t>37.495848, -77.547664</t>
  </si>
  <si>
    <t>Fairfax, VA</t>
  </si>
  <si>
    <t>11900 Palace Way</t>
  </si>
  <si>
    <t>38.859305, -77.357542</t>
  </si>
  <si>
    <t>Newark, DE</t>
  </si>
  <si>
    <t>530 JFK Memorial Hwy</t>
  </si>
  <si>
    <t>39.6635, -75.69017</t>
  </si>
  <si>
    <t>Avenel, NJ</t>
  </si>
  <si>
    <t>930 US Highway 1 North</t>
  </si>
  <si>
    <t>Avenel</t>
  </si>
  <si>
    <t>40.576793, -74.287572</t>
  </si>
  <si>
    <t>Grapevine, TX</t>
  </si>
  <si>
    <t>1001 Northwest Hwy</t>
  </si>
  <si>
    <t>Grapevine</t>
  </si>
  <si>
    <t>32.941942, -97.065861</t>
  </si>
  <si>
    <t>Des Moines, IA</t>
  </si>
  <si>
    <t>5050 NW 2nd St</t>
  </si>
  <si>
    <t>Des Moines</t>
  </si>
  <si>
    <t>41.652488, -93.620937</t>
  </si>
  <si>
    <t>Frederick - Buckeystown Pike, MD</t>
  </si>
  <si>
    <t>5601 Buckeystown Pike</t>
  </si>
  <si>
    <t>39.3867, -77.4077</t>
  </si>
  <si>
    <t>Albuquerque - Louisiana Blvd NE, NM</t>
  </si>
  <si>
    <t>2200 Louisiana Blvd NE</t>
  </si>
  <si>
    <t>35.104333, -106.566029</t>
  </si>
  <si>
    <t>Walterboro, SC</t>
  </si>
  <si>
    <t>2076 Bells Hwy</t>
  </si>
  <si>
    <t>Walterboro</t>
  </si>
  <si>
    <t>32.9333, -80.6925</t>
  </si>
  <si>
    <t>Lake Delton, WI</t>
  </si>
  <si>
    <t>1070 Wisconsin Dells Pkwy S</t>
  </si>
  <si>
    <t>Lake Delton</t>
  </si>
  <si>
    <t>43.576852, -89.77949</t>
  </si>
  <si>
    <t>Augusta, NJ</t>
  </si>
  <si>
    <t>1 NJ-15</t>
  </si>
  <si>
    <t>41.11941, -74.71296</t>
  </si>
  <si>
    <t>New Orleans, LA</t>
  </si>
  <si>
    <t>1500 Canal St</t>
  </si>
  <si>
    <t>New Orleans</t>
  </si>
  <si>
    <t>29.957061, -90.076684</t>
  </si>
  <si>
    <t>Addison, TX</t>
  </si>
  <si>
    <t>14795 Montfort Drive</t>
  </si>
  <si>
    <t>Addison</t>
  </si>
  <si>
    <t>32.950179, -96.81853</t>
  </si>
  <si>
    <t>Allentown - Schantz Rd, PA</t>
  </si>
  <si>
    <t>7572 Schantz Rd</t>
  </si>
  <si>
    <t>40.57163, -75.616759</t>
  </si>
  <si>
    <t>Laurel - Fort Meade Rd, MD</t>
  </si>
  <si>
    <t>9600 Fort Meade Rd</t>
  </si>
  <si>
    <t>39.095839, -76.841533</t>
  </si>
  <si>
    <t>Martinez, CA</t>
  </si>
  <si>
    <t>520 Center Ave</t>
  </si>
  <si>
    <t>Martinez</t>
  </si>
  <si>
    <t>37.99316, -122.12137</t>
  </si>
  <si>
    <t>Euless, TX</t>
  </si>
  <si>
    <t>3050 TX-360</t>
  </si>
  <si>
    <t>Euless</t>
  </si>
  <si>
    <t>32.880879, -97.074504</t>
  </si>
  <si>
    <t>Madison Heights, VA</t>
  </si>
  <si>
    <t>4089 S Amherst Hwy</t>
  </si>
  <si>
    <t>Madison Heights</t>
  </si>
  <si>
    <t>37.466222, -79.117738</t>
  </si>
  <si>
    <t>Orangeburg, SC</t>
  </si>
  <si>
    <t>3615 St Matthews Rd</t>
  </si>
  <si>
    <t>Orangeburg</t>
  </si>
  <si>
    <t>33.552408, -80.828133</t>
  </si>
  <si>
    <t>Gainesville - NW 39th Ave, FL</t>
  </si>
  <si>
    <t>9401 Northwest 39th Avenue</t>
  </si>
  <si>
    <t>29.688578, -82.443183</t>
  </si>
  <si>
    <t>Las Vegas - South Eastern Ave, NV</t>
  </si>
  <si>
    <t>5825 S Eastern Ave</t>
  </si>
  <si>
    <t>36.082221, -115.121054</t>
  </si>
  <si>
    <t>Washington - M St NE, DC</t>
  </si>
  <si>
    <t>130 M St NE</t>
  </si>
  <si>
    <t>38.90595, -77.005167</t>
  </si>
  <si>
    <t>Rockford - McFarland Rd, IL</t>
  </si>
  <si>
    <t>3155 McFarland Rd</t>
  </si>
  <si>
    <t>42.306111, -88.976472</t>
  </si>
  <si>
    <t>Pasadena - E Colorado Blvd, CA</t>
  </si>
  <si>
    <t>3500 E Colorado Blvd</t>
  </si>
  <si>
    <t>34.145015, -118.078417</t>
  </si>
  <si>
    <t>Long Beach, CA</t>
  </si>
  <si>
    <t>6527 Pacific Coast Hwy</t>
  </si>
  <si>
    <t>Long Beach</t>
  </si>
  <si>
    <t>33.7574, -118.1074</t>
  </si>
  <si>
    <t>Tustin - Red Hill Ave, CA</t>
  </si>
  <si>
    <t>14521 Red Hill Ave</t>
  </si>
  <si>
    <t>33.727381, -117.821821</t>
  </si>
  <si>
    <t>Ennis, TX</t>
  </si>
  <si>
    <t>1181 Creechville Rd</t>
  </si>
  <si>
    <t>Ennis</t>
  </si>
  <si>
    <t>32.324308, -96.606375</t>
  </si>
  <si>
    <t>Buttonwillow - Cal Club Rd, CA</t>
  </si>
  <si>
    <t>24551 W Lerdo Hwy</t>
  </si>
  <si>
    <t>35.497199, -119.554591</t>
  </si>
  <si>
    <t>Cranbury, NJ</t>
  </si>
  <si>
    <t>Molly Pitcher Service Area</t>
  </si>
  <si>
    <t>Cranbury</t>
  </si>
  <si>
    <t>40.32244, -74.4869</t>
  </si>
  <si>
    <t>East Rutherford, NJ</t>
  </si>
  <si>
    <t>1 American Dream Way</t>
  </si>
  <si>
    <t>East Rutherford</t>
  </si>
  <si>
    <t>40.811556, -74.064862</t>
  </si>
  <si>
    <t>Minocqua, WI</t>
  </si>
  <si>
    <t>8700 Blumenstein Rd</t>
  </si>
  <si>
    <t>Minocqua</t>
  </si>
  <si>
    <t>45.887409, -89.720831</t>
  </si>
  <si>
    <t>Van Horn - W Broadway St, TX</t>
  </si>
  <si>
    <t>1807 W Broadway St</t>
  </si>
  <si>
    <t>31.037265, -104.854816</t>
  </si>
  <si>
    <t>Columbia - Harbison Blvd, SC</t>
  </si>
  <si>
    <t>320 Harbison Blvd</t>
  </si>
  <si>
    <t>34.0729, -81.155649</t>
  </si>
  <si>
    <t>Fort Valley, GA</t>
  </si>
  <si>
    <t>7001 Russell Pkwy</t>
  </si>
  <si>
    <t>Fort Valley</t>
  </si>
  <si>
    <t>32.58434, -83.740022</t>
  </si>
  <si>
    <t>Victorville, CA</t>
  </si>
  <si>
    <t>14598 7th St</t>
  </si>
  <si>
    <t>Victorville</t>
  </si>
  <si>
    <t>34.517047, -117.313614</t>
  </si>
  <si>
    <t>Tulsa, OK</t>
  </si>
  <si>
    <t>7380 S Olympia Ave</t>
  </si>
  <si>
    <t>Tulsa</t>
  </si>
  <si>
    <t>36.054073, -96.004734</t>
  </si>
  <si>
    <t>Wells, ME</t>
  </si>
  <si>
    <t>1517 Post Rd</t>
  </si>
  <si>
    <t>43.32076, -70.5806</t>
  </si>
  <si>
    <t>Perth Amboy, NJ</t>
  </si>
  <si>
    <t>365 Convery Blvd</t>
  </si>
  <si>
    <t>Perth Amboy</t>
  </si>
  <si>
    <t>40.516738, -74.285902</t>
  </si>
  <si>
    <t>Overland Park, KS</t>
  </si>
  <si>
    <t>9545 Antioch Rd</t>
  </si>
  <si>
    <t>Overland Park</t>
  </si>
  <si>
    <t>38.95535, -94.685593</t>
  </si>
  <si>
    <t>Quincy, WA</t>
  </si>
  <si>
    <t>16010 Rd 1 NW</t>
  </si>
  <si>
    <t>Quincy</t>
  </si>
  <si>
    <t>47.103877, -119.833007</t>
  </si>
  <si>
    <t>Cayce, SC</t>
  </si>
  <si>
    <t>3040 Charleston Hwy</t>
  </si>
  <si>
    <t>Cayce</t>
  </si>
  <si>
    <t>33.928112, -81.078255</t>
  </si>
  <si>
    <t>West Unity - Tiffin River Service Plaza, OH</t>
  </si>
  <si>
    <t>Tiffin River Service Plaza, I-80 East</t>
  </si>
  <si>
    <t>West Unity</t>
  </si>
  <si>
    <t>41.603667, -84.408721</t>
  </si>
  <si>
    <t>West Unity - Indian Meadow Service Plaza, OH</t>
  </si>
  <si>
    <t>Indian Meadow Service Plaza, I-80 West</t>
  </si>
  <si>
    <t>41.605252, -84.406468</t>
  </si>
  <si>
    <t>Melissa, TX</t>
  </si>
  <si>
    <t>1550 Central Expy</t>
  </si>
  <si>
    <t>Melissa</t>
  </si>
  <si>
    <t>33.270374, -96.592973</t>
  </si>
  <si>
    <t>Matthews, NC</t>
  </si>
  <si>
    <t>2309 Matthews Township Pkwy</t>
  </si>
  <si>
    <t>Matthews</t>
  </si>
  <si>
    <t>35.12847, -80.700301</t>
  </si>
  <si>
    <t>Tacoma, WA</t>
  </si>
  <si>
    <t>5219 Tacoma Mall Blvd</t>
  </si>
  <si>
    <t>Tacoma</t>
  </si>
  <si>
    <t>47.209113, -122.462621</t>
  </si>
  <si>
    <t>Fernley, NV</t>
  </si>
  <si>
    <t>1330 Hwy 95A N</t>
  </si>
  <si>
    <t>Fernley</t>
  </si>
  <si>
    <t>39.609596, -119.220483</t>
  </si>
  <si>
    <t>Dunnigan, CA</t>
  </si>
  <si>
    <t>30038 County Road 8</t>
  </si>
  <si>
    <t>Dunnigan</t>
  </si>
  <si>
    <t>38.862861, -121.951538</t>
  </si>
  <si>
    <t>Charlotte - Providence Rd, NC</t>
  </si>
  <si>
    <t>10828 Providence Rd</t>
  </si>
  <si>
    <t>35.062335, -80.770842</t>
  </si>
  <si>
    <t>Vacaville - Alamo Dr, CA</t>
  </si>
  <si>
    <t>870 Alamo Dr</t>
  </si>
  <si>
    <t>38.347268, -121.999145</t>
  </si>
  <si>
    <t>Valencia, CA</t>
  </si>
  <si>
    <t>27750 The Old Rd</t>
  </si>
  <si>
    <t>Valencia</t>
  </si>
  <si>
    <t>34.4237, -118.5845</t>
  </si>
  <si>
    <t>Fairfield - 3001 Travis Blvd, CA</t>
  </si>
  <si>
    <t>3001 Travis Blvd</t>
  </si>
  <si>
    <t>38.257435, -122.065449</t>
  </si>
  <si>
    <t>Anaheim - W Lincoln Ave, CA</t>
  </si>
  <si>
    <t>1128 W Lincoln Ave</t>
  </si>
  <si>
    <t>33.8321991, -117.9293952</t>
  </si>
  <si>
    <t>Lake Forest - Muirlands Blvd, CA</t>
  </si>
  <si>
    <t>24301 Muirlands Blvd</t>
  </si>
  <si>
    <t>Lake Forest</t>
  </si>
  <si>
    <t>33.629413, -117.705886</t>
  </si>
  <si>
    <t>Mission Viejo - Crown Valley Pkwy, CA</t>
  </si>
  <si>
    <t>27741 Crown Valley Pkwy</t>
  </si>
  <si>
    <t>33.5607, -117.672028</t>
  </si>
  <si>
    <t>Grass Valley, CA</t>
  </si>
  <si>
    <t>692 Freeman Lane</t>
  </si>
  <si>
    <t>Grass Valley</t>
  </si>
  <si>
    <t>39.199798, -121.064216</t>
  </si>
  <si>
    <t>Palo Alto - Bryant St, CA</t>
  </si>
  <si>
    <t>445 Bryant St</t>
  </si>
  <si>
    <t>37.446507, -122.162028</t>
  </si>
  <si>
    <t>Walnut Creek, CA</t>
  </si>
  <si>
    <t>2290 Oak Grove Rd</t>
  </si>
  <si>
    <t>37.930078, -122.014812</t>
  </si>
  <si>
    <t>Santa Monica - Cloverfield Blvd, CA</t>
  </si>
  <si>
    <t>1819 Cloverfield Blvd</t>
  </si>
  <si>
    <t>34.025098, -118.469543</t>
  </si>
  <si>
    <t>College Station - Texas Ave S, TX</t>
  </si>
  <si>
    <t>1910 Texas Ave S</t>
  </si>
  <si>
    <t>College Station</t>
  </si>
  <si>
    <t>30.612968, -96.31709</t>
  </si>
  <si>
    <t>Lake Elsinore - Grape Street, CA</t>
  </si>
  <si>
    <t>31500 Grape Street</t>
  </si>
  <si>
    <t>33.65937259957883, -117.29450572076</t>
  </si>
  <si>
    <t>Coalinga, CA</t>
  </si>
  <si>
    <t>24553 W Dorris Ave</t>
  </si>
  <si>
    <t>36.253519, -120.240461</t>
  </si>
  <si>
    <t>Little Ferry, NJ</t>
  </si>
  <si>
    <t>260 Bergen Tpke</t>
  </si>
  <si>
    <t>Little Ferry</t>
  </si>
  <si>
    <t>40.855059, -74.0333262</t>
  </si>
  <si>
    <t>New Port Richey, FL</t>
  </si>
  <si>
    <t>4026 US-19</t>
  </si>
  <si>
    <t>New Port Richey</t>
  </si>
  <si>
    <t>28.218029, -82.736177</t>
  </si>
  <si>
    <t>Shenandoah - Metropark Dr, TX</t>
  </si>
  <si>
    <t>8811 Metropark Drive</t>
  </si>
  <si>
    <t>30.194964, -95.452548</t>
  </si>
  <si>
    <t>Austin - S Lamar Blvd, TX</t>
  </si>
  <si>
    <t>4211 S Lamar Blvd</t>
  </si>
  <si>
    <t>30.233293, -97.793053</t>
  </si>
  <si>
    <t>Tully, NY</t>
  </si>
  <si>
    <t>5755 NY-80</t>
  </si>
  <si>
    <t>Tully</t>
  </si>
  <si>
    <t>42.800041, -76.121849</t>
  </si>
  <si>
    <t>Vancouver - NE Fourth Plain Blvd (SC), WA</t>
  </si>
  <si>
    <t>6916 NE Fourth Plain Blvd</t>
  </si>
  <si>
    <t>45.645661, -122.601249</t>
  </si>
  <si>
    <t>Spring, TX</t>
  </si>
  <si>
    <t>294 Cypresswood Dr</t>
  </si>
  <si>
    <t>Spring</t>
  </si>
  <si>
    <t>30.050304, -95.438361</t>
  </si>
  <si>
    <t>Moab - N Main St, UT</t>
  </si>
  <si>
    <t>890 N Main St</t>
  </si>
  <si>
    <t>38.585988, -109.5566</t>
  </si>
  <si>
    <t>Vicksburg, MS</t>
  </si>
  <si>
    <t>4116 Washington St</t>
  </si>
  <si>
    <t>Vicksburg</t>
  </si>
  <si>
    <t>32.313976, -90.89987</t>
  </si>
  <si>
    <t>Spring - Spring Stuebner Rd, TX</t>
  </si>
  <si>
    <t>2102-2180 Spring Stuebner Road</t>
  </si>
  <si>
    <t>30.085513, -95.449924</t>
  </si>
  <si>
    <t>Big Spring, TX</t>
  </si>
  <si>
    <t>501 Birdwell Ln</t>
  </si>
  <si>
    <t>Big Spring</t>
  </si>
  <si>
    <t>32.258114, -101.453323</t>
  </si>
  <si>
    <t>Adairsville - Union Grove Rd, GA</t>
  </si>
  <si>
    <t>601 Union Grove Rd SE</t>
  </si>
  <si>
    <t>34.440386, -84.91532</t>
  </si>
  <si>
    <t>Cary - Bass Pro Ln, NC</t>
  </si>
  <si>
    <t>801 Bass Pro Ln</t>
  </si>
  <si>
    <t>35.831585, -78.769044</t>
  </si>
  <si>
    <t>Mariposa, CA</t>
  </si>
  <si>
    <t>5034 Coakley Circle</t>
  </si>
  <si>
    <t>Mariposa</t>
  </si>
  <si>
    <t>37.488952, -119.972428</t>
  </si>
  <si>
    <t>Plano - Windhaven Pkwy, TX</t>
  </si>
  <si>
    <t>6101 Windhaven Pkwy</t>
  </si>
  <si>
    <t>33.05595, -96.8308638</t>
  </si>
  <si>
    <t>Cleveland - Euclid Ave, OH</t>
  </si>
  <si>
    <t>8037 Euclid Ave</t>
  </si>
  <si>
    <t>Cleveland</t>
  </si>
  <si>
    <t>41.504182, -81.63245</t>
  </si>
  <si>
    <t>East Haven, CT</t>
  </si>
  <si>
    <t>96 Frontage Rd</t>
  </si>
  <si>
    <t>East Haven</t>
  </si>
  <si>
    <t>41.286296, -72.877392</t>
  </si>
  <si>
    <t>Quanah, TX</t>
  </si>
  <si>
    <t>1201 W. 11th St</t>
  </si>
  <si>
    <t>Quanah</t>
  </si>
  <si>
    <t>34.291728, -99.755215</t>
  </si>
  <si>
    <t>West Chester, PA</t>
  </si>
  <si>
    <t>1050 West Chester Pike</t>
  </si>
  <si>
    <t>West Chester</t>
  </si>
  <si>
    <t>39.967429, -75.576678</t>
  </si>
  <si>
    <t>Temple, TX</t>
  </si>
  <si>
    <t>4155 N General Bruce Dr</t>
  </si>
  <si>
    <t>Temple</t>
  </si>
  <si>
    <t>31.13776, -97.329332</t>
  </si>
  <si>
    <t>Gulf Breeze, FL</t>
  </si>
  <si>
    <t>1430 Tiger Park Lane</t>
  </si>
  <si>
    <t>Gulf Breeze</t>
  </si>
  <si>
    <t>30.389314, -87.062227</t>
  </si>
  <si>
    <t>Peachtree City, GA</t>
  </si>
  <si>
    <t>239 City Circle #1050</t>
  </si>
  <si>
    <t>Peachtree City</t>
  </si>
  <si>
    <t>33.396462, -84.593126</t>
  </si>
  <si>
    <t>San Clemente, CA</t>
  </si>
  <si>
    <t>101 West Avenida Vista Hermosa</t>
  </si>
  <si>
    <t>33.437177, -117.62712</t>
  </si>
  <si>
    <t>Grapevine - E Northwest Hwy, TX</t>
  </si>
  <si>
    <t>477 E Northwest Highway</t>
  </si>
  <si>
    <t>32.941334, -97.073611</t>
  </si>
  <si>
    <t>Charleston, SC</t>
  </si>
  <si>
    <t>2070 Sam Rittenberg Blvd</t>
  </si>
  <si>
    <t>32.798239, -80.029175</t>
  </si>
  <si>
    <t>Pompano Beach - N Federal Hwy, FL</t>
  </si>
  <si>
    <t>3601 N Federal Hwy</t>
  </si>
  <si>
    <t>26.276244, -80.098192</t>
  </si>
  <si>
    <t>Denver - E 45th Ave, CO</t>
  </si>
  <si>
    <t>12075 E 45th Ave</t>
  </si>
  <si>
    <t>39.778341, -104.848415</t>
  </si>
  <si>
    <t>Atkins, VA</t>
  </si>
  <si>
    <t>5558 Lee Hwy</t>
  </si>
  <si>
    <t>Atkins</t>
  </si>
  <si>
    <t>36.86455, -81.433527</t>
  </si>
  <si>
    <t>Beaumont - Oak Valley Village Cir, CA</t>
  </si>
  <si>
    <t>1815 Oak Valley Village Cir</t>
  </si>
  <si>
    <t>33.946913, -117.00056</t>
  </si>
  <si>
    <t>Clemmons, NC</t>
  </si>
  <si>
    <t>2531 Lewisville Clemmons Rd</t>
  </si>
  <si>
    <t>Clemmons</t>
  </si>
  <si>
    <t>36.030526, -80.381435</t>
  </si>
  <si>
    <t>Houston - Louetta Rd, TX</t>
  </si>
  <si>
    <t>10850 Louetta Rd</t>
  </si>
  <si>
    <t>29.997117, -95.575736</t>
  </si>
  <si>
    <t>Costa Mesa - Hyland Ave, CA</t>
  </si>
  <si>
    <t>3303 Hyland Ave</t>
  </si>
  <si>
    <t>Costa Mesa</t>
  </si>
  <si>
    <t>33.692874, -117.92514</t>
  </si>
  <si>
    <t>Yermo - Sunrise Canyon Rd, CA</t>
  </si>
  <si>
    <t>40865 Sunrise Canyon Rd</t>
  </si>
  <si>
    <t>34.919528, -116.769185</t>
  </si>
  <si>
    <t>West Covina, CA</t>
  </si>
  <si>
    <t>2650 E Garvey Ave</t>
  </si>
  <si>
    <t>West Covina</t>
  </si>
  <si>
    <t>34.070663, -117.889053</t>
  </si>
  <si>
    <t>Fullerton, CA</t>
  </si>
  <si>
    <t>205 E Orangethorpe Ave</t>
  </si>
  <si>
    <t>Fullerton</t>
  </si>
  <si>
    <t>33.859694, -117.921706</t>
  </si>
  <si>
    <t>Royse City, TX</t>
  </si>
  <si>
    <t>5005 I-30</t>
  </si>
  <si>
    <t>Royse City</t>
  </si>
  <si>
    <t>32.979184, -96.296371</t>
  </si>
  <si>
    <t>Blakeslee, PA</t>
  </si>
  <si>
    <t>296 PA-940</t>
  </si>
  <si>
    <t>Blakeslee</t>
  </si>
  <si>
    <t>41.092297, -75.591828</t>
  </si>
  <si>
    <t>Lakewood, CA</t>
  </si>
  <si>
    <t>5603 Woodruff Ave</t>
  </si>
  <si>
    <t>33.858572, -118.116389</t>
  </si>
  <si>
    <t>Miramar - Miramar Pkwy, FL</t>
  </si>
  <si>
    <t>12100 Miramar Pkwy</t>
  </si>
  <si>
    <t>Miramar</t>
  </si>
  <si>
    <t>25.976412, -80.310779</t>
  </si>
  <si>
    <t>Fairfield, OH</t>
  </si>
  <si>
    <t>6325 S Gilmore Rd</t>
  </si>
  <si>
    <t>39.303803, -84.525312</t>
  </si>
  <si>
    <t>Rotterdam, NY</t>
  </si>
  <si>
    <t>647 Mariaville Rd</t>
  </si>
  <si>
    <t>Rotterdam</t>
  </si>
  <si>
    <t>42.793371, -74.004721</t>
  </si>
  <si>
    <t>West Chester Township, OH</t>
  </si>
  <si>
    <t>7390 Tylersville Rd</t>
  </si>
  <si>
    <t>39.35612, -84.374546</t>
  </si>
  <si>
    <t>Michigan City, IN</t>
  </si>
  <si>
    <t>5150 Franklin St</t>
  </si>
  <si>
    <t>Michigan City</t>
  </si>
  <si>
    <t>41.673833, -86.891234</t>
  </si>
  <si>
    <t>Providence, RI</t>
  </si>
  <si>
    <t>288 Kinsley Ave</t>
  </si>
  <si>
    <t>Providence</t>
  </si>
  <si>
    <t>41.828441, -71.42697</t>
  </si>
  <si>
    <t>Carlsbad - Van Allen Way, CA</t>
  </si>
  <si>
    <t>5806 Van Allen Way</t>
  </si>
  <si>
    <t>33.13507, -117.288012</t>
  </si>
  <si>
    <t>Long Beach - Long Beach Blvd, CA</t>
  </si>
  <si>
    <t>6590 Long Beach Blvd</t>
  </si>
  <si>
    <t>33.87396, -118.202413</t>
  </si>
  <si>
    <t>Chesterton, IN</t>
  </si>
  <si>
    <t>704 Plaza Dr</t>
  </si>
  <si>
    <t>Chesterton</t>
  </si>
  <si>
    <t>41.617607, -87.044702</t>
  </si>
  <si>
    <t>Holland, MI</t>
  </si>
  <si>
    <t>746 E 16th St</t>
  </si>
  <si>
    <t>Holland</t>
  </si>
  <si>
    <t>42.781417, -86.077194</t>
  </si>
  <si>
    <t>North Richland Hills, TX</t>
  </si>
  <si>
    <t>8245 Precinct Line Rd</t>
  </si>
  <si>
    <t>North Richland Hills</t>
  </si>
  <si>
    <t>32.906757, -97.187269</t>
  </si>
  <si>
    <t>Dallas - S Riverfront Blvd, TX</t>
  </si>
  <si>
    <t>801 S Riverfront Blvd</t>
  </si>
  <si>
    <t>32.767263, -96.807846</t>
  </si>
  <si>
    <t>Primm, NV</t>
  </si>
  <si>
    <t>31900 Las Vegas Blvd S</t>
  </si>
  <si>
    <t>Primm</t>
  </si>
  <si>
    <t>35.610687, -115.388028</t>
  </si>
  <si>
    <t>Potsdam, NY</t>
  </si>
  <si>
    <t>26 Maple St</t>
  </si>
  <si>
    <t>Potsdam</t>
  </si>
  <si>
    <t>44.667002, -74.990238</t>
  </si>
  <si>
    <t>El Portal, CA</t>
  </si>
  <si>
    <t>11136 CA-140</t>
  </si>
  <si>
    <t>El Portal</t>
  </si>
  <si>
    <t>37.679047, -119.763477</t>
  </si>
  <si>
    <t>Visalia, CA</t>
  </si>
  <si>
    <t>6603 Betty Dr</t>
  </si>
  <si>
    <t>Visalia</t>
  </si>
  <si>
    <t>36.350804, -119.4247</t>
  </si>
  <si>
    <t>Las Vegas - W Tropical Pkwy, NV</t>
  </si>
  <si>
    <t>7860 W Tropical Pkwy</t>
  </si>
  <si>
    <t>36.271532, -115.265931</t>
  </si>
  <si>
    <t>Sanford, NC</t>
  </si>
  <si>
    <t>818 Spring Lane</t>
  </si>
  <si>
    <t>35.488112, -79.193398</t>
  </si>
  <si>
    <t>McLeansville, NC</t>
  </si>
  <si>
    <t>1810 Mt Hope Church Rd</t>
  </si>
  <si>
    <t>McLeansville</t>
  </si>
  <si>
    <t>36.056164, -79.660102</t>
  </si>
  <si>
    <t>Portsmouth, VA</t>
  </si>
  <si>
    <t>720 London St</t>
  </si>
  <si>
    <t>Portsmouth</t>
  </si>
  <si>
    <t>36.837402, -76.306478</t>
  </si>
  <si>
    <t>Tustin - Flight Way, CA</t>
  </si>
  <si>
    <t>1705 Flight Way</t>
  </si>
  <si>
    <t>33.704288, -117.836881</t>
  </si>
  <si>
    <t>Malvern, PA</t>
  </si>
  <si>
    <t>5 Matthews Rd</t>
  </si>
  <si>
    <t>Malvern</t>
  </si>
  <si>
    <t>40.050647, -75.525104</t>
  </si>
  <si>
    <t>Downingtown, PA</t>
  </si>
  <si>
    <t>5031 Horseshoe Pike</t>
  </si>
  <si>
    <t>Downingtown</t>
  </si>
  <si>
    <t>40.012206, -75.721504</t>
  </si>
  <si>
    <t>Las Vegas - Cambridge St, NV</t>
  </si>
  <si>
    <t>3356 South University Center Drive</t>
  </si>
  <si>
    <t>36.12875, -115.143823</t>
  </si>
  <si>
    <t>Sebastian, FL</t>
  </si>
  <si>
    <t>10950 Fellsmere Rd</t>
  </si>
  <si>
    <t>Sebastian</t>
  </si>
  <si>
    <t>27.767877, -80.549569</t>
  </si>
  <si>
    <t>Parachute, CO</t>
  </si>
  <si>
    <t>28 Cardinal Way</t>
  </si>
  <si>
    <t>Parachute</t>
  </si>
  <si>
    <t>39.45242, -108.04582</t>
  </si>
  <si>
    <t>Dateland, AZ</t>
  </si>
  <si>
    <t>1737 Ave 64 E</t>
  </si>
  <si>
    <t>Dateland</t>
  </si>
  <si>
    <t>32.798797, -113.540003</t>
  </si>
  <si>
    <t>Lansing - S Pennsylvania Ave, MI</t>
  </si>
  <si>
    <t>6200 S Pennsylvania Ave</t>
  </si>
  <si>
    <t>42.66705, -84.54091</t>
  </si>
  <si>
    <t>Greenwich - Southbound, CT</t>
  </si>
  <si>
    <t>2000 Merritt Pkwy</t>
  </si>
  <si>
    <t>41.040555, -73.673445</t>
  </si>
  <si>
    <t>Sutton, WV</t>
  </si>
  <si>
    <t>2001 Sutton Ln</t>
  </si>
  <si>
    <t>Sutton</t>
  </si>
  <si>
    <t>38.700389, -80.664472</t>
  </si>
  <si>
    <t>Mt Airy - Graceland Ln, NC</t>
  </si>
  <si>
    <t>110 Graceland ln</t>
  </si>
  <si>
    <t>36.485545, -80.744773</t>
  </si>
  <si>
    <t>Crawfordville, FL</t>
  </si>
  <si>
    <t>3192 Coastal Highway, Crawfordville, FL</t>
  </si>
  <si>
    <t>Crawfordville</t>
  </si>
  <si>
    <t>30.106972, -84.379597</t>
  </si>
  <si>
    <t>Lathrop, CA</t>
  </si>
  <si>
    <t>192 Lathrop Rd</t>
  </si>
  <si>
    <t>Lathrop</t>
  </si>
  <si>
    <t>37.826148, -121.285965</t>
  </si>
  <si>
    <t>District Heights, MD</t>
  </si>
  <si>
    <t>2151 Brooks Dr</t>
  </si>
  <si>
    <t>District Heights</t>
  </si>
  <si>
    <t>38.861631, -76.918594</t>
  </si>
  <si>
    <t>Las Vegas - Tivoli Village (Urban), NV</t>
  </si>
  <si>
    <t>400 S Rampart Blvd</t>
  </si>
  <si>
    <t>36.168897, -115.286579</t>
  </si>
  <si>
    <t>Las Vegas - Tivoli Village, NV</t>
  </si>
  <si>
    <t>Tivoli Village, 330 S Rampart Blvd</t>
  </si>
  <si>
    <t>36.168474, -115.286829</t>
  </si>
  <si>
    <t>Tukwila - Strander Blvd, WA</t>
  </si>
  <si>
    <t>333 Strander Blvd</t>
  </si>
  <si>
    <t>Tukwila</t>
  </si>
  <si>
    <t>47.455273, -122.256631</t>
  </si>
  <si>
    <t>Howell Township, NJ</t>
  </si>
  <si>
    <t>4690 US-9</t>
  </si>
  <si>
    <t>Howell Township</t>
  </si>
  <si>
    <t>40.137212, -74.225678</t>
  </si>
  <si>
    <t>Paramus, NJ</t>
  </si>
  <si>
    <t>530 New Jersey 17</t>
  </si>
  <si>
    <t>40.957429, -74.07408</t>
  </si>
  <si>
    <t>Greenville - Haywood Rd, SC</t>
  </si>
  <si>
    <t>605 Haywood Road</t>
  </si>
  <si>
    <t>34.848232, -82.339496</t>
  </si>
  <si>
    <t>Ellenton, FL</t>
  </si>
  <si>
    <t>5461 Factory Shops Blvd</t>
  </si>
  <si>
    <t>Ellenton</t>
  </si>
  <si>
    <t>27.537933, -82.507363</t>
  </si>
  <si>
    <t>Pooler - US 80, GA</t>
  </si>
  <si>
    <t>907 US-80</t>
  </si>
  <si>
    <t>Pooler</t>
  </si>
  <si>
    <t>32.110766, -81.235803</t>
  </si>
  <si>
    <t>Vallejo, CA</t>
  </si>
  <si>
    <t>904 Admiral Callaghan Ln</t>
  </si>
  <si>
    <t>38.131215, -122.223369</t>
  </si>
  <si>
    <t>Ochopee, FL</t>
  </si>
  <si>
    <t>47801 W State Rd 84</t>
  </si>
  <si>
    <t>Ochopee</t>
  </si>
  <si>
    <t>26.174361, -80.855694</t>
  </si>
  <si>
    <t>Lafayette, IN</t>
  </si>
  <si>
    <t>4901 Indiana 26</t>
  </si>
  <si>
    <t>40.416187, -86.814084</t>
  </si>
  <si>
    <t>North East - Pulaski Hwy, MD</t>
  </si>
  <si>
    <t>2031 Pulaski Hwy</t>
  </si>
  <si>
    <t>39.612899, -75.930972</t>
  </si>
  <si>
    <t>Richmond - Pierce St, CA</t>
  </si>
  <si>
    <t>3288 Pierce St</t>
  </si>
  <si>
    <t>37.898736, -122.308672</t>
  </si>
  <si>
    <t>Plano - W Spring Creek Pkwy, TX</t>
  </si>
  <si>
    <t>7040 W Spring Creek Pkwy</t>
  </si>
  <si>
    <t>33.08204, -96.850233</t>
  </si>
  <si>
    <t>Houston - Piping Rock Ln, TX</t>
  </si>
  <si>
    <t>2344 Piping Rock Ln</t>
  </si>
  <si>
    <t>29.740638, -95.645831</t>
  </si>
  <si>
    <t>Nephi, UT</t>
  </si>
  <si>
    <t>2100 S Main St</t>
  </si>
  <si>
    <t>39.678083, -111.840906</t>
  </si>
  <si>
    <t>Sparks, NV</t>
  </si>
  <si>
    <t>700 N McCarran Blvd</t>
  </si>
  <si>
    <t>Sparks</t>
  </si>
  <si>
    <t>39.538137, -119.733926</t>
  </si>
  <si>
    <t>Hawthorne - W 120th St, CA</t>
  </si>
  <si>
    <t>2700 W 120th St</t>
  </si>
  <si>
    <t>33.923198, -118.322218</t>
  </si>
  <si>
    <t>South River, NJ</t>
  </si>
  <si>
    <t>656 Old Bridge Tpke</t>
  </si>
  <si>
    <t>South River</t>
  </si>
  <si>
    <t>40.461954, -74.400916</t>
  </si>
  <si>
    <t>Houston - 9633 Westheimer Rd (SC), TX</t>
  </si>
  <si>
    <t>9633 Westheimer Rd</t>
  </si>
  <si>
    <t>29.735982, -95.538575</t>
  </si>
  <si>
    <t>Tustin - Franklin Ave, CA</t>
  </si>
  <si>
    <t>14461 Franklin Ave</t>
  </si>
  <si>
    <t>33.716605, -117.810303</t>
  </si>
  <si>
    <t>Yucca Valley, CA</t>
  </si>
  <si>
    <t>57220 Twentynine Palms Hwy</t>
  </si>
  <si>
    <t>Yucca Valley</t>
  </si>
  <si>
    <t>34.12375, -116.415727</t>
  </si>
  <si>
    <t>Atlanta - Lenox Rd, GA</t>
  </si>
  <si>
    <t>3393 Peachtree Rd NE</t>
  </si>
  <si>
    <t>33.846445, -84.360194</t>
  </si>
  <si>
    <t>McKinney, TX</t>
  </si>
  <si>
    <t>7703 Stacy Rd</t>
  </si>
  <si>
    <t>McKinney</t>
  </si>
  <si>
    <t>33.151713, -96.717299</t>
  </si>
  <si>
    <t>Phoenix - E Mayo Blvd, AZ</t>
  </si>
  <si>
    <t>7000 E Mayo Blvd</t>
  </si>
  <si>
    <t>33.657, -111.9298</t>
  </si>
  <si>
    <t>Dartmouth, MA</t>
  </si>
  <si>
    <t>380 State Rd</t>
  </si>
  <si>
    <t>Dartmouth</t>
  </si>
  <si>
    <t>41.642293, -70.99753</t>
  </si>
  <si>
    <t>Iowa - Henry's Travel Plaza, LA</t>
  </si>
  <si>
    <t>14390 LA-101</t>
  </si>
  <si>
    <t>Iowa</t>
  </si>
  <si>
    <t>30.241331, -92.927732</t>
  </si>
  <si>
    <t>Columbia - Town Center Place, SC</t>
  </si>
  <si>
    <t>Village at Sandhill, 494 Town Center Pl</t>
  </si>
  <si>
    <t>34.126889, -80.8779862</t>
  </si>
  <si>
    <t>Renton - SW 41st St, WA</t>
  </si>
  <si>
    <t>601 SW 41st St</t>
  </si>
  <si>
    <t>Renton</t>
  </si>
  <si>
    <t>47.443115, -122.225157</t>
  </si>
  <si>
    <t>Windham, ME</t>
  </si>
  <si>
    <t>797 Roosevelt Tr</t>
  </si>
  <si>
    <t>Windham</t>
  </si>
  <si>
    <t>43.84163, -70.441768</t>
  </si>
  <si>
    <t>McKinney - University Dr, TX</t>
  </si>
  <si>
    <t>3526 W University Dr</t>
  </si>
  <si>
    <t>33.21747, -96.65721</t>
  </si>
  <si>
    <t>Ashburn, GA</t>
  </si>
  <si>
    <t>823 E Washington Ave</t>
  </si>
  <si>
    <t>31.712344, -83.638266</t>
  </si>
  <si>
    <t>Roswell, GA</t>
  </si>
  <si>
    <t>1570 Holcomb Bridge Rd</t>
  </si>
  <si>
    <t>Roswell</t>
  </si>
  <si>
    <t>34.019005, -84.312888</t>
  </si>
  <si>
    <t>London, KY</t>
  </si>
  <si>
    <t>140 Faith Assembly Church Rd</t>
  </si>
  <si>
    <t>London</t>
  </si>
  <si>
    <t>37.14916, -84.11385</t>
  </si>
  <si>
    <t>Northridge, CA</t>
  </si>
  <si>
    <t>9022 Tampa Ave</t>
  </si>
  <si>
    <t>Northridge</t>
  </si>
  <si>
    <t>34.23471, -118.55287</t>
  </si>
  <si>
    <t>Beaverton, OR</t>
  </si>
  <si>
    <t>3205 SW Cedar Hills Blvd</t>
  </si>
  <si>
    <t>Beaverton</t>
  </si>
  <si>
    <t>45.5010128, -122.8096413</t>
  </si>
  <si>
    <t>Pottstown, PA</t>
  </si>
  <si>
    <t>260 W Schuylkill Rd</t>
  </si>
  <si>
    <t>Pottstown</t>
  </si>
  <si>
    <t>40.2330528, -75.657935</t>
  </si>
  <si>
    <t>Flagstaff - Hwy 89, AZ</t>
  </si>
  <si>
    <t>5650 US-89</t>
  </si>
  <si>
    <t>35.2328, -111.5756</t>
  </si>
  <si>
    <t>Parish, NY</t>
  </si>
  <si>
    <t>3039 County Rte 26</t>
  </si>
  <si>
    <t>Parish</t>
  </si>
  <si>
    <t>43.408589, -76.114268</t>
  </si>
  <si>
    <t>Houston - Westheimer Rd, TX</t>
  </si>
  <si>
    <t>5135 1/2 W. Alabama St</t>
  </si>
  <si>
    <t>29.7377385, -95.4639171</t>
  </si>
  <si>
    <t>Burlington, WA</t>
  </si>
  <si>
    <t>9384 Old Highway 99</t>
  </si>
  <si>
    <t>48.509772, -122.338625</t>
  </si>
  <si>
    <t>Lamont, FL</t>
  </si>
  <si>
    <t>5200 S Jefferson</t>
  </si>
  <si>
    <t>Lamont</t>
  </si>
  <si>
    <t>30.472366, -83.892265</t>
  </si>
  <si>
    <t>Bristol, PA</t>
  </si>
  <si>
    <t>5900 Bristol Pike</t>
  </si>
  <si>
    <t>40.118187, -74.844438</t>
  </si>
  <si>
    <t>Woodburn, OR</t>
  </si>
  <si>
    <t>255 N Arney Rd</t>
  </si>
  <si>
    <t>Woodburn</t>
  </si>
  <si>
    <t>45.15313, -122.881254</t>
  </si>
  <si>
    <t>Mechanicsburg, PA</t>
  </si>
  <si>
    <t>1415 S Market St</t>
  </si>
  <si>
    <t>Mechanicsburg</t>
  </si>
  <si>
    <t>40.194428, -76.992163</t>
  </si>
  <si>
    <t>Batavia, NY</t>
  </si>
  <si>
    <t>4192 Veterans Memorial Dr</t>
  </si>
  <si>
    <t>Batavia</t>
  </si>
  <si>
    <t>43.017313, -78.201531</t>
  </si>
  <si>
    <t>Manchester, NH</t>
  </si>
  <si>
    <t>1111 South Willow St</t>
  </si>
  <si>
    <t>42.961287, -71.439058</t>
  </si>
  <si>
    <t>Claysburg, PA</t>
  </si>
  <si>
    <t>12604 Dunnings Hwy</t>
  </si>
  <si>
    <t>Claysburg</t>
  </si>
  <si>
    <t>40.273656, -78.459913</t>
  </si>
  <si>
    <t>Dothan, AL</t>
  </si>
  <si>
    <t>1151 Ross Clark Cir</t>
  </si>
  <si>
    <t>Dothan</t>
  </si>
  <si>
    <t>31.212985, -85.361437</t>
  </si>
  <si>
    <t>Fredonia, NY</t>
  </si>
  <si>
    <t>10390 Bennett Road</t>
  </si>
  <si>
    <t>Fredonia</t>
  </si>
  <si>
    <t>42.454125, -79.30869</t>
  </si>
  <si>
    <t>Washington, IN</t>
  </si>
  <si>
    <t>1 Gateway Dr</t>
  </si>
  <si>
    <t>38.65239, -87.133018</t>
  </si>
  <si>
    <t>Barstow - E Virginia Way, CA</t>
  </si>
  <si>
    <t>502 E Virginia Way</t>
  </si>
  <si>
    <t>34.8864348, -117.0198947</t>
  </si>
  <si>
    <t>Brea - S Madrona Ave, CA</t>
  </si>
  <si>
    <t>175 S Madrona Ave</t>
  </si>
  <si>
    <t>33.919492, -117.902014</t>
  </si>
  <si>
    <t>Bealeton, VA</t>
  </si>
  <si>
    <t>10101 James Madison Hwy</t>
  </si>
  <si>
    <t>Bealeton</t>
  </si>
  <si>
    <t>38.619784, -77.799832</t>
  </si>
  <si>
    <t>Abilene, KS</t>
  </si>
  <si>
    <t>1900 N Buckeye Ave</t>
  </si>
  <si>
    <t>Abilene</t>
  </si>
  <si>
    <t>38.935417, -97.215371</t>
  </si>
  <si>
    <t>Phoenix - N 19th Ave, AZ</t>
  </si>
  <si>
    <t>5715 N 19th Ave</t>
  </si>
  <si>
    <t>33.521819, -112.098656</t>
  </si>
  <si>
    <t>San Antonio - N Loop 1604 E, TX</t>
  </si>
  <si>
    <t>18320 Tuscany Stone</t>
  </si>
  <si>
    <t>29.610486, -98.488594</t>
  </si>
  <si>
    <t>Santa Monica, CA</t>
  </si>
  <si>
    <t>1401 Santa Monica Blvd</t>
  </si>
  <si>
    <t>34.024585, -118.485771</t>
  </si>
  <si>
    <t>Victorville - Amargosa Rd, CA</t>
  </si>
  <si>
    <t>Restaurant Row, 11604 Amargosa Rd</t>
  </si>
  <si>
    <t>34.463156, -117.354375</t>
  </si>
  <si>
    <t>Houston - 12523 Westheimer Rd, TX</t>
  </si>
  <si>
    <t>12523 Westheimer Rd</t>
  </si>
  <si>
    <t>29.734364, -95.605596</t>
  </si>
  <si>
    <t>Orlando - Central Florida Pkwy, FL</t>
  </si>
  <si>
    <t>5910 Central Florida Pkwy</t>
  </si>
  <si>
    <t>28.405944, -81.457879</t>
  </si>
  <si>
    <t>Mesquite - Mesa Blvd, NV</t>
  </si>
  <si>
    <t>275 Mesa Blvd</t>
  </si>
  <si>
    <t>36.815991, -114.064751</t>
  </si>
  <si>
    <t>Eloy, AZ</t>
  </si>
  <si>
    <t>3125 N Toltec Rd</t>
  </si>
  <si>
    <t>Eloy</t>
  </si>
  <si>
    <t>32.78255, -111.61868</t>
  </si>
  <si>
    <t>North Myrtle Beach, SC</t>
  </si>
  <si>
    <t>4898 Hwy 17 S</t>
  </si>
  <si>
    <t>North Myrtle Beach</t>
  </si>
  <si>
    <t>33.79857, -78.746356</t>
  </si>
  <si>
    <t>Decatur - E Ponce de Leon Ave, GA</t>
  </si>
  <si>
    <t>118 E Ponce de Leon Ave</t>
  </si>
  <si>
    <t>Decatur</t>
  </si>
  <si>
    <t>33.776189, -84.295612</t>
  </si>
  <si>
    <t>Colorado Springs - Forest Bluffs, CO</t>
  </si>
  <si>
    <t>9297 Forest Bluffs View</t>
  </si>
  <si>
    <t>38.965808, -104.785785</t>
  </si>
  <si>
    <t>North Conway, NH</t>
  </si>
  <si>
    <t>32 Mountain Valley Blvd</t>
  </si>
  <si>
    <t>North Conway</t>
  </si>
  <si>
    <t>44.020271, -71.113742</t>
  </si>
  <si>
    <t>Marysville, CA</t>
  </si>
  <si>
    <t>5416 Lindhurst Ave</t>
  </si>
  <si>
    <t>Marysville</t>
  </si>
  <si>
    <t>39.111142, -121.55662</t>
  </si>
  <si>
    <t>Gaithersburg - Watkins Mill Rd, MD</t>
  </si>
  <si>
    <t>690 Watkins Mill Rd</t>
  </si>
  <si>
    <t>39.158124, -77.222372</t>
  </si>
  <si>
    <t>Frisco - Preston Road, TX</t>
  </si>
  <si>
    <t>2943 Preston Rd</t>
  </si>
  <si>
    <t>Frisco</t>
  </si>
  <si>
    <t>33.102512, -96.808762</t>
  </si>
  <si>
    <t>Fredericksburg - Jefferson Davis Hwy, VA</t>
  </si>
  <si>
    <t>38.194184, -77.50741</t>
  </si>
  <si>
    <t>Tarpon Springs, FL</t>
  </si>
  <si>
    <t>1171 S Pinellas Ave</t>
  </si>
  <si>
    <t>Tarpon Springs</t>
  </si>
  <si>
    <t>28.136633, -82.756734</t>
  </si>
  <si>
    <t>Las Vegas - S Rampart Blvd, NV</t>
  </si>
  <si>
    <t>Alta Drive</t>
  </si>
  <si>
    <t>36.1680334, -115.2848652</t>
  </si>
  <si>
    <t>Palmdale - 10th St W, CA</t>
  </si>
  <si>
    <t>39626 10th St W</t>
  </si>
  <si>
    <t>34.602239, -118.146111</t>
  </si>
  <si>
    <t>Portland - SW Broadway, OR</t>
  </si>
  <si>
    <t>805 Southwest Broadway</t>
  </si>
  <si>
    <t>45.5184429, -122.6804502</t>
  </si>
  <si>
    <t>Edgewater, CO</t>
  </si>
  <si>
    <t>5505 W 20th Ave</t>
  </si>
  <si>
    <t>39.748186, -105.057756</t>
  </si>
  <si>
    <t>Suwanee, GA</t>
  </si>
  <si>
    <t>3186 Lawrenceville-Suwanee Rd</t>
  </si>
  <si>
    <t>Suwanee</t>
  </si>
  <si>
    <t>34.03393, -84.052624</t>
  </si>
  <si>
    <t>Ocean City - 12502 Ocean Gateway, MD</t>
  </si>
  <si>
    <t>12502 Ocean Gateway</t>
  </si>
  <si>
    <t>Ocean City</t>
  </si>
  <si>
    <t>38.339024, -75.119033</t>
  </si>
  <si>
    <t>Mebane, NC</t>
  </si>
  <si>
    <t>1237 Mebane Oaks Rd</t>
  </si>
  <si>
    <t>Mebane</t>
  </si>
  <si>
    <t>36.070176, -79.270532</t>
  </si>
  <si>
    <t>Lebanon, IN</t>
  </si>
  <si>
    <t>1377 S Lebanon Street</t>
  </si>
  <si>
    <t>Lebanon</t>
  </si>
  <si>
    <t>40.035056, -86.469586</t>
  </si>
  <si>
    <t>Arlington - E Bardin Rd, TX</t>
  </si>
  <si>
    <t>130 E Bardin Rd</t>
  </si>
  <si>
    <t>32.67022, -97.114009</t>
  </si>
  <si>
    <t>Irvine - Main St, CA</t>
  </si>
  <si>
    <t>1970 Main St</t>
  </si>
  <si>
    <t>33.684357, -117.851746</t>
  </si>
  <si>
    <t>Lewisburg, WV</t>
  </si>
  <si>
    <t>222 Hunter Ln</t>
  </si>
  <si>
    <t>Lewisburg</t>
  </si>
  <si>
    <t>37.810341, -80.431295</t>
  </si>
  <si>
    <t>Los Angeles - Venice Blvd, CA</t>
  </si>
  <si>
    <t>8985 Venice Blvd</t>
  </si>
  <si>
    <t>34.027942, -118.393968</t>
  </si>
  <si>
    <t>Southaven, MS</t>
  </si>
  <si>
    <t>150 Goodman Rd W</t>
  </si>
  <si>
    <t>Southaven</t>
  </si>
  <si>
    <t>34.963441, -89.99184</t>
  </si>
  <si>
    <t>Bettendorf, IA</t>
  </si>
  <si>
    <t>4850 Competition Dr</t>
  </si>
  <si>
    <t>Bettendorf</t>
  </si>
  <si>
    <t>41.591965, -90.462753</t>
  </si>
  <si>
    <t>Winnemucca, NV</t>
  </si>
  <si>
    <t>1985 W Winnemucca Blvd</t>
  </si>
  <si>
    <t>Winnemucca</t>
  </si>
  <si>
    <t>40.958847, -117.746497</t>
  </si>
  <si>
    <t>Commerce - Telegraph Rd, CA</t>
  </si>
  <si>
    <t>6131 Telegraph Rd</t>
  </si>
  <si>
    <t>33.998539, -118.146359</t>
  </si>
  <si>
    <t>Conshohocken, PA</t>
  </si>
  <si>
    <t>400 Alan Wood Rd</t>
  </si>
  <si>
    <t>Conshohocken</t>
  </si>
  <si>
    <t>40.094384, -75.308501</t>
  </si>
  <si>
    <t>Pompton Lakes, NJ</t>
  </si>
  <si>
    <t>55-63 Wanaque Ave</t>
  </si>
  <si>
    <t>Pompton Lakes</t>
  </si>
  <si>
    <t>41.008153, -74.293688</t>
  </si>
  <si>
    <t>North Huntingdon - Ronda Ct, PA</t>
  </si>
  <si>
    <t>101 Ronda Ct</t>
  </si>
  <si>
    <t>40.316709, -79.683832</t>
  </si>
  <si>
    <t>Cumberland, MD</t>
  </si>
  <si>
    <t>210 Greene St</t>
  </si>
  <si>
    <t>Cumberland</t>
  </si>
  <si>
    <t>39.649685, -78.770171</t>
  </si>
  <si>
    <t>Fenton, MO</t>
  </si>
  <si>
    <t>950 Assembly Pkwy</t>
  </si>
  <si>
    <t>Fenton</t>
  </si>
  <si>
    <t>38.544304, -90.465508</t>
  </si>
  <si>
    <t>Villa Park, IL</t>
  </si>
  <si>
    <t>50 E North Ave</t>
  </si>
  <si>
    <t>Villa Park</t>
  </si>
  <si>
    <t>41.906409, -87.9782135</t>
  </si>
  <si>
    <t>Tejon Ranch - Outlets at Tejon Pkwy, CA</t>
  </si>
  <si>
    <t>5701 Outlets at Tejon Pkwy</t>
  </si>
  <si>
    <t>Arvin</t>
  </si>
  <si>
    <t>34.985959, -118.94385</t>
  </si>
  <si>
    <t>Plainview, TX</t>
  </si>
  <si>
    <t>808 N I-27</t>
  </si>
  <si>
    <t>34.188839, -101.749148</t>
  </si>
  <si>
    <t>Monteagle, TN</t>
  </si>
  <si>
    <t>754 W Main St</t>
  </si>
  <si>
    <t>Monteagle</t>
  </si>
  <si>
    <t>35.237478, -85.850734</t>
  </si>
  <si>
    <t>Gardendale, AL</t>
  </si>
  <si>
    <t>1009 Pecan Ave</t>
  </si>
  <si>
    <t>Gardendale</t>
  </si>
  <si>
    <t>33.652452, -86.809625</t>
  </si>
  <si>
    <t>Barstow - Tanger Way, CA</t>
  </si>
  <si>
    <t>2796 Tanger Way</t>
  </si>
  <si>
    <t>34.8446, -117.0862</t>
  </si>
  <si>
    <t>Cypress, CA</t>
  </si>
  <si>
    <t>4959 Katella Ave</t>
  </si>
  <si>
    <t>Cypress</t>
  </si>
  <si>
    <t>33.804336, -118.044231</t>
  </si>
  <si>
    <t>Effingham - Avenue of Mid-America, IL</t>
  </si>
  <si>
    <t>1301 Avenue of Mid-America</t>
  </si>
  <si>
    <t>39.138944, -88.562009</t>
  </si>
  <si>
    <t>Santa Nella, CA</t>
  </si>
  <si>
    <t>13070 CA-33</t>
  </si>
  <si>
    <t>Santa Nella</t>
  </si>
  <si>
    <t>37.100209, -121.012011</t>
  </si>
  <si>
    <t>St. George - S Convention Center Dr, UT</t>
  </si>
  <si>
    <t>1835 S Convention Center Dr</t>
  </si>
  <si>
    <t>37.077559, -113.5843</t>
  </si>
  <si>
    <t>Chattanooga - Manufacturers Rd, TN</t>
  </si>
  <si>
    <t>301 Manufacturers Rd</t>
  </si>
  <si>
    <t>35.063323, -85.314938</t>
  </si>
  <si>
    <t>Guin, AL</t>
  </si>
  <si>
    <t>5750 AL-44</t>
  </si>
  <si>
    <t>Guin</t>
  </si>
  <si>
    <t>34.00972, -87.8349</t>
  </si>
  <si>
    <t>Edison - Route 1, NJ</t>
  </si>
  <si>
    <t>580 US-1</t>
  </si>
  <si>
    <t>40.5062, -74.3936</t>
  </si>
  <si>
    <t>Scotts Valley, CA</t>
  </si>
  <si>
    <t>230 Mount Hermon Rd</t>
  </si>
  <si>
    <t>Scotts Valley</t>
  </si>
  <si>
    <t>37.047608, -122.027743</t>
  </si>
  <si>
    <t>Shirley, NY</t>
  </si>
  <si>
    <t>999 Montauk Hwy</t>
  </si>
  <si>
    <t>Shirley</t>
  </si>
  <si>
    <t>40.804373, -72.860362</t>
  </si>
  <si>
    <t>Raphine, VA</t>
  </si>
  <si>
    <t>Comfort Inn, 713 Oakland Cir</t>
  </si>
  <si>
    <t>Raphine</t>
  </si>
  <si>
    <t>37.930083, -79.234611</t>
  </si>
  <si>
    <t>Capacity_kw_total</t>
  </si>
  <si>
    <t>Size_band</t>
  </si>
  <si>
    <t>Today</t>
  </si>
  <si>
    <t>site_age_years</t>
  </si>
  <si>
    <t>Age_band</t>
  </si>
  <si>
    <t>Corridor</t>
  </si>
  <si>
    <t>version</t>
  </si>
  <si>
    <t>Annual_revenue_usd</t>
  </si>
  <si>
    <t>Annual_opex_usd</t>
  </si>
  <si>
    <t>Capex_usd</t>
  </si>
  <si>
    <t>TCO_per_kwh_usd</t>
  </si>
  <si>
    <t>Annual_kwh_sold</t>
  </si>
  <si>
    <t>Cluster</t>
  </si>
  <si>
    <t>Profit_margin</t>
  </si>
  <si>
    <t>Latitude</t>
  </si>
  <si>
    <t>Longitude</t>
  </si>
  <si>
    <t>Opex_per_stall</t>
  </si>
  <si>
    <t>Capex_per_stall</t>
  </si>
  <si>
    <t>Revenue_per_stall</t>
  </si>
  <si>
    <t>Payback_years</t>
  </si>
  <si>
    <t>Energy_spend</t>
  </si>
  <si>
    <t>Preventive_maint_spend</t>
  </si>
  <si>
    <t>Corrective_maint_spend</t>
  </si>
  <si>
    <t>Site_services_spend</t>
  </si>
  <si>
    <t>Network_spend</t>
  </si>
  <si>
    <t>Column</t>
  </si>
  <si>
    <t>% of Opex</t>
  </si>
  <si>
    <t>Description</t>
  </si>
  <si>
    <t>62%</t>
  </si>
  <si>
    <t>20%</t>
  </si>
  <si>
    <t>10%</t>
  </si>
  <si>
    <t>5%</t>
  </si>
  <si>
    <t>3%</t>
  </si>
  <si>
    <t>NOTE: Category splits are proxy estimates based on industry-standard EV charging infrastructure opex composition. Calculated as fixed % of Annual_opex_usd to enable category spend analysis by cluster for indirect procurement benchmarking.</t>
  </si>
  <si>
    <t>Electricity drawn from grid. (Utility contract negotiation, demand tariffs)</t>
  </si>
  <si>
    <t>Scheduled servicing. (Standardised service contracts by cluster)</t>
  </si>
  <si>
    <t>Unplanned repairs.  (Spare parts stocking)</t>
  </si>
  <si>
    <t>Cleaning, landscaping, security. (Consolidated supplier agreements)</t>
  </si>
  <si>
    <t>Comms hardware and data costs.  (Volume licensing across cluster)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</si>
</sst>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72" formatCode="_(* #,##0_);_(* \(#,##0\);_(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11">
    <xf numFmtId="0" fontId="0" fillId="0" borderId="0" xfId="0"/>
    <xf numFmtId="14" fontId="0" fillId="0" borderId="0" xfId="0" applyNumberFormat="1"/>
    <xf numFmtId="164" fontId="0" fillId="0" borderId="0" xfId="0" applyNumberFormat="1"/>
    <xf numFmtId="44" fontId="0" fillId="0" borderId="0" xfId="0" applyNumberFormat="1"/>
    <xf numFmtId="44" fontId="0" fillId="0" borderId="0" xfId="1" applyFont="1"/>
    <xf numFmtId="2" fontId="0" fillId="0" borderId="0" xfId="0" applyNumberFormat="1"/>
    <xf numFmtId="0" fontId="0" fillId="0" borderId="0" xfId="0" applyAlignment="1">
      <alignment wrapText="1"/>
    </xf>
    <xf numFmtId="0" fontId="16" fillId="0" borderId="0" xfId="0" applyFont="1"/>
    <xf numFmtId="0" fontId="16" fillId="33" borderId="0" xfId="0" applyFont="1" applyFill="1" applyAlignment="1">
      <alignment wrapText="1"/>
    </xf>
    <xf numFmtId="0" fontId="16" fillId="33" borderId="0" xfId="0" applyFont="1" applyFill="1"/>
    <xf numFmtId="172" fontId="0" fillId="0" borderId="0" xfId="43" applyNumberFormat="1" applyFont="1"/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43" builtinId="3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6EEDA-6424-4669-8C52-823332EE6FCA}">
  <dimension ref="A1:AJ1792"/>
  <sheetViews>
    <sheetView tabSelected="1" topLeftCell="R1" workbookViewId="0">
      <selection activeCell="Z11" sqref="Z11"/>
    </sheetView>
  </sheetViews>
  <sheetFormatPr defaultRowHeight="14.4" x14ac:dyDescent="0.3"/>
  <cols>
    <col min="1" max="1" width="46.77734375" bestFit="1" customWidth="1"/>
    <col min="2" max="2" width="52.44140625" bestFit="1" customWidth="1"/>
    <col min="3" max="3" width="21.5546875" bestFit="1" customWidth="1"/>
    <col min="4" max="4" width="7.77734375" bestFit="1" customWidth="1"/>
    <col min="5" max="5" width="10.6640625" bestFit="1" customWidth="1"/>
    <col min="6" max="6" width="10.21875" bestFit="1" customWidth="1"/>
    <col min="7" max="7" width="8" bestFit="1" customWidth="1"/>
    <col min="8" max="8" width="6" bestFit="1" customWidth="1"/>
    <col min="9" max="9" width="9.6640625" bestFit="1" customWidth="1"/>
    <col min="10" max="10" width="34.33203125" bestFit="1" customWidth="1"/>
    <col min="11" max="11" width="17.77734375" bestFit="1" customWidth="1"/>
    <col min="12" max="12" width="18.44140625" bestFit="1" customWidth="1"/>
    <col min="13" max="13" width="10" bestFit="1" customWidth="1"/>
    <col min="14" max="14" width="12.44140625" bestFit="1" customWidth="1"/>
    <col min="15" max="15" width="9.33203125" bestFit="1" customWidth="1"/>
    <col min="16" max="16" width="16.109375" bestFit="1" customWidth="1"/>
    <col min="17" max="17" width="11.5546875" bestFit="1" customWidth="1"/>
    <col min="18" max="18" width="19.109375" bestFit="1" customWidth="1"/>
    <col min="19" max="19" width="11.88671875" bestFit="1" customWidth="1"/>
    <col min="20" max="20" width="24.5546875" bestFit="1" customWidth="1"/>
    <col min="21" max="21" width="21.5546875" bestFit="1" customWidth="1"/>
    <col min="22" max="22" width="18.44140625" bestFit="1" customWidth="1"/>
    <col min="23" max="23" width="15.88671875" bestFit="1" customWidth="1"/>
    <col min="24" max="24" width="18.21875" bestFit="1" customWidth="1"/>
    <col min="25" max="25" width="19.33203125" bestFit="1" customWidth="1"/>
    <col min="26" max="26" width="15" bestFit="1" customWidth="1"/>
    <col min="27" max="27" width="24.33203125" bestFit="1" customWidth="1"/>
    <col min="28" max="28" width="16.21875" bestFit="1" customWidth="1"/>
    <col min="29" max="29" width="17.21875" bestFit="1" customWidth="1"/>
    <col min="30" max="30" width="19.5546875" bestFit="1" customWidth="1"/>
    <col min="31" max="31" width="16" bestFit="1" customWidth="1"/>
    <col min="32" max="32" width="15.5546875" bestFit="1" customWidth="1"/>
    <col min="33" max="33" width="25.109375" bestFit="1" customWidth="1"/>
    <col min="34" max="34" width="25" bestFit="1" customWidth="1"/>
    <col min="35" max="35" width="21.33203125" bestFit="1" customWidth="1"/>
    <col min="36" max="36" width="16.88671875" bestFit="1" customWidth="1"/>
  </cols>
  <sheetData>
    <row r="1" spans="1:36" s="7" customFormat="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6767</v>
      </c>
      <c r="J1" s="7" t="s">
        <v>8</v>
      </c>
      <c r="K1" s="7" t="s">
        <v>6775</v>
      </c>
      <c r="L1" s="7" t="s">
        <v>6776</v>
      </c>
      <c r="M1" s="7" t="s">
        <v>9</v>
      </c>
      <c r="N1" s="7" t="s">
        <v>10</v>
      </c>
      <c r="O1" s="7" t="s">
        <v>6763</v>
      </c>
      <c r="P1" s="7" t="s">
        <v>6764</v>
      </c>
      <c r="Q1" s="7" t="s">
        <v>6765</v>
      </c>
      <c r="R1" s="7" t="s">
        <v>6761</v>
      </c>
      <c r="S1" s="7" t="s">
        <v>6762</v>
      </c>
      <c r="T1" s="7" t="s">
        <v>6766</v>
      </c>
      <c r="U1" s="7" t="s">
        <v>6768</v>
      </c>
      <c r="V1" s="7" t="s">
        <v>6769</v>
      </c>
      <c r="W1" s="7" t="s">
        <v>6770</v>
      </c>
      <c r="X1" s="7" t="s">
        <v>6772</v>
      </c>
      <c r="Y1" s="7" t="s">
        <v>6771</v>
      </c>
      <c r="Z1" s="7" t="s">
        <v>6774</v>
      </c>
      <c r="AA1" s="7" t="s">
        <v>6773</v>
      </c>
      <c r="AB1" s="7" t="s">
        <v>6777</v>
      </c>
      <c r="AC1" s="7" t="s">
        <v>6778</v>
      </c>
      <c r="AD1" s="7" t="s">
        <v>6779</v>
      </c>
      <c r="AE1" s="7" t="s">
        <v>6780</v>
      </c>
      <c r="AF1" s="7" t="s">
        <v>6781</v>
      </c>
      <c r="AG1" s="7" t="s">
        <v>6782</v>
      </c>
      <c r="AH1" s="7" t="s">
        <v>6783</v>
      </c>
      <c r="AI1" s="7" t="s">
        <v>6784</v>
      </c>
      <c r="AJ1" s="7" t="s">
        <v>6785</v>
      </c>
    </row>
    <row r="2" spans="1:36" x14ac:dyDescent="0.3">
      <c r="A2" t="s">
        <v>11</v>
      </c>
      <c r="B2" t="s">
        <v>12</v>
      </c>
      <c r="C2" t="s">
        <v>13</v>
      </c>
      <c r="D2" t="s">
        <v>14</v>
      </c>
      <c r="E2">
        <v>93427</v>
      </c>
      <c r="F2" t="s">
        <v>15</v>
      </c>
      <c r="G2">
        <v>10</v>
      </c>
      <c r="H2">
        <v>150</v>
      </c>
      <c r="I2" t="str" cm="1">
        <f t="array" ref="I2">_xlfn.IFS(H2&lt;=120,"V1",H2&lt;=150,"V2",H2&lt;=250,"V3", H2&lt;=350, "V4")</f>
        <v>V2</v>
      </c>
      <c r="J2" t="s">
        <v>16</v>
      </c>
      <c r="K2" t="str">
        <f>TRIM(LEFT(J2, FIND(",", J2) - 1))</f>
        <v>34.61456</v>
      </c>
      <c r="L2" t="str">
        <f>TRIM(MID(J2, FIND(",", J2) + 1, LEN(J2)))</f>
        <v>-120.188387</v>
      </c>
      <c r="M2">
        <v>114</v>
      </c>
      <c r="N2" s="1">
        <v>41468</v>
      </c>
      <c r="O2" s="1">
        <v>46099</v>
      </c>
      <c r="P2" s="2">
        <f>(O2-N2)/365.25</f>
        <v>12.678986995208762</v>
      </c>
      <c r="Q2" s="2" t="str">
        <f>IF(P2&lt;3,"New",IF(P2&lt;=8,"Mid","Old"))</f>
        <v>Old</v>
      </c>
      <c r="R2">
        <f>G2*H2</f>
        <v>1500</v>
      </c>
      <c r="S2" t="str">
        <f>IF(G2&lt;=30,"Small",IF(G2&lt;=60,"Medium","Large"))</f>
        <v>Small</v>
      </c>
      <c r="T2" t="str">
        <f>IF(OR(D2="CA",D2="FL",D2="WA",D2="CO",D2="TX",D2="NJ"),"High EV Adoption Corridor","Lower EV Adoption Corridor")</f>
        <v>High EV Adoption Corridor</v>
      </c>
      <c r="U2" s="3">
        <f xml:space="preserve"> R2 * 1500 *
  IF(I2="V1",1,
     IF(I2="V2",1.1,1.2)) *
  IF(T2="High EV Adoption Corridor",1.3,1)</f>
        <v>3217500</v>
      </c>
      <c r="V2" s="4">
        <f xml:space="preserve"> R2 * 400 *
  IF(I2="V1",0.9,
     IF(I2="V2",1,1.1)) *
  IF(T2="High EV Adoption Corridor",1.2,1)</f>
        <v>720000</v>
      </c>
      <c r="W2" s="3">
        <f xml:space="preserve"> R2 * 5000 *
  IF(I2="V1",0.8,
     IF(I2="V2",1,1.2)) *
  IF(T2="High EV Adoption Corridor",1.1,1)</f>
        <v>8250000.0000000009</v>
      </c>
      <c r="X2" s="3">
        <f xml:space="preserve"> R2 * 3000 *
  IF(I2="V1",0.9,
     IF(I2="V2",1,1.1)) *
  IF(T2="High EV Adoption Corridor",1.5,1)</f>
        <v>6750000</v>
      </c>
      <c r="Y2">
        <f xml:space="preserve"> ((W2/10) + V2) / X2</f>
        <v>0.22888888888888889</v>
      </c>
      <c r="Z2">
        <f>(U2-V2)/U2</f>
        <v>0.77622377622377625</v>
      </c>
      <c r="AA2" t="str">
        <f>IF(AND(I2="V3",T2="High EV Adoption Corridor"),
"Tier 1 - Priority Fleet",
IF(AND(I2="V3",T2="Lower EV Adoption Corridor"),
"Tier 2 - Growth Markets",
IF(AND(OR(I2="V1",I2="V2"),T2="High EV Adoption Corridor"),
"Tier 3 - Upgrade Pipeline",
IF(AND(I2="V2",T2="Lower EV Adoption Corridor"),
"Tier 4 - Stable Network",
"Tier 5 - Retirement Pipeline"))))</f>
        <v>Tier 3 - Upgrade Pipeline</v>
      </c>
      <c r="AB2" s="3">
        <f>V2/G2</f>
        <v>72000</v>
      </c>
      <c r="AC2" s="3">
        <f>W2/G2</f>
        <v>825000.00000000012</v>
      </c>
      <c r="AD2" s="3">
        <f>U2/G2</f>
        <v>321750</v>
      </c>
      <c r="AE2" s="5">
        <f>W2/(U2-V2)</f>
        <v>3.3033033033033035</v>
      </c>
      <c r="AF2" s="10">
        <f>V2*0.62</f>
        <v>446400</v>
      </c>
      <c r="AG2" s="10">
        <f>V2*0.2</f>
        <v>144000</v>
      </c>
      <c r="AH2" s="10">
        <f>V2*0.1</f>
        <v>72000</v>
      </c>
      <c r="AI2" s="10">
        <f>V2*0.05</f>
        <v>36000</v>
      </c>
      <c r="AJ2" s="10">
        <f>V2*0.03</f>
        <v>21600</v>
      </c>
    </row>
    <row r="3" spans="1:36" x14ac:dyDescent="0.3">
      <c r="A3" t="s">
        <v>17</v>
      </c>
      <c r="B3" t="s">
        <v>18</v>
      </c>
      <c r="C3" t="s">
        <v>19</v>
      </c>
      <c r="D3" t="s">
        <v>14</v>
      </c>
      <c r="E3">
        <v>96021</v>
      </c>
      <c r="F3" t="s">
        <v>15</v>
      </c>
      <c r="G3">
        <v>6</v>
      </c>
      <c r="H3">
        <v>150</v>
      </c>
      <c r="I3" t="str" cm="1">
        <f t="array" ref="I3">_xlfn.IFS(H3&lt;=120,"V1",H3&lt;=150,"V2",H3&lt;=250,"V3", H3&lt;=350, "V4")</f>
        <v>V2</v>
      </c>
      <c r="J3" t="s">
        <v>20</v>
      </c>
      <c r="K3" t="str">
        <f t="shared" ref="K3:K66" si="0">TRIM(LEFT(J3, FIND(",", J3) - 1))</f>
        <v>39.926454</v>
      </c>
      <c r="L3" t="str">
        <f t="shared" ref="L3:L66" si="1">TRIM(MID(J3, FIND(",", J3) + 1, LEN(J3)))</f>
        <v>-122.198393</v>
      </c>
      <c r="M3">
        <v>87</v>
      </c>
      <c r="N3" s="1">
        <v>41565</v>
      </c>
      <c r="O3" s="1">
        <v>46099</v>
      </c>
      <c r="P3" s="2">
        <f t="shared" ref="P3:P66" si="2">(O3-N3)/365.25</f>
        <v>12.413415468856947</v>
      </c>
      <c r="Q3" s="2" t="str">
        <f t="shared" ref="Q3:Q66" si="3">IF(P3&lt;3,"New",IF(P3&lt;=8,"Mid","Old"))</f>
        <v>Old</v>
      </c>
      <c r="R3">
        <f t="shared" ref="R3:R66" si="4">G3*H3</f>
        <v>900</v>
      </c>
      <c r="S3" t="str">
        <f t="shared" ref="S3:S66" si="5">IF(G3&lt;=30,"Small",IF(G3&lt;=60,"Medium","Large"))</f>
        <v>Small</v>
      </c>
      <c r="T3" t="str">
        <f t="shared" ref="T3:T66" si="6">IF(OR(D3="CA",D3="FL",D3="WA",D3="CO",D3="TX",D3="NJ"),"High EV Adoption Corridor","Lower EV Adoption Corridor")</f>
        <v>High EV Adoption Corridor</v>
      </c>
      <c r="U3" s="3">
        <f t="shared" ref="U3:U66" si="7" xml:space="preserve"> R3 * 1500 *
  IF(I3="V1",1,
     IF(I3="V2",1.1,1.2)) *
  IF(T3="High EV Adoption Corridor",1.3,1)</f>
        <v>1930500.0000000005</v>
      </c>
      <c r="V3" s="4">
        <f t="shared" ref="V3:V66" si="8" xml:space="preserve"> R3 * 400 *
  IF(I3="V1",0.9,
     IF(I3="V2",1,1.1)) *
  IF(T3="High EV Adoption Corridor",1.2,1)</f>
        <v>432000</v>
      </c>
      <c r="W3" s="3">
        <f t="shared" ref="W3:W66" si="9" xml:space="preserve"> R3 * 5000 *
  IF(I3="V1",0.8,
     IF(I3="V2",1,1.2)) *
  IF(T3="High EV Adoption Corridor",1.1,1)</f>
        <v>4950000</v>
      </c>
      <c r="X3" s="3">
        <f t="shared" ref="X3:X66" si="10" xml:space="preserve"> R3 * 3000 *
  IF(I3="V1",0.9,
     IF(I3="V2",1,1.1)) *
  IF(T3="High EV Adoption Corridor",1.5,1)</f>
        <v>4050000</v>
      </c>
      <c r="Y3">
        <f t="shared" ref="Y3:Y66" si="11" xml:space="preserve"> ((W3/10) + V3) / X3</f>
        <v>0.22888888888888889</v>
      </c>
      <c r="Z3">
        <f t="shared" ref="Z3:Z66" si="12">(U3-V3)/U3</f>
        <v>0.77622377622377625</v>
      </c>
      <c r="AA3" t="str">
        <f t="shared" ref="AA3:AA66" si="13">IF(AND(I3="V3",T3="High EV Adoption Corridor"),
"Tier 1 - Priority Fleet",
IF(AND(I3="V3",T3="Lower EV Adoption Corridor"),
"Tier 2 - Growth Markets",
IF(AND(OR(I3="V1",I3="V2"),T3="High EV Adoption Corridor"),
"Tier 3 - Upgrade Pipeline",
IF(AND(I3="V2",T3="Lower EV Adoption Corridor"),
"Tier 4 - Stable Network",
"Tier 5 - Retirement Pipeline"))))</f>
        <v>Tier 3 - Upgrade Pipeline</v>
      </c>
      <c r="AB3" s="3">
        <f t="shared" ref="AB3:AB66" si="14">V3/G3</f>
        <v>72000</v>
      </c>
      <c r="AC3" s="3">
        <f t="shared" ref="AC3:AC66" si="15">W3/G3</f>
        <v>825000</v>
      </c>
      <c r="AD3" s="3">
        <f t="shared" ref="AD3:AD66" si="16">U3/G3</f>
        <v>321750.00000000006</v>
      </c>
      <c r="AE3" s="5">
        <f t="shared" ref="AE3:AE66" si="17">W3/(U3-V3)</f>
        <v>3.3033033033033021</v>
      </c>
      <c r="AF3" s="10">
        <f t="shared" ref="AF3:AF66" si="18">V3*0.62</f>
        <v>267840</v>
      </c>
      <c r="AG3" s="10">
        <f t="shared" ref="AG3:AG66" si="19">V3*0.2</f>
        <v>86400</v>
      </c>
      <c r="AH3" s="10">
        <f t="shared" ref="AH3:AH66" si="20">V3*0.1</f>
        <v>43200</v>
      </c>
      <c r="AI3" s="10">
        <f t="shared" ref="AI3:AI66" si="21">V3*0.05</f>
        <v>21600</v>
      </c>
      <c r="AJ3" s="10">
        <f t="shared" ref="AJ3:AJ66" si="22">V3*0.03</f>
        <v>12960</v>
      </c>
    </row>
    <row r="4" spans="1:36" x14ac:dyDescent="0.3">
      <c r="A4" t="s">
        <v>21</v>
      </c>
      <c r="B4" t="s">
        <v>22</v>
      </c>
      <c r="C4" t="s">
        <v>23</v>
      </c>
      <c r="D4" t="s">
        <v>14</v>
      </c>
      <c r="E4">
        <v>92311</v>
      </c>
      <c r="F4" t="s">
        <v>15</v>
      </c>
      <c r="G4">
        <v>16</v>
      </c>
      <c r="H4">
        <v>150</v>
      </c>
      <c r="I4" t="str" cm="1">
        <f t="array" ref="I4">_xlfn.IFS(H4&lt;=120,"V1",H4&lt;=150,"V2",H4&lt;=250,"V3", H4&lt;=350, "V4")</f>
        <v>V2</v>
      </c>
      <c r="J4" t="s">
        <v>24</v>
      </c>
      <c r="K4" t="str">
        <f t="shared" si="0"/>
        <v>34.849129</v>
      </c>
      <c r="L4" t="str">
        <f t="shared" si="1"/>
        <v>-117.085446</v>
      </c>
      <c r="M4">
        <v>725</v>
      </c>
      <c r="N4" s="1">
        <v>41232</v>
      </c>
      <c r="O4" s="1">
        <v>46099</v>
      </c>
      <c r="P4" s="2">
        <f t="shared" si="2"/>
        <v>13.325119780971937</v>
      </c>
      <c r="Q4" s="2" t="str">
        <f t="shared" si="3"/>
        <v>Old</v>
      </c>
      <c r="R4">
        <f t="shared" si="4"/>
        <v>2400</v>
      </c>
      <c r="S4" t="str">
        <f t="shared" si="5"/>
        <v>Small</v>
      </c>
      <c r="T4" t="str">
        <f t="shared" si="6"/>
        <v>High EV Adoption Corridor</v>
      </c>
      <c r="U4" s="3">
        <f t="shared" si="7"/>
        <v>5148000.0000000009</v>
      </c>
      <c r="V4" s="4">
        <f t="shared" si="8"/>
        <v>1152000</v>
      </c>
      <c r="W4" s="3">
        <f t="shared" si="9"/>
        <v>13200000.000000002</v>
      </c>
      <c r="X4" s="3">
        <f t="shared" si="10"/>
        <v>10800000</v>
      </c>
      <c r="Y4">
        <f t="shared" si="11"/>
        <v>0.22888888888888889</v>
      </c>
      <c r="Z4">
        <f t="shared" si="12"/>
        <v>0.77622377622377625</v>
      </c>
      <c r="AA4" t="str">
        <f t="shared" si="13"/>
        <v>Tier 3 - Upgrade Pipeline</v>
      </c>
      <c r="AB4" s="3">
        <f t="shared" si="14"/>
        <v>72000</v>
      </c>
      <c r="AC4" s="3">
        <f t="shared" si="15"/>
        <v>825000.00000000012</v>
      </c>
      <c r="AD4" s="3">
        <f t="shared" si="16"/>
        <v>321750.00000000006</v>
      </c>
      <c r="AE4" s="5">
        <f t="shared" si="17"/>
        <v>3.303303303303303</v>
      </c>
      <c r="AF4" s="10">
        <f t="shared" si="18"/>
        <v>714240</v>
      </c>
      <c r="AG4" s="10">
        <f t="shared" si="19"/>
        <v>230400</v>
      </c>
      <c r="AH4" s="10">
        <f t="shared" si="20"/>
        <v>115200</v>
      </c>
      <c r="AI4" s="10">
        <f t="shared" si="21"/>
        <v>57600</v>
      </c>
      <c r="AJ4" s="10">
        <f t="shared" si="22"/>
        <v>34560</v>
      </c>
    </row>
    <row r="5" spans="1:36" x14ac:dyDescent="0.3">
      <c r="A5" t="s">
        <v>25</v>
      </c>
      <c r="B5" t="s">
        <v>26</v>
      </c>
      <c r="C5" t="s">
        <v>27</v>
      </c>
      <c r="D5" t="s">
        <v>28</v>
      </c>
      <c r="E5">
        <v>31794</v>
      </c>
      <c r="F5" t="s">
        <v>15</v>
      </c>
      <c r="G5">
        <v>8</v>
      </c>
      <c r="H5">
        <v>150</v>
      </c>
      <c r="I5" t="str" cm="1">
        <f t="array" ref="I5">_xlfn.IFS(H5&lt;=120,"V1",H5&lt;=150,"V2",H5&lt;=250,"V3", H5&lt;=350, "V4")</f>
        <v>V2</v>
      </c>
      <c r="J5" t="s">
        <v>29</v>
      </c>
      <c r="K5" t="str">
        <f t="shared" si="0"/>
        <v>31.448847</v>
      </c>
      <c r="L5" t="str">
        <f t="shared" si="1"/>
        <v>-83.53221</v>
      </c>
      <c r="M5">
        <v>92</v>
      </c>
      <c r="N5" s="1">
        <v>41830</v>
      </c>
      <c r="O5" s="1">
        <v>46099</v>
      </c>
      <c r="P5" s="2">
        <f t="shared" si="2"/>
        <v>11.687885010266941</v>
      </c>
      <c r="Q5" s="2" t="str">
        <f t="shared" si="3"/>
        <v>Old</v>
      </c>
      <c r="R5">
        <f t="shared" si="4"/>
        <v>1200</v>
      </c>
      <c r="S5" t="str">
        <f t="shared" si="5"/>
        <v>Small</v>
      </c>
      <c r="T5" t="str">
        <f t="shared" si="6"/>
        <v>Lower EV Adoption Corridor</v>
      </c>
      <c r="U5" s="3">
        <f t="shared" si="7"/>
        <v>1980000.0000000002</v>
      </c>
      <c r="V5" s="4">
        <f t="shared" si="8"/>
        <v>480000</v>
      </c>
      <c r="W5" s="3">
        <f t="shared" si="9"/>
        <v>6000000</v>
      </c>
      <c r="X5" s="3">
        <f t="shared" si="10"/>
        <v>3600000</v>
      </c>
      <c r="Y5">
        <f t="shared" si="11"/>
        <v>0.3</v>
      </c>
      <c r="Z5">
        <f t="shared" si="12"/>
        <v>0.75757575757575757</v>
      </c>
      <c r="AA5" t="str">
        <f t="shared" si="13"/>
        <v>Tier 4 - Stable Network</v>
      </c>
      <c r="AB5" s="3">
        <f t="shared" si="14"/>
        <v>60000</v>
      </c>
      <c r="AC5" s="3">
        <f t="shared" si="15"/>
        <v>750000</v>
      </c>
      <c r="AD5" s="3">
        <f t="shared" si="16"/>
        <v>247500.00000000003</v>
      </c>
      <c r="AE5" s="5">
        <f t="shared" si="17"/>
        <v>3.9999999999999996</v>
      </c>
      <c r="AF5" s="10">
        <f t="shared" si="18"/>
        <v>297600</v>
      </c>
      <c r="AG5" s="10">
        <f t="shared" si="19"/>
        <v>96000</v>
      </c>
      <c r="AH5" s="10">
        <f t="shared" si="20"/>
        <v>48000</v>
      </c>
      <c r="AI5" s="10">
        <f t="shared" si="21"/>
        <v>24000</v>
      </c>
      <c r="AJ5" s="10">
        <f t="shared" si="22"/>
        <v>14400</v>
      </c>
    </row>
    <row r="6" spans="1:36" x14ac:dyDescent="0.3">
      <c r="A6" t="s">
        <v>30</v>
      </c>
      <c r="B6" t="s">
        <v>31</v>
      </c>
      <c r="C6" t="s">
        <v>32</v>
      </c>
      <c r="D6" t="s">
        <v>14</v>
      </c>
      <c r="E6">
        <v>95678</v>
      </c>
      <c r="F6" t="s">
        <v>15</v>
      </c>
      <c r="G6">
        <v>7</v>
      </c>
      <c r="H6">
        <v>150</v>
      </c>
      <c r="I6" t="str" cm="1">
        <f t="array" ref="I6">_xlfn.IFS(H6&lt;=120,"V1",H6&lt;=150,"V2",H6&lt;=250,"V3", H6&lt;=350, "V4")</f>
        <v>V2</v>
      </c>
      <c r="J6" t="s">
        <v>33</v>
      </c>
      <c r="K6" t="str">
        <f t="shared" si="0"/>
        <v>38.771208</v>
      </c>
      <c r="L6" t="str">
        <f t="shared" si="1"/>
        <v>-121.266149</v>
      </c>
      <c r="M6">
        <v>66</v>
      </c>
      <c r="N6" s="1">
        <v>41758</v>
      </c>
      <c r="O6" s="1">
        <v>46099</v>
      </c>
      <c r="P6" s="2">
        <f t="shared" si="2"/>
        <v>11.885010266940451</v>
      </c>
      <c r="Q6" s="2" t="str">
        <f t="shared" si="3"/>
        <v>Old</v>
      </c>
      <c r="R6">
        <f t="shared" si="4"/>
        <v>1050</v>
      </c>
      <c r="S6" t="str">
        <f t="shared" si="5"/>
        <v>Small</v>
      </c>
      <c r="T6" t="str">
        <f t="shared" si="6"/>
        <v>High EV Adoption Corridor</v>
      </c>
      <c r="U6" s="3">
        <f t="shared" si="7"/>
        <v>2252250.0000000005</v>
      </c>
      <c r="V6" s="4">
        <f t="shared" si="8"/>
        <v>504000</v>
      </c>
      <c r="W6" s="3">
        <f t="shared" si="9"/>
        <v>5775000.0000000009</v>
      </c>
      <c r="X6" s="3">
        <f t="shared" si="10"/>
        <v>4725000</v>
      </c>
      <c r="Y6">
        <f t="shared" si="11"/>
        <v>0.22888888888888889</v>
      </c>
      <c r="Z6">
        <f t="shared" si="12"/>
        <v>0.77622377622377625</v>
      </c>
      <c r="AA6" t="str">
        <f t="shared" si="13"/>
        <v>Tier 3 - Upgrade Pipeline</v>
      </c>
      <c r="AB6" s="3">
        <f t="shared" si="14"/>
        <v>72000</v>
      </c>
      <c r="AC6" s="3">
        <f t="shared" si="15"/>
        <v>825000.00000000012</v>
      </c>
      <c r="AD6" s="3">
        <f t="shared" si="16"/>
        <v>321750.00000000006</v>
      </c>
      <c r="AE6" s="5">
        <f t="shared" si="17"/>
        <v>3.303303303303303</v>
      </c>
      <c r="AF6" s="10">
        <f t="shared" si="18"/>
        <v>312480</v>
      </c>
      <c r="AG6" s="10">
        <f t="shared" si="19"/>
        <v>100800</v>
      </c>
      <c r="AH6" s="10">
        <f t="shared" si="20"/>
        <v>50400</v>
      </c>
      <c r="AI6" s="10">
        <f t="shared" si="21"/>
        <v>25200</v>
      </c>
      <c r="AJ6" s="10">
        <f t="shared" si="22"/>
        <v>15120</v>
      </c>
    </row>
    <row r="7" spans="1:36" x14ac:dyDescent="0.3">
      <c r="A7" t="s">
        <v>34</v>
      </c>
      <c r="B7" t="s">
        <v>35</v>
      </c>
      <c r="C7" t="s">
        <v>36</v>
      </c>
      <c r="D7" t="s">
        <v>14</v>
      </c>
      <c r="E7">
        <v>93036</v>
      </c>
      <c r="F7" t="s">
        <v>15</v>
      </c>
      <c r="G7">
        <v>20</v>
      </c>
      <c r="H7">
        <v>150</v>
      </c>
      <c r="I7" t="str" cm="1">
        <f t="array" ref="I7">_xlfn.IFS(H7&lt;=120,"V1",H7&lt;=150,"V2",H7&lt;=250,"V3", H7&lt;=350, "V4")</f>
        <v>V2</v>
      </c>
      <c r="J7" t="s">
        <v>37</v>
      </c>
      <c r="K7" t="str">
        <f t="shared" si="0"/>
        <v>34.238654</v>
      </c>
      <c r="L7" t="str">
        <f t="shared" si="1"/>
        <v>-119.177398</v>
      </c>
      <c r="M7">
        <v>24</v>
      </c>
      <c r="N7" s="1">
        <v>41906</v>
      </c>
      <c r="O7" s="1">
        <v>46099</v>
      </c>
      <c r="P7" s="2">
        <f t="shared" si="2"/>
        <v>11.4798083504449</v>
      </c>
      <c r="Q7" s="2" t="str">
        <f t="shared" si="3"/>
        <v>Old</v>
      </c>
      <c r="R7">
        <f t="shared" si="4"/>
        <v>3000</v>
      </c>
      <c r="S7" t="str">
        <f t="shared" si="5"/>
        <v>Small</v>
      </c>
      <c r="T7" t="str">
        <f t="shared" si="6"/>
        <v>High EV Adoption Corridor</v>
      </c>
      <c r="U7" s="3">
        <f t="shared" si="7"/>
        <v>6435000</v>
      </c>
      <c r="V7" s="4">
        <f t="shared" si="8"/>
        <v>1440000</v>
      </c>
      <c r="W7" s="3">
        <f t="shared" si="9"/>
        <v>16500000.000000002</v>
      </c>
      <c r="X7" s="3">
        <f t="shared" si="10"/>
        <v>13500000</v>
      </c>
      <c r="Y7">
        <f t="shared" si="11"/>
        <v>0.22888888888888889</v>
      </c>
      <c r="Z7">
        <f t="shared" si="12"/>
        <v>0.77622377622377625</v>
      </c>
      <c r="AA7" t="str">
        <f t="shared" si="13"/>
        <v>Tier 3 - Upgrade Pipeline</v>
      </c>
      <c r="AB7" s="3">
        <f t="shared" si="14"/>
        <v>72000</v>
      </c>
      <c r="AC7" s="3">
        <f t="shared" si="15"/>
        <v>825000.00000000012</v>
      </c>
      <c r="AD7" s="3">
        <f t="shared" si="16"/>
        <v>321750</v>
      </c>
      <c r="AE7" s="5">
        <f t="shared" si="17"/>
        <v>3.3033033033033035</v>
      </c>
      <c r="AF7" s="10">
        <f t="shared" si="18"/>
        <v>892800</v>
      </c>
      <c r="AG7" s="10">
        <f t="shared" si="19"/>
        <v>288000</v>
      </c>
      <c r="AH7" s="10">
        <f t="shared" si="20"/>
        <v>144000</v>
      </c>
      <c r="AI7" s="10">
        <f t="shared" si="21"/>
        <v>72000</v>
      </c>
      <c r="AJ7" s="10">
        <f t="shared" si="22"/>
        <v>43200</v>
      </c>
    </row>
    <row r="8" spans="1:36" x14ac:dyDescent="0.3">
      <c r="A8" t="s">
        <v>38</v>
      </c>
      <c r="B8" t="s">
        <v>39</v>
      </c>
      <c r="C8" t="s">
        <v>40</v>
      </c>
      <c r="D8" t="s">
        <v>41</v>
      </c>
      <c r="E8">
        <v>32117</v>
      </c>
      <c r="F8" t="s">
        <v>15</v>
      </c>
      <c r="G8">
        <v>12</v>
      </c>
      <c r="H8">
        <v>250</v>
      </c>
      <c r="I8" t="str" cm="1">
        <f t="array" ref="I8">_xlfn.IFS(H8&lt;=120,"V1",H8&lt;=150,"V2",H8&lt;=250,"V3", H8&lt;=350, "V4")</f>
        <v>V3</v>
      </c>
      <c r="J8" t="s">
        <v>42</v>
      </c>
      <c r="K8" t="str">
        <f t="shared" si="0"/>
        <v>29.223265</v>
      </c>
      <c r="L8" t="str">
        <f t="shared" si="1"/>
        <v>-81.09972</v>
      </c>
      <c r="M8">
        <v>7</v>
      </c>
      <c r="N8" s="1">
        <v>44884</v>
      </c>
      <c r="O8" s="1">
        <v>46099</v>
      </c>
      <c r="P8" s="2">
        <f t="shared" si="2"/>
        <v>3.3264887063655029</v>
      </c>
      <c r="Q8" s="2" t="str">
        <f t="shared" si="3"/>
        <v>Mid</v>
      </c>
      <c r="R8">
        <f t="shared" si="4"/>
        <v>3000</v>
      </c>
      <c r="S8" t="str">
        <f t="shared" si="5"/>
        <v>Small</v>
      </c>
      <c r="T8" t="str">
        <f t="shared" si="6"/>
        <v>High EV Adoption Corridor</v>
      </c>
      <c r="U8" s="3">
        <f t="shared" si="7"/>
        <v>7020000</v>
      </c>
      <c r="V8" s="4">
        <f t="shared" si="8"/>
        <v>1584000</v>
      </c>
      <c r="W8" s="3">
        <f t="shared" si="9"/>
        <v>19800000</v>
      </c>
      <c r="X8" s="3">
        <f t="shared" si="10"/>
        <v>14850000</v>
      </c>
      <c r="Y8">
        <f t="shared" si="11"/>
        <v>0.24</v>
      </c>
      <c r="Z8">
        <f t="shared" si="12"/>
        <v>0.77435897435897438</v>
      </c>
      <c r="AA8" t="str">
        <f t="shared" si="13"/>
        <v>Tier 1 - Priority Fleet</v>
      </c>
      <c r="AB8" s="3">
        <f t="shared" si="14"/>
        <v>132000</v>
      </c>
      <c r="AC8" s="3">
        <f t="shared" si="15"/>
        <v>1650000</v>
      </c>
      <c r="AD8" s="3">
        <f t="shared" si="16"/>
        <v>585000</v>
      </c>
      <c r="AE8" s="5">
        <f t="shared" si="17"/>
        <v>3.6423841059602649</v>
      </c>
      <c r="AF8" s="10">
        <f t="shared" si="18"/>
        <v>982080</v>
      </c>
      <c r="AG8" s="10">
        <f t="shared" si="19"/>
        <v>316800</v>
      </c>
      <c r="AH8" s="10">
        <f t="shared" si="20"/>
        <v>158400</v>
      </c>
      <c r="AI8" s="10">
        <f t="shared" si="21"/>
        <v>79200</v>
      </c>
      <c r="AJ8" s="10">
        <f t="shared" si="22"/>
        <v>47520</v>
      </c>
    </row>
    <row r="9" spans="1:36" x14ac:dyDescent="0.3">
      <c r="A9" t="s">
        <v>43</v>
      </c>
      <c r="B9" t="s">
        <v>44</v>
      </c>
      <c r="C9" t="s">
        <v>45</v>
      </c>
      <c r="D9" t="s">
        <v>41</v>
      </c>
      <c r="E9">
        <v>34986</v>
      </c>
      <c r="F9" t="s">
        <v>15</v>
      </c>
      <c r="G9">
        <v>16</v>
      </c>
      <c r="H9">
        <v>150</v>
      </c>
      <c r="I9" t="str" cm="1">
        <f t="array" ref="I9">_xlfn.IFS(H9&lt;=120,"V1",H9&lt;=150,"V2",H9&lt;=250,"V3", H9&lt;=350, "V4")</f>
        <v>V2</v>
      </c>
      <c r="J9" t="s">
        <v>46</v>
      </c>
      <c r="K9" t="str">
        <f t="shared" si="0"/>
        <v>27.313023</v>
      </c>
      <c r="L9" t="str">
        <f t="shared" si="1"/>
        <v>-80.406688</v>
      </c>
      <c r="M9">
        <v>8</v>
      </c>
      <c r="N9" s="1">
        <v>41480</v>
      </c>
      <c r="O9" s="1">
        <v>46099</v>
      </c>
      <c r="P9" s="2">
        <f t="shared" si="2"/>
        <v>12.646132785763175</v>
      </c>
      <c r="Q9" s="2" t="str">
        <f t="shared" si="3"/>
        <v>Old</v>
      </c>
      <c r="R9">
        <f t="shared" si="4"/>
        <v>2400</v>
      </c>
      <c r="S9" t="str">
        <f t="shared" si="5"/>
        <v>Small</v>
      </c>
      <c r="T9" t="str">
        <f t="shared" si="6"/>
        <v>High EV Adoption Corridor</v>
      </c>
      <c r="U9" s="3">
        <f t="shared" si="7"/>
        <v>5148000.0000000009</v>
      </c>
      <c r="V9" s="4">
        <f t="shared" si="8"/>
        <v>1152000</v>
      </c>
      <c r="W9" s="3">
        <f t="shared" si="9"/>
        <v>13200000.000000002</v>
      </c>
      <c r="X9" s="3">
        <f t="shared" si="10"/>
        <v>10800000</v>
      </c>
      <c r="Y9">
        <f t="shared" si="11"/>
        <v>0.22888888888888889</v>
      </c>
      <c r="Z9">
        <f t="shared" si="12"/>
        <v>0.77622377622377625</v>
      </c>
      <c r="AA9" t="str">
        <f t="shared" si="13"/>
        <v>Tier 3 - Upgrade Pipeline</v>
      </c>
      <c r="AB9" s="3">
        <f t="shared" si="14"/>
        <v>72000</v>
      </c>
      <c r="AC9" s="3">
        <f t="shared" si="15"/>
        <v>825000.00000000012</v>
      </c>
      <c r="AD9" s="3">
        <f t="shared" si="16"/>
        <v>321750.00000000006</v>
      </c>
      <c r="AE9" s="5">
        <f t="shared" si="17"/>
        <v>3.303303303303303</v>
      </c>
      <c r="AF9" s="10">
        <f t="shared" si="18"/>
        <v>714240</v>
      </c>
      <c r="AG9" s="10">
        <f t="shared" si="19"/>
        <v>230400</v>
      </c>
      <c r="AH9" s="10">
        <f t="shared" si="20"/>
        <v>115200</v>
      </c>
      <c r="AI9" s="10">
        <f t="shared" si="21"/>
        <v>57600</v>
      </c>
      <c r="AJ9" s="10">
        <f t="shared" si="22"/>
        <v>34560</v>
      </c>
    </row>
    <row r="10" spans="1:36" x14ac:dyDescent="0.3">
      <c r="A10" t="s">
        <v>47</v>
      </c>
      <c r="B10" t="s">
        <v>48</v>
      </c>
      <c r="C10" t="s">
        <v>49</v>
      </c>
      <c r="D10" t="s">
        <v>50</v>
      </c>
      <c r="E10">
        <v>75231</v>
      </c>
      <c r="F10" t="s">
        <v>15</v>
      </c>
      <c r="G10">
        <v>16</v>
      </c>
      <c r="H10">
        <v>250</v>
      </c>
      <c r="I10" t="str" cm="1">
        <f t="array" ref="I10">_xlfn.IFS(H10&lt;=120,"V1",H10&lt;=150,"V2",H10&lt;=250,"V3", H10&lt;=350, "V4")</f>
        <v>V3</v>
      </c>
      <c r="J10" t="s">
        <v>51</v>
      </c>
      <c r="K10" t="str">
        <f t="shared" si="0"/>
        <v>32.867639</v>
      </c>
      <c r="L10" t="str">
        <f t="shared" si="1"/>
        <v>-96.767245</v>
      </c>
      <c r="M10">
        <v>179</v>
      </c>
      <c r="N10" s="1">
        <v>44517</v>
      </c>
      <c r="O10" s="1">
        <v>46099</v>
      </c>
      <c r="P10" s="2">
        <f t="shared" si="2"/>
        <v>4.3312799452429847</v>
      </c>
      <c r="Q10" s="2" t="str">
        <f t="shared" si="3"/>
        <v>Mid</v>
      </c>
      <c r="R10">
        <f t="shared" si="4"/>
        <v>4000</v>
      </c>
      <c r="S10" t="str">
        <f t="shared" si="5"/>
        <v>Small</v>
      </c>
      <c r="T10" t="str">
        <f t="shared" si="6"/>
        <v>High EV Adoption Corridor</v>
      </c>
      <c r="U10" s="3">
        <f t="shared" si="7"/>
        <v>9360000</v>
      </c>
      <c r="V10" s="4">
        <f t="shared" si="8"/>
        <v>2112000</v>
      </c>
      <c r="W10" s="3">
        <f t="shared" si="9"/>
        <v>26400000.000000004</v>
      </c>
      <c r="X10" s="3">
        <f t="shared" si="10"/>
        <v>19800000.000000004</v>
      </c>
      <c r="Y10">
        <f t="shared" si="11"/>
        <v>0.23999999999999996</v>
      </c>
      <c r="Z10">
        <f t="shared" si="12"/>
        <v>0.77435897435897438</v>
      </c>
      <c r="AA10" t="str">
        <f t="shared" si="13"/>
        <v>Tier 1 - Priority Fleet</v>
      </c>
      <c r="AB10" s="3">
        <f t="shared" si="14"/>
        <v>132000</v>
      </c>
      <c r="AC10" s="3">
        <f t="shared" si="15"/>
        <v>1650000.0000000002</v>
      </c>
      <c r="AD10" s="3">
        <f t="shared" si="16"/>
        <v>585000</v>
      </c>
      <c r="AE10" s="5">
        <f t="shared" si="17"/>
        <v>3.6423841059602653</v>
      </c>
      <c r="AF10" s="10">
        <f t="shared" si="18"/>
        <v>1309440</v>
      </c>
      <c r="AG10" s="10">
        <f t="shared" si="19"/>
        <v>422400</v>
      </c>
      <c r="AH10" s="10">
        <f t="shared" si="20"/>
        <v>211200</v>
      </c>
      <c r="AI10" s="10">
        <f t="shared" si="21"/>
        <v>105600</v>
      </c>
      <c r="AJ10" s="10">
        <f t="shared" si="22"/>
        <v>63360</v>
      </c>
    </row>
    <row r="11" spans="1:36" x14ac:dyDescent="0.3">
      <c r="A11" t="s">
        <v>52</v>
      </c>
      <c r="B11" t="s">
        <v>53</v>
      </c>
      <c r="C11" t="s">
        <v>54</v>
      </c>
      <c r="D11" t="s">
        <v>14</v>
      </c>
      <c r="E11">
        <v>92243</v>
      </c>
      <c r="F11" t="s">
        <v>15</v>
      </c>
      <c r="G11">
        <v>12</v>
      </c>
      <c r="H11">
        <v>150</v>
      </c>
      <c r="I11" t="str" cm="1">
        <f t="array" ref="I11">_xlfn.IFS(H11&lt;=120,"V1",H11&lt;=150,"V2",H11&lt;=250,"V3", H11&lt;=350, "V4")</f>
        <v>V2</v>
      </c>
      <c r="J11" t="s">
        <v>55</v>
      </c>
      <c r="K11" t="str">
        <f t="shared" si="0"/>
        <v>32.760837</v>
      </c>
      <c r="L11" t="str">
        <f t="shared" si="1"/>
        <v>-115.532486</v>
      </c>
      <c r="M11">
        <v>-8</v>
      </c>
      <c r="N11" s="1">
        <v>42001</v>
      </c>
      <c r="O11" s="1">
        <v>46099</v>
      </c>
      <c r="P11" s="2">
        <f t="shared" si="2"/>
        <v>11.219712525667351</v>
      </c>
      <c r="Q11" s="2" t="str">
        <f t="shared" si="3"/>
        <v>Old</v>
      </c>
      <c r="R11">
        <f t="shared" si="4"/>
        <v>1800</v>
      </c>
      <c r="S11" t="str">
        <f t="shared" si="5"/>
        <v>Small</v>
      </c>
      <c r="T11" t="str">
        <f t="shared" si="6"/>
        <v>High EV Adoption Corridor</v>
      </c>
      <c r="U11" s="3">
        <f t="shared" si="7"/>
        <v>3861000.0000000009</v>
      </c>
      <c r="V11" s="4">
        <f t="shared" si="8"/>
        <v>864000</v>
      </c>
      <c r="W11" s="3">
        <f t="shared" si="9"/>
        <v>9900000</v>
      </c>
      <c r="X11" s="3">
        <f t="shared" si="10"/>
        <v>8100000</v>
      </c>
      <c r="Y11">
        <f t="shared" si="11"/>
        <v>0.22888888888888889</v>
      </c>
      <c r="Z11">
        <f t="shared" si="12"/>
        <v>0.77622377622377625</v>
      </c>
      <c r="AA11" t="str">
        <f t="shared" si="13"/>
        <v>Tier 3 - Upgrade Pipeline</v>
      </c>
      <c r="AB11" s="3">
        <f t="shared" si="14"/>
        <v>72000</v>
      </c>
      <c r="AC11" s="3">
        <f t="shared" si="15"/>
        <v>825000</v>
      </c>
      <c r="AD11" s="3">
        <f t="shared" si="16"/>
        <v>321750.00000000006</v>
      </c>
      <c r="AE11" s="5">
        <f t="shared" si="17"/>
        <v>3.3033033033033021</v>
      </c>
      <c r="AF11" s="10">
        <f t="shared" si="18"/>
        <v>535680</v>
      </c>
      <c r="AG11" s="10">
        <f t="shared" si="19"/>
        <v>172800</v>
      </c>
      <c r="AH11" s="10">
        <f t="shared" si="20"/>
        <v>86400</v>
      </c>
      <c r="AI11" s="10">
        <f t="shared" si="21"/>
        <v>43200</v>
      </c>
      <c r="AJ11" s="10">
        <f t="shared" si="22"/>
        <v>25920</v>
      </c>
    </row>
    <row r="12" spans="1:36" x14ac:dyDescent="0.3">
      <c r="A12" t="s">
        <v>56</v>
      </c>
      <c r="B12" t="s">
        <v>57</v>
      </c>
      <c r="C12" t="s">
        <v>58</v>
      </c>
      <c r="D12" t="s">
        <v>59</v>
      </c>
      <c r="E12">
        <v>60018</v>
      </c>
      <c r="F12" t="s">
        <v>15</v>
      </c>
      <c r="G12">
        <v>10</v>
      </c>
      <c r="H12">
        <v>72</v>
      </c>
      <c r="I12" t="str" cm="1">
        <f t="array" ref="I12">_xlfn.IFS(H12&lt;=120,"V1",H12&lt;=150,"V2",H12&lt;=250,"V3", H12&lt;=350, "V4")</f>
        <v>V1</v>
      </c>
      <c r="J12" t="s">
        <v>60</v>
      </c>
      <c r="K12" t="str">
        <f t="shared" si="0"/>
        <v>41.975091</v>
      </c>
      <c r="L12" t="str">
        <f t="shared" si="1"/>
        <v>-87.866501</v>
      </c>
      <c r="M12">
        <v>194</v>
      </c>
      <c r="N12" s="1">
        <v>43410</v>
      </c>
      <c r="O12" s="1">
        <v>46099</v>
      </c>
      <c r="P12" s="2">
        <f t="shared" si="2"/>
        <v>7.3620807665982202</v>
      </c>
      <c r="Q12" s="2" t="str">
        <f t="shared" si="3"/>
        <v>Mid</v>
      </c>
      <c r="R12">
        <f t="shared" si="4"/>
        <v>720</v>
      </c>
      <c r="S12" t="str">
        <f t="shared" si="5"/>
        <v>Small</v>
      </c>
      <c r="T12" t="str">
        <f t="shared" si="6"/>
        <v>Lower EV Adoption Corridor</v>
      </c>
      <c r="U12" s="3">
        <f t="shared" si="7"/>
        <v>1080000</v>
      </c>
      <c r="V12" s="4">
        <f t="shared" si="8"/>
        <v>259200</v>
      </c>
      <c r="W12" s="3">
        <f t="shared" si="9"/>
        <v>2880000</v>
      </c>
      <c r="X12" s="3">
        <f t="shared" si="10"/>
        <v>1944000</v>
      </c>
      <c r="Y12">
        <f t="shared" si="11"/>
        <v>0.2814814814814815</v>
      </c>
      <c r="Z12">
        <f t="shared" si="12"/>
        <v>0.76</v>
      </c>
      <c r="AA12" t="str">
        <f t="shared" si="13"/>
        <v>Tier 5 - Retirement Pipeline</v>
      </c>
      <c r="AB12" s="3">
        <f t="shared" si="14"/>
        <v>25920</v>
      </c>
      <c r="AC12" s="3">
        <f t="shared" si="15"/>
        <v>288000</v>
      </c>
      <c r="AD12" s="3">
        <f t="shared" si="16"/>
        <v>108000</v>
      </c>
      <c r="AE12" s="5">
        <f t="shared" si="17"/>
        <v>3.5087719298245612</v>
      </c>
      <c r="AF12" s="10">
        <f t="shared" si="18"/>
        <v>160704</v>
      </c>
      <c r="AG12" s="10">
        <f t="shared" si="19"/>
        <v>51840</v>
      </c>
      <c r="AH12" s="10">
        <f t="shared" si="20"/>
        <v>25920</v>
      </c>
      <c r="AI12" s="10">
        <f t="shared" si="21"/>
        <v>12960</v>
      </c>
      <c r="AJ12" s="10">
        <f t="shared" si="22"/>
        <v>7776</v>
      </c>
    </row>
    <row r="13" spans="1:36" x14ac:dyDescent="0.3">
      <c r="A13" t="s">
        <v>61</v>
      </c>
      <c r="B13" t="s">
        <v>62</v>
      </c>
      <c r="C13" t="s">
        <v>63</v>
      </c>
      <c r="D13" t="s">
        <v>14</v>
      </c>
      <c r="E13">
        <v>92203</v>
      </c>
      <c r="F13" t="s">
        <v>15</v>
      </c>
      <c r="G13">
        <v>46</v>
      </c>
      <c r="H13">
        <v>250</v>
      </c>
      <c r="I13" t="str" cm="1">
        <f t="array" ref="I13">_xlfn.IFS(H13&lt;=120,"V1",H13&lt;=150,"V2",H13&lt;=250,"V3", H13&lt;=350, "V4")</f>
        <v>V3</v>
      </c>
      <c r="J13" t="s">
        <v>64</v>
      </c>
      <c r="K13" t="str">
        <f t="shared" si="0"/>
        <v>33.741484</v>
      </c>
      <c r="L13" t="str">
        <f t="shared" si="1"/>
        <v>-116.215019</v>
      </c>
      <c r="M13">
        <v>-3</v>
      </c>
      <c r="N13" s="1">
        <v>41908</v>
      </c>
      <c r="O13" s="1">
        <v>46099</v>
      </c>
      <c r="P13" s="2">
        <f t="shared" si="2"/>
        <v>11.474332648870636</v>
      </c>
      <c r="Q13" s="2" t="str">
        <f t="shared" si="3"/>
        <v>Old</v>
      </c>
      <c r="R13">
        <f t="shared" si="4"/>
        <v>11500</v>
      </c>
      <c r="S13" t="str">
        <f t="shared" si="5"/>
        <v>Medium</v>
      </c>
      <c r="T13" t="str">
        <f t="shared" si="6"/>
        <v>High EV Adoption Corridor</v>
      </c>
      <c r="U13" s="3">
        <f t="shared" si="7"/>
        <v>26910000</v>
      </c>
      <c r="V13" s="4">
        <f t="shared" si="8"/>
        <v>6072000</v>
      </c>
      <c r="W13" s="3">
        <f t="shared" si="9"/>
        <v>75900000</v>
      </c>
      <c r="X13" s="3">
        <f t="shared" si="10"/>
        <v>56925000</v>
      </c>
      <c r="Y13">
        <f t="shared" si="11"/>
        <v>0.24</v>
      </c>
      <c r="Z13">
        <f t="shared" si="12"/>
        <v>0.77435897435897438</v>
      </c>
      <c r="AA13" t="str">
        <f t="shared" si="13"/>
        <v>Tier 1 - Priority Fleet</v>
      </c>
      <c r="AB13" s="3">
        <f t="shared" si="14"/>
        <v>132000</v>
      </c>
      <c r="AC13" s="3">
        <f t="shared" si="15"/>
        <v>1650000</v>
      </c>
      <c r="AD13" s="3">
        <f t="shared" si="16"/>
        <v>585000</v>
      </c>
      <c r="AE13" s="5">
        <f t="shared" si="17"/>
        <v>3.6423841059602649</v>
      </c>
      <c r="AF13" s="10">
        <f t="shared" si="18"/>
        <v>3764640</v>
      </c>
      <c r="AG13" s="10">
        <f t="shared" si="19"/>
        <v>1214400</v>
      </c>
      <c r="AH13" s="10">
        <f t="shared" si="20"/>
        <v>607200</v>
      </c>
      <c r="AI13" s="10">
        <f t="shared" si="21"/>
        <v>303600</v>
      </c>
      <c r="AJ13" s="10">
        <f t="shared" si="22"/>
        <v>182160</v>
      </c>
    </row>
    <row r="14" spans="1:36" x14ac:dyDescent="0.3">
      <c r="A14" t="s">
        <v>65</v>
      </c>
      <c r="B14" t="s">
        <v>66</v>
      </c>
      <c r="C14" t="s">
        <v>67</v>
      </c>
      <c r="D14" t="s">
        <v>28</v>
      </c>
      <c r="E14">
        <v>31408</v>
      </c>
      <c r="F14" t="s">
        <v>15</v>
      </c>
      <c r="G14">
        <v>8</v>
      </c>
      <c r="H14">
        <v>125</v>
      </c>
      <c r="I14" t="str" cm="1">
        <f t="array" ref="I14">_xlfn.IFS(H14&lt;=120,"V1",H14&lt;=150,"V2",H14&lt;=250,"V3", H14&lt;=350, "V4")</f>
        <v>V2</v>
      </c>
      <c r="J14" t="s">
        <v>68</v>
      </c>
      <c r="K14" t="str">
        <f t="shared" si="0"/>
        <v>32.135507</v>
      </c>
      <c r="L14" t="str">
        <f t="shared" si="1"/>
        <v>-81.212767</v>
      </c>
      <c r="M14">
        <v>6</v>
      </c>
      <c r="N14" s="1">
        <v>41654</v>
      </c>
      <c r="O14" s="1">
        <v>46099</v>
      </c>
      <c r="P14" s="2">
        <f t="shared" si="2"/>
        <v>12.16974674880219</v>
      </c>
      <c r="Q14" s="2" t="str">
        <f t="shared" si="3"/>
        <v>Old</v>
      </c>
      <c r="R14">
        <f t="shared" si="4"/>
        <v>1000</v>
      </c>
      <c r="S14" t="str">
        <f t="shared" si="5"/>
        <v>Small</v>
      </c>
      <c r="T14" t="str">
        <f t="shared" si="6"/>
        <v>Lower EV Adoption Corridor</v>
      </c>
      <c r="U14" s="3">
        <f t="shared" si="7"/>
        <v>1650000.0000000002</v>
      </c>
      <c r="V14" s="4">
        <f t="shared" si="8"/>
        <v>400000</v>
      </c>
      <c r="W14" s="3">
        <f t="shared" si="9"/>
        <v>5000000</v>
      </c>
      <c r="X14" s="3">
        <f t="shared" si="10"/>
        <v>3000000</v>
      </c>
      <c r="Y14">
        <f t="shared" si="11"/>
        <v>0.3</v>
      </c>
      <c r="Z14">
        <f t="shared" si="12"/>
        <v>0.75757575757575757</v>
      </c>
      <c r="AA14" t="str">
        <f t="shared" si="13"/>
        <v>Tier 4 - Stable Network</v>
      </c>
      <c r="AB14" s="3">
        <f t="shared" si="14"/>
        <v>50000</v>
      </c>
      <c r="AC14" s="3">
        <f t="shared" si="15"/>
        <v>625000</v>
      </c>
      <c r="AD14" s="3">
        <f t="shared" si="16"/>
        <v>206250.00000000003</v>
      </c>
      <c r="AE14" s="5">
        <f t="shared" si="17"/>
        <v>3.9999999999999991</v>
      </c>
      <c r="AF14" s="10">
        <f t="shared" si="18"/>
        <v>248000</v>
      </c>
      <c r="AG14" s="10">
        <f t="shared" si="19"/>
        <v>80000</v>
      </c>
      <c r="AH14" s="10">
        <f t="shared" si="20"/>
        <v>40000</v>
      </c>
      <c r="AI14" s="10">
        <f t="shared" si="21"/>
        <v>20000</v>
      </c>
      <c r="AJ14" s="10">
        <f t="shared" si="22"/>
        <v>12000</v>
      </c>
    </row>
    <row r="15" spans="1:36" x14ac:dyDescent="0.3">
      <c r="A15" t="s">
        <v>69</v>
      </c>
      <c r="B15" t="s">
        <v>70</v>
      </c>
      <c r="C15" t="s">
        <v>71</v>
      </c>
      <c r="D15" t="s">
        <v>72</v>
      </c>
      <c r="E15">
        <v>86025</v>
      </c>
      <c r="F15" t="s">
        <v>15</v>
      </c>
      <c r="G15">
        <v>12</v>
      </c>
      <c r="H15">
        <v>250</v>
      </c>
      <c r="I15" t="str" cm="1">
        <f t="array" ref="I15">_xlfn.IFS(H15&lt;=120,"V1",H15&lt;=150,"V2",H15&lt;=250,"V3", H15&lt;=350, "V4")</f>
        <v>V3</v>
      </c>
      <c r="J15" t="s">
        <v>73</v>
      </c>
      <c r="K15" t="str">
        <f t="shared" si="0"/>
        <v>34.922962</v>
      </c>
      <c r="L15" t="str">
        <f t="shared" si="1"/>
        <v>-110.145558</v>
      </c>
      <c r="M15">
        <v>1596</v>
      </c>
      <c r="N15" s="1">
        <v>41654</v>
      </c>
      <c r="O15" s="1">
        <v>46099</v>
      </c>
      <c r="P15" s="2">
        <f t="shared" si="2"/>
        <v>12.16974674880219</v>
      </c>
      <c r="Q15" s="2" t="str">
        <f t="shared" si="3"/>
        <v>Old</v>
      </c>
      <c r="R15">
        <f t="shared" si="4"/>
        <v>3000</v>
      </c>
      <c r="S15" t="str">
        <f t="shared" si="5"/>
        <v>Small</v>
      </c>
      <c r="T15" t="str">
        <f t="shared" si="6"/>
        <v>Lower EV Adoption Corridor</v>
      </c>
      <c r="U15" s="3">
        <f t="shared" si="7"/>
        <v>5400000</v>
      </c>
      <c r="V15" s="4">
        <f t="shared" si="8"/>
        <v>1320000</v>
      </c>
      <c r="W15" s="3">
        <f t="shared" si="9"/>
        <v>18000000</v>
      </c>
      <c r="X15" s="3">
        <f t="shared" si="10"/>
        <v>9900000</v>
      </c>
      <c r="Y15">
        <f t="shared" si="11"/>
        <v>0.31515151515151513</v>
      </c>
      <c r="Z15">
        <f t="shared" si="12"/>
        <v>0.75555555555555554</v>
      </c>
      <c r="AA15" t="str">
        <f t="shared" si="13"/>
        <v>Tier 2 - Growth Markets</v>
      </c>
      <c r="AB15" s="3">
        <f t="shared" si="14"/>
        <v>110000</v>
      </c>
      <c r="AC15" s="3">
        <f t="shared" si="15"/>
        <v>1500000</v>
      </c>
      <c r="AD15" s="3">
        <f t="shared" si="16"/>
        <v>450000</v>
      </c>
      <c r="AE15" s="5">
        <f t="shared" si="17"/>
        <v>4.4117647058823533</v>
      </c>
      <c r="AF15" s="10">
        <f t="shared" si="18"/>
        <v>818400</v>
      </c>
      <c r="AG15" s="10">
        <f t="shared" si="19"/>
        <v>264000</v>
      </c>
      <c r="AH15" s="10">
        <f t="shared" si="20"/>
        <v>132000</v>
      </c>
      <c r="AI15" s="10">
        <f t="shared" si="21"/>
        <v>66000</v>
      </c>
      <c r="AJ15" s="10">
        <f t="shared" si="22"/>
        <v>39600</v>
      </c>
    </row>
    <row r="16" spans="1:36" x14ac:dyDescent="0.3">
      <c r="A16" t="s">
        <v>74</v>
      </c>
      <c r="B16" t="s">
        <v>75</v>
      </c>
      <c r="C16" t="s">
        <v>76</v>
      </c>
      <c r="D16" t="s">
        <v>77</v>
      </c>
      <c r="E16">
        <v>28117</v>
      </c>
      <c r="F16" t="s">
        <v>15</v>
      </c>
      <c r="G16">
        <v>12</v>
      </c>
      <c r="H16">
        <v>250</v>
      </c>
      <c r="I16" t="str" cm="1">
        <f t="array" ref="I16">_xlfn.IFS(H16&lt;=120,"V1",H16&lt;=150,"V2",H16&lt;=250,"V3", H16&lt;=350, "V4")</f>
        <v>V3</v>
      </c>
      <c r="J16" t="s">
        <v>78</v>
      </c>
      <c r="K16" t="str">
        <f t="shared" si="0"/>
        <v>35.587472</v>
      </c>
      <c r="L16" t="str">
        <f t="shared" si="1"/>
        <v>-80.873</v>
      </c>
      <c r="M16">
        <v>260</v>
      </c>
      <c r="N16" s="1">
        <v>44519</v>
      </c>
      <c r="O16" s="1">
        <v>46099</v>
      </c>
      <c r="P16" s="2">
        <f t="shared" si="2"/>
        <v>4.3258042436687196</v>
      </c>
      <c r="Q16" s="2" t="str">
        <f t="shared" si="3"/>
        <v>Mid</v>
      </c>
      <c r="R16">
        <f t="shared" si="4"/>
        <v>3000</v>
      </c>
      <c r="S16" t="str">
        <f t="shared" si="5"/>
        <v>Small</v>
      </c>
      <c r="T16" t="str">
        <f t="shared" si="6"/>
        <v>Lower EV Adoption Corridor</v>
      </c>
      <c r="U16" s="3">
        <f t="shared" si="7"/>
        <v>5400000</v>
      </c>
      <c r="V16" s="4">
        <f t="shared" si="8"/>
        <v>1320000</v>
      </c>
      <c r="W16" s="3">
        <f t="shared" si="9"/>
        <v>18000000</v>
      </c>
      <c r="X16" s="3">
        <f t="shared" si="10"/>
        <v>9900000</v>
      </c>
      <c r="Y16">
        <f t="shared" si="11"/>
        <v>0.31515151515151513</v>
      </c>
      <c r="Z16">
        <f t="shared" si="12"/>
        <v>0.75555555555555554</v>
      </c>
      <c r="AA16" t="str">
        <f t="shared" si="13"/>
        <v>Tier 2 - Growth Markets</v>
      </c>
      <c r="AB16" s="3">
        <f t="shared" si="14"/>
        <v>110000</v>
      </c>
      <c r="AC16" s="3">
        <f t="shared" si="15"/>
        <v>1500000</v>
      </c>
      <c r="AD16" s="3">
        <f t="shared" si="16"/>
        <v>450000</v>
      </c>
      <c r="AE16" s="5">
        <f t="shared" si="17"/>
        <v>4.4117647058823533</v>
      </c>
      <c r="AF16" s="10">
        <f t="shared" si="18"/>
        <v>818400</v>
      </c>
      <c r="AG16" s="10">
        <f t="shared" si="19"/>
        <v>264000</v>
      </c>
      <c r="AH16" s="10">
        <f t="shared" si="20"/>
        <v>132000</v>
      </c>
      <c r="AI16" s="10">
        <f t="shared" si="21"/>
        <v>66000</v>
      </c>
      <c r="AJ16" s="10">
        <f t="shared" si="22"/>
        <v>39600</v>
      </c>
    </row>
    <row r="17" spans="1:36" x14ac:dyDescent="0.3">
      <c r="A17" t="s">
        <v>79</v>
      </c>
      <c r="B17" t="s">
        <v>80</v>
      </c>
      <c r="C17" t="s">
        <v>81</v>
      </c>
      <c r="D17" t="s">
        <v>72</v>
      </c>
      <c r="E17">
        <v>85326</v>
      </c>
      <c r="F17" t="s">
        <v>15</v>
      </c>
      <c r="G17">
        <v>12</v>
      </c>
      <c r="H17">
        <v>250</v>
      </c>
      <c r="I17" t="str" cm="1">
        <f t="array" ref="I17">_xlfn.IFS(H17&lt;=120,"V1",H17&lt;=150,"V2",H17&lt;=250,"V3", H17&lt;=350, "V4")</f>
        <v>V3</v>
      </c>
      <c r="J17" t="s">
        <v>82</v>
      </c>
      <c r="K17" t="str">
        <f t="shared" si="0"/>
        <v>33.443011</v>
      </c>
      <c r="L17" t="str">
        <f t="shared" si="1"/>
        <v>-112.556876</v>
      </c>
      <c r="M17">
        <v>338</v>
      </c>
      <c r="N17" s="1">
        <v>41718</v>
      </c>
      <c r="O17" s="1">
        <v>46099</v>
      </c>
      <c r="P17" s="2">
        <f t="shared" si="2"/>
        <v>11.994524298425736</v>
      </c>
      <c r="Q17" s="2" t="str">
        <f t="shared" si="3"/>
        <v>Old</v>
      </c>
      <c r="R17">
        <f t="shared" si="4"/>
        <v>3000</v>
      </c>
      <c r="S17" t="str">
        <f t="shared" si="5"/>
        <v>Small</v>
      </c>
      <c r="T17" t="str">
        <f t="shared" si="6"/>
        <v>Lower EV Adoption Corridor</v>
      </c>
      <c r="U17" s="3">
        <f t="shared" si="7"/>
        <v>5400000</v>
      </c>
      <c r="V17" s="4">
        <f t="shared" si="8"/>
        <v>1320000</v>
      </c>
      <c r="W17" s="3">
        <f t="shared" si="9"/>
        <v>18000000</v>
      </c>
      <c r="X17" s="3">
        <f t="shared" si="10"/>
        <v>9900000</v>
      </c>
      <c r="Y17">
        <f t="shared" si="11"/>
        <v>0.31515151515151513</v>
      </c>
      <c r="Z17">
        <f t="shared" si="12"/>
        <v>0.75555555555555554</v>
      </c>
      <c r="AA17" t="str">
        <f t="shared" si="13"/>
        <v>Tier 2 - Growth Markets</v>
      </c>
      <c r="AB17" s="3">
        <f t="shared" si="14"/>
        <v>110000</v>
      </c>
      <c r="AC17" s="3">
        <f t="shared" si="15"/>
        <v>1500000</v>
      </c>
      <c r="AD17" s="3">
        <f t="shared" si="16"/>
        <v>450000</v>
      </c>
      <c r="AE17" s="5">
        <f t="shared" si="17"/>
        <v>4.4117647058823533</v>
      </c>
      <c r="AF17" s="10">
        <f t="shared" si="18"/>
        <v>818400</v>
      </c>
      <c r="AG17" s="10">
        <f t="shared" si="19"/>
        <v>264000</v>
      </c>
      <c r="AH17" s="10">
        <f t="shared" si="20"/>
        <v>132000</v>
      </c>
      <c r="AI17" s="10">
        <f t="shared" si="21"/>
        <v>66000</v>
      </c>
      <c r="AJ17" s="10">
        <f t="shared" si="22"/>
        <v>39600</v>
      </c>
    </row>
    <row r="18" spans="1:36" x14ac:dyDescent="0.3">
      <c r="A18" t="s">
        <v>83</v>
      </c>
      <c r="B18" t="s">
        <v>84</v>
      </c>
      <c r="C18" t="s">
        <v>85</v>
      </c>
      <c r="D18" t="s">
        <v>14</v>
      </c>
      <c r="E18">
        <v>93422</v>
      </c>
      <c r="F18" t="s">
        <v>15</v>
      </c>
      <c r="G18">
        <v>8</v>
      </c>
      <c r="H18">
        <v>125</v>
      </c>
      <c r="I18" t="str" cm="1">
        <f t="array" ref="I18">_xlfn.IFS(H18&lt;=120,"V1",H18&lt;=150,"V2",H18&lt;=250,"V3", H18&lt;=350, "V4")</f>
        <v>V2</v>
      </c>
      <c r="J18" t="s">
        <v>86</v>
      </c>
      <c r="K18" t="str">
        <f t="shared" si="0"/>
        <v>35.48656</v>
      </c>
      <c r="L18" t="str">
        <f t="shared" si="1"/>
        <v>-120.66633</v>
      </c>
      <c r="M18">
        <v>262</v>
      </c>
      <c r="N18" s="1">
        <v>41458</v>
      </c>
      <c r="O18" s="1">
        <v>46099</v>
      </c>
      <c r="P18" s="2">
        <f t="shared" si="2"/>
        <v>12.706365503080082</v>
      </c>
      <c r="Q18" s="2" t="str">
        <f t="shared" si="3"/>
        <v>Old</v>
      </c>
      <c r="R18">
        <f t="shared" si="4"/>
        <v>1000</v>
      </c>
      <c r="S18" t="str">
        <f t="shared" si="5"/>
        <v>Small</v>
      </c>
      <c r="T18" t="str">
        <f t="shared" si="6"/>
        <v>High EV Adoption Corridor</v>
      </c>
      <c r="U18" s="3">
        <f t="shared" si="7"/>
        <v>2145000.0000000005</v>
      </c>
      <c r="V18" s="4">
        <f t="shared" si="8"/>
        <v>480000</v>
      </c>
      <c r="W18" s="3">
        <f t="shared" si="9"/>
        <v>5500000</v>
      </c>
      <c r="X18" s="3">
        <f t="shared" si="10"/>
        <v>4500000</v>
      </c>
      <c r="Y18">
        <f t="shared" si="11"/>
        <v>0.22888888888888889</v>
      </c>
      <c r="Z18">
        <f t="shared" si="12"/>
        <v>0.77622377622377625</v>
      </c>
      <c r="AA18" t="str">
        <f t="shared" si="13"/>
        <v>Tier 3 - Upgrade Pipeline</v>
      </c>
      <c r="AB18" s="3">
        <f t="shared" si="14"/>
        <v>60000</v>
      </c>
      <c r="AC18" s="3">
        <f t="shared" si="15"/>
        <v>687500</v>
      </c>
      <c r="AD18" s="3">
        <f t="shared" si="16"/>
        <v>268125.00000000006</v>
      </c>
      <c r="AE18" s="5">
        <f t="shared" si="17"/>
        <v>3.3033033033033026</v>
      </c>
      <c r="AF18" s="10">
        <f t="shared" si="18"/>
        <v>297600</v>
      </c>
      <c r="AG18" s="10">
        <f t="shared" si="19"/>
        <v>96000</v>
      </c>
      <c r="AH18" s="10">
        <f t="shared" si="20"/>
        <v>48000</v>
      </c>
      <c r="AI18" s="10">
        <f t="shared" si="21"/>
        <v>24000</v>
      </c>
      <c r="AJ18" s="10">
        <f t="shared" si="22"/>
        <v>14400</v>
      </c>
    </row>
    <row r="19" spans="1:36" x14ac:dyDescent="0.3">
      <c r="A19" t="s">
        <v>87</v>
      </c>
      <c r="B19" t="s">
        <v>88</v>
      </c>
      <c r="C19" t="s">
        <v>89</v>
      </c>
      <c r="D19" t="s">
        <v>72</v>
      </c>
      <c r="E19">
        <v>85337</v>
      </c>
      <c r="F19" t="s">
        <v>15</v>
      </c>
      <c r="G19">
        <v>16</v>
      </c>
      <c r="H19">
        <v>250</v>
      </c>
      <c r="I19" t="str" cm="1">
        <f t="array" ref="I19">_xlfn.IFS(H19&lt;=120,"V1",H19&lt;=150,"V2",H19&lt;=250,"V3", H19&lt;=350, "V4")</f>
        <v>V3</v>
      </c>
      <c r="J19" t="s">
        <v>90</v>
      </c>
      <c r="K19" t="str">
        <f t="shared" si="0"/>
        <v>32.943969</v>
      </c>
      <c r="L19" t="str">
        <f t="shared" si="1"/>
        <v>-112.733506</v>
      </c>
      <c r="M19">
        <v>221</v>
      </c>
      <c r="N19" s="1">
        <v>41776</v>
      </c>
      <c r="O19" s="1">
        <v>46099</v>
      </c>
      <c r="P19" s="2">
        <f t="shared" si="2"/>
        <v>11.835728952772074</v>
      </c>
      <c r="Q19" s="2" t="str">
        <f t="shared" si="3"/>
        <v>Old</v>
      </c>
      <c r="R19">
        <f t="shared" si="4"/>
        <v>4000</v>
      </c>
      <c r="S19" t="str">
        <f t="shared" si="5"/>
        <v>Small</v>
      </c>
      <c r="T19" t="str">
        <f t="shared" si="6"/>
        <v>Lower EV Adoption Corridor</v>
      </c>
      <c r="U19" s="3">
        <f t="shared" si="7"/>
        <v>7200000</v>
      </c>
      <c r="V19" s="4">
        <f t="shared" si="8"/>
        <v>1760000.0000000002</v>
      </c>
      <c r="W19" s="3">
        <f t="shared" si="9"/>
        <v>24000000</v>
      </c>
      <c r="X19" s="3">
        <f t="shared" si="10"/>
        <v>13200000.000000002</v>
      </c>
      <c r="Y19">
        <f t="shared" si="11"/>
        <v>0.31515151515151513</v>
      </c>
      <c r="Z19">
        <f t="shared" si="12"/>
        <v>0.75555555555555554</v>
      </c>
      <c r="AA19" t="str">
        <f t="shared" si="13"/>
        <v>Tier 2 - Growth Markets</v>
      </c>
      <c r="AB19" s="3">
        <f t="shared" si="14"/>
        <v>110000.00000000001</v>
      </c>
      <c r="AC19" s="3">
        <f t="shared" si="15"/>
        <v>1500000</v>
      </c>
      <c r="AD19" s="3">
        <f t="shared" si="16"/>
        <v>450000</v>
      </c>
      <c r="AE19" s="5">
        <f t="shared" si="17"/>
        <v>4.4117647058823533</v>
      </c>
      <c r="AF19" s="10">
        <f t="shared" si="18"/>
        <v>1091200.0000000002</v>
      </c>
      <c r="AG19" s="10">
        <f t="shared" si="19"/>
        <v>352000.00000000006</v>
      </c>
      <c r="AH19" s="10">
        <f t="shared" si="20"/>
        <v>176000.00000000003</v>
      </c>
      <c r="AI19" s="10">
        <f t="shared" si="21"/>
        <v>88000.000000000015</v>
      </c>
      <c r="AJ19" s="10">
        <f t="shared" si="22"/>
        <v>52800.000000000007</v>
      </c>
    </row>
    <row r="20" spans="1:36" x14ac:dyDescent="0.3">
      <c r="A20" t="s">
        <v>91</v>
      </c>
      <c r="B20" t="s">
        <v>92</v>
      </c>
      <c r="C20" t="s">
        <v>93</v>
      </c>
      <c r="D20" t="s">
        <v>72</v>
      </c>
      <c r="E20">
        <v>85364</v>
      </c>
      <c r="F20" t="s">
        <v>15</v>
      </c>
      <c r="G20">
        <v>12</v>
      </c>
      <c r="H20">
        <v>250</v>
      </c>
      <c r="I20" t="str" cm="1">
        <f t="array" ref="I20">_xlfn.IFS(H20&lt;=120,"V1",H20&lt;=150,"V2",H20&lt;=250,"V3", H20&lt;=350, "V4")</f>
        <v>V3</v>
      </c>
      <c r="J20" t="s">
        <v>94</v>
      </c>
      <c r="K20" t="str">
        <f t="shared" si="0"/>
        <v>32.726686</v>
      </c>
      <c r="L20" t="str">
        <f t="shared" si="1"/>
        <v>-114.619093</v>
      </c>
      <c r="M20">
        <v>43</v>
      </c>
      <c r="N20" s="1">
        <v>41674</v>
      </c>
      <c r="O20" s="1">
        <v>46099</v>
      </c>
      <c r="P20" s="2">
        <f t="shared" si="2"/>
        <v>12.114989733059549</v>
      </c>
      <c r="Q20" s="2" t="str">
        <f t="shared" si="3"/>
        <v>Old</v>
      </c>
      <c r="R20">
        <f t="shared" si="4"/>
        <v>3000</v>
      </c>
      <c r="S20" t="str">
        <f t="shared" si="5"/>
        <v>Small</v>
      </c>
      <c r="T20" t="str">
        <f t="shared" si="6"/>
        <v>Lower EV Adoption Corridor</v>
      </c>
      <c r="U20" s="3">
        <f t="shared" si="7"/>
        <v>5400000</v>
      </c>
      <c r="V20" s="4">
        <f t="shared" si="8"/>
        <v>1320000</v>
      </c>
      <c r="W20" s="3">
        <f t="shared" si="9"/>
        <v>18000000</v>
      </c>
      <c r="X20" s="3">
        <f t="shared" si="10"/>
        <v>9900000</v>
      </c>
      <c r="Y20">
        <f t="shared" si="11"/>
        <v>0.31515151515151513</v>
      </c>
      <c r="Z20">
        <f t="shared" si="12"/>
        <v>0.75555555555555554</v>
      </c>
      <c r="AA20" t="str">
        <f t="shared" si="13"/>
        <v>Tier 2 - Growth Markets</v>
      </c>
      <c r="AB20" s="3">
        <f t="shared" si="14"/>
        <v>110000</v>
      </c>
      <c r="AC20" s="3">
        <f t="shared" si="15"/>
        <v>1500000</v>
      </c>
      <c r="AD20" s="3">
        <f t="shared" si="16"/>
        <v>450000</v>
      </c>
      <c r="AE20" s="5">
        <f t="shared" si="17"/>
        <v>4.4117647058823533</v>
      </c>
      <c r="AF20" s="10">
        <f t="shared" si="18"/>
        <v>818400</v>
      </c>
      <c r="AG20" s="10">
        <f t="shared" si="19"/>
        <v>264000</v>
      </c>
      <c r="AH20" s="10">
        <f t="shared" si="20"/>
        <v>132000</v>
      </c>
      <c r="AI20" s="10">
        <f t="shared" si="21"/>
        <v>66000</v>
      </c>
      <c r="AJ20" s="10">
        <f t="shared" si="22"/>
        <v>39600</v>
      </c>
    </row>
    <row r="21" spans="1:36" x14ac:dyDescent="0.3">
      <c r="A21" t="s">
        <v>95</v>
      </c>
      <c r="B21" t="s">
        <v>96</v>
      </c>
      <c r="C21" t="s">
        <v>97</v>
      </c>
      <c r="D21" t="s">
        <v>98</v>
      </c>
      <c r="E21">
        <v>6830</v>
      </c>
      <c r="F21" t="s">
        <v>15</v>
      </c>
      <c r="G21">
        <v>4</v>
      </c>
      <c r="H21">
        <v>150</v>
      </c>
      <c r="I21" t="str" cm="1">
        <f t="array" ref="I21">_xlfn.IFS(H21&lt;=120,"V1",H21&lt;=150,"V2",H21&lt;=250,"V3", H21&lt;=350, "V4")</f>
        <v>V2</v>
      </c>
      <c r="J21" t="s">
        <v>99</v>
      </c>
      <c r="K21" t="str">
        <f t="shared" si="0"/>
        <v>41.041538</v>
      </c>
      <c r="L21" t="str">
        <f t="shared" si="1"/>
        <v>-73.671661</v>
      </c>
      <c r="M21">
        <v>82</v>
      </c>
      <c r="N21" s="1">
        <v>41682</v>
      </c>
      <c r="O21" s="1">
        <v>46099</v>
      </c>
      <c r="P21" s="2">
        <f t="shared" si="2"/>
        <v>12.093086926762492</v>
      </c>
      <c r="Q21" s="2" t="str">
        <f t="shared" si="3"/>
        <v>Old</v>
      </c>
      <c r="R21">
        <f t="shared" si="4"/>
        <v>600</v>
      </c>
      <c r="S21" t="str">
        <f t="shared" si="5"/>
        <v>Small</v>
      </c>
      <c r="T21" t="str">
        <f t="shared" si="6"/>
        <v>Lower EV Adoption Corridor</v>
      </c>
      <c r="U21" s="3">
        <f t="shared" si="7"/>
        <v>990000.00000000012</v>
      </c>
      <c r="V21" s="4">
        <f t="shared" si="8"/>
        <v>240000</v>
      </c>
      <c r="W21" s="3">
        <f t="shared" si="9"/>
        <v>3000000</v>
      </c>
      <c r="X21" s="3">
        <f t="shared" si="10"/>
        <v>1800000</v>
      </c>
      <c r="Y21">
        <f t="shared" si="11"/>
        <v>0.3</v>
      </c>
      <c r="Z21">
        <f t="shared" si="12"/>
        <v>0.75757575757575757</v>
      </c>
      <c r="AA21" t="str">
        <f t="shared" si="13"/>
        <v>Tier 4 - Stable Network</v>
      </c>
      <c r="AB21" s="3">
        <f t="shared" si="14"/>
        <v>60000</v>
      </c>
      <c r="AC21" s="3">
        <f t="shared" si="15"/>
        <v>750000</v>
      </c>
      <c r="AD21" s="3">
        <f t="shared" si="16"/>
        <v>247500.00000000003</v>
      </c>
      <c r="AE21" s="5">
        <f t="shared" si="17"/>
        <v>3.9999999999999996</v>
      </c>
      <c r="AF21" s="10">
        <f t="shared" si="18"/>
        <v>148800</v>
      </c>
      <c r="AG21" s="10">
        <f t="shared" si="19"/>
        <v>48000</v>
      </c>
      <c r="AH21" s="10">
        <f t="shared" si="20"/>
        <v>24000</v>
      </c>
      <c r="AI21" s="10">
        <f t="shared" si="21"/>
        <v>12000</v>
      </c>
      <c r="AJ21" s="10">
        <f t="shared" si="22"/>
        <v>7200</v>
      </c>
    </row>
    <row r="22" spans="1:36" x14ac:dyDescent="0.3">
      <c r="A22" t="s">
        <v>100</v>
      </c>
      <c r="B22" t="s">
        <v>101</v>
      </c>
      <c r="C22" t="s">
        <v>102</v>
      </c>
      <c r="D22" t="s">
        <v>98</v>
      </c>
      <c r="E22">
        <v>6460</v>
      </c>
      <c r="F22" t="s">
        <v>15</v>
      </c>
      <c r="G22">
        <v>2</v>
      </c>
      <c r="H22">
        <v>120</v>
      </c>
      <c r="I22" t="str" cm="1">
        <f t="array" ref="I22">_xlfn.IFS(H22&lt;=120,"V1",H22&lt;=150,"V2",H22&lt;=250,"V3", H22&lt;=350, "V4")</f>
        <v>V1</v>
      </c>
      <c r="J22" t="s">
        <v>103</v>
      </c>
      <c r="K22" t="str">
        <f t="shared" si="0"/>
        <v>41.245814</v>
      </c>
      <c r="L22" t="str">
        <f t="shared" si="1"/>
        <v>-73.008988</v>
      </c>
      <c r="M22">
        <v>19</v>
      </c>
      <c r="N22" s="1">
        <v>41259</v>
      </c>
      <c r="O22" s="1">
        <v>46099</v>
      </c>
      <c r="P22" s="2">
        <f t="shared" si="2"/>
        <v>13.25119780971937</v>
      </c>
      <c r="Q22" s="2" t="str">
        <f t="shared" si="3"/>
        <v>Old</v>
      </c>
      <c r="R22">
        <f t="shared" si="4"/>
        <v>240</v>
      </c>
      <c r="S22" t="str">
        <f t="shared" si="5"/>
        <v>Small</v>
      </c>
      <c r="T22" t="str">
        <f t="shared" si="6"/>
        <v>Lower EV Adoption Corridor</v>
      </c>
      <c r="U22" s="3">
        <f t="shared" si="7"/>
        <v>360000</v>
      </c>
      <c r="V22" s="4">
        <f t="shared" si="8"/>
        <v>86400</v>
      </c>
      <c r="W22" s="3">
        <f t="shared" si="9"/>
        <v>960000</v>
      </c>
      <c r="X22" s="3">
        <f t="shared" si="10"/>
        <v>648000</v>
      </c>
      <c r="Y22">
        <f t="shared" si="11"/>
        <v>0.2814814814814815</v>
      </c>
      <c r="Z22">
        <f t="shared" si="12"/>
        <v>0.76</v>
      </c>
      <c r="AA22" t="str">
        <f t="shared" si="13"/>
        <v>Tier 5 - Retirement Pipeline</v>
      </c>
      <c r="AB22" s="3">
        <f t="shared" si="14"/>
        <v>43200</v>
      </c>
      <c r="AC22" s="3">
        <f t="shared" si="15"/>
        <v>480000</v>
      </c>
      <c r="AD22" s="3">
        <f t="shared" si="16"/>
        <v>180000</v>
      </c>
      <c r="AE22" s="5">
        <f t="shared" si="17"/>
        <v>3.5087719298245612</v>
      </c>
      <c r="AF22" s="10">
        <f t="shared" si="18"/>
        <v>53568</v>
      </c>
      <c r="AG22" s="10">
        <f t="shared" si="19"/>
        <v>17280</v>
      </c>
      <c r="AH22" s="10">
        <f t="shared" si="20"/>
        <v>8640</v>
      </c>
      <c r="AI22" s="10">
        <f t="shared" si="21"/>
        <v>4320</v>
      </c>
      <c r="AJ22" s="10">
        <f t="shared" si="22"/>
        <v>2592</v>
      </c>
    </row>
    <row r="23" spans="1:36" x14ac:dyDescent="0.3">
      <c r="A23" t="s">
        <v>104</v>
      </c>
      <c r="B23" t="s">
        <v>105</v>
      </c>
      <c r="C23" t="s">
        <v>106</v>
      </c>
      <c r="D23" t="s">
        <v>41</v>
      </c>
      <c r="E23">
        <v>32128</v>
      </c>
      <c r="F23" t="s">
        <v>15</v>
      </c>
      <c r="G23">
        <v>6</v>
      </c>
      <c r="H23">
        <v>150</v>
      </c>
      <c r="I23" t="str" cm="1">
        <f t="array" ref="I23">_xlfn.IFS(H23&lt;=120,"V1",H23&lt;=150,"V2",H23&lt;=250,"V3", H23&lt;=350, "V4")</f>
        <v>V2</v>
      </c>
      <c r="J23" t="s">
        <v>107</v>
      </c>
      <c r="K23" t="str">
        <f t="shared" si="0"/>
        <v>29.108566</v>
      </c>
      <c r="L23" t="str">
        <f t="shared" si="1"/>
        <v>-81.034569</v>
      </c>
      <c r="M23">
        <v>7</v>
      </c>
      <c r="N23" s="1">
        <v>41530</v>
      </c>
      <c r="O23" s="1">
        <v>46099</v>
      </c>
      <c r="P23" s="2">
        <f t="shared" si="2"/>
        <v>12.509240246406572</v>
      </c>
      <c r="Q23" s="2" t="str">
        <f t="shared" si="3"/>
        <v>Old</v>
      </c>
      <c r="R23">
        <f t="shared" si="4"/>
        <v>900</v>
      </c>
      <c r="S23" t="str">
        <f t="shared" si="5"/>
        <v>Small</v>
      </c>
      <c r="T23" t="str">
        <f t="shared" si="6"/>
        <v>High EV Adoption Corridor</v>
      </c>
      <c r="U23" s="3">
        <f t="shared" si="7"/>
        <v>1930500.0000000005</v>
      </c>
      <c r="V23" s="4">
        <f t="shared" si="8"/>
        <v>432000</v>
      </c>
      <c r="W23" s="3">
        <f t="shared" si="9"/>
        <v>4950000</v>
      </c>
      <c r="X23" s="3">
        <f t="shared" si="10"/>
        <v>4050000</v>
      </c>
      <c r="Y23">
        <f t="shared" si="11"/>
        <v>0.22888888888888889</v>
      </c>
      <c r="Z23">
        <f t="shared" si="12"/>
        <v>0.77622377622377625</v>
      </c>
      <c r="AA23" t="str">
        <f t="shared" si="13"/>
        <v>Tier 3 - Upgrade Pipeline</v>
      </c>
      <c r="AB23" s="3">
        <f t="shared" si="14"/>
        <v>72000</v>
      </c>
      <c r="AC23" s="3">
        <f t="shared" si="15"/>
        <v>825000</v>
      </c>
      <c r="AD23" s="3">
        <f t="shared" si="16"/>
        <v>321750.00000000006</v>
      </c>
      <c r="AE23" s="5">
        <f t="shared" si="17"/>
        <v>3.3033033033033021</v>
      </c>
      <c r="AF23" s="10">
        <f t="shared" si="18"/>
        <v>267840</v>
      </c>
      <c r="AG23" s="10">
        <f t="shared" si="19"/>
        <v>86400</v>
      </c>
      <c r="AH23" s="10">
        <f t="shared" si="20"/>
        <v>43200</v>
      </c>
      <c r="AI23" s="10">
        <f t="shared" si="21"/>
        <v>21600</v>
      </c>
      <c r="AJ23" s="10">
        <f t="shared" si="22"/>
        <v>12960</v>
      </c>
    </row>
    <row r="24" spans="1:36" x14ac:dyDescent="0.3">
      <c r="A24" t="s">
        <v>108</v>
      </c>
      <c r="B24" t="s">
        <v>109</v>
      </c>
      <c r="C24" t="s">
        <v>110</v>
      </c>
      <c r="D24" t="s">
        <v>111</v>
      </c>
      <c r="E24">
        <v>56187</v>
      </c>
      <c r="F24" t="s">
        <v>15</v>
      </c>
      <c r="G24">
        <v>6</v>
      </c>
      <c r="H24">
        <v>120</v>
      </c>
      <c r="I24" t="str" cm="1">
        <f t="array" ref="I24">_xlfn.IFS(H24&lt;=120,"V1",H24&lt;=150,"V2",H24&lt;=250,"V3", H24&lt;=350, "V4")</f>
        <v>V1</v>
      </c>
      <c r="J24" t="s">
        <v>112</v>
      </c>
      <c r="K24" t="str">
        <f t="shared" si="0"/>
        <v>43.63385</v>
      </c>
      <c r="L24" t="str">
        <f t="shared" si="1"/>
        <v>-95.595647</v>
      </c>
      <c r="M24">
        <v>478</v>
      </c>
      <c r="N24" s="1">
        <v>41619</v>
      </c>
      <c r="O24" s="1">
        <v>46099</v>
      </c>
      <c r="P24" s="2">
        <f t="shared" si="2"/>
        <v>12.265571526351813</v>
      </c>
      <c r="Q24" s="2" t="str">
        <f t="shared" si="3"/>
        <v>Old</v>
      </c>
      <c r="R24">
        <f t="shared" si="4"/>
        <v>720</v>
      </c>
      <c r="S24" t="str">
        <f t="shared" si="5"/>
        <v>Small</v>
      </c>
      <c r="T24" t="str">
        <f t="shared" si="6"/>
        <v>Lower EV Adoption Corridor</v>
      </c>
      <c r="U24" s="3">
        <f t="shared" si="7"/>
        <v>1080000</v>
      </c>
      <c r="V24" s="4">
        <f t="shared" si="8"/>
        <v>259200</v>
      </c>
      <c r="W24" s="3">
        <f t="shared" si="9"/>
        <v>2880000</v>
      </c>
      <c r="X24" s="3">
        <f t="shared" si="10"/>
        <v>1944000</v>
      </c>
      <c r="Y24">
        <f t="shared" si="11"/>
        <v>0.2814814814814815</v>
      </c>
      <c r="Z24">
        <f t="shared" si="12"/>
        <v>0.76</v>
      </c>
      <c r="AA24" t="str">
        <f t="shared" si="13"/>
        <v>Tier 5 - Retirement Pipeline</v>
      </c>
      <c r="AB24" s="3">
        <f t="shared" si="14"/>
        <v>43200</v>
      </c>
      <c r="AC24" s="3">
        <f t="shared" si="15"/>
        <v>480000</v>
      </c>
      <c r="AD24" s="3">
        <f t="shared" si="16"/>
        <v>180000</v>
      </c>
      <c r="AE24" s="5">
        <f t="shared" si="17"/>
        <v>3.5087719298245612</v>
      </c>
      <c r="AF24" s="10">
        <f t="shared" si="18"/>
        <v>160704</v>
      </c>
      <c r="AG24" s="10">
        <f t="shared" si="19"/>
        <v>51840</v>
      </c>
      <c r="AH24" s="10">
        <f t="shared" si="20"/>
        <v>25920</v>
      </c>
      <c r="AI24" s="10">
        <f t="shared" si="21"/>
        <v>12960</v>
      </c>
      <c r="AJ24" s="10">
        <f t="shared" si="22"/>
        <v>7776</v>
      </c>
    </row>
    <row r="25" spans="1:36" x14ac:dyDescent="0.3">
      <c r="A25" t="s">
        <v>113</v>
      </c>
      <c r="B25" t="s">
        <v>114</v>
      </c>
      <c r="C25" t="s">
        <v>115</v>
      </c>
      <c r="D25" t="s">
        <v>77</v>
      </c>
      <c r="E25">
        <v>27215</v>
      </c>
      <c r="F25" t="s">
        <v>15</v>
      </c>
      <c r="G25">
        <v>8</v>
      </c>
      <c r="H25">
        <v>120</v>
      </c>
      <c r="I25" t="str" cm="1">
        <f t="array" ref="I25">_xlfn.IFS(H25&lt;=120,"V1",H25&lt;=150,"V2",H25&lt;=250,"V3", H25&lt;=350, "V4")</f>
        <v>V1</v>
      </c>
      <c r="J25" t="s">
        <v>116</v>
      </c>
      <c r="K25" t="str">
        <f t="shared" si="0"/>
        <v>36.07079</v>
      </c>
      <c r="L25" t="str">
        <f t="shared" si="1"/>
        <v>-79.511211</v>
      </c>
      <c r="M25">
        <v>197</v>
      </c>
      <c r="N25" s="1">
        <v>41563</v>
      </c>
      <c r="O25" s="1">
        <v>46099</v>
      </c>
      <c r="P25" s="2">
        <f t="shared" si="2"/>
        <v>12.418891170431211</v>
      </c>
      <c r="Q25" s="2" t="str">
        <f t="shared" si="3"/>
        <v>Old</v>
      </c>
      <c r="R25">
        <f t="shared" si="4"/>
        <v>960</v>
      </c>
      <c r="S25" t="str">
        <f t="shared" si="5"/>
        <v>Small</v>
      </c>
      <c r="T25" t="str">
        <f t="shared" si="6"/>
        <v>Lower EV Adoption Corridor</v>
      </c>
      <c r="U25" s="3">
        <f t="shared" si="7"/>
        <v>1440000</v>
      </c>
      <c r="V25" s="4">
        <f t="shared" si="8"/>
        <v>345600</v>
      </c>
      <c r="W25" s="3">
        <f t="shared" si="9"/>
        <v>3840000</v>
      </c>
      <c r="X25" s="3">
        <f t="shared" si="10"/>
        <v>2592000</v>
      </c>
      <c r="Y25">
        <f t="shared" si="11"/>
        <v>0.2814814814814815</v>
      </c>
      <c r="Z25">
        <f t="shared" si="12"/>
        <v>0.76</v>
      </c>
      <c r="AA25" t="str">
        <f t="shared" si="13"/>
        <v>Tier 5 - Retirement Pipeline</v>
      </c>
      <c r="AB25" s="3">
        <f t="shared" si="14"/>
        <v>43200</v>
      </c>
      <c r="AC25" s="3">
        <f t="shared" si="15"/>
        <v>480000</v>
      </c>
      <c r="AD25" s="3">
        <f t="shared" si="16"/>
        <v>180000</v>
      </c>
      <c r="AE25" s="5">
        <f t="shared" si="17"/>
        <v>3.5087719298245612</v>
      </c>
      <c r="AF25" s="10">
        <f t="shared" si="18"/>
        <v>214272</v>
      </c>
      <c r="AG25" s="10">
        <f t="shared" si="19"/>
        <v>69120</v>
      </c>
      <c r="AH25" s="10">
        <f t="shared" si="20"/>
        <v>34560</v>
      </c>
      <c r="AI25" s="10">
        <f t="shared" si="21"/>
        <v>17280</v>
      </c>
      <c r="AJ25" s="10">
        <f t="shared" si="22"/>
        <v>10368</v>
      </c>
    </row>
    <row r="26" spans="1:36" x14ac:dyDescent="0.3">
      <c r="A26" t="s">
        <v>117</v>
      </c>
      <c r="B26" t="s">
        <v>118</v>
      </c>
      <c r="C26" t="s">
        <v>119</v>
      </c>
      <c r="D26" t="s">
        <v>120</v>
      </c>
      <c r="E26">
        <v>57783</v>
      </c>
      <c r="F26" t="s">
        <v>15</v>
      </c>
      <c r="G26">
        <v>6</v>
      </c>
      <c r="H26">
        <v>150</v>
      </c>
      <c r="I26" t="str" cm="1">
        <f t="array" ref="I26">_xlfn.IFS(H26&lt;=120,"V1",H26&lt;=150,"V2",H26&lt;=250,"V3", H26&lt;=350, "V4")</f>
        <v>V2</v>
      </c>
      <c r="J26" t="s">
        <v>121</v>
      </c>
      <c r="K26" t="str">
        <f t="shared" si="0"/>
        <v>44.520607</v>
      </c>
      <c r="L26" t="str">
        <f t="shared" si="1"/>
        <v>-103.890924</v>
      </c>
      <c r="M26">
        <v>1077</v>
      </c>
      <c r="N26" s="1">
        <v>43038</v>
      </c>
      <c r="O26" s="1">
        <v>46099</v>
      </c>
      <c r="P26" s="2">
        <f t="shared" si="2"/>
        <v>8.3805612594113619</v>
      </c>
      <c r="Q26" s="2" t="str">
        <f t="shared" si="3"/>
        <v>Old</v>
      </c>
      <c r="R26">
        <f t="shared" si="4"/>
        <v>900</v>
      </c>
      <c r="S26" t="str">
        <f t="shared" si="5"/>
        <v>Small</v>
      </c>
      <c r="T26" t="str">
        <f t="shared" si="6"/>
        <v>Lower EV Adoption Corridor</v>
      </c>
      <c r="U26" s="3">
        <f t="shared" si="7"/>
        <v>1485000.0000000002</v>
      </c>
      <c r="V26" s="4">
        <f t="shared" si="8"/>
        <v>360000</v>
      </c>
      <c r="W26" s="3">
        <f t="shared" si="9"/>
        <v>4500000</v>
      </c>
      <c r="X26" s="3">
        <f t="shared" si="10"/>
        <v>2700000</v>
      </c>
      <c r="Y26">
        <f t="shared" si="11"/>
        <v>0.3</v>
      </c>
      <c r="Z26">
        <f t="shared" si="12"/>
        <v>0.75757575757575757</v>
      </c>
      <c r="AA26" t="str">
        <f t="shared" si="13"/>
        <v>Tier 4 - Stable Network</v>
      </c>
      <c r="AB26" s="3">
        <f t="shared" si="14"/>
        <v>60000</v>
      </c>
      <c r="AC26" s="3">
        <f t="shared" si="15"/>
        <v>750000</v>
      </c>
      <c r="AD26" s="3">
        <f t="shared" si="16"/>
        <v>247500.00000000003</v>
      </c>
      <c r="AE26" s="5">
        <f t="shared" si="17"/>
        <v>3.9999999999999991</v>
      </c>
      <c r="AF26" s="10">
        <f t="shared" si="18"/>
        <v>223200</v>
      </c>
      <c r="AG26" s="10">
        <f t="shared" si="19"/>
        <v>72000</v>
      </c>
      <c r="AH26" s="10">
        <f t="shared" si="20"/>
        <v>36000</v>
      </c>
      <c r="AI26" s="10">
        <f t="shared" si="21"/>
        <v>18000</v>
      </c>
      <c r="AJ26" s="10">
        <f t="shared" si="22"/>
        <v>10800</v>
      </c>
    </row>
    <row r="27" spans="1:36" x14ac:dyDescent="0.3">
      <c r="A27" t="s">
        <v>122</v>
      </c>
      <c r="B27" t="s">
        <v>123</v>
      </c>
      <c r="C27" t="s">
        <v>124</v>
      </c>
      <c r="D27" t="s">
        <v>125</v>
      </c>
      <c r="E27">
        <v>29142</v>
      </c>
      <c r="F27" t="s">
        <v>15</v>
      </c>
      <c r="G27">
        <v>8</v>
      </c>
      <c r="H27">
        <v>150</v>
      </c>
      <c r="I27" t="str" cm="1">
        <f t="array" ref="I27">_xlfn.IFS(H27&lt;=120,"V1",H27&lt;=150,"V2",H27&lt;=250,"V3", H27&lt;=350, "V4")</f>
        <v>V2</v>
      </c>
      <c r="J27" t="s">
        <v>126</v>
      </c>
      <c r="K27" t="str">
        <f t="shared" si="0"/>
        <v>33.485858</v>
      </c>
      <c r="L27" t="str">
        <f t="shared" si="1"/>
        <v>-80.475763</v>
      </c>
      <c r="M27">
        <v>39</v>
      </c>
      <c r="N27" s="1">
        <v>41635</v>
      </c>
      <c r="O27" s="1">
        <v>46099</v>
      </c>
      <c r="P27" s="2">
        <f t="shared" si="2"/>
        <v>12.2217659137577</v>
      </c>
      <c r="Q27" s="2" t="str">
        <f t="shared" si="3"/>
        <v>Old</v>
      </c>
      <c r="R27">
        <f t="shared" si="4"/>
        <v>1200</v>
      </c>
      <c r="S27" t="str">
        <f t="shared" si="5"/>
        <v>Small</v>
      </c>
      <c r="T27" t="str">
        <f t="shared" si="6"/>
        <v>Lower EV Adoption Corridor</v>
      </c>
      <c r="U27" s="3">
        <f t="shared" si="7"/>
        <v>1980000.0000000002</v>
      </c>
      <c r="V27" s="4">
        <f t="shared" si="8"/>
        <v>480000</v>
      </c>
      <c r="W27" s="3">
        <f t="shared" si="9"/>
        <v>6000000</v>
      </c>
      <c r="X27" s="3">
        <f t="shared" si="10"/>
        <v>3600000</v>
      </c>
      <c r="Y27">
        <f t="shared" si="11"/>
        <v>0.3</v>
      </c>
      <c r="Z27">
        <f t="shared" si="12"/>
        <v>0.75757575757575757</v>
      </c>
      <c r="AA27" t="str">
        <f t="shared" si="13"/>
        <v>Tier 4 - Stable Network</v>
      </c>
      <c r="AB27" s="3">
        <f t="shared" si="14"/>
        <v>60000</v>
      </c>
      <c r="AC27" s="3">
        <f t="shared" si="15"/>
        <v>750000</v>
      </c>
      <c r="AD27" s="3">
        <f t="shared" si="16"/>
        <v>247500.00000000003</v>
      </c>
      <c r="AE27" s="5">
        <f t="shared" si="17"/>
        <v>3.9999999999999996</v>
      </c>
      <c r="AF27" s="10">
        <f t="shared" si="18"/>
        <v>297600</v>
      </c>
      <c r="AG27" s="10">
        <f t="shared" si="19"/>
        <v>96000</v>
      </c>
      <c r="AH27" s="10">
        <f t="shared" si="20"/>
        <v>48000</v>
      </c>
      <c r="AI27" s="10">
        <f t="shared" si="21"/>
        <v>24000</v>
      </c>
      <c r="AJ27" s="10">
        <f t="shared" si="22"/>
        <v>14400</v>
      </c>
    </row>
    <row r="28" spans="1:36" x14ac:dyDescent="0.3">
      <c r="A28" t="s">
        <v>127</v>
      </c>
      <c r="B28" t="s">
        <v>128</v>
      </c>
      <c r="C28" t="s">
        <v>129</v>
      </c>
      <c r="D28" t="s">
        <v>130</v>
      </c>
      <c r="E28">
        <v>46545</v>
      </c>
      <c r="F28" t="s">
        <v>15</v>
      </c>
      <c r="G28">
        <v>6</v>
      </c>
      <c r="H28">
        <v>120</v>
      </c>
      <c r="I28" t="str" cm="1">
        <f t="array" ref="I28">_xlfn.IFS(H28&lt;=120,"V1",H28&lt;=150,"V2",H28&lt;=250,"V3", H28&lt;=350, "V4")</f>
        <v>V1</v>
      </c>
      <c r="J28" t="s">
        <v>131</v>
      </c>
      <c r="K28" t="str">
        <f t="shared" si="0"/>
        <v>41.7174</v>
      </c>
      <c r="L28" t="str">
        <f t="shared" si="1"/>
        <v>-86.1887</v>
      </c>
      <c r="M28">
        <v>234</v>
      </c>
      <c r="N28" s="1">
        <v>41619</v>
      </c>
      <c r="O28" s="1">
        <v>46099</v>
      </c>
      <c r="P28" s="2">
        <f t="shared" si="2"/>
        <v>12.265571526351813</v>
      </c>
      <c r="Q28" s="2" t="str">
        <f t="shared" si="3"/>
        <v>Old</v>
      </c>
      <c r="R28">
        <f t="shared" si="4"/>
        <v>720</v>
      </c>
      <c r="S28" t="str">
        <f t="shared" si="5"/>
        <v>Small</v>
      </c>
      <c r="T28" t="str">
        <f t="shared" si="6"/>
        <v>Lower EV Adoption Corridor</v>
      </c>
      <c r="U28" s="3">
        <f t="shared" si="7"/>
        <v>1080000</v>
      </c>
      <c r="V28" s="4">
        <f t="shared" si="8"/>
        <v>259200</v>
      </c>
      <c r="W28" s="3">
        <f t="shared" si="9"/>
        <v>2880000</v>
      </c>
      <c r="X28" s="3">
        <f t="shared" si="10"/>
        <v>1944000</v>
      </c>
      <c r="Y28">
        <f t="shared" si="11"/>
        <v>0.2814814814814815</v>
      </c>
      <c r="Z28">
        <f t="shared" si="12"/>
        <v>0.76</v>
      </c>
      <c r="AA28" t="str">
        <f t="shared" si="13"/>
        <v>Tier 5 - Retirement Pipeline</v>
      </c>
      <c r="AB28" s="3">
        <f t="shared" si="14"/>
        <v>43200</v>
      </c>
      <c r="AC28" s="3">
        <f t="shared" si="15"/>
        <v>480000</v>
      </c>
      <c r="AD28" s="3">
        <f t="shared" si="16"/>
        <v>180000</v>
      </c>
      <c r="AE28" s="5">
        <f t="shared" si="17"/>
        <v>3.5087719298245612</v>
      </c>
      <c r="AF28" s="10">
        <f t="shared" si="18"/>
        <v>160704</v>
      </c>
      <c r="AG28" s="10">
        <f t="shared" si="19"/>
        <v>51840</v>
      </c>
      <c r="AH28" s="10">
        <f t="shared" si="20"/>
        <v>25920</v>
      </c>
      <c r="AI28" s="10">
        <f t="shared" si="21"/>
        <v>12960</v>
      </c>
      <c r="AJ28" s="10">
        <f t="shared" si="22"/>
        <v>7776</v>
      </c>
    </row>
    <row r="29" spans="1:36" x14ac:dyDescent="0.3">
      <c r="A29" t="s">
        <v>132</v>
      </c>
      <c r="B29" t="s">
        <v>133</v>
      </c>
      <c r="C29" t="s">
        <v>134</v>
      </c>
      <c r="D29" t="s">
        <v>130</v>
      </c>
      <c r="E29">
        <v>46703</v>
      </c>
      <c r="F29" t="s">
        <v>15</v>
      </c>
      <c r="G29">
        <v>6</v>
      </c>
      <c r="H29">
        <v>120</v>
      </c>
      <c r="I29" t="str" cm="1">
        <f t="array" ref="I29">_xlfn.IFS(H29&lt;=120,"V1",H29&lt;=150,"V2",H29&lt;=250,"V3", H29&lt;=350, "V4")</f>
        <v>V1</v>
      </c>
      <c r="J29" t="s">
        <v>135</v>
      </c>
      <c r="K29" t="str">
        <f t="shared" si="0"/>
        <v>41.699048</v>
      </c>
      <c r="L29" t="str">
        <f t="shared" si="1"/>
        <v>-85.000326</v>
      </c>
      <c r="M29">
        <v>329</v>
      </c>
      <c r="N29" s="1">
        <v>41617</v>
      </c>
      <c r="O29" s="1">
        <v>46099</v>
      </c>
      <c r="P29" s="2">
        <f t="shared" si="2"/>
        <v>12.271047227926077</v>
      </c>
      <c r="Q29" s="2" t="str">
        <f t="shared" si="3"/>
        <v>Old</v>
      </c>
      <c r="R29">
        <f t="shared" si="4"/>
        <v>720</v>
      </c>
      <c r="S29" t="str">
        <f t="shared" si="5"/>
        <v>Small</v>
      </c>
      <c r="T29" t="str">
        <f t="shared" si="6"/>
        <v>Lower EV Adoption Corridor</v>
      </c>
      <c r="U29" s="3">
        <f t="shared" si="7"/>
        <v>1080000</v>
      </c>
      <c r="V29" s="4">
        <f t="shared" si="8"/>
        <v>259200</v>
      </c>
      <c r="W29" s="3">
        <f t="shared" si="9"/>
        <v>2880000</v>
      </c>
      <c r="X29" s="3">
        <f t="shared" si="10"/>
        <v>1944000</v>
      </c>
      <c r="Y29">
        <f t="shared" si="11"/>
        <v>0.2814814814814815</v>
      </c>
      <c r="Z29">
        <f t="shared" si="12"/>
        <v>0.76</v>
      </c>
      <c r="AA29" t="str">
        <f t="shared" si="13"/>
        <v>Tier 5 - Retirement Pipeline</v>
      </c>
      <c r="AB29" s="3">
        <f t="shared" si="14"/>
        <v>43200</v>
      </c>
      <c r="AC29" s="3">
        <f t="shared" si="15"/>
        <v>480000</v>
      </c>
      <c r="AD29" s="3">
        <f t="shared" si="16"/>
        <v>180000</v>
      </c>
      <c r="AE29" s="5">
        <f t="shared" si="17"/>
        <v>3.5087719298245612</v>
      </c>
      <c r="AF29" s="10">
        <f t="shared" si="18"/>
        <v>160704</v>
      </c>
      <c r="AG29" s="10">
        <f t="shared" si="19"/>
        <v>51840</v>
      </c>
      <c r="AH29" s="10">
        <f t="shared" si="20"/>
        <v>25920</v>
      </c>
      <c r="AI29" s="10">
        <f t="shared" si="21"/>
        <v>12960</v>
      </c>
      <c r="AJ29" s="10">
        <f t="shared" si="22"/>
        <v>7776</v>
      </c>
    </row>
    <row r="30" spans="1:36" x14ac:dyDescent="0.3">
      <c r="A30" t="s">
        <v>136</v>
      </c>
      <c r="B30" t="s">
        <v>137</v>
      </c>
      <c r="C30" t="s">
        <v>138</v>
      </c>
      <c r="D30" t="s">
        <v>14</v>
      </c>
      <c r="E30">
        <v>94804</v>
      </c>
      <c r="F30" t="s">
        <v>15</v>
      </c>
      <c r="G30">
        <v>12</v>
      </c>
      <c r="H30">
        <v>150</v>
      </c>
      <c r="I30" t="str" cm="1">
        <f t="array" ref="I30">_xlfn.IFS(H30&lt;=120,"V1",H30&lt;=150,"V2",H30&lt;=250,"V3", H30&lt;=350, "V4")</f>
        <v>V2</v>
      </c>
      <c r="J30" t="s">
        <v>139</v>
      </c>
      <c r="K30" t="str">
        <f t="shared" si="0"/>
        <v>37.919969</v>
      </c>
      <c r="L30" t="str">
        <f t="shared" si="1"/>
        <v>-122.348976</v>
      </c>
      <c r="M30">
        <v>4</v>
      </c>
      <c r="N30" s="1">
        <v>43724</v>
      </c>
      <c r="O30" s="1">
        <v>46099</v>
      </c>
      <c r="P30" s="2">
        <f t="shared" si="2"/>
        <v>6.5023956194387402</v>
      </c>
      <c r="Q30" s="2" t="str">
        <f t="shared" si="3"/>
        <v>Mid</v>
      </c>
      <c r="R30">
        <f t="shared" si="4"/>
        <v>1800</v>
      </c>
      <c r="S30" t="str">
        <f t="shared" si="5"/>
        <v>Small</v>
      </c>
      <c r="T30" t="str">
        <f t="shared" si="6"/>
        <v>High EV Adoption Corridor</v>
      </c>
      <c r="U30" s="3">
        <f t="shared" si="7"/>
        <v>3861000.0000000009</v>
      </c>
      <c r="V30" s="4">
        <f t="shared" si="8"/>
        <v>864000</v>
      </c>
      <c r="W30" s="3">
        <f t="shared" si="9"/>
        <v>9900000</v>
      </c>
      <c r="X30" s="3">
        <f t="shared" si="10"/>
        <v>8100000</v>
      </c>
      <c r="Y30">
        <f t="shared" si="11"/>
        <v>0.22888888888888889</v>
      </c>
      <c r="Z30">
        <f t="shared" si="12"/>
        <v>0.77622377622377625</v>
      </c>
      <c r="AA30" t="str">
        <f t="shared" si="13"/>
        <v>Tier 3 - Upgrade Pipeline</v>
      </c>
      <c r="AB30" s="3">
        <f t="shared" si="14"/>
        <v>72000</v>
      </c>
      <c r="AC30" s="3">
        <f t="shared" si="15"/>
        <v>825000</v>
      </c>
      <c r="AD30" s="3">
        <f t="shared" si="16"/>
        <v>321750.00000000006</v>
      </c>
      <c r="AE30" s="5">
        <f t="shared" si="17"/>
        <v>3.3033033033033021</v>
      </c>
      <c r="AF30" s="10">
        <f t="shared" si="18"/>
        <v>535680</v>
      </c>
      <c r="AG30" s="10">
        <f t="shared" si="19"/>
        <v>172800</v>
      </c>
      <c r="AH30" s="10">
        <f t="shared" si="20"/>
        <v>86400</v>
      </c>
      <c r="AI30" s="10">
        <f t="shared" si="21"/>
        <v>43200</v>
      </c>
      <c r="AJ30" s="10">
        <f t="shared" si="22"/>
        <v>25920</v>
      </c>
    </row>
    <row r="31" spans="1:36" x14ac:dyDescent="0.3">
      <c r="A31" t="s">
        <v>140</v>
      </c>
      <c r="B31" t="s">
        <v>141</v>
      </c>
      <c r="C31" t="s">
        <v>142</v>
      </c>
      <c r="D31" t="s">
        <v>143</v>
      </c>
      <c r="E31">
        <v>87402</v>
      </c>
      <c r="F31" t="s">
        <v>15</v>
      </c>
      <c r="G31">
        <v>4</v>
      </c>
      <c r="H31">
        <v>120</v>
      </c>
      <c r="I31" t="str" cm="1">
        <f t="array" ref="I31">_xlfn.IFS(H31&lt;=120,"V1",H31&lt;=150,"V2",H31&lt;=250,"V3", H31&lt;=350, "V4")</f>
        <v>V1</v>
      </c>
      <c r="J31" t="s">
        <v>144</v>
      </c>
      <c r="K31" t="str">
        <f t="shared" si="0"/>
        <v>36.766371</v>
      </c>
      <c r="L31" t="str">
        <f t="shared" si="1"/>
        <v>-108.144047</v>
      </c>
      <c r="M31">
        <v>1673</v>
      </c>
      <c r="N31" s="1">
        <v>41649</v>
      </c>
      <c r="O31" s="1">
        <v>46099</v>
      </c>
      <c r="P31" s="2">
        <f t="shared" si="2"/>
        <v>12.183436002737851</v>
      </c>
      <c r="Q31" s="2" t="str">
        <f t="shared" si="3"/>
        <v>Old</v>
      </c>
      <c r="R31">
        <f t="shared" si="4"/>
        <v>480</v>
      </c>
      <c r="S31" t="str">
        <f t="shared" si="5"/>
        <v>Small</v>
      </c>
      <c r="T31" t="str">
        <f t="shared" si="6"/>
        <v>Lower EV Adoption Corridor</v>
      </c>
      <c r="U31" s="3">
        <f t="shared" si="7"/>
        <v>720000</v>
      </c>
      <c r="V31" s="4">
        <f t="shared" si="8"/>
        <v>172800</v>
      </c>
      <c r="W31" s="3">
        <f t="shared" si="9"/>
        <v>1920000</v>
      </c>
      <c r="X31" s="3">
        <f t="shared" si="10"/>
        <v>1296000</v>
      </c>
      <c r="Y31">
        <f t="shared" si="11"/>
        <v>0.2814814814814815</v>
      </c>
      <c r="Z31">
        <f t="shared" si="12"/>
        <v>0.76</v>
      </c>
      <c r="AA31" t="str">
        <f t="shared" si="13"/>
        <v>Tier 5 - Retirement Pipeline</v>
      </c>
      <c r="AB31" s="3">
        <f t="shared" si="14"/>
        <v>43200</v>
      </c>
      <c r="AC31" s="3">
        <f t="shared" si="15"/>
        <v>480000</v>
      </c>
      <c r="AD31" s="3">
        <f t="shared" si="16"/>
        <v>180000</v>
      </c>
      <c r="AE31" s="5">
        <f t="shared" si="17"/>
        <v>3.5087719298245612</v>
      </c>
      <c r="AF31" s="10">
        <f t="shared" si="18"/>
        <v>107136</v>
      </c>
      <c r="AG31" s="10">
        <f t="shared" si="19"/>
        <v>34560</v>
      </c>
      <c r="AH31" s="10">
        <f t="shared" si="20"/>
        <v>17280</v>
      </c>
      <c r="AI31" s="10">
        <f t="shared" si="21"/>
        <v>8640</v>
      </c>
      <c r="AJ31" s="10">
        <f t="shared" si="22"/>
        <v>5184</v>
      </c>
    </row>
    <row r="32" spans="1:36" x14ac:dyDescent="0.3">
      <c r="A32" t="s">
        <v>145</v>
      </c>
      <c r="B32" t="s">
        <v>146</v>
      </c>
      <c r="C32" t="s">
        <v>147</v>
      </c>
      <c r="D32" t="s">
        <v>148</v>
      </c>
      <c r="E32">
        <v>67735</v>
      </c>
      <c r="F32" t="s">
        <v>15</v>
      </c>
      <c r="G32">
        <v>6</v>
      </c>
      <c r="H32">
        <v>150</v>
      </c>
      <c r="I32" t="str" cm="1">
        <f t="array" ref="I32">_xlfn.IFS(H32&lt;=120,"V1",H32&lt;=150,"V2",H32&lt;=250,"V3", H32&lt;=350, "V4")</f>
        <v>V2</v>
      </c>
      <c r="J32" t="s">
        <v>149</v>
      </c>
      <c r="K32" t="str">
        <f t="shared" si="0"/>
        <v>39.326253</v>
      </c>
      <c r="L32" t="str">
        <f t="shared" si="1"/>
        <v>-101.725171</v>
      </c>
      <c r="M32">
        <v>1129</v>
      </c>
      <c r="N32" s="1">
        <v>41803</v>
      </c>
      <c r="O32" s="1">
        <v>46099</v>
      </c>
      <c r="P32" s="2">
        <f t="shared" si="2"/>
        <v>11.761806981519507</v>
      </c>
      <c r="Q32" s="2" t="str">
        <f t="shared" si="3"/>
        <v>Old</v>
      </c>
      <c r="R32">
        <f t="shared" si="4"/>
        <v>900</v>
      </c>
      <c r="S32" t="str">
        <f t="shared" si="5"/>
        <v>Small</v>
      </c>
      <c r="T32" t="str">
        <f t="shared" si="6"/>
        <v>Lower EV Adoption Corridor</v>
      </c>
      <c r="U32" s="3">
        <f t="shared" si="7"/>
        <v>1485000.0000000002</v>
      </c>
      <c r="V32" s="4">
        <f t="shared" si="8"/>
        <v>360000</v>
      </c>
      <c r="W32" s="3">
        <f t="shared" si="9"/>
        <v>4500000</v>
      </c>
      <c r="X32" s="3">
        <f t="shared" si="10"/>
        <v>2700000</v>
      </c>
      <c r="Y32">
        <f t="shared" si="11"/>
        <v>0.3</v>
      </c>
      <c r="Z32">
        <f t="shared" si="12"/>
        <v>0.75757575757575757</v>
      </c>
      <c r="AA32" t="str">
        <f t="shared" si="13"/>
        <v>Tier 4 - Stable Network</v>
      </c>
      <c r="AB32" s="3">
        <f t="shared" si="14"/>
        <v>60000</v>
      </c>
      <c r="AC32" s="3">
        <f t="shared" si="15"/>
        <v>750000</v>
      </c>
      <c r="AD32" s="3">
        <f t="shared" si="16"/>
        <v>247500.00000000003</v>
      </c>
      <c r="AE32" s="5">
        <f t="shared" si="17"/>
        <v>3.9999999999999991</v>
      </c>
      <c r="AF32" s="10">
        <f t="shared" si="18"/>
        <v>223200</v>
      </c>
      <c r="AG32" s="10">
        <f t="shared" si="19"/>
        <v>72000</v>
      </c>
      <c r="AH32" s="10">
        <f t="shared" si="20"/>
        <v>36000</v>
      </c>
      <c r="AI32" s="10">
        <f t="shared" si="21"/>
        <v>18000</v>
      </c>
      <c r="AJ32" s="10">
        <f t="shared" si="22"/>
        <v>10800</v>
      </c>
    </row>
    <row r="33" spans="1:36" x14ac:dyDescent="0.3">
      <c r="A33" t="s">
        <v>150</v>
      </c>
      <c r="B33" t="s">
        <v>151</v>
      </c>
      <c r="C33" t="s">
        <v>152</v>
      </c>
      <c r="D33" t="s">
        <v>153</v>
      </c>
      <c r="E33">
        <v>15501</v>
      </c>
      <c r="F33" t="s">
        <v>15</v>
      </c>
      <c r="G33">
        <v>6</v>
      </c>
      <c r="H33">
        <v>150</v>
      </c>
      <c r="I33" t="str" cm="1">
        <f t="array" ref="I33">_xlfn.IFS(H33&lt;=120,"V1",H33&lt;=150,"V2",H33&lt;=250,"V3", H33&lt;=350, "V4")</f>
        <v>V2</v>
      </c>
      <c r="J33" t="s">
        <v>154</v>
      </c>
      <c r="K33" t="str">
        <f t="shared" si="0"/>
        <v>40.017383</v>
      </c>
      <c r="L33" t="str">
        <f t="shared" si="1"/>
        <v>-79.077117</v>
      </c>
      <c r="M33">
        <v>641</v>
      </c>
      <c r="N33" s="1">
        <v>41649</v>
      </c>
      <c r="O33" s="1">
        <v>46099</v>
      </c>
      <c r="P33" s="2">
        <f t="shared" si="2"/>
        <v>12.183436002737851</v>
      </c>
      <c r="Q33" s="2" t="str">
        <f t="shared" si="3"/>
        <v>Old</v>
      </c>
      <c r="R33">
        <f t="shared" si="4"/>
        <v>900</v>
      </c>
      <c r="S33" t="str">
        <f t="shared" si="5"/>
        <v>Small</v>
      </c>
      <c r="T33" t="str">
        <f t="shared" si="6"/>
        <v>Lower EV Adoption Corridor</v>
      </c>
      <c r="U33" s="3">
        <f t="shared" si="7"/>
        <v>1485000.0000000002</v>
      </c>
      <c r="V33" s="4">
        <f t="shared" si="8"/>
        <v>360000</v>
      </c>
      <c r="W33" s="3">
        <f t="shared" si="9"/>
        <v>4500000</v>
      </c>
      <c r="X33" s="3">
        <f t="shared" si="10"/>
        <v>2700000</v>
      </c>
      <c r="Y33">
        <f t="shared" si="11"/>
        <v>0.3</v>
      </c>
      <c r="Z33">
        <f t="shared" si="12"/>
        <v>0.75757575757575757</v>
      </c>
      <c r="AA33" t="str">
        <f t="shared" si="13"/>
        <v>Tier 4 - Stable Network</v>
      </c>
      <c r="AB33" s="3">
        <f t="shared" si="14"/>
        <v>60000</v>
      </c>
      <c r="AC33" s="3">
        <f t="shared" si="15"/>
        <v>750000</v>
      </c>
      <c r="AD33" s="3">
        <f t="shared" si="16"/>
        <v>247500.00000000003</v>
      </c>
      <c r="AE33" s="5">
        <f t="shared" si="17"/>
        <v>3.9999999999999991</v>
      </c>
      <c r="AF33" s="10">
        <f t="shared" si="18"/>
        <v>223200</v>
      </c>
      <c r="AG33" s="10">
        <f t="shared" si="19"/>
        <v>72000</v>
      </c>
      <c r="AH33" s="10">
        <f t="shared" si="20"/>
        <v>36000</v>
      </c>
      <c r="AI33" s="10">
        <f t="shared" si="21"/>
        <v>18000</v>
      </c>
      <c r="AJ33" s="10">
        <f t="shared" si="22"/>
        <v>10800</v>
      </c>
    </row>
    <row r="34" spans="1:36" x14ac:dyDescent="0.3">
      <c r="A34" t="s">
        <v>155</v>
      </c>
      <c r="B34" t="s">
        <v>156</v>
      </c>
      <c r="C34" t="s">
        <v>157</v>
      </c>
      <c r="D34" t="s">
        <v>158</v>
      </c>
      <c r="E34">
        <v>10510</v>
      </c>
      <c r="F34" t="s">
        <v>15</v>
      </c>
      <c r="G34">
        <v>12</v>
      </c>
      <c r="H34">
        <v>150</v>
      </c>
      <c r="I34" t="str" cm="1">
        <f t="array" ref="I34">_xlfn.IFS(H34&lt;=120,"V1",H34&lt;=150,"V2",H34&lt;=250,"V3", H34&lt;=350, "V4")</f>
        <v>V2</v>
      </c>
      <c r="J34" t="s">
        <v>159</v>
      </c>
      <c r="K34" t="str">
        <f t="shared" si="0"/>
        <v>41.144011</v>
      </c>
      <c r="L34" t="str">
        <f t="shared" si="1"/>
        <v>-73.861472</v>
      </c>
      <c r="M34">
        <v>21</v>
      </c>
      <c r="N34" s="1">
        <v>43630</v>
      </c>
      <c r="O34" s="1">
        <v>46099</v>
      </c>
      <c r="P34" s="2">
        <f t="shared" si="2"/>
        <v>6.7597535934291582</v>
      </c>
      <c r="Q34" s="2" t="str">
        <f t="shared" si="3"/>
        <v>Mid</v>
      </c>
      <c r="R34">
        <f t="shared" si="4"/>
        <v>1800</v>
      </c>
      <c r="S34" t="str">
        <f t="shared" si="5"/>
        <v>Small</v>
      </c>
      <c r="T34" t="str">
        <f t="shared" si="6"/>
        <v>Lower EV Adoption Corridor</v>
      </c>
      <c r="U34" s="3">
        <f t="shared" si="7"/>
        <v>2970000.0000000005</v>
      </c>
      <c r="V34" s="4">
        <f t="shared" si="8"/>
        <v>720000</v>
      </c>
      <c r="W34" s="3">
        <f t="shared" si="9"/>
        <v>9000000</v>
      </c>
      <c r="X34" s="3">
        <f t="shared" si="10"/>
        <v>5400000</v>
      </c>
      <c r="Y34">
        <f t="shared" si="11"/>
        <v>0.3</v>
      </c>
      <c r="Z34">
        <f t="shared" si="12"/>
        <v>0.75757575757575757</v>
      </c>
      <c r="AA34" t="str">
        <f t="shared" si="13"/>
        <v>Tier 4 - Stable Network</v>
      </c>
      <c r="AB34" s="3">
        <f t="shared" si="14"/>
        <v>60000</v>
      </c>
      <c r="AC34" s="3">
        <f t="shared" si="15"/>
        <v>750000</v>
      </c>
      <c r="AD34" s="3">
        <f t="shared" si="16"/>
        <v>247500.00000000003</v>
      </c>
      <c r="AE34" s="5">
        <f t="shared" si="17"/>
        <v>3.9999999999999991</v>
      </c>
      <c r="AF34" s="10">
        <f t="shared" si="18"/>
        <v>446400</v>
      </c>
      <c r="AG34" s="10">
        <f t="shared" si="19"/>
        <v>144000</v>
      </c>
      <c r="AH34" s="10">
        <f t="shared" si="20"/>
        <v>72000</v>
      </c>
      <c r="AI34" s="10">
        <f t="shared" si="21"/>
        <v>36000</v>
      </c>
      <c r="AJ34" s="10">
        <f t="shared" si="22"/>
        <v>21600</v>
      </c>
    </row>
    <row r="35" spans="1:36" x14ac:dyDescent="0.3">
      <c r="A35" t="s">
        <v>160</v>
      </c>
      <c r="B35" t="s">
        <v>161</v>
      </c>
      <c r="C35" t="s">
        <v>162</v>
      </c>
      <c r="D35" t="s">
        <v>50</v>
      </c>
      <c r="E35">
        <v>78666</v>
      </c>
      <c r="F35" t="s">
        <v>15</v>
      </c>
      <c r="G35">
        <v>12</v>
      </c>
      <c r="H35">
        <v>150</v>
      </c>
      <c r="I35" t="str" cm="1">
        <f t="array" ref="I35">_xlfn.IFS(H35&lt;=120,"V1",H35&lt;=150,"V2",H35&lt;=250,"V3", H35&lt;=350, "V4")</f>
        <v>V2</v>
      </c>
      <c r="J35" t="s">
        <v>163</v>
      </c>
      <c r="K35" t="str">
        <f t="shared" si="0"/>
        <v>29.827692</v>
      </c>
      <c r="L35" t="str">
        <f t="shared" si="1"/>
        <v>-97.979677</v>
      </c>
      <c r="M35">
        <v>202</v>
      </c>
      <c r="N35" s="1">
        <v>41503</v>
      </c>
      <c r="O35" s="1">
        <v>46099</v>
      </c>
      <c r="P35" s="2">
        <f t="shared" si="2"/>
        <v>12.583162217659138</v>
      </c>
      <c r="Q35" s="2" t="str">
        <f t="shared" si="3"/>
        <v>Old</v>
      </c>
      <c r="R35">
        <f t="shared" si="4"/>
        <v>1800</v>
      </c>
      <c r="S35" t="str">
        <f t="shared" si="5"/>
        <v>Small</v>
      </c>
      <c r="T35" t="str">
        <f t="shared" si="6"/>
        <v>High EV Adoption Corridor</v>
      </c>
      <c r="U35" s="3">
        <f t="shared" si="7"/>
        <v>3861000.0000000009</v>
      </c>
      <c r="V35" s="4">
        <f t="shared" si="8"/>
        <v>864000</v>
      </c>
      <c r="W35" s="3">
        <f t="shared" si="9"/>
        <v>9900000</v>
      </c>
      <c r="X35" s="3">
        <f t="shared" si="10"/>
        <v>8100000</v>
      </c>
      <c r="Y35">
        <f t="shared" si="11"/>
        <v>0.22888888888888889</v>
      </c>
      <c r="Z35">
        <f t="shared" si="12"/>
        <v>0.77622377622377625</v>
      </c>
      <c r="AA35" t="str">
        <f t="shared" si="13"/>
        <v>Tier 3 - Upgrade Pipeline</v>
      </c>
      <c r="AB35" s="3">
        <f t="shared" si="14"/>
        <v>72000</v>
      </c>
      <c r="AC35" s="3">
        <f t="shared" si="15"/>
        <v>825000</v>
      </c>
      <c r="AD35" s="3">
        <f t="shared" si="16"/>
        <v>321750.00000000006</v>
      </c>
      <c r="AE35" s="5">
        <f t="shared" si="17"/>
        <v>3.3033033033033021</v>
      </c>
      <c r="AF35" s="10">
        <f t="shared" si="18"/>
        <v>535680</v>
      </c>
      <c r="AG35" s="10">
        <f t="shared" si="19"/>
        <v>172800</v>
      </c>
      <c r="AH35" s="10">
        <f t="shared" si="20"/>
        <v>86400</v>
      </c>
      <c r="AI35" s="10">
        <f t="shared" si="21"/>
        <v>43200</v>
      </c>
      <c r="AJ35" s="10">
        <f t="shared" si="22"/>
        <v>25920</v>
      </c>
    </row>
    <row r="36" spans="1:36" x14ac:dyDescent="0.3">
      <c r="A36" t="s">
        <v>164</v>
      </c>
      <c r="B36" t="s">
        <v>165</v>
      </c>
      <c r="C36" t="s">
        <v>166</v>
      </c>
      <c r="D36" t="s">
        <v>50</v>
      </c>
      <c r="E36">
        <v>78934</v>
      </c>
      <c r="F36" t="s">
        <v>15</v>
      </c>
      <c r="G36">
        <v>6</v>
      </c>
      <c r="H36">
        <v>120</v>
      </c>
      <c r="I36" t="str" cm="1">
        <f t="array" ref="I36">_xlfn.IFS(H36&lt;=120,"V1",H36&lt;=150,"V2",H36&lt;=250,"V3", H36&lt;=350, "V4")</f>
        <v>V1</v>
      </c>
      <c r="J36" t="s">
        <v>167</v>
      </c>
      <c r="K36" t="str">
        <f t="shared" si="0"/>
        <v>29.690062</v>
      </c>
      <c r="L36" t="str">
        <f t="shared" si="1"/>
        <v>-96.537725</v>
      </c>
      <c r="M36">
        <v>57</v>
      </c>
      <c r="N36" s="1">
        <v>41554</v>
      </c>
      <c r="O36" s="1">
        <v>46099</v>
      </c>
      <c r="P36" s="2">
        <f t="shared" si="2"/>
        <v>12.4435318275154</v>
      </c>
      <c r="Q36" s="2" t="str">
        <f t="shared" si="3"/>
        <v>Old</v>
      </c>
      <c r="R36">
        <f t="shared" si="4"/>
        <v>720</v>
      </c>
      <c r="S36" t="str">
        <f t="shared" si="5"/>
        <v>Small</v>
      </c>
      <c r="T36" t="str">
        <f t="shared" si="6"/>
        <v>High EV Adoption Corridor</v>
      </c>
      <c r="U36" s="3">
        <f t="shared" si="7"/>
        <v>1404000</v>
      </c>
      <c r="V36" s="4">
        <f t="shared" si="8"/>
        <v>311040</v>
      </c>
      <c r="W36" s="3">
        <f t="shared" si="9"/>
        <v>3168000.0000000005</v>
      </c>
      <c r="X36" s="3">
        <f t="shared" si="10"/>
        <v>2916000</v>
      </c>
      <c r="Y36">
        <f t="shared" si="11"/>
        <v>0.21530864197530863</v>
      </c>
      <c r="Z36">
        <f t="shared" si="12"/>
        <v>0.77846153846153843</v>
      </c>
      <c r="AA36" t="str">
        <f t="shared" si="13"/>
        <v>Tier 3 - Upgrade Pipeline</v>
      </c>
      <c r="AB36" s="3">
        <f t="shared" si="14"/>
        <v>51840</v>
      </c>
      <c r="AC36" s="3">
        <f t="shared" si="15"/>
        <v>528000.00000000012</v>
      </c>
      <c r="AD36" s="3">
        <f t="shared" si="16"/>
        <v>234000</v>
      </c>
      <c r="AE36" s="5">
        <f t="shared" si="17"/>
        <v>2.8985507246376816</v>
      </c>
      <c r="AF36" s="10">
        <f t="shared" si="18"/>
        <v>192844.79999999999</v>
      </c>
      <c r="AG36" s="10">
        <f t="shared" si="19"/>
        <v>62208</v>
      </c>
      <c r="AH36" s="10">
        <f t="shared" si="20"/>
        <v>31104</v>
      </c>
      <c r="AI36" s="10">
        <f t="shared" si="21"/>
        <v>15552</v>
      </c>
      <c r="AJ36" s="10">
        <f t="shared" si="22"/>
        <v>9331.1999999999989</v>
      </c>
    </row>
    <row r="37" spans="1:36" x14ac:dyDescent="0.3">
      <c r="A37" t="s">
        <v>168</v>
      </c>
      <c r="B37" t="s">
        <v>169</v>
      </c>
      <c r="C37" t="s">
        <v>170</v>
      </c>
      <c r="D37" t="s">
        <v>120</v>
      </c>
      <c r="E37">
        <v>57301</v>
      </c>
      <c r="F37" t="s">
        <v>15</v>
      </c>
      <c r="G37">
        <v>6</v>
      </c>
      <c r="H37">
        <v>120</v>
      </c>
      <c r="I37" t="str" cm="1">
        <f t="array" ref="I37">_xlfn.IFS(H37&lt;=120,"V1",H37&lt;=150,"V2",H37&lt;=250,"V3", H37&lt;=350, "V4")</f>
        <v>V1</v>
      </c>
      <c r="J37" t="s">
        <v>171</v>
      </c>
      <c r="K37" t="str">
        <f t="shared" si="0"/>
        <v>43.701129</v>
      </c>
      <c r="L37" t="str">
        <f t="shared" si="1"/>
        <v>-98.04449999999997</v>
      </c>
      <c r="M37">
        <v>410</v>
      </c>
      <c r="N37" s="1">
        <v>41626</v>
      </c>
      <c r="O37" s="1">
        <v>46099</v>
      </c>
      <c r="P37" s="2">
        <f t="shared" si="2"/>
        <v>12.24640657084189</v>
      </c>
      <c r="Q37" s="2" t="str">
        <f t="shared" si="3"/>
        <v>Old</v>
      </c>
      <c r="R37">
        <f t="shared" si="4"/>
        <v>720</v>
      </c>
      <c r="S37" t="str">
        <f t="shared" si="5"/>
        <v>Small</v>
      </c>
      <c r="T37" t="str">
        <f t="shared" si="6"/>
        <v>Lower EV Adoption Corridor</v>
      </c>
      <c r="U37" s="3">
        <f t="shared" si="7"/>
        <v>1080000</v>
      </c>
      <c r="V37" s="4">
        <f t="shared" si="8"/>
        <v>259200</v>
      </c>
      <c r="W37" s="3">
        <f t="shared" si="9"/>
        <v>2880000</v>
      </c>
      <c r="X37" s="3">
        <f t="shared" si="10"/>
        <v>1944000</v>
      </c>
      <c r="Y37">
        <f t="shared" si="11"/>
        <v>0.2814814814814815</v>
      </c>
      <c r="Z37">
        <f t="shared" si="12"/>
        <v>0.76</v>
      </c>
      <c r="AA37" t="str">
        <f t="shared" si="13"/>
        <v>Tier 5 - Retirement Pipeline</v>
      </c>
      <c r="AB37" s="3">
        <f t="shared" si="14"/>
        <v>43200</v>
      </c>
      <c r="AC37" s="3">
        <f t="shared" si="15"/>
        <v>480000</v>
      </c>
      <c r="AD37" s="3">
        <f t="shared" si="16"/>
        <v>180000</v>
      </c>
      <c r="AE37" s="5">
        <f t="shared" si="17"/>
        <v>3.5087719298245612</v>
      </c>
      <c r="AF37" s="10">
        <f t="shared" si="18"/>
        <v>160704</v>
      </c>
      <c r="AG37" s="10">
        <f t="shared" si="19"/>
        <v>51840</v>
      </c>
      <c r="AH37" s="10">
        <f t="shared" si="20"/>
        <v>25920</v>
      </c>
      <c r="AI37" s="10">
        <f t="shared" si="21"/>
        <v>12960</v>
      </c>
      <c r="AJ37" s="10">
        <f t="shared" si="22"/>
        <v>7776</v>
      </c>
    </row>
    <row r="38" spans="1:36" x14ac:dyDescent="0.3">
      <c r="A38" t="s">
        <v>172</v>
      </c>
      <c r="B38" t="s">
        <v>173</v>
      </c>
      <c r="C38" t="s">
        <v>174</v>
      </c>
      <c r="D38" t="s">
        <v>14</v>
      </c>
      <c r="E38">
        <v>93401</v>
      </c>
      <c r="F38" t="s">
        <v>15</v>
      </c>
      <c r="G38">
        <v>20</v>
      </c>
      <c r="H38">
        <v>250</v>
      </c>
      <c r="I38" t="str" cm="1">
        <f t="array" ref="I38">_xlfn.IFS(H38&lt;=120,"V1",H38&lt;=150,"V2",H38&lt;=250,"V3", H38&lt;=350, "V4")</f>
        <v>V3</v>
      </c>
      <c r="J38" t="s">
        <v>175</v>
      </c>
      <c r="K38" t="str">
        <f t="shared" si="0"/>
        <v>35.247841</v>
      </c>
      <c r="L38" t="str">
        <f t="shared" si="1"/>
        <v>-120.67193</v>
      </c>
      <c r="M38">
        <v>38</v>
      </c>
      <c r="N38" s="1">
        <v>44519</v>
      </c>
      <c r="O38" s="1">
        <v>46099</v>
      </c>
      <c r="P38" s="2">
        <f t="shared" si="2"/>
        <v>4.3258042436687196</v>
      </c>
      <c r="Q38" s="2" t="str">
        <f t="shared" si="3"/>
        <v>Mid</v>
      </c>
      <c r="R38">
        <f t="shared" si="4"/>
        <v>5000</v>
      </c>
      <c r="S38" t="str">
        <f t="shared" si="5"/>
        <v>Small</v>
      </c>
      <c r="T38" t="str">
        <f t="shared" si="6"/>
        <v>High EV Adoption Corridor</v>
      </c>
      <c r="U38" s="3">
        <f t="shared" si="7"/>
        <v>11700000</v>
      </c>
      <c r="V38" s="4">
        <f t="shared" si="8"/>
        <v>2640000</v>
      </c>
      <c r="W38" s="3">
        <f t="shared" si="9"/>
        <v>33000000.000000004</v>
      </c>
      <c r="X38" s="3">
        <f t="shared" si="10"/>
        <v>24750000.000000004</v>
      </c>
      <c r="Y38">
        <f t="shared" si="11"/>
        <v>0.23999999999999996</v>
      </c>
      <c r="Z38">
        <f t="shared" si="12"/>
        <v>0.77435897435897438</v>
      </c>
      <c r="AA38" t="str">
        <f t="shared" si="13"/>
        <v>Tier 1 - Priority Fleet</v>
      </c>
      <c r="AB38" s="3">
        <f t="shared" si="14"/>
        <v>132000</v>
      </c>
      <c r="AC38" s="3">
        <f t="shared" si="15"/>
        <v>1650000.0000000002</v>
      </c>
      <c r="AD38" s="3">
        <f t="shared" si="16"/>
        <v>585000</v>
      </c>
      <c r="AE38" s="5">
        <f t="shared" si="17"/>
        <v>3.6423841059602653</v>
      </c>
      <c r="AF38" s="10">
        <f t="shared" si="18"/>
        <v>1636800</v>
      </c>
      <c r="AG38" s="10">
        <f t="shared" si="19"/>
        <v>528000</v>
      </c>
      <c r="AH38" s="10">
        <f t="shared" si="20"/>
        <v>264000</v>
      </c>
      <c r="AI38" s="10">
        <f t="shared" si="21"/>
        <v>132000</v>
      </c>
      <c r="AJ38" s="10">
        <f t="shared" si="22"/>
        <v>79200</v>
      </c>
    </row>
    <row r="39" spans="1:36" x14ac:dyDescent="0.3">
      <c r="A39" t="s">
        <v>176</v>
      </c>
      <c r="B39" t="s">
        <v>177</v>
      </c>
      <c r="C39" t="s">
        <v>178</v>
      </c>
      <c r="D39" t="s">
        <v>179</v>
      </c>
      <c r="E39">
        <v>2818</v>
      </c>
      <c r="F39" t="s">
        <v>15</v>
      </c>
      <c r="G39">
        <v>8</v>
      </c>
      <c r="H39">
        <v>150</v>
      </c>
      <c r="I39" t="str" cm="1">
        <f t="array" ref="I39">_xlfn.IFS(H39&lt;=120,"V1",H39&lt;=150,"V2",H39&lt;=250,"V3", H39&lt;=350, "V4")</f>
        <v>V2</v>
      </c>
      <c r="J39" t="s">
        <v>180</v>
      </c>
      <c r="K39" t="str">
        <f t="shared" si="0"/>
        <v>41.660517</v>
      </c>
      <c r="L39" t="str">
        <f t="shared" si="1"/>
        <v>-71.497242</v>
      </c>
      <c r="M39">
        <v>73</v>
      </c>
      <c r="N39" s="1">
        <v>41645</v>
      </c>
      <c r="O39" s="1">
        <v>46099</v>
      </c>
      <c r="P39" s="2">
        <f t="shared" si="2"/>
        <v>12.194387405886379</v>
      </c>
      <c r="Q39" s="2" t="str">
        <f t="shared" si="3"/>
        <v>Old</v>
      </c>
      <c r="R39">
        <f t="shared" si="4"/>
        <v>1200</v>
      </c>
      <c r="S39" t="str">
        <f t="shared" si="5"/>
        <v>Small</v>
      </c>
      <c r="T39" t="str">
        <f t="shared" si="6"/>
        <v>Lower EV Adoption Corridor</v>
      </c>
      <c r="U39" s="3">
        <f t="shared" si="7"/>
        <v>1980000.0000000002</v>
      </c>
      <c r="V39" s="4">
        <f t="shared" si="8"/>
        <v>480000</v>
      </c>
      <c r="W39" s="3">
        <f t="shared" si="9"/>
        <v>6000000</v>
      </c>
      <c r="X39" s="3">
        <f t="shared" si="10"/>
        <v>3600000</v>
      </c>
      <c r="Y39">
        <f t="shared" si="11"/>
        <v>0.3</v>
      </c>
      <c r="Z39">
        <f t="shared" si="12"/>
        <v>0.75757575757575757</v>
      </c>
      <c r="AA39" t="str">
        <f t="shared" si="13"/>
        <v>Tier 4 - Stable Network</v>
      </c>
      <c r="AB39" s="3">
        <f t="shared" si="14"/>
        <v>60000</v>
      </c>
      <c r="AC39" s="3">
        <f t="shared" si="15"/>
        <v>750000</v>
      </c>
      <c r="AD39" s="3">
        <f t="shared" si="16"/>
        <v>247500.00000000003</v>
      </c>
      <c r="AE39" s="5">
        <f t="shared" si="17"/>
        <v>3.9999999999999996</v>
      </c>
      <c r="AF39" s="10">
        <f t="shared" si="18"/>
        <v>297600</v>
      </c>
      <c r="AG39" s="10">
        <f t="shared" si="19"/>
        <v>96000</v>
      </c>
      <c r="AH39" s="10">
        <f t="shared" si="20"/>
        <v>48000</v>
      </c>
      <c r="AI39" s="10">
        <f t="shared" si="21"/>
        <v>24000</v>
      </c>
      <c r="AJ39" s="10">
        <f t="shared" si="22"/>
        <v>14400</v>
      </c>
    </row>
    <row r="40" spans="1:36" x14ac:dyDescent="0.3">
      <c r="A40" t="s">
        <v>181</v>
      </c>
      <c r="B40" t="s">
        <v>182</v>
      </c>
      <c r="C40" t="s">
        <v>183</v>
      </c>
      <c r="D40" t="s">
        <v>184</v>
      </c>
      <c r="E40">
        <v>43537</v>
      </c>
      <c r="F40" t="s">
        <v>15</v>
      </c>
      <c r="G40">
        <v>8</v>
      </c>
      <c r="H40">
        <v>150</v>
      </c>
      <c r="I40" t="str" cm="1">
        <f t="array" ref="I40">_xlfn.IFS(H40&lt;=120,"V1",H40&lt;=150,"V2",H40&lt;=250,"V3", H40&lt;=350, "V4")</f>
        <v>V2</v>
      </c>
      <c r="J40" t="s">
        <v>185</v>
      </c>
      <c r="K40" t="str">
        <f t="shared" si="0"/>
        <v>41.57835</v>
      </c>
      <c r="L40" t="str">
        <f t="shared" si="1"/>
        <v>-83.66465</v>
      </c>
      <c r="M40">
        <v>192</v>
      </c>
      <c r="N40" s="1">
        <v>41652</v>
      </c>
      <c r="O40" s="1">
        <v>46099</v>
      </c>
      <c r="P40" s="2">
        <f t="shared" si="2"/>
        <v>12.175222450376454</v>
      </c>
      <c r="Q40" s="2" t="str">
        <f t="shared" si="3"/>
        <v>Old</v>
      </c>
      <c r="R40">
        <f t="shared" si="4"/>
        <v>1200</v>
      </c>
      <c r="S40" t="str">
        <f t="shared" si="5"/>
        <v>Small</v>
      </c>
      <c r="T40" t="str">
        <f t="shared" si="6"/>
        <v>Lower EV Adoption Corridor</v>
      </c>
      <c r="U40" s="3">
        <f t="shared" si="7"/>
        <v>1980000.0000000002</v>
      </c>
      <c r="V40" s="4">
        <f t="shared" si="8"/>
        <v>480000</v>
      </c>
      <c r="W40" s="3">
        <f t="shared" si="9"/>
        <v>6000000</v>
      </c>
      <c r="X40" s="3">
        <f t="shared" si="10"/>
        <v>3600000</v>
      </c>
      <c r="Y40">
        <f t="shared" si="11"/>
        <v>0.3</v>
      </c>
      <c r="Z40">
        <f t="shared" si="12"/>
        <v>0.75757575757575757</v>
      </c>
      <c r="AA40" t="str">
        <f t="shared" si="13"/>
        <v>Tier 4 - Stable Network</v>
      </c>
      <c r="AB40" s="3">
        <f t="shared" si="14"/>
        <v>60000</v>
      </c>
      <c r="AC40" s="3">
        <f t="shared" si="15"/>
        <v>750000</v>
      </c>
      <c r="AD40" s="3">
        <f t="shared" si="16"/>
        <v>247500.00000000003</v>
      </c>
      <c r="AE40" s="5">
        <f t="shared" si="17"/>
        <v>3.9999999999999996</v>
      </c>
      <c r="AF40" s="10">
        <f t="shared" si="18"/>
        <v>297600</v>
      </c>
      <c r="AG40" s="10">
        <f t="shared" si="19"/>
        <v>96000</v>
      </c>
      <c r="AH40" s="10">
        <f t="shared" si="20"/>
        <v>48000</v>
      </c>
      <c r="AI40" s="10">
        <f t="shared" si="21"/>
        <v>24000</v>
      </c>
      <c r="AJ40" s="10">
        <f t="shared" si="22"/>
        <v>14400</v>
      </c>
    </row>
    <row r="41" spans="1:36" x14ac:dyDescent="0.3">
      <c r="A41" t="s">
        <v>186</v>
      </c>
      <c r="B41" t="s">
        <v>187</v>
      </c>
      <c r="C41" t="s">
        <v>188</v>
      </c>
      <c r="D41" t="s">
        <v>189</v>
      </c>
      <c r="E41">
        <v>53158</v>
      </c>
      <c r="F41" t="s">
        <v>15</v>
      </c>
      <c r="G41">
        <v>8</v>
      </c>
      <c r="H41">
        <v>120</v>
      </c>
      <c r="I41" t="str" cm="1">
        <f t="array" ref="I41">_xlfn.IFS(H41&lt;=120,"V1",H41&lt;=150,"V2",H41&lt;=250,"V3", H41&lt;=350, "V4")</f>
        <v>V1</v>
      </c>
      <c r="J41" t="s">
        <v>190</v>
      </c>
      <c r="K41" t="str">
        <f t="shared" si="0"/>
        <v>42.518715</v>
      </c>
      <c r="L41" t="str">
        <f t="shared" si="1"/>
        <v>-87.950428</v>
      </c>
      <c r="M41">
        <v>216</v>
      </c>
      <c r="N41" s="1">
        <v>41683</v>
      </c>
      <c r="O41" s="1">
        <v>46099</v>
      </c>
      <c r="P41" s="2">
        <f t="shared" si="2"/>
        <v>12.090349075975359</v>
      </c>
      <c r="Q41" s="2" t="str">
        <f t="shared" si="3"/>
        <v>Old</v>
      </c>
      <c r="R41">
        <f t="shared" si="4"/>
        <v>960</v>
      </c>
      <c r="S41" t="str">
        <f t="shared" si="5"/>
        <v>Small</v>
      </c>
      <c r="T41" t="str">
        <f t="shared" si="6"/>
        <v>Lower EV Adoption Corridor</v>
      </c>
      <c r="U41" s="3">
        <f t="shared" si="7"/>
        <v>1440000</v>
      </c>
      <c r="V41" s="4">
        <f t="shared" si="8"/>
        <v>345600</v>
      </c>
      <c r="W41" s="3">
        <f t="shared" si="9"/>
        <v>3840000</v>
      </c>
      <c r="X41" s="3">
        <f t="shared" si="10"/>
        <v>2592000</v>
      </c>
      <c r="Y41">
        <f t="shared" si="11"/>
        <v>0.2814814814814815</v>
      </c>
      <c r="Z41">
        <f t="shared" si="12"/>
        <v>0.76</v>
      </c>
      <c r="AA41" t="str">
        <f t="shared" si="13"/>
        <v>Tier 5 - Retirement Pipeline</v>
      </c>
      <c r="AB41" s="3">
        <f t="shared" si="14"/>
        <v>43200</v>
      </c>
      <c r="AC41" s="3">
        <f t="shared" si="15"/>
        <v>480000</v>
      </c>
      <c r="AD41" s="3">
        <f t="shared" si="16"/>
        <v>180000</v>
      </c>
      <c r="AE41" s="5">
        <f t="shared" si="17"/>
        <v>3.5087719298245612</v>
      </c>
      <c r="AF41" s="10">
        <f t="shared" si="18"/>
        <v>214272</v>
      </c>
      <c r="AG41" s="10">
        <f t="shared" si="19"/>
        <v>69120</v>
      </c>
      <c r="AH41" s="10">
        <f t="shared" si="20"/>
        <v>34560</v>
      </c>
      <c r="AI41" s="10">
        <f t="shared" si="21"/>
        <v>17280</v>
      </c>
      <c r="AJ41" s="10">
        <f t="shared" si="22"/>
        <v>10368</v>
      </c>
    </row>
    <row r="42" spans="1:36" x14ac:dyDescent="0.3">
      <c r="A42" t="s">
        <v>191</v>
      </c>
      <c r="B42" t="s">
        <v>192</v>
      </c>
      <c r="C42" t="s">
        <v>193</v>
      </c>
      <c r="D42" t="s">
        <v>153</v>
      </c>
      <c r="E42">
        <v>16066</v>
      </c>
      <c r="F42" t="s">
        <v>15</v>
      </c>
      <c r="G42">
        <v>6</v>
      </c>
      <c r="H42">
        <v>150</v>
      </c>
      <c r="I42" t="str" cm="1">
        <f t="array" ref="I42">_xlfn.IFS(H42&lt;=120,"V1",H42&lt;=150,"V2",H42&lt;=250,"V3", H42&lt;=350, "V4")</f>
        <v>V2</v>
      </c>
      <c r="J42" t="s">
        <v>194</v>
      </c>
      <c r="K42" t="str">
        <f t="shared" si="0"/>
        <v>40.683982</v>
      </c>
      <c r="L42" t="str">
        <f t="shared" si="1"/>
        <v>-80.10839</v>
      </c>
      <c r="M42">
        <v>312</v>
      </c>
      <c r="N42" s="1">
        <v>41733</v>
      </c>
      <c r="O42" s="1">
        <v>46099</v>
      </c>
      <c r="P42" s="2">
        <f t="shared" si="2"/>
        <v>11.953456536618754</v>
      </c>
      <c r="Q42" s="2" t="str">
        <f t="shared" si="3"/>
        <v>Old</v>
      </c>
      <c r="R42">
        <f t="shared" si="4"/>
        <v>900</v>
      </c>
      <c r="S42" t="str">
        <f t="shared" si="5"/>
        <v>Small</v>
      </c>
      <c r="T42" t="str">
        <f t="shared" si="6"/>
        <v>Lower EV Adoption Corridor</v>
      </c>
      <c r="U42" s="3">
        <f t="shared" si="7"/>
        <v>1485000.0000000002</v>
      </c>
      <c r="V42" s="4">
        <f t="shared" si="8"/>
        <v>360000</v>
      </c>
      <c r="W42" s="3">
        <f t="shared" si="9"/>
        <v>4500000</v>
      </c>
      <c r="X42" s="3">
        <f t="shared" si="10"/>
        <v>2700000</v>
      </c>
      <c r="Y42">
        <f t="shared" si="11"/>
        <v>0.3</v>
      </c>
      <c r="Z42">
        <f t="shared" si="12"/>
        <v>0.75757575757575757</v>
      </c>
      <c r="AA42" t="str">
        <f t="shared" si="13"/>
        <v>Tier 4 - Stable Network</v>
      </c>
      <c r="AB42" s="3">
        <f t="shared" si="14"/>
        <v>60000</v>
      </c>
      <c r="AC42" s="3">
        <f t="shared" si="15"/>
        <v>750000</v>
      </c>
      <c r="AD42" s="3">
        <f t="shared" si="16"/>
        <v>247500.00000000003</v>
      </c>
      <c r="AE42" s="5">
        <f t="shared" si="17"/>
        <v>3.9999999999999991</v>
      </c>
      <c r="AF42" s="10">
        <f t="shared" si="18"/>
        <v>223200</v>
      </c>
      <c r="AG42" s="10">
        <f t="shared" si="19"/>
        <v>72000</v>
      </c>
      <c r="AH42" s="10">
        <f t="shared" si="20"/>
        <v>36000</v>
      </c>
      <c r="AI42" s="10">
        <f t="shared" si="21"/>
        <v>18000</v>
      </c>
      <c r="AJ42" s="10">
        <f t="shared" si="22"/>
        <v>10800</v>
      </c>
    </row>
    <row r="43" spans="1:36" x14ac:dyDescent="0.3">
      <c r="A43" t="s">
        <v>195</v>
      </c>
      <c r="B43" t="s">
        <v>196</v>
      </c>
      <c r="C43" t="s">
        <v>197</v>
      </c>
      <c r="D43" t="s">
        <v>120</v>
      </c>
      <c r="E43">
        <v>57701</v>
      </c>
      <c r="F43" t="s">
        <v>15</v>
      </c>
      <c r="G43">
        <v>4</v>
      </c>
      <c r="H43">
        <v>120</v>
      </c>
      <c r="I43" t="str" cm="1">
        <f t="array" ref="I43">_xlfn.IFS(H43&lt;=120,"V1",H43&lt;=150,"V2",H43&lt;=250,"V3", H43&lt;=350, "V4")</f>
        <v>V1</v>
      </c>
      <c r="J43" t="s">
        <v>198</v>
      </c>
      <c r="K43" t="str">
        <f t="shared" si="0"/>
        <v>44.105601</v>
      </c>
      <c r="L43" t="str">
        <f t="shared" si="1"/>
        <v>-103.212569</v>
      </c>
      <c r="M43">
        <v>1006</v>
      </c>
      <c r="N43" s="1">
        <v>41603</v>
      </c>
      <c r="O43" s="1">
        <v>46099</v>
      </c>
      <c r="P43" s="2">
        <f t="shared" si="2"/>
        <v>12.309377138945928</v>
      </c>
      <c r="Q43" s="2" t="str">
        <f t="shared" si="3"/>
        <v>Old</v>
      </c>
      <c r="R43">
        <f t="shared" si="4"/>
        <v>480</v>
      </c>
      <c r="S43" t="str">
        <f t="shared" si="5"/>
        <v>Small</v>
      </c>
      <c r="T43" t="str">
        <f t="shared" si="6"/>
        <v>Lower EV Adoption Corridor</v>
      </c>
      <c r="U43" s="3">
        <f t="shared" si="7"/>
        <v>720000</v>
      </c>
      <c r="V43" s="4">
        <f t="shared" si="8"/>
        <v>172800</v>
      </c>
      <c r="W43" s="3">
        <f t="shared" si="9"/>
        <v>1920000</v>
      </c>
      <c r="X43" s="3">
        <f t="shared" si="10"/>
        <v>1296000</v>
      </c>
      <c r="Y43">
        <f t="shared" si="11"/>
        <v>0.2814814814814815</v>
      </c>
      <c r="Z43">
        <f t="shared" si="12"/>
        <v>0.76</v>
      </c>
      <c r="AA43" t="str">
        <f t="shared" si="13"/>
        <v>Tier 5 - Retirement Pipeline</v>
      </c>
      <c r="AB43" s="3">
        <f t="shared" si="14"/>
        <v>43200</v>
      </c>
      <c r="AC43" s="3">
        <f t="shared" si="15"/>
        <v>480000</v>
      </c>
      <c r="AD43" s="3">
        <f t="shared" si="16"/>
        <v>180000</v>
      </c>
      <c r="AE43" s="5">
        <f t="shared" si="17"/>
        <v>3.5087719298245612</v>
      </c>
      <c r="AF43" s="10">
        <f t="shared" si="18"/>
        <v>107136</v>
      </c>
      <c r="AG43" s="10">
        <f t="shared" si="19"/>
        <v>34560</v>
      </c>
      <c r="AH43" s="10">
        <f t="shared" si="20"/>
        <v>17280</v>
      </c>
      <c r="AI43" s="10">
        <f t="shared" si="21"/>
        <v>8640</v>
      </c>
      <c r="AJ43" s="10">
        <f t="shared" si="22"/>
        <v>5184</v>
      </c>
    </row>
    <row r="44" spans="1:36" x14ac:dyDescent="0.3">
      <c r="A44" t="s">
        <v>199</v>
      </c>
      <c r="B44" t="s">
        <v>200</v>
      </c>
      <c r="C44" t="s">
        <v>201</v>
      </c>
      <c r="D44" t="s">
        <v>77</v>
      </c>
      <c r="E44">
        <v>28358</v>
      </c>
      <c r="F44" t="s">
        <v>15</v>
      </c>
      <c r="G44">
        <v>8</v>
      </c>
      <c r="H44">
        <v>150</v>
      </c>
      <c r="I44" t="str" cm="1">
        <f t="array" ref="I44">_xlfn.IFS(H44&lt;=120,"V1",H44&lt;=150,"V2",H44&lt;=250,"V3", H44&lt;=350, "V4")</f>
        <v>V2</v>
      </c>
      <c r="J44" t="s">
        <v>202</v>
      </c>
      <c r="K44" t="str">
        <f t="shared" si="0"/>
        <v>34.667629</v>
      </c>
      <c r="L44" t="str">
        <f t="shared" si="1"/>
        <v>-79.002343</v>
      </c>
      <c r="M44">
        <v>40</v>
      </c>
      <c r="N44" s="1">
        <v>41656</v>
      </c>
      <c r="O44" s="1">
        <v>46099</v>
      </c>
      <c r="P44" s="2">
        <f t="shared" si="2"/>
        <v>12.164271047227926</v>
      </c>
      <c r="Q44" s="2" t="str">
        <f t="shared" si="3"/>
        <v>Old</v>
      </c>
      <c r="R44">
        <f t="shared" si="4"/>
        <v>1200</v>
      </c>
      <c r="S44" t="str">
        <f t="shared" si="5"/>
        <v>Small</v>
      </c>
      <c r="T44" t="str">
        <f t="shared" si="6"/>
        <v>Lower EV Adoption Corridor</v>
      </c>
      <c r="U44" s="3">
        <f t="shared" si="7"/>
        <v>1980000.0000000002</v>
      </c>
      <c r="V44" s="4">
        <f t="shared" si="8"/>
        <v>480000</v>
      </c>
      <c r="W44" s="3">
        <f t="shared" si="9"/>
        <v>6000000</v>
      </c>
      <c r="X44" s="3">
        <f t="shared" si="10"/>
        <v>3600000</v>
      </c>
      <c r="Y44">
        <f t="shared" si="11"/>
        <v>0.3</v>
      </c>
      <c r="Z44">
        <f t="shared" si="12"/>
        <v>0.75757575757575757</v>
      </c>
      <c r="AA44" t="str">
        <f t="shared" si="13"/>
        <v>Tier 4 - Stable Network</v>
      </c>
      <c r="AB44" s="3">
        <f t="shared" si="14"/>
        <v>60000</v>
      </c>
      <c r="AC44" s="3">
        <f t="shared" si="15"/>
        <v>750000</v>
      </c>
      <c r="AD44" s="3">
        <f t="shared" si="16"/>
        <v>247500.00000000003</v>
      </c>
      <c r="AE44" s="5">
        <f t="shared" si="17"/>
        <v>3.9999999999999996</v>
      </c>
      <c r="AF44" s="10">
        <f t="shared" si="18"/>
        <v>297600</v>
      </c>
      <c r="AG44" s="10">
        <f t="shared" si="19"/>
        <v>96000</v>
      </c>
      <c r="AH44" s="10">
        <f t="shared" si="20"/>
        <v>48000</v>
      </c>
      <c r="AI44" s="10">
        <f t="shared" si="21"/>
        <v>24000</v>
      </c>
      <c r="AJ44" s="10">
        <f t="shared" si="22"/>
        <v>14400</v>
      </c>
    </row>
    <row r="45" spans="1:36" x14ac:dyDescent="0.3">
      <c r="A45" t="s">
        <v>203</v>
      </c>
      <c r="B45" t="s">
        <v>204</v>
      </c>
      <c r="C45" t="s">
        <v>205</v>
      </c>
      <c r="D45" t="s">
        <v>143</v>
      </c>
      <c r="E45">
        <v>87301</v>
      </c>
      <c r="F45" t="s">
        <v>15</v>
      </c>
      <c r="G45">
        <v>8</v>
      </c>
      <c r="H45">
        <v>250</v>
      </c>
      <c r="I45" t="str" cm="1">
        <f t="array" ref="I45">_xlfn.IFS(H45&lt;=120,"V1",H45&lt;=150,"V2",H45&lt;=250,"V3", H45&lt;=350, "V4")</f>
        <v>V3</v>
      </c>
      <c r="J45" t="s">
        <v>206</v>
      </c>
      <c r="K45" t="str">
        <f t="shared" si="0"/>
        <v>35.505278</v>
      </c>
      <c r="L45" t="str">
        <f t="shared" si="1"/>
        <v>-108.828094</v>
      </c>
      <c r="M45">
        <v>1970</v>
      </c>
      <c r="N45" s="1">
        <v>41646</v>
      </c>
      <c r="O45" s="1">
        <v>46099</v>
      </c>
      <c r="P45" s="2">
        <f t="shared" si="2"/>
        <v>12.191649555099247</v>
      </c>
      <c r="Q45" s="2" t="str">
        <f t="shared" si="3"/>
        <v>Old</v>
      </c>
      <c r="R45">
        <f t="shared" si="4"/>
        <v>2000</v>
      </c>
      <c r="S45" t="str">
        <f t="shared" si="5"/>
        <v>Small</v>
      </c>
      <c r="T45" t="str">
        <f t="shared" si="6"/>
        <v>Lower EV Adoption Corridor</v>
      </c>
      <c r="U45" s="3">
        <f t="shared" si="7"/>
        <v>3600000</v>
      </c>
      <c r="V45" s="4">
        <f t="shared" si="8"/>
        <v>880000.00000000012</v>
      </c>
      <c r="W45" s="3">
        <f t="shared" si="9"/>
        <v>12000000</v>
      </c>
      <c r="X45" s="3">
        <f t="shared" si="10"/>
        <v>6600000.0000000009</v>
      </c>
      <c r="Y45">
        <f t="shared" si="11"/>
        <v>0.31515151515151513</v>
      </c>
      <c r="Z45">
        <f t="shared" si="12"/>
        <v>0.75555555555555554</v>
      </c>
      <c r="AA45" t="str">
        <f t="shared" si="13"/>
        <v>Tier 2 - Growth Markets</v>
      </c>
      <c r="AB45" s="3">
        <f t="shared" si="14"/>
        <v>110000.00000000001</v>
      </c>
      <c r="AC45" s="3">
        <f t="shared" si="15"/>
        <v>1500000</v>
      </c>
      <c r="AD45" s="3">
        <f t="shared" si="16"/>
        <v>450000</v>
      </c>
      <c r="AE45" s="5">
        <f t="shared" si="17"/>
        <v>4.4117647058823533</v>
      </c>
      <c r="AF45" s="10">
        <f t="shared" si="18"/>
        <v>545600.00000000012</v>
      </c>
      <c r="AG45" s="10">
        <f t="shared" si="19"/>
        <v>176000.00000000003</v>
      </c>
      <c r="AH45" s="10">
        <f t="shared" si="20"/>
        <v>88000.000000000015</v>
      </c>
      <c r="AI45" s="10">
        <f t="shared" si="21"/>
        <v>44000.000000000007</v>
      </c>
      <c r="AJ45" s="10">
        <f t="shared" si="22"/>
        <v>26400.000000000004</v>
      </c>
    </row>
    <row r="46" spans="1:36" x14ac:dyDescent="0.3">
      <c r="A46" t="s">
        <v>207</v>
      </c>
      <c r="B46" t="s">
        <v>208</v>
      </c>
      <c r="C46" t="s">
        <v>209</v>
      </c>
      <c r="D46" t="s">
        <v>41</v>
      </c>
      <c r="E46">
        <v>32092</v>
      </c>
      <c r="F46" t="s">
        <v>15</v>
      </c>
      <c r="G46">
        <v>12</v>
      </c>
      <c r="H46">
        <v>250</v>
      </c>
      <c r="I46" t="str" cm="1">
        <f t="array" ref="I46">_xlfn.IFS(H46&lt;=120,"V1",H46&lt;=150,"V2",H46&lt;=250,"V3", H46&lt;=350, "V4")</f>
        <v>V3</v>
      </c>
      <c r="J46" t="s">
        <v>210</v>
      </c>
      <c r="K46" t="str">
        <f t="shared" si="0"/>
        <v>29.983752</v>
      </c>
      <c r="L46" t="str">
        <f t="shared" si="1"/>
        <v>-81.464138</v>
      </c>
      <c r="M46">
        <v>10</v>
      </c>
      <c r="N46" s="1">
        <v>44915</v>
      </c>
      <c r="O46" s="1">
        <v>46099</v>
      </c>
      <c r="P46" s="2">
        <f t="shared" si="2"/>
        <v>3.2416153319644079</v>
      </c>
      <c r="Q46" s="2" t="str">
        <f t="shared" si="3"/>
        <v>Mid</v>
      </c>
      <c r="R46">
        <f t="shared" si="4"/>
        <v>3000</v>
      </c>
      <c r="S46" t="str">
        <f t="shared" si="5"/>
        <v>Small</v>
      </c>
      <c r="T46" t="str">
        <f t="shared" si="6"/>
        <v>High EV Adoption Corridor</v>
      </c>
      <c r="U46" s="3">
        <f t="shared" si="7"/>
        <v>7020000</v>
      </c>
      <c r="V46" s="4">
        <f t="shared" si="8"/>
        <v>1584000</v>
      </c>
      <c r="W46" s="3">
        <f t="shared" si="9"/>
        <v>19800000</v>
      </c>
      <c r="X46" s="3">
        <f t="shared" si="10"/>
        <v>14850000</v>
      </c>
      <c r="Y46">
        <f t="shared" si="11"/>
        <v>0.24</v>
      </c>
      <c r="Z46">
        <f t="shared" si="12"/>
        <v>0.77435897435897438</v>
      </c>
      <c r="AA46" t="str">
        <f t="shared" si="13"/>
        <v>Tier 1 - Priority Fleet</v>
      </c>
      <c r="AB46" s="3">
        <f t="shared" si="14"/>
        <v>132000</v>
      </c>
      <c r="AC46" s="3">
        <f t="shared" si="15"/>
        <v>1650000</v>
      </c>
      <c r="AD46" s="3">
        <f t="shared" si="16"/>
        <v>585000</v>
      </c>
      <c r="AE46" s="5">
        <f t="shared" si="17"/>
        <v>3.6423841059602649</v>
      </c>
      <c r="AF46" s="10">
        <f t="shared" si="18"/>
        <v>982080</v>
      </c>
      <c r="AG46" s="10">
        <f t="shared" si="19"/>
        <v>316800</v>
      </c>
      <c r="AH46" s="10">
        <f t="shared" si="20"/>
        <v>158400</v>
      </c>
      <c r="AI46" s="10">
        <f t="shared" si="21"/>
        <v>79200</v>
      </c>
      <c r="AJ46" s="10">
        <f t="shared" si="22"/>
        <v>47520</v>
      </c>
    </row>
    <row r="47" spans="1:36" x14ac:dyDescent="0.3">
      <c r="A47" t="s">
        <v>211</v>
      </c>
      <c r="B47" t="s">
        <v>212</v>
      </c>
      <c r="C47" t="s">
        <v>54</v>
      </c>
      <c r="D47" t="s">
        <v>14</v>
      </c>
      <c r="E47">
        <v>92243</v>
      </c>
      <c r="F47" t="s">
        <v>15</v>
      </c>
      <c r="G47">
        <v>8</v>
      </c>
      <c r="H47">
        <v>250</v>
      </c>
      <c r="I47" t="str" cm="1">
        <f t="array" ref="I47">_xlfn.IFS(H47&lt;=120,"V1",H47&lt;=150,"V2",H47&lt;=250,"V3", H47&lt;=350, "V4")</f>
        <v>V3</v>
      </c>
      <c r="J47" t="s">
        <v>213</v>
      </c>
      <c r="K47" t="str">
        <f t="shared" si="0"/>
        <v>32.7729</v>
      </c>
      <c r="L47" t="str">
        <f t="shared" si="1"/>
        <v>-115.5501</v>
      </c>
      <c r="M47">
        <v>-11</v>
      </c>
      <c r="N47" s="1">
        <v>44703</v>
      </c>
      <c r="O47" s="1">
        <v>46099</v>
      </c>
      <c r="P47" s="2">
        <f t="shared" si="2"/>
        <v>3.8220396988364134</v>
      </c>
      <c r="Q47" s="2" t="str">
        <f t="shared" si="3"/>
        <v>Mid</v>
      </c>
      <c r="R47">
        <f t="shared" si="4"/>
        <v>2000</v>
      </c>
      <c r="S47" t="str">
        <f t="shared" si="5"/>
        <v>Small</v>
      </c>
      <c r="T47" t="str">
        <f t="shared" si="6"/>
        <v>High EV Adoption Corridor</v>
      </c>
      <c r="U47" s="3">
        <f t="shared" si="7"/>
        <v>4680000</v>
      </c>
      <c r="V47" s="4">
        <f t="shared" si="8"/>
        <v>1056000</v>
      </c>
      <c r="W47" s="3">
        <f t="shared" si="9"/>
        <v>13200000.000000002</v>
      </c>
      <c r="X47" s="3">
        <f t="shared" si="10"/>
        <v>9900000.0000000019</v>
      </c>
      <c r="Y47">
        <f t="shared" si="11"/>
        <v>0.23999999999999996</v>
      </c>
      <c r="Z47">
        <f t="shared" si="12"/>
        <v>0.77435897435897438</v>
      </c>
      <c r="AA47" t="str">
        <f t="shared" si="13"/>
        <v>Tier 1 - Priority Fleet</v>
      </c>
      <c r="AB47" s="3">
        <f t="shared" si="14"/>
        <v>132000</v>
      </c>
      <c r="AC47" s="3">
        <f t="shared" si="15"/>
        <v>1650000.0000000002</v>
      </c>
      <c r="AD47" s="3">
        <f t="shared" si="16"/>
        <v>585000</v>
      </c>
      <c r="AE47" s="5">
        <f t="shared" si="17"/>
        <v>3.6423841059602653</v>
      </c>
      <c r="AF47" s="10">
        <f t="shared" si="18"/>
        <v>654720</v>
      </c>
      <c r="AG47" s="10">
        <f t="shared" si="19"/>
        <v>211200</v>
      </c>
      <c r="AH47" s="10">
        <f t="shared" si="20"/>
        <v>105600</v>
      </c>
      <c r="AI47" s="10">
        <f t="shared" si="21"/>
        <v>52800</v>
      </c>
      <c r="AJ47" s="10">
        <f t="shared" si="22"/>
        <v>31680</v>
      </c>
    </row>
    <row r="48" spans="1:36" x14ac:dyDescent="0.3">
      <c r="A48" t="s">
        <v>214</v>
      </c>
      <c r="B48" t="s">
        <v>215</v>
      </c>
      <c r="C48" t="s">
        <v>216</v>
      </c>
      <c r="D48" t="s">
        <v>189</v>
      </c>
      <c r="E48">
        <v>53704</v>
      </c>
      <c r="F48" t="s">
        <v>15</v>
      </c>
      <c r="G48">
        <v>3</v>
      </c>
      <c r="H48">
        <v>120</v>
      </c>
      <c r="I48" t="str" cm="1">
        <f t="array" ref="I48">_xlfn.IFS(H48&lt;=120,"V1",H48&lt;=150,"V2",H48&lt;=250,"V3", H48&lt;=350, "V4")</f>
        <v>V1</v>
      </c>
      <c r="J48" t="s">
        <v>217</v>
      </c>
      <c r="K48" t="str">
        <f t="shared" si="0"/>
        <v>43.12669</v>
      </c>
      <c r="L48" t="str">
        <f t="shared" si="1"/>
        <v>-89.306896</v>
      </c>
      <c r="M48">
        <v>267</v>
      </c>
      <c r="N48" s="1">
        <v>41652</v>
      </c>
      <c r="O48" s="1">
        <v>46099</v>
      </c>
      <c r="P48" s="2">
        <f t="shared" si="2"/>
        <v>12.175222450376454</v>
      </c>
      <c r="Q48" s="2" t="str">
        <f t="shared" si="3"/>
        <v>Old</v>
      </c>
      <c r="R48">
        <f t="shared" si="4"/>
        <v>360</v>
      </c>
      <c r="S48" t="str">
        <f t="shared" si="5"/>
        <v>Small</v>
      </c>
      <c r="T48" t="str">
        <f t="shared" si="6"/>
        <v>Lower EV Adoption Corridor</v>
      </c>
      <c r="U48" s="3">
        <f t="shared" si="7"/>
        <v>540000</v>
      </c>
      <c r="V48" s="4">
        <f t="shared" si="8"/>
        <v>129600</v>
      </c>
      <c r="W48" s="3">
        <f t="shared" si="9"/>
        <v>1440000</v>
      </c>
      <c r="X48" s="3">
        <f t="shared" si="10"/>
        <v>972000</v>
      </c>
      <c r="Y48">
        <f t="shared" si="11"/>
        <v>0.2814814814814815</v>
      </c>
      <c r="Z48">
        <f t="shared" si="12"/>
        <v>0.76</v>
      </c>
      <c r="AA48" t="str">
        <f t="shared" si="13"/>
        <v>Tier 5 - Retirement Pipeline</v>
      </c>
      <c r="AB48" s="3">
        <f t="shared" si="14"/>
        <v>43200</v>
      </c>
      <c r="AC48" s="3">
        <f t="shared" si="15"/>
        <v>480000</v>
      </c>
      <c r="AD48" s="3">
        <f t="shared" si="16"/>
        <v>180000</v>
      </c>
      <c r="AE48" s="5">
        <f t="shared" si="17"/>
        <v>3.5087719298245612</v>
      </c>
      <c r="AF48" s="10">
        <f t="shared" si="18"/>
        <v>80352</v>
      </c>
      <c r="AG48" s="10">
        <f t="shared" si="19"/>
        <v>25920</v>
      </c>
      <c r="AH48" s="10">
        <f t="shared" si="20"/>
        <v>12960</v>
      </c>
      <c r="AI48" s="10">
        <f t="shared" si="21"/>
        <v>6480</v>
      </c>
      <c r="AJ48" s="10">
        <f t="shared" si="22"/>
        <v>3888</v>
      </c>
    </row>
    <row r="49" spans="1:36" x14ac:dyDescent="0.3">
      <c r="A49" t="s">
        <v>218</v>
      </c>
      <c r="B49" t="s">
        <v>219</v>
      </c>
      <c r="C49" t="s">
        <v>220</v>
      </c>
      <c r="D49" t="s">
        <v>14</v>
      </c>
      <c r="E49">
        <v>96161</v>
      </c>
      <c r="F49" t="s">
        <v>15</v>
      </c>
      <c r="G49">
        <v>11</v>
      </c>
      <c r="H49">
        <v>150</v>
      </c>
      <c r="I49" t="str" cm="1">
        <f t="array" ref="I49">_xlfn.IFS(H49&lt;=120,"V1",H49&lt;=150,"V2",H49&lt;=250,"V3", H49&lt;=350, "V4")</f>
        <v>V2</v>
      </c>
      <c r="J49" t="s">
        <v>221</v>
      </c>
      <c r="K49" t="str">
        <f t="shared" si="0"/>
        <v>39.327507</v>
      </c>
      <c r="L49" t="str">
        <f t="shared" si="1"/>
        <v>-120.207373</v>
      </c>
      <c r="M49">
        <v>1967</v>
      </c>
      <c r="N49" s="1">
        <v>41877</v>
      </c>
      <c r="O49" s="1">
        <v>46099</v>
      </c>
      <c r="P49" s="2">
        <f t="shared" si="2"/>
        <v>11.559206023271731</v>
      </c>
      <c r="Q49" s="2" t="str">
        <f t="shared" si="3"/>
        <v>Old</v>
      </c>
      <c r="R49">
        <f t="shared" si="4"/>
        <v>1650</v>
      </c>
      <c r="S49" t="str">
        <f t="shared" si="5"/>
        <v>Small</v>
      </c>
      <c r="T49" t="str">
        <f t="shared" si="6"/>
        <v>High EV Adoption Corridor</v>
      </c>
      <c r="U49" s="3">
        <f t="shared" si="7"/>
        <v>3539250</v>
      </c>
      <c r="V49" s="4">
        <f t="shared" si="8"/>
        <v>792000</v>
      </c>
      <c r="W49" s="3">
        <f t="shared" si="9"/>
        <v>9075000</v>
      </c>
      <c r="X49" s="3">
        <f t="shared" si="10"/>
        <v>7425000</v>
      </c>
      <c r="Y49">
        <f t="shared" si="11"/>
        <v>0.22888888888888889</v>
      </c>
      <c r="Z49">
        <f t="shared" si="12"/>
        <v>0.77622377622377625</v>
      </c>
      <c r="AA49" t="str">
        <f t="shared" si="13"/>
        <v>Tier 3 - Upgrade Pipeline</v>
      </c>
      <c r="AB49" s="3">
        <f t="shared" si="14"/>
        <v>72000</v>
      </c>
      <c r="AC49" s="3">
        <f t="shared" si="15"/>
        <v>825000</v>
      </c>
      <c r="AD49" s="3">
        <f t="shared" si="16"/>
        <v>321750</v>
      </c>
      <c r="AE49" s="5">
        <f t="shared" si="17"/>
        <v>3.3033033033033035</v>
      </c>
      <c r="AF49" s="10">
        <f t="shared" si="18"/>
        <v>491040</v>
      </c>
      <c r="AG49" s="10">
        <f t="shared" si="19"/>
        <v>158400</v>
      </c>
      <c r="AH49" s="10">
        <f t="shared" si="20"/>
        <v>79200</v>
      </c>
      <c r="AI49" s="10">
        <f t="shared" si="21"/>
        <v>39600</v>
      </c>
      <c r="AJ49" s="10">
        <f t="shared" si="22"/>
        <v>23760</v>
      </c>
    </row>
    <row r="50" spans="1:36" x14ac:dyDescent="0.3">
      <c r="A50" t="s">
        <v>222</v>
      </c>
      <c r="B50" t="s">
        <v>223</v>
      </c>
      <c r="C50" t="s">
        <v>224</v>
      </c>
      <c r="D50" t="s">
        <v>225</v>
      </c>
      <c r="E50">
        <v>84770</v>
      </c>
      <c r="F50" t="s">
        <v>15</v>
      </c>
      <c r="G50">
        <v>8</v>
      </c>
      <c r="H50">
        <v>150</v>
      </c>
      <c r="I50" t="str" cm="1">
        <f t="array" ref="I50">_xlfn.IFS(H50&lt;=120,"V1",H50&lt;=150,"V2",H50&lt;=250,"V3", H50&lt;=350, "V4")</f>
        <v>V2</v>
      </c>
      <c r="J50" t="s">
        <v>226</v>
      </c>
      <c r="K50" t="str">
        <f t="shared" si="0"/>
        <v>37.12645</v>
      </c>
      <c r="L50" t="str">
        <f t="shared" si="1"/>
        <v>-113.601865</v>
      </c>
      <c r="M50">
        <v>887</v>
      </c>
      <c r="N50" s="1">
        <v>41865</v>
      </c>
      <c r="O50" s="1">
        <v>46099</v>
      </c>
      <c r="P50" s="2">
        <f t="shared" si="2"/>
        <v>11.592060232717317</v>
      </c>
      <c r="Q50" s="2" t="str">
        <f t="shared" si="3"/>
        <v>Old</v>
      </c>
      <c r="R50">
        <f t="shared" si="4"/>
        <v>1200</v>
      </c>
      <c r="S50" t="str">
        <f t="shared" si="5"/>
        <v>Small</v>
      </c>
      <c r="T50" t="str">
        <f t="shared" si="6"/>
        <v>Lower EV Adoption Corridor</v>
      </c>
      <c r="U50" s="3">
        <f t="shared" si="7"/>
        <v>1980000.0000000002</v>
      </c>
      <c r="V50" s="4">
        <f t="shared" si="8"/>
        <v>480000</v>
      </c>
      <c r="W50" s="3">
        <f t="shared" si="9"/>
        <v>6000000</v>
      </c>
      <c r="X50" s="3">
        <f t="shared" si="10"/>
        <v>3600000</v>
      </c>
      <c r="Y50">
        <f t="shared" si="11"/>
        <v>0.3</v>
      </c>
      <c r="Z50">
        <f t="shared" si="12"/>
        <v>0.75757575757575757</v>
      </c>
      <c r="AA50" t="str">
        <f t="shared" si="13"/>
        <v>Tier 4 - Stable Network</v>
      </c>
      <c r="AB50" s="3">
        <f t="shared" si="14"/>
        <v>60000</v>
      </c>
      <c r="AC50" s="3">
        <f t="shared" si="15"/>
        <v>750000</v>
      </c>
      <c r="AD50" s="3">
        <f t="shared" si="16"/>
        <v>247500.00000000003</v>
      </c>
      <c r="AE50" s="5">
        <f t="shared" si="17"/>
        <v>3.9999999999999996</v>
      </c>
      <c r="AF50" s="10">
        <f t="shared" si="18"/>
        <v>297600</v>
      </c>
      <c r="AG50" s="10">
        <f t="shared" si="19"/>
        <v>96000</v>
      </c>
      <c r="AH50" s="10">
        <f t="shared" si="20"/>
        <v>48000</v>
      </c>
      <c r="AI50" s="10">
        <f t="shared" si="21"/>
        <v>24000</v>
      </c>
      <c r="AJ50" s="10">
        <f t="shared" si="22"/>
        <v>14400</v>
      </c>
    </row>
    <row r="51" spans="1:36" x14ac:dyDescent="0.3">
      <c r="A51" t="s">
        <v>227</v>
      </c>
      <c r="B51" t="s">
        <v>228</v>
      </c>
      <c r="C51" t="s">
        <v>229</v>
      </c>
      <c r="D51" t="s">
        <v>230</v>
      </c>
      <c r="E51">
        <v>99169</v>
      </c>
      <c r="F51" t="s">
        <v>15</v>
      </c>
      <c r="G51">
        <v>4</v>
      </c>
      <c r="H51">
        <v>150</v>
      </c>
      <c r="I51" t="str" cm="1">
        <f t="array" ref="I51">_xlfn.IFS(H51&lt;=120,"V1",H51&lt;=150,"V2",H51&lt;=250,"V3", H51&lt;=350, "V4")</f>
        <v>V2</v>
      </c>
      <c r="J51" t="s">
        <v>231</v>
      </c>
      <c r="K51" t="str">
        <f t="shared" si="0"/>
        <v>47.116294</v>
      </c>
      <c r="L51" t="str">
        <f t="shared" si="1"/>
        <v>-118.368328</v>
      </c>
      <c r="M51">
        <v>570</v>
      </c>
      <c r="N51" s="1">
        <v>41777</v>
      </c>
      <c r="O51" s="1">
        <v>46099</v>
      </c>
      <c r="P51" s="2">
        <f t="shared" si="2"/>
        <v>11.832991101984941</v>
      </c>
      <c r="Q51" s="2" t="str">
        <f t="shared" si="3"/>
        <v>Old</v>
      </c>
      <c r="R51">
        <f t="shared" si="4"/>
        <v>600</v>
      </c>
      <c r="S51" t="str">
        <f t="shared" si="5"/>
        <v>Small</v>
      </c>
      <c r="T51" t="str">
        <f t="shared" si="6"/>
        <v>High EV Adoption Corridor</v>
      </c>
      <c r="U51" s="3">
        <f t="shared" si="7"/>
        <v>1287000.0000000002</v>
      </c>
      <c r="V51" s="4">
        <f t="shared" si="8"/>
        <v>288000</v>
      </c>
      <c r="W51" s="3">
        <f t="shared" si="9"/>
        <v>3300000.0000000005</v>
      </c>
      <c r="X51" s="3">
        <f t="shared" si="10"/>
        <v>2700000</v>
      </c>
      <c r="Y51">
        <f t="shared" si="11"/>
        <v>0.22888888888888889</v>
      </c>
      <c r="Z51">
        <f t="shared" si="12"/>
        <v>0.77622377622377625</v>
      </c>
      <c r="AA51" t="str">
        <f t="shared" si="13"/>
        <v>Tier 3 - Upgrade Pipeline</v>
      </c>
      <c r="AB51" s="3">
        <f t="shared" si="14"/>
        <v>72000</v>
      </c>
      <c r="AC51" s="3">
        <f t="shared" si="15"/>
        <v>825000.00000000012</v>
      </c>
      <c r="AD51" s="3">
        <f t="shared" si="16"/>
        <v>321750.00000000006</v>
      </c>
      <c r="AE51" s="5">
        <f t="shared" si="17"/>
        <v>3.303303303303303</v>
      </c>
      <c r="AF51" s="10">
        <f t="shared" si="18"/>
        <v>178560</v>
      </c>
      <c r="AG51" s="10">
        <f t="shared" si="19"/>
        <v>57600</v>
      </c>
      <c r="AH51" s="10">
        <f t="shared" si="20"/>
        <v>28800</v>
      </c>
      <c r="AI51" s="10">
        <f t="shared" si="21"/>
        <v>14400</v>
      </c>
      <c r="AJ51" s="10">
        <f t="shared" si="22"/>
        <v>8640</v>
      </c>
    </row>
    <row r="52" spans="1:36" x14ac:dyDescent="0.3">
      <c r="A52" t="s">
        <v>232</v>
      </c>
      <c r="B52" t="s">
        <v>233</v>
      </c>
      <c r="C52" t="s">
        <v>234</v>
      </c>
      <c r="D52" t="s">
        <v>225</v>
      </c>
      <c r="E52">
        <v>84701</v>
      </c>
      <c r="F52" t="s">
        <v>15</v>
      </c>
      <c r="G52">
        <v>4</v>
      </c>
      <c r="H52">
        <v>150</v>
      </c>
      <c r="I52" t="str" cm="1">
        <f t="array" ref="I52">_xlfn.IFS(H52&lt;=120,"V1",H52&lt;=150,"V2",H52&lt;=250,"V3", H52&lt;=350, "V4")</f>
        <v>V2</v>
      </c>
      <c r="J52" t="s">
        <v>235</v>
      </c>
      <c r="K52" t="str">
        <f t="shared" si="0"/>
        <v>38.787942</v>
      </c>
      <c r="L52" t="str">
        <f t="shared" si="1"/>
        <v>-112.085316</v>
      </c>
      <c r="M52">
        <v>1660</v>
      </c>
      <c r="N52" s="1">
        <v>41733</v>
      </c>
      <c r="O52" s="1">
        <v>46099</v>
      </c>
      <c r="P52" s="2">
        <f t="shared" si="2"/>
        <v>11.953456536618754</v>
      </c>
      <c r="Q52" s="2" t="str">
        <f t="shared" si="3"/>
        <v>Old</v>
      </c>
      <c r="R52">
        <f t="shared" si="4"/>
        <v>600</v>
      </c>
      <c r="S52" t="str">
        <f t="shared" si="5"/>
        <v>Small</v>
      </c>
      <c r="T52" t="str">
        <f t="shared" si="6"/>
        <v>Lower EV Adoption Corridor</v>
      </c>
      <c r="U52" s="3">
        <f t="shared" si="7"/>
        <v>990000.00000000012</v>
      </c>
      <c r="V52" s="4">
        <f t="shared" si="8"/>
        <v>240000</v>
      </c>
      <c r="W52" s="3">
        <f t="shared" si="9"/>
        <v>3000000</v>
      </c>
      <c r="X52" s="3">
        <f t="shared" si="10"/>
        <v>1800000</v>
      </c>
      <c r="Y52">
        <f t="shared" si="11"/>
        <v>0.3</v>
      </c>
      <c r="Z52">
        <f t="shared" si="12"/>
        <v>0.75757575757575757</v>
      </c>
      <c r="AA52" t="str">
        <f t="shared" si="13"/>
        <v>Tier 4 - Stable Network</v>
      </c>
      <c r="AB52" s="3">
        <f t="shared" si="14"/>
        <v>60000</v>
      </c>
      <c r="AC52" s="3">
        <f t="shared" si="15"/>
        <v>750000</v>
      </c>
      <c r="AD52" s="3">
        <f t="shared" si="16"/>
        <v>247500.00000000003</v>
      </c>
      <c r="AE52" s="5">
        <f t="shared" si="17"/>
        <v>3.9999999999999996</v>
      </c>
      <c r="AF52" s="10">
        <f t="shared" si="18"/>
        <v>148800</v>
      </c>
      <c r="AG52" s="10">
        <f t="shared" si="19"/>
        <v>48000</v>
      </c>
      <c r="AH52" s="10">
        <f t="shared" si="20"/>
        <v>24000</v>
      </c>
      <c r="AI52" s="10">
        <f t="shared" si="21"/>
        <v>12000</v>
      </c>
      <c r="AJ52" s="10">
        <f t="shared" si="22"/>
        <v>7200</v>
      </c>
    </row>
    <row r="53" spans="1:36" x14ac:dyDescent="0.3">
      <c r="A53" t="s">
        <v>236</v>
      </c>
      <c r="B53" t="s">
        <v>237</v>
      </c>
      <c r="C53" t="s">
        <v>238</v>
      </c>
      <c r="D53" t="s">
        <v>148</v>
      </c>
      <c r="E53">
        <v>67601</v>
      </c>
      <c r="F53" t="s">
        <v>15</v>
      </c>
      <c r="G53">
        <v>6</v>
      </c>
      <c r="H53">
        <v>150</v>
      </c>
      <c r="I53" t="str" cm="1">
        <f t="array" ref="I53">_xlfn.IFS(H53&lt;=120,"V1",H53&lt;=150,"V2",H53&lt;=250,"V3", H53&lt;=350, "V4")</f>
        <v>V2</v>
      </c>
      <c r="J53" t="s">
        <v>239</v>
      </c>
      <c r="K53" t="str">
        <f t="shared" si="0"/>
        <v>38.900543</v>
      </c>
      <c r="L53" t="str">
        <f t="shared" si="1"/>
        <v>-99.319142</v>
      </c>
      <c r="M53">
        <v>626</v>
      </c>
      <c r="N53" s="1">
        <v>41802</v>
      </c>
      <c r="O53" s="1">
        <v>46099</v>
      </c>
      <c r="P53" s="2">
        <f t="shared" si="2"/>
        <v>11.764544832306639</v>
      </c>
      <c r="Q53" s="2" t="str">
        <f t="shared" si="3"/>
        <v>Old</v>
      </c>
      <c r="R53">
        <f t="shared" si="4"/>
        <v>900</v>
      </c>
      <c r="S53" t="str">
        <f t="shared" si="5"/>
        <v>Small</v>
      </c>
      <c r="T53" t="str">
        <f t="shared" si="6"/>
        <v>Lower EV Adoption Corridor</v>
      </c>
      <c r="U53" s="3">
        <f t="shared" si="7"/>
        <v>1485000.0000000002</v>
      </c>
      <c r="V53" s="4">
        <f t="shared" si="8"/>
        <v>360000</v>
      </c>
      <c r="W53" s="3">
        <f t="shared" si="9"/>
        <v>4500000</v>
      </c>
      <c r="X53" s="3">
        <f t="shared" si="10"/>
        <v>2700000</v>
      </c>
      <c r="Y53">
        <f t="shared" si="11"/>
        <v>0.3</v>
      </c>
      <c r="Z53">
        <f t="shared" si="12"/>
        <v>0.75757575757575757</v>
      </c>
      <c r="AA53" t="str">
        <f t="shared" si="13"/>
        <v>Tier 4 - Stable Network</v>
      </c>
      <c r="AB53" s="3">
        <f t="shared" si="14"/>
        <v>60000</v>
      </c>
      <c r="AC53" s="3">
        <f t="shared" si="15"/>
        <v>750000</v>
      </c>
      <c r="AD53" s="3">
        <f t="shared" si="16"/>
        <v>247500.00000000003</v>
      </c>
      <c r="AE53" s="5">
        <f t="shared" si="17"/>
        <v>3.9999999999999991</v>
      </c>
      <c r="AF53" s="10">
        <f t="shared" si="18"/>
        <v>223200</v>
      </c>
      <c r="AG53" s="10">
        <f t="shared" si="19"/>
        <v>72000</v>
      </c>
      <c r="AH53" s="10">
        <f t="shared" si="20"/>
        <v>36000</v>
      </c>
      <c r="AI53" s="10">
        <f t="shared" si="21"/>
        <v>18000</v>
      </c>
      <c r="AJ53" s="10">
        <f t="shared" si="22"/>
        <v>10800</v>
      </c>
    </row>
    <row r="54" spans="1:36" x14ac:dyDescent="0.3">
      <c r="A54" t="s">
        <v>240</v>
      </c>
      <c r="B54" t="s">
        <v>241</v>
      </c>
      <c r="C54" t="s">
        <v>242</v>
      </c>
      <c r="D54" t="s">
        <v>225</v>
      </c>
      <c r="E54">
        <v>84525</v>
      </c>
      <c r="F54" t="s">
        <v>15</v>
      </c>
      <c r="G54">
        <v>8</v>
      </c>
      <c r="H54">
        <v>150</v>
      </c>
      <c r="I54" t="str" cm="1">
        <f t="array" ref="I54">_xlfn.IFS(H54&lt;=120,"V1",H54&lt;=150,"V2",H54&lt;=250,"V3", H54&lt;=350, "V4")</f>
        <v>V2</v>
      </c>
      <c r="J54" t="s">
        <v>243</v>
      </c>
      <c r="K54" t="str">
        <f t="shared" si="0"/>
        <v>38.993577</v>
      </c>
      <c r="L54" t="str">
        <f t="shared" si="1"/>
        <v>-110.140513</v>
      </c>
      <c r="M54">
        <v>1240</v>
      </c>
      <c r="N54" s="1">
        <v>41715</v>
      </c>
      <c r="O54" s="1">
        <v>46099</v>
      </c>
      <c r="P54" s="2">
        <f t="shared" si="2"/>
        <v>12.002737850787133</v>
      </c>
      <c r="Q54" s="2" t="str">
        <f t="shared" si="3"/>
        <v>Old</v>
      </c>
      <c r="R54">
        <f t="shared" si="4"/>
        <v>1200</v>
      </c>
      <c r="S54" t="str">
        <f t="shared" si="5"/>
        <v>Small</v>
      </c>
      <c r="T54" t="str">
        <f t="shared" si="6"/>
        <v>Lower EV Adoption Corridor</v>
      </c>
      <c r="U54" s="3">
        <f t="shared" si="7"/>
        <v>1980000.0000000002</v>
      </c>
      <c r="V54" s="4">
        <f t="shared" si="8"/>
        <v>480000</v>
      </c>
      <c r="W54" s="3">
        <f t="shared" si="9"/>
        <v>6000000</v>
      </c>
      <c r="X54" s="3">
        <f t="shared" si="10"/>
        <v>3600000</v>
      </c>
      <c r="Y54">
        <f t="shared" si="11"/>
        <v>0.3</v>
      </c>
      <c r="Z54">
        <f t="shared" si="12"/>
        <v>0.75757575757575757</v>
      </c>
      <c r="AA54" t="str">
        <f t="shared" si="13"/>
        <v>Tier 4 - Stable Network</v>
      </c>
      <c r="AB54" s="3">
        <f t="shared" si="14"/>
        <v>60000</v>
      </c>
      <c r="AC54" s="3">
        <f t="shared" si="15"/>
        <v>750000</v>
      </c>
      <c r="AD54" s="3">
        <f t="shared" si="16"/>
        <v>247500.00000000003</v>
      </c>
      <c r="AE54" s="5">
        <f t="shared" si="17"/>
        <v>3.9999999999999996</v>
      </c>
      <c r="AF54" s="10">
        <f t="shared" si="18"/>
        <v>297600</v>
      </c>
      <c r="AG54" s="10">
        <f t="shared" si="19"/>
        <v>96000</v>
      </c>
      <c r="AH54" s="10">
        <f t="shared" si="20"/>
        <v>48000</v>
      </c>
      <c r="AI54" s="10">
        <f t="shared" si="21"/>
        <v>24000</v>
      </c>
      <c r="AJ54" s="10">
        <f t="shared" si="22"/>
        <v>14400</v>
      </c>
    </row>
    <row r="55" spans="1:36" x14ac:dyDescent="0.3">
      <c r="A55" t="s">
        <v>244</v>
      </c>
      <c r="B55" t="s">
        <v>245</v>
      </c>
      <c r="C55" t="s">
        <v>246</v>
      </c>
      <c r="D55" t="s">
        <v>189</v>
      </c>
      <c r="E55">
        <v>53948</v>
      </c>
      <c r="F55" t="s">
        <v>15</v>
      </c>
      <c r="G55">
        <v>6</v>
      </c>
      <c r="H55">
        <v>125</v>
      </c>
      <c r="I55" t="str" cm="1">
        <f t="array" ref="I55">_xlfn.IFS(H55&lt;=120,"V1",H55&lt;=150,"V2",H55&lt;=250,"V3", H55&lt;=350, "V4")</f>
        <v>V2</v>
      </c>
      <c r="J55" t="s">
        <v>247</v>
      </c>
      <c r="K55" t="str">
        <f t="shared" si="0"/>
        <v>43.795551</v>
      </c>
      <c r="L55" t="str">
        <f t="shared" si="1"/>
        <v>-90.059358</v>
      </c>
      <c r="M55">
        <v>265</v>
      </c>
      <c r="N55" s="1">
        <v>41617</v>
      </c>
      <c r="O55" s="1">
        <v>46099</v>
      </c>
      <c r="P55" s="2">
        <f t="shared" si="2"/>
        <v>12.271047227926077</v>
      </c>
      <c r="Q55" s="2" t="str">
        <f t="shared" si="3"/>
        <v>Old</v>
      </c>
      <c r="R55">
        <f t="shared" si="4"/>
        <v>750</v>
      </c>
      <c r="S55" t="str">
        <f t="shared" si="5"/>
        <v>Small</v>
      </c>
      <c r="T55" t="str">
        <f t="shared" si="6"/>
        <v>Lower EV Adoption Corridor</v>
      </c>
      <c r="U55" s="3">
        <f t="shared" si="7"/>
        <v>1237500</v>
      </c>
      <c r="V55" s="4">
        <f t="shared" si="8"/>
        <v>300000</v>
      </c>
      <c r="W55" s="3">
        <f t="shared" si="9"/>
        <v>3750000</v>
      </c>
      <c r="X55" s="3">
        <f t="shared" si="10"/>
        <v>2250000</v>
      </c>
      <c r="Y55">
        <f t="shared" si="11"/>
        <v>0.3</v>
      </c>
      <c r="Z55">
        <f t="shared" si="12"/>
        <v>0.75757575757575757</v>
      </c>
      <c r="AA55" t="str">
        <f t="shared" si="13"/>
        <v>Tier 4 - Stable Network</v>
      </c>
      <c r="AB55" s="3">
        <f t="shared" si="14"/>
        <v>50000</v>
      </c>
      <c r="AC55" s="3">
        <f t="shared" si="15"/>
        <v>625000</v>
      </c>
      <c r="AD55" s="3">
        <f t="shared" si="16"/>
        <v>206250</v>
      </c>
      <c r="AE55" s="5">
        <f t="shared" si="17"/>
        <v>4</v>
      </c>
      <c r="AF55" s="10">
        <f t="shared" si="18"/>
        <v>186000</v>
      </c>
      <c r="AG55" s="10">
        <f t="shared" si="19"/>
        <v>60000</v>
      </c>
      <c r="AH55" s="10">
        <f t="shared" si="20"/>
        <v>30000</v>
      </c>
      <c r="AI55" s="10">
        <f t="shared" si="21"/>
        <v>15000</v>
      </c>
      <c r="AJ55" s="10">
        <f t="shared" si="22"/>
        <v>9000</v>
      </c>
    </row>
    <row r="56" spans="1:36" x14ac:dyDescent="0.3">
      <c r="A56" t="s">
        <v>248</v>
      </c>
      <c r="B56" t="s">
        <v>249</v>
      </c>
      <c r="C56" t="s">
        <v>250</v>
      </c>
      <c r="D56" t="s">
        <v>189</v>
      </c>
      <c r="E56">
        <v>54650</v>
      </c>
      <c r="F56" t="s">
        <v>15</v>
      </c>
      <c r="G56">
        <v>6</v>
      </c>
      <c r="H56">
        <v>120</v>
      </c>
      <c r="I56" t="str" cm="1">
        <f t="array" ref="I56">_xlfn.IFS(H56&lt;=120,"V1",H56&lt;=150,"V2",H56&lt;=250,"V3", H56&lt;=350, "V4")</f>
        <v>V1</v>
      </c>
      <c r="J56" t="s">
        <v>251</v>
      </c>
      <c r="K56" t="str">
        <f t="shared" si="0"/>
        <v>43.879042</v>
      </c>
      <c r="L56" t="str">
        <f t="shared" si="1"/>
        <v>-91.188428</v>
      </c>
      <c r="M56">
        <v>219</v>
      </c>
      <c r="N56" s="1">
        <v>41644</v>
      </c>
      <c r="O56" s="1">
        <v>46099</v>
      </c>
      <c r="P56" s="2">
        <f t="shared" si="2"/>
        <v>12.197125256673511</v>
      </c>
      <c r="Q56" s="2" t="str">
        <f t="shared" si="3"/>
        <v>Old</v>
      </c>
      <c r="R56">
        <f t="shared" si="4"/>
        <v>720</v>
      </c>
      <c r="S56" t="str">
        <f t="shared" si="5"/>
        <v>Small</v>
      </c>
      <c r="T56" t="str">
        <f t="shared" si="6"/>
        <v>Lower EV Adoption Corridor</v>
      </c>
      <c r="U56" s="3">
        <f t="shared" si="7"/>
        <v>1080000</v>
      </c>
      <c r="V56" s="4">
        <f t="shared" si="8"/>
        <v>259200</v>
      </c>
      <c r="W56" s="3">
        <f t="shared" si="9"/>
        <v>2880000</v>
      </c>
      <c r="X56" s="3">
        <f t="shared" si="10"/>
        <v>1944000</v>
      </c>
      <c r="Y56">
        <f t="shared" si="11"/>
        <v>0.2814814814814815</v>
      </c>
      <c r="Z56">
        <f t="shared" si="12"/>
        <v>0.76</v>
      </c>
      <c r="AA56" t="str">
        <f t="shared" si="13"/>
        <v>Tier 5 - Retirement Pipeline</v>
      </c>
      <c r="AB56" s="3">
        <f t="shared" si="14"/>
        <v>43200</v>
      </c>
      <c r="AC56" s="3">
        <f t="shared" si="15"/>
        <v>480000</v>
      </c>
      <c r="AD56" s="3">
        <f t="shared" si="16"/>
        <v>180000</v>
      </c>
      <c r="AE56" s="5">
        <f t="shared" si="17"/>
        <v>3.5087719298245612</v>
      </c>
      <c r="AF56" s="10">
        <f t="shared" si="18"/>
        <v>160704</v>
      </c>
      <c r="AG56" s="10">
        <f t="shared" si="19"/>
        <v>51840</v>
      </c>
      <c r="AH56" s="10">
        <f t="shared" si="20"/>
        <v>25920</v>
      </c>
      <c r="AI56" s="10">
        <f t="shared" si="21"/>
        <v>12960</v>
      </c>
      <c r="AJ56" s="10">
        <f t="shared" si="22"/>
        <v>7776</v>
      </c>
    </row>
    <row r="57" spans="1:36" x14ac:dyDescent="0.3">
      <c r="A57" t="s">
        <v>252</v>
      </c>
      <c r="B57" t="s">
        <v>253</v>
      </c>
      <c r="C57" t="s">
        <v>254</v>
      </c>
      <c r="D57" t="s">
        <v>189</v>
      </c>
      <c r="E57">
        <v>54701</v>
      </c>
      <c r="F57" t="s">
        <v>15</v>
      </c>
      <c r="G57">
        <v>6</v>
      </c>
      <c r="H57">
        <v>120</v>
      </c>
      <c r="I57" t="str" cm="1">
        <f t="array" ref="I57">_xlfn.IFS(H57&lt;=120,"V1",H57&lt;=150,"V2",H57&lt;=250,"V3", H57&lt;=350, "V4")</f>
        <v>V1</v>
      </c>
      <c r="J57" t="s">
        <v>255</v>
      </c>
      <c r="K57" t="str">
        <f t="shared" si="0"/>
        <v>44.77083</v>
      </c>
      <c r="L57" t="str">
        <f t="shared" si="1"/>
        <v>-91.43711</v>
      </c>
      <c r="M57">
        <v>293</v>
      </c>
      <c r="N57" s="1">
        <v>41669</v>
      </c>
      <c r="O57" s="1">
        <v>46099</v>
      </c>
      <c r="P57" s="2">
        <f t="shared" si="2"/>
        <v>12.128678986995208</v>
      </c>
      <c r="Q57" s="2" t="str">
        <f t="shared" si="3"/>
        <v>Old</v>
      </c>
      <c r="R57">
        <f t="shared" si="4"/>
        <v>720</v>
      </c>
      <c r="S57" t="str">
        <f t="shared" si="5"/>
        <v>Small</v>
      </c>
      <c r="T57" t="str">
        <f t="shared" si="6"/>
        <v>Lower EV Adoption Corridor</v>
      </c>
      <c r="U57" s="3">
        <f t="shared" si="7"/>
        <v>1080000</v>
      </c>
      <c r="V57" s="4">
        <f t="shared" si="8"/>
        <v>259200</v>
      </c>
      <c r="W57" s="3">
        <f t="shared" si="9"/>
        <v>2880000</v>
      </c>
      <c r="X57" s="3">
        <f t="shared" si="10"/>
        <v>1944000</v>
      </c>
      <c r="Y57">
        <f t="shared" si="11"/>
        <v>0.2814814814814815</v>
      </c>
      <c r="Z57">
        <f t="shared" si="12"/>
        <v>0.76</v>
      </c>
      <c r="AA57" t="str">
        <f t="shared" si="13"/>
        <v>Tier 5 - Retirement Pipeline</v>
      </c>
      <c r="AB57" s="3">
        <f t="shared" si="14"/>
        <v>43200</v>
      </c>
      <c r="AC57" s="3">
        <f t="shared" si="15"/>
        <v>480000</v>
      </c>
      <c r="AD57" s="3">
        <f t="shared" si="16"/>
        <v>180000</v>
      </c>
      <c r="AE57" s="5">
        <f t="shared" si="17"/>
        <v>3.5087719298245612</v>
      </c>
      <c r="AF57" s="10">
        <f t="shared" si="18"/>
        <v>160704</v>
      </c>
      <c r="AG57" s="10">
        <f t="shared" si="19"/>
        <v>51840</v>
      </c>
      <c r="AH57" s="10">
        <f t="shared" si="20"/>
        <v>25920</v>
      </c>
      <c r="AI57" s="10">
        <f t="shared" si="21"/>
        <v>12960</v>
      </c>
      <c r="AJ57" s="10">
        <f t="shared" si="22"/>
        <v>7776</v>
      </c>
    </row>
    <row r="58" spans="1:36" x14ac:dyDescent="0.3">
      <c r="A58" t="s">
        <v>256</v>
      </c>
      <c r="B58" t="s">
        <v>257</v>
      </c>
      <c r="C58" t="s">
        <v>258</v>
      </c>
      <c r="D58" t="s">
        <v>259</v>
      </c>
      <c r="E58">
        <v>82225</v>
      </c>
      <c r="F58" t="s">
        <v>15</v>
      </c>
      <c r="G58">
        <v>4</v>
      </c>
      <c r="H58">
        <v>120</v>
      </c>
      <c r="I58" t="str" cm="1">
        <f t="array" ref="I58">_xlfn.IFS(H58&lt;=120,"V1",H58&lt;=150,"V2",H58&lt;=250,"V3", H58&lt;=350, "V4")</f>
        <v>V1</v>
      </c>
      <c r="J58" t="s">
        <v>260</v>
      </c>
      <c r="K58" t="str">
        <f t="shared" si="0"/>
        <v>42.75625</v>
      </c>
      <c r="L58" t="str">
        <f t="shared" si="1"/>
        <v>-104.45267</v>
      </c>
      <c r="M58">
        <v>1529</v>
      </c>
      <c r="N58" s="1">
        <v>41627</v>
      </c>
      <c r="O58" s="1">
        <v>46099</v>
      </c>
      <c r="P58" s="2">
        <f t="shared" si="2"/>
        <v>12.243668720054757</v>
      </c>
      <c r="Q58" s="2" t="str">
        <f t="shared" si="3"/>
        <v>Old</v>
      </c>
      <c r="R58">
        <f t="shared" si="4"/>
        <v>480</v>
      </c>
      <c r="S58" t="str">
        <f t="shared" si="5"/>
        <v>Small</v>
      </c>
      <c r="T58" t="str">
        <f t="shared" si="6"/>
        <v>Lower EV Adoption Corridor</v>
      </c>
      <c r="U58" s="3">
        <f t="shared" si="7"/>
        <v>720000</v>
      </c>
      <c r="V58" s="4">
        <f t="shared" si="8"/>
        <v>172800</v>
      </c>
      <c r="W58" s="3">
        <f t="shared" si="9"/>
        <v>1920000</v>
      </c>
      <c r="X58" s="3">
        <f t="shared" si="10"/>
        <v>1296000</v>
      </c>
      <c r="Y58">
        <f t="shared" si="11"/>
        <v>0.2814814814814815</v>
      </c>
      <c r="Z58">
        <f t="shared" si="12"/>
        <v>0.76</v>
      </c>
      <c r="AA58" t="str">
        <f t="shared" si="13"/>
        <v>Tier 5 - Retirement Pipeline</v>
      </c>
      <c r="AB58" s="3">
        <f t="shared" si="14"/>
        <v>43200</v>
      </c>
      <c r="AC58" s="3">
        <f t="shared" si="15"/>
        <v>480000</v>
      </c>
      <c r="AD58" s="3">
        <f t="shared" si="16"/>
        <v>180000</v>
      </c>
      <c r="AE58" s="5">
        <f t="shared" si="17"/>
        <v>3.5087719298245612</v>
      </c>
      <c r="AF58" s="10">
        <f t="shared" si="18"/>
        <v>107136</v>
      </c>
      <c r="AG58" s="10">
        <f t="shared" si="19"/>
        <v>34560</v>
      </c>
      <c r="AH58" s="10">
        <f t="shared" si="20"/>
        <v>17280</v>
      </c>
      <c r="AI58" s="10">
        <f t="shared" si="21"/>
        <v>8640</v>
      </c>
      <c r="AJ58" s="10">
        <f t="shared" si="22"/>
        <v>5184</v>
      </c>
    </row>
    <row r="59" spans="1:36" x14ac:dyDescent="0.3">
      <c r="A59" t="s">
        <v>261</v>
      </c>
      <c r="B59" t="s">
        <v>262</v>
      </c>
      <c r="C59" t="s">
        <v>263</v>
      </c>
      <c r="D59" t="s">
        <v>72</v>
      </c>
      <c r="E59">
        <v>85194</v>
      </c>
      <c r="F59" t="s">
        <v>15</v>
      </c>
      <c r="G59">
        <v>6</v>
      </c>
      <c r="H59">
        <v>150</v>
      </c>
      <c r="I59" t="str" cm="1">
        <f t="array" ref="I59">_xlfn.IFS(H59&lt;=120,"V1",H59&lt;=150,"V2",H59&lt;=250,"V3", H59&lt;=350, "V4")</f>
        <v>V2</v>
      </c>
      <c r="J59" t="s">
        <v>264</v>
      </c>
      <c r="K59" t="str">
        <f t="shared" si="0"/>
        <v>32.87888</v>
      </c>
      <c r="L59" t="str">
        <f t="shared" si="1"/>
        <v>-111.6817421</v>
      </c>
      <c r="M59">
        <v>435</v>
      </c>
      <c r="N59" s="1">
        <v>41912</v>
      </c>
      <c r="O59" s="1">
        <v>46099</v>
      </c>
      <c r="P59" s="2">
        <f t="shared" si="2"/>
        <v>11.463381245722108</v>
      </c>
      <c r="Q59" s="2" t="str">
        <f t="shared" si="3"/>
        <v>Old</v>
      </c>
      <c r="R59">
        <f t="shared" si="4"/>
        <v>900</v>
      </c>
      <c r="S59" t="str">
        <f t="shared" si="5"/>
        <v>Small</v>
      </c>
      <c r="T59" t="str">
        <f t="shared" si="6"/>
        <v>Lower EV Adoption Corridor</v>
      </c>
      <c r="U59" s="3">
        <f t="shared" si="7"/>
        <v>1485000.0000000002</v>
      </c>
      <c r="V59" s="4">
        <f t="shared" si="8"/>
        <v>360000</v>
      </c>
      <c r="W59" s="3">
        <f t="shared" si="9"/>
        <v>4500000</v>
      </c>
      <c r="X59" s="3">
        <f t="shared" si="10"/>
        <v>2700000</v>
      </c>
      <c r="Y59">
        <f t="shared" si="11"/>
        <v>0.3</v>
      </c>
      <c r="Z59">
        <f t="shared" si="12"/>
        <v>0.75757575757575757</v>
      </c>
      <c r="AA59" t="str">
        <f t="shared" si="13"/>
        <v>Tier 4 - Stable Network</v>
      </c>
      <c r="AB59" s="3">
        <f t="shared" si="14"/>
        <v>60000</v>
      </c>
      <c r="AC59" s="3">
        <f t="shared" si="15"/>
        <v>750000</v>
      </c>
      <c r="AD59" s="3">
        <f t="shared" si="16"/>
        <v>247500.00000000003</v>
      </c>
      <c r="AE59" s="5">
        <f t="shared" si="17"/>
        <v>3.9999999999999991</v>
      </c>
      <c r="AF59" s="10">
        <f t="shared" si="18"/>
        <v>223200</v>
      </c>
      <c r="AG59" s="10">
        <f t="shared" si="19"/>
        <v>72000</v>
      </c>
      <c r="AH59" s="10">
        <f t="shared" si="20"/>
        <v>36000</v>
      </c>
      <c r="AI59" s="10">
        <f t="shared" si="21"/>
        <v>18000</v>
      </c>
      <c r="AJ59" s="10">
        <f t="shared" si="22"/>
        <v>10800</v>
      </c>
    </row>
    <row r="60" spans="1:36" x14ac:dyDescent="0.3">
      <c r="A60" t="s">
        <v>265</v>
      </c>
      <c r="B60" t="s">
        <v>266</v>
      </c>
      <c r="C60" t="s">
        <v>267</v>
      </c>
      <c r="D60" t="s">
        <v>268</v>
      </c>
      <c r="E60">
        <v>80828</v>
      </c>
      <c r="F60" t="s">
        <v>15</v>
      </c>
      <c r="G60">
        <v>14</v>
      </c>
      <c r="H60">
        <v>250</v>
      </c>
      <c r="I60" t="str" cm="1">
        <f t="array" ref="I60">_xlfn.IFS(H60&lt;=120,"V1",H60&lt;=150,"V2",H60&lt;=250,"V3", H60&lt;=350, "V4")</f>
        <v>V3</v>
      </c>
      <c r="J60" t="s">
        <v>269</v>
      </c>
      <c r="K60" t="str">
        <f t="shared" si="0"/>
        <v>39.2688421</v>
      </c>
      <c r="L60" t="str">
        <f t="shared" si="1"/>
        <v>-103.708604</v>
      </c>
      <c r="M60">
        <v>1652</v>
      </c>
      <c r="N60" s="1">
        <v>41811</v>
      </c>
      <c r="O60" s="1">
        <v>46099</v>
      </c>
      <c r="P60" s="2">
        <f t="shared" si="2"/>
        <v>11.739904175222451</v>
      </c>
      <c r="Q60" s="2" t="str">
        <f t="shared" si="3"/>
        <v>Old</v>
      </c>
      <c r="R60">
        <f t="shared" si="4"/>
        <v>3500</v>
      </c>
      <c r="S60" t="str">
        <f t="shared" si="5"/>
        <v>Small</v>
      </c>
      <c r="T60" t="str">
        <f t="shared" si="6"/>
        <v>High EV Adoption Corridor</v>
      </c>
      <c r="U60" s="3">
        <f t="shared" si="7"/>
        <v>8190000</v>
      </c>
      <c r="V60" s="4">
        <f t="shared" si="8"/>
        <v>1848000.0000000002</v>
      </c>
      <c r="W60" s="3">
        <f t="shared" si="9"/>
        <v>23100000.000000004</v>
      </c>
      <c r="X60" s="3">
        <f t="shared" si="10"/>
        <v>17325000.000000004</v>
      </c>
      <c r="Y60">
        <f t="shared" si="11"/>
        <v>0.24</v>
      </c>
      <c r="Z60">
        <f t="shared" si="12"/>
        <v>0.77435897435897438</v>
      </c>
      <c r="AA60" t="str">
        <f t="shared" si="13"/>
        <v>Tier 1 - Priority Fleet</v>
      </c>
      <c r="AB60" s="3">
        <f t="shared" si="14"/>
        <v>132000.00000000003</v>
      </c>
      <c r="AC60" s="3">
        <f t="shared" si="15"/>
        <v>1650000.0000000002</v>
      </c>
      <c r="AD60" s="3">
        <f t="shared" si="16"/>
        <v>585000</v>
      </c>
      <c r="AE60" s="5">
        <f t="shared" si="17"/>
        <v>3.6423841059602653</v>
      </c>
      <c r="AF60" s="10">
        <f t="shared" si="18"/>
        <v>1145760.0000000002</v>
      </c>
      <c r="AG60" s="10">
        <f t="shared" si="19"/>
        <v>369600.00000000006</v>
      </c>
      <c r="AH60" s="10">
        <f t="shared" si="20"/>
        <v>184800.00000000003</v>
      </c>
      <c r="AI60" s="10">
        <f t="shared" si="21"/>
        <v>92400.000000000015</v>
      </c>
      <c r="AJ60" s="10">
        <f t="shared" si="22"/>
        <v>55440.000000000007</v>
      </c>
    </row>
    <row r="61" spans="1:36" x14ac:dyDescent="0.3">
      <c r="A61" t="s">
        <v>270</v>
      </c>
      <c r="B61" t="s">
        <v>271</v>
      </c>
      <c r="C61" t="s">
        <v>272</v>
      </c>
      <c r="D61" t="s">
        <v>14</v>
      </c>
      <c r="E61">
        <v>92083</v>
      </c>
      <c r="F61" t="s">
        <v>15</v>
      </c>
      <c r="G61">
        <v>20</v>
      </c>
      <c r="H61">
        <v>250</v>
      </c>
      <c r="I61" t="str" cm="1">
        <f t="array" ref="I61">_xlfn.IFS(H61&lt;=120,"V1",H61&lt;=150,"V2",H61&lt;=250,"V3", H61&lt;=350, "V4")</f>
        <v>V3</v>
      </c>
      <c r="J61" t="s">
        <v>273</v>
      </c>
      <c r="K61" t="str">
        <f t="shared" si="0"/>
        <v>33.2008</v>
      </c>
      <c r="L61" t="str">
        <f t="shared" si="1"/>
        <v>-117.2455</v>
      </c>
      <c r="M61">
        <v>98</v>
      </c>
      <c r="N61" s="1">
        <v>44729</v>
      </c>
      <c r="O61" s="1">
        <v>46099</v>
      </c>
      <c r="P61" s="2">
        <f t="shared" si="2"/>
        <v>3.7508555783709787</v>
      </c>
      <c r="Q61" s="2" t="str">
        <f t="shared" si="3"/>
        <v>Mid</v>
      </c>
      <c r="R61">
        <f t="shared" si="4"/>
        <v>5000</v>
      </c>
      <c r="S61" t="str">
        <f t="shared" si="5"/>
        <v>Small</v>
      </c>
      <c r="T61" t="str">
        <f t="shared" si="6"/>
        <v>High EV Adoption Corridor</v>
      </c>
      <c r="U61" s="3">
        <f t="shared" si="7"/>
        <v>11700000</v>
      </c>
      <c r="V61" s="4">
        <f t="shared" si="8"/>
        <v>2640000</v>
      </c>
      <c r="W61" s="3">
        <f t="shared" si="9"/>
        <v>33000000.000000004</v>
      </c>
      <c r="X61" s="3">
        <f t="shared" si="10"/>
        <v>24750000.000000004</v>
      </c>
      <c r="Y61">
        <f t="shared" si="11"/>
        <v>0.23999999999999996</v>
      </c>
      <c r="Z61">
        <f t="shared" si="12"/>
        <v>0.77435897435897438</v>
      </c>
      <c r="AA61" t="str">
        <f t="shared" si="13"/>
        <v>Tier 1 - Priority Fleet</v>
      </c>
      <c r="AB61" s="3">
        <f t="shared" si="14"/>
        <v>132000</v>
      </c>
      <c r="AC61" s="3">
        <f t="shared" si="15"/>
        <v>1650000.0000000002</v>
      </c>
      <c r="AD61" s="3">
        <f t="shared" si="16"/>
        <v>585000</v>
      </c>
      <c r="AE61" s="5">
        <f t="shared" si="17"/>
        <v>3.6423841059602653</v>
      </c>
      <c r="AF61" s="10">
        <f t="shared" si="18"/>
        <v>1636800</v>
      </c>
      <c r="AG61" s="10">
        <f t="shared" si="19"/>
        <v>528000</v>
      </c>
      <c r="AH61" s="10">
        <f t="shared" si="20"/>
        <v>264000</v>
      </c>
      <c r="AI61" s="10">
        <f t="shared" si="21"/>
        <v>132000</v>
      </c>
      <c r="AJ61" s="10">
        <f t="shared" si="22"/>
        <v>79200</v>
      </c>
    </row>
    <row r="62" spans="1:36" x14ac:dyDescent="0.3">
      <c r="A62" t="s">
        <v>274</v>
      </c>
      <c r="B62" t="s">
        <v>275</v>
      </c>
      <c r="C62" t="s">
        <v>276</v>
      </c>
      <c r="D62" t="s">
        <v>72</v>
      </c>
      <c r="E62">
        <v>86333</v>
      </c>
      <c r="F62" t="s">
        <v>15</v>
      </c>
      <c r="G62">
        <v>8</v>
      </c>
      <c r="H62">
        <v>150</v>
      </c>
      <c r="I62" t="str" cm="1">
        <f t="array" ref="I62">_xlfn.IFS(H62&lt;=120,"V1",H62&lt;=150,"V2",H62&lt;=250,"V3", H62&lt;=350, "V4")</f>
        <v>V2</v>
      </c>
      <c r="J62" t="s">
        <v>277</v>
      </c>
      <c r="K62" t="str">
        <f t="shared" si="0"/>
        <v>34.327131</v>
      </c>
      <c r="L62" t="str">
        <f t="shared" si="1"/>
        <v>-112.118432</v>
      </c>
      <c r="M62">
        <v>1150</v>
      </c>
      <c r="N62" s="1">
        <v>41926</v>
      </c>
      <c r="O62" s="1">
        <v>46099</v>
      </c>
      <c r="P62" s="2">
        <f t="shared" si="2"/>
        <v>11.425051334702259</v>
      </c>
      <c r="Q62" s="2" t="str">
        <f t="shared" si="3"/>
        <v>Old</v>
      </c>
      <c r="R62">
        <f t="shared" si="4"/>
        <v>1200</v>
      </c>
      <c r="S62" t="str">
        <f t="shared" si="5"/>
        <v>Small</v>
      </c>
      <c r="T62" t="str">
        <f t="shared" si="6"/>
        <v>Lower EV Adoption Corridor</v>
      </c>
      <c r="U62" s="3">
        <f t="shared" si="7"/>
        <v>1980000.0000000002</v>
      </c>
      <c r="V62" s="4">
        <f t="shared" si="8"/>
        <v>480000</v>
      </c>
      <c r="W62" s="3">
        <f t="shared" si="9"/>
        <v>6000000</v>
      </c>
      <c r="X62" s="3">
        <f t="shared" si="10"/>
        <v>3600000</v>
      </c>
      <c r="Y62">
        <f t="shared" si="11"/>
        <v>0.3</v>
      </c>
      <c r="Z62">
        <f t="shared" si="12"/>
        <v>0.75757575757575757</v>
      </c>
      <c r="AA62" t="str">
        <f t="shared" si="13"/>
        <v>Tier 4 - Stable Network</v>
      </c>
      <c r="AB62" s="3">
        <f t="shared" si="14"/>
        <v>60000</v>
      </c>
      <c r="AC62" s="3">
        <f t="shared" si="15"/>
        <v>750000</v>
      </c>
      <c r="AD62" s="3">
        <f t="shared" si="16"/>
        <v>247500.00000000003</v>
      </c>
      <c r="AE62" s="5">
        <f t="shared" si="17"/>
        <v>3.9999999999999996</v>
      </c>
      <c r="AF62" s="10">
        <f t="shared" si="18"/>
        <v>297600</v>
      </c>
      <c r="AG62" s="10">
        <f t="shared" si="19"/>
        <v>96000</v>
      </c>
      <c r="AH62" s="10">
        <f t="shared" si="20"/>
        <v>48000</v>
      </c>
      <c r="AI62" s="10">
        <f t="shared" si="21"/>
        <v>24000</v>
      </c>
      <c r="AJ62" s="10">
        <f t="shared" si="22"/>
        <v>14400</v>
      </c>
    </row>
    <row r="63" spans="1:36" x14ac:dyDescent="0.3">
      <c r="A63" t="s">
        <v>278</v>
      </c>
      <c r="B63" t="s">
        <v>279</v>
      </c>
      <c r="C63" t="s">
        <v>280</v>
      </c>
      <c r="D63" t="s">
        <v>281</v>
      </c>
      <c r="E63">
        <v>59102</v>
      </c>
      <c r="F63" t="s">
        <v>15</v>
      </c>
      <c r="G63">
        <v>4</v>
      </c>
      <c r="H63">
        <v>150</v>
      </c>
      <c r="I63" t="str" cm="1">
        <f t="array" ref="I63">_xlfn.IFS(H63&lt;=120,"V1",H63&lt;=150,"V2",H63&lt;=250,"V3", H63&lt;=350, "V4")</f>
        <v>V2</v>
      </c>
      <c r="J63" t="s">
        <v>282</v>
      </c>
      <c r="K63" t="str">
        <f t="shared" si="0"/>
        <v>45.733716</v>
      </c>
      <c r="L63" t="str">
        <f t="shared" si="1"/>
        <v>-108.604573</v>
      </c>
      <c r="M63">
        <v>978</v>
      </c>
      <c r="N63" s="1">
        <v>41843</v>
      </c>
      <c r="O63" s="1">
        <v>46099</v>
      </c>
      <c r="P63" s="2">
        <f t="shared" si="2"/>
        <v>11.652292950034223</v>
      </c>
      <c r="Q63" s="2" t="str">
        <f t="shared" si="3"/>
        <v>Old</v>
      </c>
      <c r="R63">
        <f t="shared" si="4"/>
        <v>600</v>
      </c>
      <c r="S63" t="str">
        <f t="shared" si="5"/>
        <v>Small</v>
      </c>
      <c r="T63" t="str">
        <f t="shared" si="6"/>
        <v>Lower EV Adoption Corridor</v>
      </c>
      <c r="U63" s="3">
        <f t="shared" si="7"/>
        <v>990000.00000000012</v>
      </c>
      <c r="V63" s="4">
        <f t="shared" si="8"/>
        <v>240000</v>
      </c>
      <c r="W63" s="3">
        <f t="shared" si="9"/>
        <v>3000000</v>
      </c>
      <c r="X63" s="3">
        <f t="shared" si="10"/>
        <v>1800000</v>
      </c>
      <c r="Y63">
        <f t="shared" si="11"/>
        <v>0.3</v>
      </c>
      <c r="Z63">
        <f t="shared" si="12"/>
        <v>0.75757575757575757</v>
      </c>
      <c r="AA63" t="str">
        <f t="shared" si="13"/>
        <v>Tier 4 - Stable Network</v>
      </c>
      <c r="AB63" s="3">
        <f t="shared" si="14"/>
        <v>60000</v>
      </c>
      <c r="AC63" s="3">
        <f t="shared" si="15"/>
        <v>750000</v>
      </c>
      <c r="AD63" s="3">
        <f t="shared" si="16"/>
        <v>247500.00000000003</v>
      </c>
      <c r="AE63" s="5">
        <f t="shared" si="17"/>
        <v>3.9999999999999996</v>
      </c>
      <c r="AF63" s="10">
        <f t="shared" si="18"/>
        <v>148800</v>
      </c>
      <c r="AG63" s="10">
        <f t="shared" si="19"/>
        <v>48000</v>
      </c>
      <c r="AH63" s="10">
        <f t="shared" si="20"/>
        <v>24000</v>
      </c>
      <c r="AI63" s="10">
        <f t="shared" si="21"/>
        <v>12000</v>
      </c>
      <c r="AJ63" s="10">
        <f t="shared" si="22"/>
        <v>7200</v>
      </c>
    </row>
    <row r="64" spans="1:36" x14ac:dyDescent="0.3">
      <c r="A64" t="s">
        <v>283</v>
      </c>
      <c r="B64" t="s">
        <v>284</v>
      </c>
      <c r="C64" t="s">
        <v>285</v>
      </c>
      <c r="D64" t="s">
        <v>148</v>
      </c>
      <c r="E64">
        <v>67401</v>
      </c>
      <c r="F64" t="s">
        <v>15</v>
      </c>
      <c r="G64">
        <v>6</v>
      </c>
      <c r="H64">
        <v>150</v>
      </c>
      <c r="I64" t="str" cm="1">
        <f t="array" ref="I64">_xlfn.IFS(H64&lt;=120,"V1",H64&lt;=150,"V2",H64&lt;=250,"V3", H64&lt;=350, "V4")</f>
        <v>V2</v>
      </c>
      <c r="J64" t="s">
        <v>286</v>
      </c>
      <c r="K64" t="str">
        <f t="shared" si="0"/>
        <v>38.877342</v>
      </c>
      <c r="L64" t="str">
        <f t="shared" si="1"/>
        <v>-97.618699</v>
      </c>
      <c r="M64">
        <v>371</v>
      </c>
      <c r="N64" s="1">
        <v>41824</v>
      </c>
      <c r="O64" s="1">
        <v>46099</v>
      </c>
      <c r="P64" s="2">
        <f t="shared" si="2"/>
        <v>11.704312114989733</v>
      </c>
      <c r="Q64" s="2" t="str">
        <f t="shared" si="3"/>
        <v>Old</v>
      </c>
      <c r="R64">
        <f t="shared" si="4"/>
        <v>900</v>
      </c>
      <c r="S64" t="str">
        <f t="shared" si="5"/>
        <v>Small</v>
      </c>
      <c r="T64" t="str">
        <f t="shared" si="6"/>
        <v>Lower EV Adoption Corridor</v>
      </c>
      <c r="U64" s="3">
        <f t="shared" si="7"/>
        <v>1485000.0000000002</v>
      </c>
      <c r="V64" s="4">
        <f t="shared" si="8"/>
        <v>360000</v>
      </c>
      <c r="W64" s="3">
        <f t="shared" si="9"/>
        <v>4500000</v>
      </c>
      <c r="X64" s="3">
        <f t="shared" si="10"/>
        <v>2700000</v>
      </c>
      <c r="Y64">
        <f t="shared" si="11"/>
        <v>0.3</v>
      </c>
      <c r="Z64">
        <f t="shared" si="12"/>
        <v>0.75757575757575757</v>
      </c>
      <c r="AA64" t="str">
        <f t="shared" si="13"/>
        <v>Tier 4 - Stable Network</v>
      </c>
      <c r="AB64" s="3">
        <f t="shared" si="14"/>
        <v>60000</v>
      </c>
      <c r="AC64" s="3">
        <f t="shared" si="15"/>
        <v>750000</v>
      </c>
      <c r="AD64" s="3">
        <f t="shared" si="16"/>
        <v>247500.00000000003</v>
      </c>
      <c r="AE64" s="5">
        <f t="shared" si="17"/>
        <v>3.9999999999999991</v>
      </c>
      <c r="AF64" s="10">
        <f t="shared" si="18"/>
        <v>223200</v>
      </c>
      <c r="AG64" s="10">
        <f t="shared" si="19"/>
        <v>72000</v>
      </c>
      <c r="AH64" s="10">
        <f t="shared" si="20"/>
        <v>36000</v>
      </c>
      <c r="AI64" s="10">
        <f t="shared" si="21"/>
        <v>18000</v>
      </c>
      <c r="AJ64" s="10">
        <f t="shared" si="22"/>
        <v>10800</v>
      </c>
    </row>
    <row r="65" spans="1:36" x14ac:dyDescent="0.3">
      <c r="A65" t="s">
        <v>287</v>
      </c>
      <c r="B65" t="s">
        <v>288</v>
      </c>
      <c r="C65" t="s">
        <v>289</v>
      </c>
      <c r="D65" t="s">
        <v>184</v>
      </c>
      <c r="E65">
        <v>45445</v>
      </c>
      <c r="F65" t="s">
        <v>15</v>
      </c>
      <c r="G65">
        <v>8</v>
      </c>
      <c r="H65">
        <v>150</v>
      </c>
      <c r="I65" t="str" cm="1">
        <f t="array" ref="I65">_xlfn.IFS(H65&lt;=120,"V1",H65&lt;=150,"V2",H65&lt;=250,"V3", H65&lt;=350, "V4")</f>
        <v>V2</v>
      </c>
      <c r="J65" t="s">
        <v>290</v>
      </c>
      <c r="K65" t="str">
        <f t="shared" si="0"/>
        <v>39.858702</v>
      </c>
      <c r="L65" t="str">
        <f t="shared" si="1"/>
        <v>-84.277027</v>
      </c>
      <c r="M65">
        <v>257</v>
      </c>
      <c r="N65" s="1">
        <v>41954</v>
      </c>
      <c r="O65" s="1">
        <v>46099</v>
      </c>
      <c r="P65" s="2">
        <f t="shared" si="2"/>
        <v>11.348391512662561</v>
      </c>
      <c r="Q65" s="2" t="str">
        <f t="shared" si="3"/>
        <v>Old</v>
      </c>
      <c r="R65">
        <f t="shared" si="4"/>
        <v>1200</v>
      </c>
      <c r="S65" t="str">
        <f t="shared" si="5"/>
        <v>Small</v>
      </c>
      <c r="T65" t="str">
        <f t="shared" si="6"/>
        <v>Lower EV Adoption Corridor</v>
      </c>
      <c r="U65" s="3">
        <f t="shared" si="7"/>
        <v>1980000.0000000002</v>
      </c>
      <c r="V65" s="4">
        <f t="shared" si="8"/>
        <v>480000</v>
      </c>
      <c r="W65" s="3">
        <f t="shared" si="9"/>
        <v>6000000</v>
      </c>
      <c r="X65" s="3">
        <f t="shared" si="10"/>
        <v>3600000</v>
      </c>
      <c r="Y65">
        <f t="shared" si="11"/>
        <v>0.3</v>
      </c>
      <c r="Z65">
        <f t="shared" si="12"/>
        <v>0.75757575757575757</v>
      </c>
      <c r="AA65" t="str">
        <f t="shared" si="13"/>
        <v>Tier 4 - Stable Network</v>
      </c>
      <c r="AB65" s="3">
        <f t="shared" si="14"/>
        <v>60000</v>
      </c>
      <c r="AC65" s="3">
        <f t="shared" si="15"/>
        <v>750000</v>
      </c>
      <c r="AD65" s="3">
        <f t="shared" si="16"/>
        <v>247500.00000000003</v>
      </c>
      <c r="AE65" s="5">
        <f t="shared" si="17"/>
        <v>3.9999999999999996</v>
      </c>
      <c r="AF65" s="10">
        <f t="shared" si="18"/>
        <v>297600</v>
      </c>
      <c r="AG65" s="10">
        <f t="shared" si="19"/>
        <v>96000</v>
      </c>
      <c r="AH65" s="10">
        <f t="shared" si="20"/>
        <v>48000</v>
      </c>
      <c r="AI65" s="10">
        <f t="shared" si="21"/>
        <v>24000</v>
      </c>
      <c r="AJ65" s="10">
        <f t="shared" si="22"/>
        <v>14400</v>
      </c>
    </row>
    <row r="66" spans="1:36" x14ac:dyDescent="0.3">
      <c r="A66" t="s">
        <v>291</v>
      </c>
      <c r="B66" t="s">
        <v>292</v>
      </c>
      <c r="C66" t="s">
        <v>293</v>
      </c>
      <c r="D66" t="s">
        <v>294</v>
      </c>
      <c r="E66">
        <v>37421</v>
      </c>
      <c r="F66" t="s">
        <v>15</v>
      </c>
      <c r="G66">
        <v>6</v>
      </c>
      <c r="H66">
        <v>150</v>
      </c>
      <c r="I66" t="str" cm="1">
        <f t="array" ref="I66">_xlfn.IFS(H66&lt;=120,"V1",H66&lt;=150,"V2",H66&lt;=250,"V3", H66&lt;=350, "V4")</f>
        <v>V2</v>
      </c>
      <c r="J66" t="s">
        <v>295</v>
      </c>
      <c r="K66" t="str">
        <f t="shared" si="0"/>
        <v>35.038644</v>
      </c>
      <c r="L66" t="str">
        <f t="shared" si="1"/>
        <v>-85.19593</v>
      </c>
      <c r="M66">
        <v>204</v>
      </c>
      <c r="N66" s="1">
        <v>41886</v>
      </c>
      <c r="O66" s="1">
        <v>46099</v>
      </c>
      <c r="P66" s="2">
        <f t="shared" si="2"/>
        <v>11.534565366187543</v>
      </c>
      <c r="Q66" s="2" t="str">
        <f t="shared" si="3"/>
        <v>Old</v>
      </c>
      <c r="R66">
        <f t="shared" si="4"/>
        <v>900</v>
      </c>
      <c r="S66" t="str">
        <f t="shared" si="5"/>
        <v>Small</v>
      </c>
      <c r="T66" t="str">
        <f t="shared" si="6"/>
        <v>Lower EV Adoption Corridor</v>
      </c>
      <c r="U66" s="3">
        <f t="shared" si="7"/>
        <v>1485000.0000000002</v>
      </c>
      <c r="V66" s="4">
        <f t="shared" si="8"/>
        <v>360000</v>
      </c>
      <c r="W66" s="3">
        <f t="shared" si="9"/>
        <v>4500000</v>
      </c>
      <c r="X66" s="3">
        <f t="shared" si="10"/>
        <v>2700000</v>
      </c>
      <c r="Y66">
        <f t="shared" si="11"/>
        <v>0.3</v>
      </c>
      <c r="Z66">
        <f t="shared" si="12"/>
        <v>0.75757575757575757</v>
      </c>
      <c r="AA66" t="str">
        <f t="shared" si="13"/>
        <v>Tier 4 - Stable Network</v>
      </c>
      <c r="AB66" s="3">
        <f t="shared" si="14"/>
        <v>60000</v>
      </c>
      <c r="AC66" s="3">
        <f t="shared" si="15"/>
        <v>750000</v>
      </c>
      <c r="AD66" s="3">
        <f t="shared" si="16"/>
        <v>247500.00000000003</v>
      </c>
      <c r="AE66" s="5">
        <f t="shared" si="17"/>
        <v>3.9999999999999991</v>
      </c>
      <c r="AF66" s="10">
        <f t="shared" si="18"/>
        <v>223200</v>
      </c>
      <c r="AG66" s="10">
        <f t="shared" si="19"/>
        <v>72000</v>
      </c>
      <c r="AH66" s="10">
        <f t="shared" si="20"/>
        <v>36000</v>
      </c>
      <c r="AI66" s="10">
        <f t="shared" si="21"/>
        <v>18000</v>
      </c>
      <c r="AJ66" s="10">
        <f t="shared" si="22"/>
        <v>10800</v>
      </c>
    </row>
    <row r="67" spans="1:36" x14ac:dyDescent="0.3">
      <c r="A67" t="s">
        <v>296</v>
      </c>
      <c r="B67" t="s">
        <v>297</v>
      </c>
      <c r="C67" t="s">
        <v>298</v>
      </c>
      <c r="D67" t="s">
        <v>299</v>
      </c>
      <c r="E67">
        <v>23970</v>
      </c>
      <c r="F67" t="s">
        <v>15</v>
      </c>
      <c r="G67">
        <v>6</v>
      </c>
      <c r="H67">
        <v>150</v>
      </c>
      <c r="I67" t="str" cm="1">
        <f t="array" ref="I67">_xlfn.IFS(H67&lt;=120,"V1",H67&lt;=150,"V2",H67&lt;=250,"V3", H67&lt;=350, "V4")</f>
        <v>V2</v>
      </c>
      <c r="J67" t="s">
        <v>300</v>
      </c>
      <c r="K67" t="str">
        <f t="shared" ref="K67:K130" si="23">TRIM(LEFT(J67, FIND(",", J67) - 1))</f>
        <v>36.748445</v>
      </c>
      <c r="L67" t="str">
        <f t="shared" ref="L67:L130" si="24">TRIM(MID(J67, FIND(",", J67) + 1, LEN(J67)))</f>
        <v>-78.103764</v>
      </c>
      <c r="M67">
        <v>125</v>
      </c>
      <c r="N67" s="1">
        <v>41858</v>
      </c>
      <c r="O67" s="1">
        <v>46099</v>
      </c>
      <c r="P67" s="2">
        <f t="shared" ref="P67:P130" si="25">(O67-N67)/365.25</f>
        <v>11.611225188227241</v>
      </c>
      <c r="Q67" s="2" t="str">
        <f t="shared" ref="Q67:Q130" si="26">IF(P67&lt;3,"New",IF(P67&lt;=8,"Mid","Old"))</f>
        <v>Old</v>
      </c>
      <c r="R67">
        <f t="shared" ref="R67:R130" si="27">G67*H67</f>
        <v>900</v>
      </c>
      <c r="S67" t="str">
        <f t="shared" ref="S67:S130" si="28">IF(G67&lt;=30,"Small",IF(G67&lt;=60,"Medium","Large"))</f>
        <v>Small</v>
      </c>
      <c r="T67" t="str">
        <f t="shared" ref="T67:T130" si="29">IF(OR(D67="CA",D67="FL",D67="WA",D67="CO",D67="TX",D67="NJ"),"High EV Adoption Corridor","Lower EV Adoption Corridor")</f>
        <v>Lower EV Adoption Corridor</v>
      </c>
      <c r="U67" s="3">
        <f t="shared" ref="U67:U130" si="30" xml:space="preserve"> R67 * 1500 *
  IF(I67="V1",1,
     IF(I67="V2",1.1,1.2)) *
  IF(T67="High EV Adoption Corridor",1.3,1)</f>
        <v>1485000.0000000002</v>
      </c>
      <c r="V67" s="4">
        <f t="shared" ref="V67:V130" si="31" xml:space="preserve"> R67 * 400 *
  IF(I67="V1",0.9,
     IF(I67="V2",1,1.1)) *
  IF(T67="High EV Adoption Corridor",1.2,1)</f>
        <v>360000</v>
      </c>
      <c r="W67" s="3">
        <f t="shared" ref="W67:W130" si="32" xml:space="preserve"> R67 * 5000 *
  IF(I67="V1",0.8,
     IF(I67="V2",1,1.2)) *
  IF(T67="High EV Adoption Corridor",1.1,1)</f>
        <v>4500000</v>
      </c>
      <c r="X67" s="3">
        <f t="shared" ref="X67:X130" si="33" xml:space="preserve"> R67 * 3000 *
  IF(I67="V1",0.9,
     IF(I67="V2",1,1.1)) *
  IF(T67="High EV Adoption Corridor",1.5,1)</f>
        <v>2700000</v>
      </c>
      <c r="Y67">
        <f t="shared" ref="Y67:Y130" si="34" xml:space="preserve"> ((W67/10) + V67) / X67</f>
        <v>0.3</v>
      </c>
      <c r="Z67">
        <f t="shared" ref="Z67:Z130" si="35">(U67-V67)/U67</f>
        <v>0.75757575757575757</v>
      </c>
      <c r="AA67" t="str">
        <f t="shared" ref="AA67:AA130" si="36">IF(AND(I67="V3",T67="High EV Adoption Corridor"),
"Tier 1 - Priority Fleet",
IF(AND(I67="V3",T67="Lower EV Adoption Corridor"),
"Tier 2 - Growth Markets",
IF(AND(OR(I67="V1",I67="V2"),T67="High EV Adoption Corridor"),
"Tier 3 - Upgrade Pipeline",
IF(AND(I67="V2",T67="Lower EV Adoption Corridor"),
"Tier 4 - Stable Network",
"Tier 5 - Retirement Pipeline"))))</f>
        <v>Tier 4 - Stable Network</v>
      </c>
      <c r="AB67" s="3">
        <f t="shared" ref="AB67:AB130" si="37">V67/G67</f>
        <v>60000</v>
      </c>
      <c r="AC67" s="3">
        <f t="shared" ref="AC67:AC130" si="38">W67/G67</f>
        <v>750000</v>
      </c>
      <c r="AD67" s="3">
        <f t="shared" ref="AD67:AD130" si="39">U67/G67</f>
        <v>247500.00000000003</v>
      </c>
      <c r="AE67" s="5">
        <f t="shared" ref="AE67:AE130" si="40">W67/(U67-V67)</f>
        <v>3.9999999999999991</v>
      </c>
      <c r="AF67" s="10">
        <f t="shared" ref="AF67:AF130" si="41">V67*0.62</f>
        <v>223200</v>
      </c>
      <c r="AG67" s="10">
        <f t="shared" ref="AG67:AG130" si="42">V67*0.2</f>
        <v>72000</v>
      </c>
      <c r="AH67" s="10">
        <f t="shared" ref="AH67:AH130" si="43">V67*0.1</f>
        <v>36000</v>
      </c>
      <c r="AI67" s="10">
        <f t="shared" ref="AI67:AI130" si="44">V67*0.05</f>
        <v>18000</v>
      </c>
      <c r="AJ67" s="10">
        <f t="shared" ref="AJ67:AJ130" si="45">V67*0.03</f>
        <v>10800</v>
      </c>
    </row>
    <row r="68" spans="1:36" x14ac:dyDescent="0.3">
      <c r="A68" t="s">
        <v>301</v>
      </c>
      <c r="B68" t="s">
        <v>302</v>
      </c>
      <c r="C68" t="s">
        <v>303</v>
      </c>
      <c r="D68" t="s">
        <v>41</v>
      </c>
      <c r="E68">
        <v>32435</v>
      </c>
      <c r="F68" t="s">
        <v>15</v>
      </c>
      <c r="G68">
        <v>5</v>
      </c>
      <c r="H68">
        <v>150</v>
      </c>
      <c r="I68" t="str" cm="1">
        <f t="array" ref="I68">_xlfn.IFS(H68&lt;=120,"V1",H68&lt;=150,"V2",H68&lt;=250,"V3", H68&lt;=350, "V4")</f>
        <v>V2</v>
      </c>
      <c r="J68" t="s">
        <v>304</v>
      </c>
      <c r="K68" t="str">
        <f t="shared" si="23"/>
        <v>30.720702</v>
      </c>
      <c r="L68" t="str">
        <f t="shared" si="24"/>
        <v>-86.116677</v>
      </c>
      <c r="M68">
        <v>76</v>
      </c>
      <c r="N68" s="1">
        <v>42013</v>
      </c>
      <c r="O68" s="1">
        <v>46099</v>
      </c>
      <c r="P68" s="2">
        <f t="shared" si="25"/>
        <v>11.186858316221766</v>
      </c>
      <c r="Q68" s="2" t="str">
        <f t="shared" si="26"/>
        <v>Old</v>
      </c>
      <c r="R68">
        <f t="shared" si="27"/>
        <v>750</v>
      </c>
      <c r="S68" t="str">
        <f t="shared" si="28"/>
        <v>Small</v>
      </c>
      <c r="T68" t="str">
        <f t="shared" si="29"/>
        <v>High EV Adoption Corridor</v>
      </c>
      <c r="U68" s="3">
        <f t="shared" si="30"/>
        <v>1608750</v>
      </c>
      <c r="V68" s="4">
        <f t="shared" si="31"/>
        <v>360000</v>
      </c>
      <c r="W68" s="3">
        <f t="shared" si="32"/>
        <v>4125000.0000000005</v>
      </c>
      <c r="X68" s="3">
        <f t="shared" si="33"/>
        <v>3375000</v>
      </c>
      <c r="Y68">
        <f t="shared" si="34"/>
        <v>0.22888888888888889</v>
      </c>
      <c r="Z68">
        <f t="shared" si="35"/>
        <v>0.77622377622377625</v>
      </c>
      <c r="AA68" t="str">
        <f t="shared" si="36"/>
        <v>Tier 3 - Upgrade Pipeline</v>
      </c>
      <c r="AB68" s="3">
        <f t="shared" si="37"/>
        <v>72000</v>
      </c>
      <c r="AC68" s="3">
        <f t="shared" si="38"/>
        <v>825000.00000000012</v>
      </c>
      <c r="AD68" s="3">
        <f t="shared" si="39"/>
        <v>321750</v>
      </c>
      <c r="AE68" s="5">
        <f t="shared" si="40"/>
        <v>3.3033033033033035</v>
      </c>
      <c r="AF68" s="10">
        <f t="shared" si="41"/>
        <v>223200</v>
      </c>
      <c r="AG68" s="10">
        <f t="shared" si="42"/>
        <v>72000</v>
      </c>
      <c r="AH68" s="10">
        <f t="shared" si="43"/>
        <v>36000</v>
      </c>
      <c r="AI68" s="10">
        <f t="shared" si="44"/>
        <v>18000</v>
      </c>
      <c r="AJ68" s="10">
        <f t="shared" si="45"/>
        <v>10800</v>
      </c>
    </row>
    <row r="69" spans="1:36" x14ac:dyDescent="0.3">
      <c r="A69" t="s">
        <v>305</v>
      </c>
      <c r="B69" t="s">
        <v>306</v>
      </c>
      <c r="C69" t="s">
        <v>307</v>
      </c>
      <c r="D69" t="s">
        <v>14</v>
      </c>
      <c r="E69">
        <v>95129</v>
      </c>
      <c r="F69" t="s">
        <v>15</v>
      </c>
      <c r="G69">
        <v>12</v>
      </c>
      <c r="H69">
        <v>250</v>
      </c>
      <c r="I69" t="str" cm="1">
        <f t="array" ref="I69">_xlfn.IFS(H69&lt;=120,"V1",H69&lt;=150,"V2",H69&lt;=250,"V3", H69&lt;=350, "V4")</f>
        <v>V3</v>
      </c>
      <c r="J69" t="s">
        <v>308</v>
      </c>
      <c r="K69" t="str">
        <f t="shared" si="23"/>
        <v>37.3006</v>
      </c>
      <c r="L69" t="str">
        <f t="shared" si="24"/>
        <v>-121.9812</v>
      </c>
      <c r="M69">
        <v>62</v>
      </c>
      <c r="N69" s="1">
        <v>44895</v>
      </c>
      <c r="O69" s="1">
        <v>46099</v>
      </c>
      <c r="P69" s="2">
        <f t="shared" si="25"/>
        <v>3.2963723477070501</v>
      </c>
      <c r="Q69" s="2" t="str">
        <f t="shared" si="26"/>
        <v>Mid</v>
      </c>
      <c r="R69">
        <f t="shared" si="27"/>
        <v>3000</v>
      </c>
      <c r="S69" t="str">
        <f t="shared" si="28"/>
        <v>Small</v>
      </c>
      <c r="T69" t="str">
        <f t="shared" si="29"/>
        <v>High EV Adoption Corridor</v>
      </c>
      <c r="U69" s="3">
        <f t="shared" si="30"/>
        <v>7020000</v>
      </c>
      <c r="V69" s="4">
        <f t="shared" si="31"/>
        <v>1584000</v>
      </c>
      <c r="W69" s="3">
        <f t="shared" si="32"/>
        <v>19800000</v>
      </c>
      <c r="X69" s="3">
        <f t="shared" si="33"/>
        <v>14850000</v>
      </c>
      <c r="Y69">
        <f t="shared" si="34"/>
        <v>0.24</v>
      </c>
      <c r="Z69">
        <f t="shared" si="35"/>
        <v>0.77435897435897438</v>
      </c>
      <c r="AA69" t="str">
        <f t="shared" si="36"/>
        <v>Tier 1 - Priority Fleet</v>
      </c>
      <c r="AB69" s="3">
        <f t="shared" si="37"/>
        <v>132000</v>
      </c>
      <c r="AC69" s="3">
        <f t="shared" si="38"/>
        <v>1650000</v>
      </c>
      <c r="AD69" s="3">
        <f t="shared" si="39"/>
        <v>585000</v>
      </c>
      <c r="AE69" s="5">
        <f t="shared" si="40"/>
        <v>3.6423841059602649</v>
      </c>
      <c r="AF69" s="10">
        <f t="shared" si="41"/>
        <v>982080</v>
      </c>
      <c r="AG69" s="10">
        <f t="shared" si="42"/>
        <v>316800</v>
      </c>
      <c r="AH69" s="10">
        <f t="shared" si="43"/>
        <v>158400</v>
      </c>
      <c r="AI69" s="10">
        <f t="shared" si="44"/>
        <v>79200</v>
      </c>
      <c r="AJ69" s="10">
        <f t="shared" si="45"/>
        <v>47520</v>
      </c>
    </row>
    <row r="70" spans="1:36" x14ac:dyDescent="0.3">
      <c r="A70" t="s">
        <v>309</v>
      </c>
      <c r="B70" t="s">
        <v>310</v>
      </c>
      <c r="C70" t="s">
        <v>311</v>
      </c>
      <c r="D70" t="s">
        <v>50</v>
      </c>
      <c r="E70">
        <v>75570</v>
      </c>
      <c r="F70" t="s">
        <v>15</v>
      </c>
      <c r="G70">
        <v>16</v>
      </c>
      <c r="H70">
        <v>250</v>
      </c>
      <c r="I70" t="str" cm="1">
        <f t="array" ref="I70">_xlfn.IFS(H70&lt;=120,"V1",H70&lt;=150,"V2",H70&lt;=250,"V3", H70&lt;=350, "V4")</f>
        <v>V3</v>
      </c>
      <c r="J70" t="s">
        <v>312</v>
      </c>
      <c r="K70" t="str">
        <f t="shared" si="23"/>
        <v>33.469659</v>
      </c>
      <c r="L70" t="str">
        <f t="shared" si="24"/>
        <v>-94.454696</v>
      </c>
      <c r="M70">
        <v>112</v>
      </c>
      <c r="N70" s="1">
        <v>44917</v>
      </c>
      <c r="O70" s="1">
        <v>46099</v>
      </c>
      <c r="P70" s="2">
        <f t="shared" si="25"/>
        <v>3.2361396303901437</v>
      </c>
      <c r="Q70" s="2" t="str">
        <f t="shared" si="26"/>
        <v>Mid</v>
      </c>
      <c r="R70">
        <f t="shared" si="27"/>
        <v>4000</v>
      </c>
      <c r="S70" t="str">
        <f t="shared" si="28"/>
        <v>Small</v>
      </c>
      <c r="T70" t="str">
        <f t="shared" si="29"/>
        <v>High EV Adoption Corridor</v>
      </c>
      <c r="U70" s="3">
        <f t="shared" si="30"/>
        <v>9360000</v>
      </c>
      <c r="V70" s="4">
        <f t="shared" si="31"/>
        <v>2112000</v>
      </c>
      <c r="W70" s="3">
        <f t="shared" si="32"/>
        <v>26400000.000000004</v>
      </c>
      <c r="X70" s="3">
        <f t="shared" si="33"/>
        <v>19800000.000000004</v>
      </c>
      <c r="Y70">
        <f t="shared" si="34"/>
        <v>0.23999999999999996</v>
      </c>
      <c r="Z70">
        <f t="shared" si="35"/>
        <v>0.77435897435897438</v>
      </c>
      <c r="AA70" t="str">
        <f t="shared" si="36"/>
        <v>Tier 1 - Priority Fleet</v>
      </c>
      <c r="AB70" s="3">
        <f t="shared" si="37"/>
        <v>132000</v>
      </c>
      <c r="AC70" s="3">
        <f t="shared" si="38"/>
        <v>1650000.0000000002</v>
      </c>
      <c r="AD70" s="3">
        <f t="shared" si="39"/>
        <v>585000</v>
      </c>
      <c r="AE70" s="5">
        <f t="shared" si="40"/>
        <v>3.6423841059602653</v>
      </c>
      <c r="AF70" s="10">
        <f t="shared" si="41"/>
        <v>1309440</v>
      </c>
      <c r="AG70" s="10">
        <f t="shared" si="42"/>
        <v>422400</v>
      </c>
      <c r="AH70" s="10">
        <f t="shared" si="43"/>
        <v>211200</v>
      </c>
      <c r="AI70" s="10">
        <f t="shared" si="44"/>
        <v>105600</v>
      </c>
      <c r="AJ70" s="10">
        <f t="shared" si="45"/>
        <v>63360</v>
      </c>
    </row>
    <row r="71" spans="1:36" x14ac:dyDescent="0.3">
      <c r="A71" t="s">
        <v>313</v>
      </c>
      <c r="B71" t="s">
        <v>314</v>
      </c>
      <c r="C71" t="s">
        <v>315</v>
      </c>
      <c r="D71" t="s">
        <v>316</v>
      </c>
      <c r="E71">
        <v>97220</v>
      </c>
      <c r="F71" t="s">
        <v>15</v>
      </c>
      <c r="G71">
        <v>16</v>
      </c>
      <c r="H71">
        <v>250</v>
      </c>
      <c r="I71" t="str" cm="1">
        <f t="array" ref="I71">_xlfn.IFS(H71&lt;=120,"V1",H71&lt;=150,"V2",H71&lt;=250,"V3", H71&lt;=350, "V4")</f>
        <v>V3</v>
      </c>
      <c r="J71" t="s">
        <v>317</v>
      </c>
      <c r="K71" t="str">
        <f t="shared" si="23"/>
        <v>45.572631</v>
      </c>
      <c r="L71" t="str">
        <f t="shared" si="24"/>
        <v>-122.554017</v>
      </c>
      <c r="M71">
        <v>7</v>
      </c>
      <c r="N71" s="1">
        <v>44953</v>
      </c>
      <c r="O71" s="1">
        <v>46099</v>
      </c>
      <c r="P71" s="2">
        <f t="shared" si="25"/>
        <v>3.137577002053388</v>
      </c>
      <c r="Q71" s="2" t="str">
        <f t="shared" si="26"/>
        <v>Mid</v>
      </c>
      <c r="R71">
        <f t="shared" si="27"/>
        <v>4000</v>
      </c>
      <c r="S71" t="str">
        <f t="shared" si="28"/>
        <v>Small</v>
      </c>
      <c r="T71" t="str">
        <f t="shared" si="29"/>
        <v>Lower EV Adoption Corridor</v>
      </c>
      <c r="U71" s="3">
        <f t="shared" si="30"/>
        <v>7200000</v>
      </c>
      <c r="V71" s="4">
        <f t="shared" si="31"/>
        <v>1760000.0000000002</v>
      </c>
      <c r="W71" s="3">
        <f t="shared" si="32"/>
        <v>24000000</v>
      </c>
      <c r="X71" s="3">
        <f t="shared" si="33"/>
        <v>13200000.000000002</v>
      </c>
      <c r="Y71">
        <f t="shared" si="34"/>
        <v>0.31515151515151513</v>
      </c>
      <c r="Z71">
        <f t="shared" si="35"/>
        <v>0.75555555555555554</v>
      </c>
      <c r="AA71" t="str">
        <f t="shared" si="36"/>
        <v>Tier 2 - Growth Markets</v>
      </c>
      <c r="AB71" s="3">
        <f t="shared" si="37"/>
        <v>110000.00000000001</v>
      </c>
      <c r="AC71" s="3">
        <f t="shared" si="38"/>
        <v>1500000</v>
      </c>
      <c r="AD71" s="3">
        <f t="shared" si="39"/>
        <v>450000</v>
      </c>
      <c r="AE71" s="5">
        <f t="shared" si="40"/>
        <v>4.4117647058823533</v>
      </c>
      <c r="AF71" s="10">
        <f t="shared" si="41"/>
        <v>1091200.0000000002</v>
      </c>
      <c r="AG71" s="10">
        <f t="shared" si="42"/>
        <v>352000.00000000006</v>
      </c>
      <c r="AH71" s="10">
        <f t="shared" si="43"/>
        <v>176000.00000000003</v>
      </c>
      <c r="AI71" s="10">
        <f t="shared" si="44"/>
        <v>88000.000000000015</v>
      </c>
      <c r="AJ71" s="10">
        <f t="shared" si="45"/>
        <v>52800.000000000007</v>
      </c>
    </row>
    <row r="72" spans="1:36" x14ac:dyDescent="0.3">
      <c r="A72" t="s">
        <v>318</v>
      </c>
      <c r="B72" t="s">
        <v>319</v>
      </c>
      <c r="C72" t="s">
        <v>320</v>
      </c>
      <c r="D72" t="s">
        <v>321</v>
      </c>
      <c r="E72">
        <v>2562</v>
      </c>
      <c r="F72" t="s">
        <v>15</v>
      </c>
      <c r="G72">
        <v>8</v>
      </c>
      <c r="H72">
        <v>150</v>
      </c>
      <c r="I72" t="str" cm="1">
        <f t="array" ref="I72">_xlfn.IFS(H72&lt;=120,"V1",H72&lt;=150,"V2",H72&lt;=250,"V3", H72&lt;=350, "V4")</f>
        <v>V2</v>
      </c>
      <c r="J72" t="s">
        <v>322</v>
      </c>
      <c r="K72" t="str">
        <f t="shared" si="23"/>
        <v>41.781242</v>
      </c>
      <c r="L72" t="str">
        <f t="shared" si="24"/>
        <v>-70.540271</v>
      </c>
      <c r="M72">
        <v>26</v>
      </c>
      <c r="N72" s="1">
        <v>41939</v>
      </c>
      <c r="O72" s="1">
        <v>46099</v>
      </c>
      <c r="P72" s="2">
        <f t="shared" si="25"/>
        <v>11.389459274469541</v>
      </c>
      <c r="Q72" s="2" t="str">
        <f t="shared" si="26"/>
        <v>Old</v>
      </c>
      <c r="R72">
        <f t="shared" si="27"/>
        <v>1200</v>
      </c>
      <c r="S72" t="str">
        <f t="shared" si="28"/>
        <v>Small</v>
      </c>
      <c r="T72" t="str">
        <f t="shared" si="29"/>
        <v>Lower EV Adoption Corridor</v>
      </c>
      <c r="U72" s="3">
        <f t="shared" si="30"/>
        <v>1980000.0000000002</v>
      </c>
      <c r="V72" s="4">
        <f t="shared" si="31"/>
        <v>480000</v>
      </c>
      <c r="W72" s="3">
        <f t="shared" si="32"/>
        <v>6000000</v>
      </c>
      <c r="X72" s="3">
        <f t="shared" si="33"/>
        <v>3600000</v>
      </c>
      <c r="Y72">
        <f t="shared" si="34"/>
        <v>0.3</v>
      </c>
      <c r="Z72">
        <f t="shared" si="35"/>
        <v>0.75757575757575757</v>
      </c>
      <c r="AA72" t="str">
        <f t="shared" si="36"/>
        <v>Tier 4 - Stable Network</v>
      </c>
      <c r="AB72" s="3">
        <f t="shared" si="37"/>
        <v>60000</v>
      </c>
      <c r="AC72" s="3">
        <f t="shared" si="38"/>
        <v>750000</v>
      </c>
      <c r="AD72" s="3">
        <f t="shared" si="39"/>
        <v>247500.00000000003</v>
      </c>
      <c r="AE72" s="5">
        <f t="shared" si="40"/>
        <v>3.9999999999999996</v>
      </c>
      <c r="AF72" s="10">
        <f t="shared" si="41"/>
        <v>297600</v>
      </c>
      <c r="AG72" s="10">
        <f t="shared" si="42"/>
        <v>96000</v>
      </c>
      <c r="AH72" s="10">
        <f t="shared" si="43"/>
        <v>48000</v>
      </c>
      <c r="AI72" s="10">
        <f t="shared" si="44"/>
        <v>24000</v>
      </c>
      <c r="AJ72" s="10">
        <f t="shared" si="45"/>
        <v>14400</v>
      </c>
    </row>
    <row r="73" spans="1:36" x14ac:dyDescent="0.3">
      <c r="A73" t="s">
        <v>323</v>
      </c>
      <c r="B73" t="s">
        <v>324</v>
      </c>
      <c r="C73" t="s">
        <v>325</v>
      </c>
      <c r="D73" t="s">
        <v>281</v>
      </c>
      <c r="E73">
        <v>59715</v>
      </c>
      <c r="F73" t="s">
        <v>15</v>
      </c>
      <c r="G73">
        <v>4</v>
      </c>
      <c r="H73">
        <v>150</v>
      </c>
      <c r="I73" t="str" cm="1">
        <f t="array" ref="I73">_xlfn.IFS(H73&lt;=120,"V1",H73&lt;=150,"V2",H73&lt;=250,"V3", H73&lt;=350, "V4")</f>
        <v>V2</v>
      </c>
      <c r="J73" t="s">
        <v>326</v>
      </c>
      <c r="K73" t="str">
        <f t="shared" si="23"/>
        <v>45.700078</v>
      </c>
      <c r="L73" t="str">
        <f t="shared" si="24"/>
        <v>-111.062569</v>
      </c>
      <c r="M73">
        <v>1442</v>
      </c>
      <c r="N73" s="1">
        <v>41935</v>
      </c>
      <c r="O73" s="1">
        <v>46099</v>
      </c>
      <c r="P73" s="2">
        <f t="shared" si="25"/>
        <v>11.400410677618069</v>
      </c>
      <c r="Q73" s="2" t="str">
        <f t="shared" si="26"/>
        <v>Old</v>
      </c>
      <c r="R73">
        <f t="shared" si="27"/>
        <v>600</v>
      </c>
      <c r="S73" t="str">
        <f t="shared" si="28"/>
        <v>Small</v>
      </c>
      <c r="T73" t="str">
        <f t="shared" si="29"/>
        <v>Lower EV Adoption Corridor</v>
      </c>
      <c r="U73" s="3">
        <f t="shared" si="30"/>
        <v>990000.00000000012</v>
      </c>
      <c r="V73" s="4">
        <f t="shared" si="31"/>
        <v>240000</v>
      </c>
      <c r="W73" s="3">
        <f t="shared" si="32"/>
        <v>3000000</v>
      </c>
      <c r="X73" s="3">
        <f t="shared" si="33"/>
        <v>1800000</v>
      </c>
      <c r="Y73">
        <f t="shared" si="34"/>
        <v>0.3</v>
      </c>
      <c r="Z73">
        <f t="shared" si="35"/>
        <v>0.75757575757575757</v>
      </c>
      <c r="AA73" t="str">
        <f t="shared" si="36"/>
        <v>Tier 4 - Stable Network</v>
      </c>
      <c r="AB73" s="3">
        <f t="shared" si="37"/>
        <v>60000</v>
      </c>
      <c r="AC73" s="3">
        <f t="shared" si="38"/>
        <v>750000</v>
      </c>
      <c r="AD73" s="3">
        <f t="shared" si="39"/>
        <v>247500.00000000003</v>
      </c>
      <c r="AE73" s="5">
        <f t="shared" si="40"/>
        <v>3.9999999999999996</v>
      </c>
      <c r="AF73" s="10">
        <f t="shared" si="41"/>
        <v>148800</v>
      </c>
      <c r="AG73" s="10">
        <f t="shared" si="42"/>
        <v>48000</v>
      </c>
      <c r="AH73" s="10">
        <f t="shared" si="43"/>
        <v>24000</v>
      </c>
      <c r="AI73" s="10">
        <f t="shared" si="44"/>
        <v>12000</v>
      </c>
      <c r="AJ73" s="10">
        <f t="shared" si="45"/>
        <v>7200</v>
      </c>
    </row>
    <row r="74" spans="1:36" x14ac:dyDescent="0.3">
      <c r="A74" t="s">
        <v>327</v>
      </c>
      <c r="B74" t="s">
        <v>328</v>
      </c>
      <c r="C74" t="s">
        <v>329</v>
      </c>
      <c r="D74" t="s">
        <v>41</v>
      </c>
      <c r="E74">
        <v>33511</v>
      </c>
      <c r="F74" t="s">
        <v>15</v>
      </c>
      <c r="G74">
        <v>8</v>
      </c>
      <c r="H74">
        <v>150</v>
      </c>
      <c r="I74" t="str" cm="1">
        <f t="array" ref="I74">_xlfn.IFS(H74&lt;=120,"V1",H74&lt;=150,"V2",H74&lt;=250,"V3", H74&lt;=350, "V4")</f>
        <v>V2</v>
      </c>
      <c r="J74" t="s">
        <v>330</v>
      </c>
      <c r="K74" t="str">
        <f t="shared" si="23"/>
        <v>27.9408309</v>
      </c>
      <c r="L74" t="str">
        <f t="shared" si="24"/>
        <v>-82.3236485</v>
      </c>
      <c r="M74">
        <v>12</v>
      </c>
      <c r="N74" s="1">
        <v>41907</v>
      </c>
      <c r="O74" s="1">
        <v>46099</v>
      </c>
      <c r="P74" s="2">
        <f t="shared" si="25"/>
        <v>11.477070499657769</v>
      </c>
      <c r="Q74" s="2" t="str">
        <f t="shared" si="26"/>
        <v>Old</v>
      </c>
      <c r="R74">
        <f t="shared" si="27"/>
        <v>1200</v>
      </c>
      <c r="S74" t="str">
        <f t="shared" si="28"/>
        <v>Small</v>
      </c>
      <c r="T74" t="str">
        <f t="shared" si="29"/>
        <v>High EV Adoption Corridor</v>
      </c>
      <c r="U74" s="3">
        <f t="shared" si="30"/>
        <v>2574000.0000000005</v>
      </c>
      <c r="V74" s="4">
        <f t="shared" si="31"/>
        <v>576000</v>
      </c>
      <c r="W74" s="3">
        <f t="shared" si="32"/>
        <v>6600000.0000000009</v>
      </c>
      <c r="X74" s="3">
        <f t="shared" si="33"/>
        <v>5400000</v>
      </c>
      <c r="Y74">
        <f t="shared" si="34"/>
        <v>0.22888888888888889</v>
      </c>
      <c r="Z74">
        <f t="shared" si="35"/>
        <v>0.77622377622377625</v>
      </c>
      <c r="AA74" t="str">
        <f t="shared" si="36"/>
        <v>Tier 3 - Upgrade Pipeline</v>
      </c>
      <c r="AB74" s="3">
        <f t="shared" si="37"/>
        <v>72000</v>
      </c>
      <c r="AC74" s="3">
        <f t="shared" si="38"/>
        <v>825000.00000000012</v>
      </c>
      <c r="AD74" s="3">
        <f t="shared" si="39"/>
        <v>321750.00000000006</v>
      </c>
      <c r="AE74" s="5">
        <f t="shared" si="40"/>
        <v>3.303303303303303</v>
      </c>
      <c r="AF74" s="10">
        <f t="shared" si="41"/>
        <v>357120</v>
      </c>
      <c r="AG74" s="10">
        <f t="shared" si="42"/>
        <v>115200</v>
      </c>
      <c r="AH74" s="10">
        <f t="shared" si="43"/>
        <v>57600</v>
      </c>
      <c r="AI74" s="10">
        <f t="shared" si="44"/>
        <v>28800</v>
      </c>
      <c r="AJ74" s="10">
        <f t="shared" si="45"/>
        <v>17280</v>
      </c>
    </row>
    <row r="75" spans="1:36" x14ac:dyDescent="0.3">
      <c r="A75" t="s">
        <v>331</v>
      </c>
      <c r="B75" t="s">
        <v>332</v>
      </c>
      <c r="C75" t="s">
        <v>333</v>
      </c>
      <c r="D75" t="s">
        <v>41</v>
      </c>
      <c r="E75">
        <v>32055</v>
      </c>
      <c r="F75" t="s">
        <v>15</v>
      </c>
      <c r="G75">
        <v>6</v>
      </c>
      <c r="H75">
        <v>150</v>
      </c>
      <c r="I75" t="str" cm="1">
        <f t="array" ref="I75">_xlfn.IFS(H75&lt;=120,"V1",H75&lt;=150,"V2",H75&lt;=250,"V3", H75&lt;=350, "V4")</f>
        <v>V2</v>
      </c>
      <c r="J75" t="s">
        <v>334</v>
      </c>
      <c r="K75" t="str">
        <f t="shared" si="23"/>
        <v>30.181429</v>
      </c>
      <c r="L75" t="str">
        <f t="shared" si="24"/>
        <v>-82.679701</v>
      </c>
      <c r="M75">
        <v>46</v>
      </c>
      <c r="N75" s="1">
        <v>41871</v>
      </c>
      <c r="O75" s="1">
        <v>46099</v>
      </c>
      <c r="P75" s="2">
        <f t="shared" si="25"/>
        <v>11.575633127994525</v>
      </c>
      <c r="Q75" s="2" t="str">
        <f t="shared" si="26"/>
        <v>Old</v>
      </c>
      <c r="R75">
        <f t="shared" si="27"/>
        <v>900</v>
      </c>
      <c r="S75" t="str">
        <f t="shared" si="28"/>
        <v>Small</v>
      </c>
      <c r="T75" t="str">
        <f t="shared" si="29"/>
        <v>High EV Adoption Corridor</v>
      </c>
      <c r="U75" s="3">
        <f t="shared" si="30"/>
        <v>1930500.0000000005</v>
      </c>
      <c r="V75" s="4">
        <f t="shared" si="31"/>
        <v>432000</v>
      </c>
      <c r="W75" s="3">
        <f t="shared" si="32"/>
        <v>4950000</v>
      </c>
      <c r="X75" s="3">
        <f t="shared" si="33"/>
        <v>4050000</v>
      </c>
      <c r="Y75">
        <f t="shared" si="34"/>
        <v>0.22888888888888889</v>
      </c>
      <c r="Z75">
        <f t="shared" si="35"/>
        <v>0.77622377622377625</v>
      </c>
      <c r="AA75" t="str">
        <f t="shared" si="36"/>
        <v>Tier 3 - Upgrade Pipeline</v>
      </c>
      <c r="AB75" s="3">
        <f t="shared" si="37"/>
        <v>72000</v>
      </c>
      <c r="AC75" s="3">
        <f t="shared" si="38"/>
        <v>825000</v>
      </c>
      <c r="AD75" s="3">
        <f t="shared" si="39"/>
        <v>321750.00000000006</v>
      </c>
      <c r="AE75" s="5">
        <f t="shared" si="40"/>
        <v>3.3033033033033021</v>
      </c>
      <c r="AF75" s="10">
        <f t="shared" si="41"/>
        <v>267840</v>
      </c>
      <c r="AG75" s="10">
        <f t="shared" si="42"/>
        <v>86400</v>
      </c>
      <c r="AH75" s="10">
        <f t="shared" si="43"/>
        <v>43200</v>
      </c>
      <c r="AI75" s="10">
        <f t="shared" si="44"/>
        <v>21600</v>
      </c>
      <c r="AJ75" s="10">
        <f t="shared" si="45"/>
        <v>12960</v>
      </c>
    </row>
    <row r="76" spans="1:36" x14ac:dyDescent="0.3">
      <c r="A76" t="s">
        <v>335</v>
      </c>
      <c r="B76" t="s">
        <v>336</v>
      </c>
      <c r="C76" t="s">
        <v>337</v>
      </c>
      <c r="D76" t="s">
        <v>77</v>
      </c>
      <c r="E76">
        <v>28262</v>
      </c>
      <c r="F76" t="s">
        <v>15</v>
      </c>
      <c r="G76">
        <v>8</v>
      </c>
      <c r="H76">
        <v>150</v>
      </c>
      <c r="I76" t="str" cm="1">
        <f t="array" ref="I76">_xlfn.IFS(H76&lt;=120,"V1",H76&lt;=150,"V2",H76&lt;=250,"V3", H76&lt;=350, "V4")</f>
        <v>V2</v>
      </c>
      <c r="J76" t="s">
        <v>338</v>
      </c>
      <c r="K76" t="str">
        <f t="shared" si="23"/>
        <v>35.341213</v>
      </c>
      <c r="L76" t="str">
        <f t="shared" si="24"/>
        <v>-80.766023</v>
      </c>
      <c r="M76">
        <v>232</v>
      </c>
      <c r="N76" s="1">
        <v>42060</v>
      </c>
      <c r="O76" s="1">
        <v>46099</v>
      </c>
      <c r="P76" s="2">
        <f t="shared" si="25"/>
        <v>11.058179329226558</v>
      </c>
      <c r="Q76" s="2" t="str">
        <f t="shared" si="26"/>
        <v>Old</v>
      </c>
      <c r="R76">
        <f t="shared" si="27"/>
        <v>1200</v>
      </c>
      <c r="S76" t="str">
        <f t="shared" si="28"/>
        <v>Small</v>
      </c>
      <c r="T76" t="str">
        <f t="shared" si="29"/>
        <v>Lower EV Adoption Corridor</v>
      </c>
      <c r="U76" s="3">
        <f t="shared" si="30"/>
        <v>1980000.0000000002</v>
      </c>
      <c r="V76" s="4">
        <f t="shared" si="31"/>
        <v>480000</v>
      </c>
      <c r="W76" s="3">
        <f t="shared" si="32"/>
        <v>6000000</v>
      </c>
      <c r="X76" s="3">
        <f t="shared" si="33"/>
        <v>3600000</v>
      </c>
      <c r="Y76">
        <f t="shared" si="34"/>
        <v>0.3</v>
      </c>
      <c r="Z76">
        <f t="shared" si="35"/>
        <v>0.75757575757575757</v>
      </c>
      <c r="AA76" t="str">
        <f t="shared" si="36"/>
        <v>Tier 4 - Stable Network</v>
      </c>
      <c r="AB76" s="3">
        <f t="shared" si="37"/>
        <v>60000</v>
      </c>
      <c r="AC76" s="3">
        <f t="shared" si="38"/>
        <v>750000</v>
      </c>
      <c r="AD76" s="3">
        <f t="shared" si="39"/>
        <v>247500.00000000003</v>
      </c>
      <c r="AE76" s="5">
        <f t="shared" si="40"/>
        <v>3.9999999999999996</v>
      </c>
      <c r="AF76" s="10">
        <f t="shared" si="41"/>
        <v>297600</v>
      </c>
      <c r="AG76" s="10">
        <f t="shared" si="42"/>
        <v>96000</v>
      </c>
      <c r="AH76" s="10">
        <f t="shared" si="43"/>
        <v>48000</v>
      </c>
      <c r="AI76" s="10">
        <f t="shared" si="44"/>
        <v>24000</v>
      </c>
      <c r="AJ76" s="10">
        <f t="shared" si="45"/>
        <v>14400</v>
      </c>
    </row>
    <row r="77" spans="1:36" x14ac:dyDescent="0.3">
      <c r="A77" t="s">
        <v>339</v>
      </c>
      <c r="B77" t="s">
        <v>340</v>
      </c>
      <c r="C77" t="s">
        <v>341</v>
      </c>
      <c r="D77" t="s">
        <v>41</v>
      </c>
      <c r="E77">
        <v>33009</v>
      </c>
      <c r="F77" t="s">
        <v>15</v>
      </c>
      <c r="G77">
        <v>8</v>
      </c>
      <c r="H77">
        <v>250</v>
      </c>
      <c r="I77" t="str" cm="1">
        <f t="array" ref="I77">_xlfn.IFS(H77&lt;=120,"V1",H77&lt;=150,"V2",H77&lt;=250,"V3", H77&lt;=350, "V4")</f>
        <v>V3</v>
      </c>
      <c r="J77" t="s">
        <v>342</v>
      </c>
      <c r="K77" t="str">
        <f t="shared" si="23"/>
        <v>25.993528</v>
      </c>
      <c r="L77" t="str">
        <f t="shared" si="24"/>
        <v>-80.143183</v>
      </c>
      <c r="M77">
        <v>2</v>
      </c>
      <c r="N77" s="1">
        <v>44883</v>
      </c>
      <c r="O77" s="1">
        <v>46099</v>
      </c>
      <c r="P77" s="2">
        <f t="shared" si="25"/>
        <v>3.3292265571526354</v>
      </c>
      <c r="Q77" s="2" t="str">
        <f t="shared" si="26"/>
        <v>Mid</v>
      </c>
      <c r="R77">
        <f t="shared" si="27"/>
        <v>2000</v>
      </c>
      <c r="S77" t="str">
        <f t="shared" si="28"/>
        <v>Small</v>
      </c>
      <c r="T77" t="str">
        <f t="shared" si="29"/>
        <v>High EV Adoption Corridor</v>
      </c>
      <c r="U77" s="3">
        <f t="shared" si="30"/>
        <v>4680000</v>
      </c>
      <c r="V77" s="4">
        <f t="shared" si="31"/>
        <v>1056000</v>
      </c>
      <c r="W77" s="3">
        <f t="shared" si="32"/>
        <v>13200000.000000002</v>
      </c>
      <c r="X77" s="3">
        <f t="shared" si="33"/>
        <v>9900000.0000000019</v>
      </c>
      <c r="Y77">
        <f t="shared" si="34"/>
        <v>0.23999999999999996</v>
      </c>
      <c r="Z77">
        <f t="shared" si="35"/>
        <v>0.77435897435897438</v>
      </c>
      <c r="AA77" t="str">
        <f t="shared" si="36"/>
        <v>Tier 1 - Priority Fleet</v>
      </c>
      <c r="AB77" s="3">
        <f t="shared" si="37"/>
        <v>132000</v>
      </c>
      <c r="AC77" s="3">
        <f t="shared" si="38"/>
        <v>1650000.0000000002</v>
      </c>
      <c r="AD77" s="3">
        <f t="shared" si="39"/>
        <v>585000</v>
      </c>
      <c r="AE77" s="5">
        <f t="shared" si="40"/>
        <v>3.6423841059602653</v>
      </c>
      <c r="AF77" s="10">
        <f t="shared" si="41"/>
        <v>654720</v>
      </c>
      <c r="AG77" s="10">
        <f t="shared" si="42"/>
        <v>211200</v>
      </c>
      <c r="AH77" s="10">
        <f t="shared" si="43"/>
        <v>105600</v>
      </c>
      <c r="AI77" s="10">
        <f t="shared" si="44"/>
        <v>52800</v>
      </c>
      <c r="AJ77" s="10">
        <f t="shared" si="45"/>
        <v>31680</v>
      </c>
    </row>
    <row r="78" spans="1:36" x14ac:dyDescent="0.3">
      <c r="A78" t="s">
        <v>343</v>
      </c>
      <c r="B78" t="s">
        <v>344</v>
      </c>
      <c r="C78" t="s">
        <v>345</v>
      </c>
      <c r="D78" t="s">
        <v>41</v>
      </c>
      <c r="E78">
        <v>32835</v>
      </c>
      <c r="F78" t="s">
        <v>15</v>
      </c>
      <c r="G78">
        <v>6</v>
      </c>
      <c r="H78">
        <v>150</v>
      </c>
      <c r="I78" t="str" cm="1">
        <f t="array" ref="I78">_xlfn.IFS(H78&lt;=120,"V1",H78&lt;=150,"V2",H78&lt;=250,"V3", H78&lt;=350, "V4")</f>
        <v>V2</v>
      </c>
      <c r="J78" t="s">
        <v>346</v>
      </c>
      <c r="K78" t="str">
        <f t="shared" si="23"/>
        <v>28.514874</v>
      </c>
      <c r="L78" t="str">
        <f t="shared" si="24"/>
        <v>-81.500214</v>
      </c>
      <c r="M78">
        <v>1</v>
      </c>
      <c r="N78" s="1">
        <v>41964</v>
      </c>
      <c r="O78" s="1">
        <v>46099</v>
      </c>
      <c r="P78" s="2">
        <f t="shared" si="25"/>
        <v>11.321013004791238</v>
      </c>
      <c r="Q78" s="2" t="str">
        <f t="shared" si="26"/>
        <v>Old</v>
      </c>
      <c r="R78">
        <f t="shared" si="27"/>
        <v>900</v>
      </c>
      <c r="S78" t="str">
        <f t="shared" si="28"/>
        <v>Small</v>
      </c>
      <c r="T78" t="str">
        <f t="shared" si="29"/>
        <v>High EV Adoption Corridor</v>
      </c>
      <c r="U78" s="3">
        <f t="shared" si="30"/>
        <v>1930500.0000000005</v>
      </c>
      <c r="V78" s="4">
        <f t="shared" si="31"/>
        <v>432000</v>
      </c>
      <c r="W78" s="3">
        <f t="shared" si="32"/>
        <v>4950000</v>
      </c>
      <c r="X78" s="3">
        <f t="shared" si="33"/>
        <v>4050000</v>
      </c>
      <c r="Y78">
        <f t="shared" si="34"/>
        <v>0.22888888888888889</v>
      </c>
      <c r="Z78">
        <f t="shared" si="35"/>
        <v>0.77622377622377625</v>
      </c>
      <c r="AA78" t="str">
        <f t="shared" si="36"/>
        <v>Tier 3 - Upgrade Pipeline</v>
      </c>
      <c r="AB78" s="3">
        <f t="shared" si="37"/>
        <v>72000</v>
      </c>
      <c r="AC78" s="3">
        <f t="shared" si="38"/>
        <v>825000</v>
      </c>
      <c r="AD78" s="3">
        <f t="shared" si="39"/>
        <v>321750.00000000006</v>
      </c>
      <c r="AE78" s="5">
        <f t="shared" si="40"/>
        <v>3.3033033033033021</v>
      </c>
      <c r="AF78" s="10">
        <f t="shared" si="41"/>
        <v>267840</v>
      </c>
      <c r="AG78" s="10">
        <f t="shared" si="42"/>
        <v>86400</v>
      </c>
      <c r="AH78" s="10">
        <f t="shared" si="43"/>
        <v>43200</v>
      </c>
      <c r="AI78" s="10">
        <f t="shared" si="44"/>
        <v>21600</v>
      </c>
      <c r="AJ78" s="10">
        <f t="shared" si="45"/>
        <v>12960</v>
      </c>
    </row>
    <row r="79" spans="1:36" x14ac:dyDescent="0.3">
      <c r="A79" t="s">
        <v>347</v>
      </c>
      <c r="B79" t="s">
        <v>348</v>
      </c>
      <c r="C79" t="s">
        <v>349</v>
      </c>
      <c r="D79" t="s">
        <v>350</v>
      </c>
      <c r="E79">
        <v>70808</v>
      </c>
      <c r="F79" t="s">
        <v>15</v>
      </c>
      <c r="G79">
        <v>6</v>
      </c>
      <c r="H79">
        <v>150</v>
      </c>
      <c r="I79" t="str" cm="1">
        <f t="array" ref="I79">_xlfn.IFS(H79&lt;=120,"V1",H79&lt;=150,"V2",H79&lt;=250,"V3", H79&lt;=350, "V4")</f>
        <v>V2</v>
      </c>
      <c r="J79" t="s">
        <v>351</v>
      </c>
      <c r="K79" t="str">
        <f t="shared" si="23"/>
        <v>30.423892</v>
      </c>
      <c r="L79" t="str">
        <f t="shared" si="24"/>
        <v>-91.154637</v>
      </c>
      <c r="M79">
        <v>10</v>
      </c>
      <c r="N79" s="1">
        <v>42026</v>
      </c>
      <c r="O79" s="1">
        <v>46099</v>
      </c>
      <c r="P79" s="2">
        <f t="shared" si="25"/>
        <v>11.151266255989048</v>
      </c>
      <c r="Q79" s="2" t="str">
        <f t="shared" si="26"/>
        <v>Old</v>
      </c>
      <c r="R79">
        <f t="shared" si="27"/>
        <v>900</v>
      </c>
      <c r="S79" t="str">
        <f t="shared" si="28"/>
        <v>Small</v>
      </c>
      <c r="T79" t="str">
        <f t="shared" si="29"/>
        <v>Lower EV Adoption Corridor</v>
      </c>
      <c r="U79" s="3">
        <f t="shared" si="30"/>
        <v>1485000.0000000002</v>
      </c>
      <c r="V79" s="4">
        <f t="shared" si="31"/>
        <v>360000</v>
      </c>
      <c r="W79" s="3">
        <f t="shared" si="32"/>
        <v>4500000</v>
      </c>
      <c r="X79" s="3">
        <f t="shared" si="33"/>
        <v>2700000</v>
      </c>
      <c r="Y79">
        <f t="shared" si="34"/>
        <v>0.3</v>
      </c>
      <c r="Z79">
        <f t="shared" si="35"/>
        <v>0.75757575757575757</v>
      </c>
      <c r="AA79" t="str">
        <f t="shared" si="36"/>
        <v>Tier 4 - Stable Network</v>
      </c>
      <c r="AB79" s="3">
        <f t="shared" si="37"/>
        <v>60000</v>
      </c>
      <c r="AC79" s="3">
        <f t="shared" si="38"/>
        <v>750000</v>
      </c>
      <c r="AD79" s="3">
        <f t="shared" si="39"/>
        <v>247500.00000000003</v>
      </c>
      <c r="AE79" s="5">
        <f t="shared" si="40"/>
        <v>3.9999999999999991</v>
      </c>
      <c r="AF79" s="10">
        <f t="shared" si="41"/>
        <v>223200</v>
      </c>
      <c r="AG79" s="10">
        <f t="shared" si="42"/>
        <v>72000</v>
      </c>
      <c r="AH79" s="10">
        <f t="shared" si="43"/>
        <v>36000</v>
      </c>
      <c r="AI79" s="10">
        <f t="shared" si="44"/>
        <v>18000</v>
      </c>
      <c r="AJ79" s="10">
        <f t="shared" si="45"/>
        <v>10800</v>
      </c>
    </row>
    <row r="80" spans="1:36" x14ac:dyDescent="0.3">
      <c r="A80" t="s">
        <v>352</v>
      </c>
      <c r="B80" t="s">
        <v>353</v>
      </c>
      <c r="C80" t="s">
        <v>354</v>
      </c>
      <c r="D80" t="s">
        <v>72</v>
      </c>
      <c r="E80">
        <v>85027</v>
      </c>
      <c r="F80" t="s">
        <v>15</v>
      </c>
      <c r="G80">
        <v>16</v>
      </c>
      <c r="H80">
        <v>150</v>
      </c>
      <c r="I80" t="str" cm="1">
        <f t="array" ref="I80">_xlfn.IFS(H80&lt;=120,"V1",H80&lt;=150,"V2",H80&lt;=250,"V3", H80&lt;=350, "V4")</f>
        <v>V2</v>
      </c>
      <c r="J80" t="s">
        <v>355</v>
      </c>
      <c r="K80" t="str">
        <f t="shared" si="23"/>
        <v>33.667011</v>
      </c>
      <c r="L80" t="str">
        <f t="shared" si="24"/>
        <v>-112.120891</v>
      </c>
      <c r="M80">
        <v>417</v>
      </c>
      <c r="N80" s="1">
        <v>43180</v>
      </c>
      <c r="O80" s="1">
        <v>46099</v>
      </c>
      <c r="P80" s="2">
        <f t="shared" si="25"/>
        <v>7.9917864476386038</v>
      </c>
      <c r="Q80" s="2" t="str">
        <f t="shared" si="26"/>
        <v>Mid</v>
      </c>
      <c r="R80">
        <f t="shared" si="27"/>
        <v>2400</v>
      </c>
      <c r="S80" t="str">
        <f t="shared" si="28"/>
        <v>Small</v>
      </c>
      <c r="T80" t="str">
        <f t="shared" si="29"/>
        <v>Lower EV Adoption Corridor</v>
      </c>
      <c r="U80" s="3">
        <f t="shared" si="30"/>
        <v>3960000.0000000005</v>
      </c>
      <c r="V80" s="4">
        <f t="shared" si="31"/>
        <v>960000</v>
      </c>
      <c r="W80" s="3">
        <f t="shared" si="32"/>
        <v>12000000</v>
      </c>
      <c r="X80" s="3">
        <f t="shared" si="33"/>
        <v>7200000</v>
      </c>
      <c r="Y80">
        <f t="shared" si="34"/>
        <v>0.3</v>
      </c>
      <c r="Z80">
        <f t="shared" si="35"/>
        <v>0.75757575757575757</v>
      </c>
      <c r="AA80" t="str">
        <f t="shared" si="36"/>
        <v>Tier 4 - Stable Network</v>
      </c>
      <c r="AB80" s="3">
        <f t="shared" si="37"/>
        <v>60000</v>
      </c>
      <c r="AC80" s="3">
        <f t="shared" si="38"/>
        <v>750000</v>
      </c>
      <c r="AD80" s="3">
        <f t="shared" si="39"/>
        <v>247500.00000000003</v>
      </c>
      <c r="AE80" s="5">
        <f t="shared" si="40"/>
        <v>3.9999999999999996</v>
      </c>
      <c r="AF80" s="10">
        <f t="shared" si="41"/>
        <v>595200</v>
      </c>
      <c r="AG80" s="10">
        <f t="shared" si="42"/>
        <v>192000</v>
      </c>
      <c r="AH80" s="10">
        <f t="shared" si="43"/>
        <v>96000</v>
      </c>
      <c r="AI80" s="10">
        <f t="shared" si="44"/>
        <v>48000</v>
      </c>
      <c r="AJ80" s="10">
        <f t="shared" si="45"/>
        <v>28800</v>
      </c>
    </row>
    <row r="81" spans="1:36" x14ac:dyDescent="0.3">
      <c r="A81" t="s">
        <v>356</v>
      </c>
      <c r="B81" t="s">
        <v>357</v>
      </c>
      <c r="C81" t="s">
        <v>358</v>
      </c>
      <c r="D81" t="s">
        <v>14</v>
      </c>
      <c r="E81">
        <v>93960</v>
      </c>
      <c r="F81" t="s">
        <v>15</v>
      </c>
      <c r="G81">
        <v>8</v>
      </c>
      <c r="H81">
        <v>250</v>
      </c>
      <c r="I81" t="str" cm="1">
        <f t="array" ref="I81">_xlfn.IFS(H81&lt;=120,"V1",H81&lt;=150,"V2",H81&lt;=250,"V3", H81&lt;=350, "V4")</f>
        <v>V3</v>
      </c>
      <c r="J81" t="s">
        <v>359</v>
      </c>
      <c r="K81" t="str">
        <f t="shared" si="23"/>
        <v>36.429889</v>
      </c>
      <c r="L81" t="str">
        <f t="shared" si="24"/>
        <v>-121.334477</v>
      </c>
      <c r="M81">
        <v>56</v>
      </c>
      <c r="N81" s="1">
        <v>44521</v>
      </c>
      <c r="O81" s="1">
        <v>46099</v>
      </c>
      <c r="P81" s="2">
        <f t="shared" si="25"/>
        <v>4.3203285420944555</v>
      </c>
      <c r="Q81" s="2" t="str">
        <f t="shared" si="26"/>
        <v>Mid</v>
      </c>
      <c r="R81">
        <f t="shared" si="27"/>
        <v>2000</v>
      </c>
      <c r="S81" t="str">
        <f t="shared" si="28"/>
        <v>Small</v>
      </c>
      <c r="T81" t="str">
        <f t="shared" si="29"/>
        <v>High EV Adoption Corridor</v>
      </c>
      <c r="U81" s="3">
        <f t="shared" si="30"/>
        <v>4680000</v>
      </c>
      <c r="V81" s="4">
        <f t="shared" si="31"/>
        <v>1056000</v>
      </c>
      <c r="W81" s="3">
        <f t="shared" si="32"/>
        <v>13200000.000000002</v>
      </c>
      <c r="X81" s="3">
        <f t="shared" si="33"/>
        <v>9900000.0000000019</v>
      </c>
      <c r="Y81">
        <f t="shared" si="34"/>
        <v>0.23999999999999996</v>
      </c>
      <c r="Z81">
        <f t="shared" si="35"/>
        <v>0.77435897435897438</v>
      </c>
      <c r="AA81" t="str">
        <f t="shared" si="36"/>
        <v>Tier 1 - Priority Fleet</v>
      </c>
      <c r="AB81" s="3">
        <f t="shared" si="37"/>
        <v>132000</v>
      </c>
      <c r="AC81" s="3">
        <f t="shared" si="38"/>
        <v>1650000.0000000002</v>
      </c>
      <c r="AD81" s="3">
        <f t="shared" si="39"/>
        <v>585000</v>
      </c>
      <c r="AE81" s="5">
        <f t="shared" si="40"/>
        <v>3.6423841059602653</v>
      </c>
      <c r="AF81" s="10">
        <f t="shared" si="41"/>
        <v>654720</v>
      </c>
      <c r="AG81" s="10">
        <f t="shared" si="42"/>
        <v>211200</v>
      </c>
      <c r="AH81" s="10">
        <f t="shared" si="43"/>
        <v>105600</v>
      </c>
      <c r="AI81" s="10">
        <f t="shared" si="44"/>
        <v>52800</v>
      </c>
      <c r="AJ81" s="10">
        <f t="shared" si="45"/>
        <v>31680</v>
      </c>
    </row>
    <row r="82" spans="1:36" x14ac:dyDescent="0.3">
      <c r="A82" t="s">
        <v>360</v>
      </c>
      <c r="B82" t="s">
        <v>361</v>
      </c>
      <c r="C82" t="s">
        <v>362</v>
      </c>
      <c r="D82" t="s">
        <v>321</v>
      </c>
      <c r="E82">
        <v>1501</v>
      </c>
      <c r="F82" t="s">
        <v>15</v>
      </c>
      <c r="G82">
        <v>8</v>
      </c>
      <c r="H82">
        <v>150</v>
      </c>
      <c r="I82" t="str" cm="1">
        <f t="array" ref="I82">_xlfn.IFS(H82&lt;=120,"V1",H82&lt;=150,"V2",H82&lt;=250,"V3", H82&lt;=350, "V4")</f>
        <v>V2</v>
      </c>
      <c r="J82" t="s">
        <v>363</v>
      </c>
      <c r="K82" t="str">
        <f t="shared" si="23"/>
        <v>42.203764</v>
      </c>
      <c r="L82" t="str">
        <f t="shared" si="24"/>
        <v>-71.832954</v>
      </c>
      <c r="M82">
        <v>154</v>
      </c>
      <c r="N82" s="1">
        <v>42002</v>
      </c>
      <c r="O82" s="1">
        <v>46099</v>
      </c>
      <c r="P82" s="2">
        <f t="shared" si="25"/>
        <v>11.21697467488022</v>
      </c>
      <c r="Q82" s="2" t="str">
        <f t="shared" si="26"/>
        <v>Old</v>
      </c>
      <c r="R82">
        <f t="shared" si="27"/>
        <v>1200</v>
      </c>
      <c r="S82" t="str">
        <f t="shared" si="28"/>
        <v>Small</v>
      </c>
      <c r="T82" t="str">
        <f t="shared" si="29"/>
        <v>Lower EV Adoption Corridor</v>
      </c>
      <c r="U82" s="3">
        <f t="shared" si="30"/>
        <v>1980000.0000000002</v>
      </c>
      <c r="V82" s="4">
        <f t="shared" si="31"/>
        <v>480000</v>
      </c>
      <c r="W82" s="3">
        <f t="shared" si="32"/>
        <v>6000000</v>
      </c>
      <c r="X82" s="3">
        <f t="shared" si="33"/>
        <v>3600000</v>
      </c>
      <c r="Y82">
        <f t="shared" si="34"/>
        <v>0.3</v>
      </c>
      <c r="Z82">
        <f t="shared" si="35"/>
        <v>0.75757575757575757</v>
      </c>
      <c r="AA82" t="str">
        <f t="shared" si="36"/>
        <v>Tier 4 - Stable Network</v>
      </c>
      <c r="AB82" s="3">
        <f t="shared" si="37"/>
        <v>60000</v>
      </c>
      <c r="AC82" s="3">
        <f t="shared" si="38"/>
        <v>750000</v>
      </c>
      <c r="AD82" s="3">
        <f t="shared" si="39"/>
        <v>247500.00000000003</v>
      </c>
      <c r="AE82" s="5">
        <f t="shared" si="40"/>
        <v>3.9999999999999996</v>
      </c>
      <c r="AF82" s="10">
        <f t="shared" si="41"/>
        <v>297600</v>
      </c>
      <c r="AG82" s="10">
        <f t="shared" si="42"/>
        <v>96000</v>
      </c>
      <c r="AH82" s="10">
        <f t="shared" si="43"/>
        <v>48000</v>
      </c>
      <c r="AI82" s="10">
        <f t="shared" si="44"/>
        <v>24000</v>
      </c>
      <c r="AJ82" s="10">
        <f t="shared" si="45"/>
        <v>14400</v>
      </c>
    </row>
    <row r="83" spans="1:36" x14ac:dyDescent="0.3">
      <c r="A83" t="s">
        <v>364</v>
      </c>
      <c r="B83" t="s">
        <v>365</v>
      </c>
      <c r="C83" t="s">
        <v>366</v>
      </c>
      <c r="D83" t="s">
        <v>41</v>
      </c>
      <c r="E83">
        <v>34474</v>
      </c>
      <c r="F83" t="s">
        <v>15</v>
      </c>
      <c r="G83">
        <v>8</v>
      </c>
      <c r="H83">
        <v>150</v>
      </c>
      <c r="I83" t="str" cm="1">
        <f t="array" ref="I83">_xlfn.IFS(H83&lt;=120,"V1",H83&lt;=150,"V2",H83&lt;=250,"V3", H83&lt;=350, "V4")</f>
        <v>V2</v>
      </c>
      <c r="J83" t="s">
        <v>367</v>
      </c>
      <c r="K83" t="str">
        <f t="shared" si="23"/>
        <v>29.140985</v>
      </c>
      <c r="L83" t="str">
        <f t="shared" si="24"/>
        <v>-82.19395</v>
      </c>
      <c r="M83">
        <v>23</v>
      </c>
      <c r="N83" s="1">
        <v>41946</v>
      </c>
      <c r="O83" s="1">
        <v>46099</v>
      </c>
      <c r="P83" s="2">
        <f t="shared" si="25"/>
        <v>11.370294318959617</v>
      </c>
      <c r="Q83" s="2" t="str">
        <f t="shared" si="26"/>
        <v>Old</v>
      </c>
      <c r="R83">
        <f t="shared" si="27"/>
        <v>1200</v>
      </c>
      <c r="S83" t="str">
        <f t="shared" si="28"/>
        <v>Small</v>
      </c>
      <c r="T83" t="str">
        <f t="shared" si="29"/>
        <v>High EV Adoption Corridor</v>
      </c>
      <c r="U83" s="3">
        <f t="shared" si="30"/>
        <v>2574000.0000000005</v>
      </c>
      <c r="V83" s="4">
        <f t="shared" si="31"/>
        <v>576000</v>
      </c>
      <c r="W83" s="3">
        <f t="shared" si="32"/>
        <v>6600000.0000000009</v>
      </c>
      <c r="X83" s="3">
        <f t="shared" si="33"/>
        <v>5400000</v>
      </c>
      <c r="Y83">
        <f t="shared" si="34"/>
        <v>0.22888888888888889</v>
      </c>
      <c r="Z83">
        <f t="shared" si="35"/>
        <v>0.77622377622377625</v>
      </c>
      <c r="AA83" t="str">
        <f t="shared" si="36"/>
        <v>Tier 3 - Upgrade Pipeline</v>
      </c>
      <c r="AB83" s="3">
        <f t="shared" si="37"/>
        <v>72000</v>
      </c>
      <c r="AC83" s="3">
        <f t="shared" si="38"/>
        <v>825000.00000000012</v>
      </c>
      <c r="AD83" s="3">
        <f t="shared" si="39"/>
        <v>321750.00000000006</v>
      </c>
      <c r="AE83" s="5">
        <f t="shared" si="40"/>
        <v>3.303303303303303</v>
      </c>
      <c r="AF83" s="10">
        <f t="shared" si="41"/>
        <v>357120</v>
      </c>
      <c r="AG83" s="10">
        <f t="shared" si="42"/>
        <v>115200</v>
      </c>
      <c r="AH83" s="10">
        <f t="shared" si="43"/>
        <v>57600</v>
      </c>
      <c r="AI83" s="10">
        <f t="shared" si="44"/>
        <v>28800</v>
      </c>
      <c r="AJ83" s="10">
        <f t="shared" si="45"/>
        <v>17280</v>
      </c>
    </row>
    <row r="84" spans="1:36" x14ac:dyDescent="0.3">
      <c r="A84" t="s">
        <v>368</v>
      </c>
      <c r="B84" t="s">
        <v>369</v>
      </c>
      <c r="C84" t="s">
        <v>370</v>
      </c>
      <c r="D84" t="s">
        <v>148</v>
      </c>
      <c r="E84">
        <v>66614</v>
      </c>
      <c r="F84" t="s">
        <v>15</v>
      </c>
      <c r="G84">
        <v>8</v>
      </c>
      <c r="H84">
        <v>150</v>
      </c>
      <c r="I84" t="str" cm="1">
        <f t="array" ref="I84">_xlfn.IFS(H84&lt;=120,"V1",H84&lt;=150,"V2",H84&lt;=250,"V3", H84&lt;=350, "V4")</f>
        <v>V2</v>
      </c>
      <c r="J84" t="s">
        <v>371</v>
      </c>
      <c r="K84" t="str">
        <f t="shared" si="23"/>
        <v>39.044199</v>
      </c>
      <c r="L84" t="str">
        <f t="shared" si="24"/>
        <v>-95.76046</v>
      </c>
      <c r="M84">
        <v>283</v>
      </c>
      <c r="N84" s="1">
        <v>41929</v>
      </c>
      <c r="O84" s="1">
        <v>46099</v>
      </c>
      <c r="P84" s="2">
        <f t="shared" si="25"/>
        <v>11.416837782340862</v>
      </c>
      <c r="Q84" s="2" t="str">
        <f t="shared" si="26"/>
        <v>Old</v>
      </c>
      <c r="R84">
        <f t="shared" si="27"/>
        <v>1200</v>
      </c>
      <c r="S84" t="str">
        <f t="shared" si="28"/>
        <v>Small</v>
      </c>
      <c r="T84" t="str">
        <f t="shared" si="29"/>
        <v>Lower EV Adoption Corridor</v>
      </c>
      <c r="U84" s="3">
        <f t="shared" si="30"/>
        <v>1980000.0000000002</v>
      </c>
      <c r="V84" s="4">
        <f t="shared" si="31"/>
        <v>480000</v>
      </c>
      <c r="W84" s="3">
        <f t="shared" si="32"/>
        <v>6000000</v>
      </c>
      <c r="X84" s="3">
        <f t="shared" si="33"/>
        <v>3600000</v>
      </c>
      <c r="Y84">
        <f t="shared" si="34"/>
        <v>0.3</v>
      </c>
      <c r="Z84">
        <f t="shared" si="35"/>
        <v>0.75757575757575757</v>
      </c>
      <c r="AA84" t="str">
        <f t="shared" si="36"/>
        <v>Tier 4 - Stable Network</v>
      </c>
      <c r="AB84" s="3">
        <f t="shared" si="37"/>
        <v>60000</v>
      </c>
      <c r="AC84" s="3">
        <f t="shared" si="38"/>
        <v>750000</v>
      </c>
      <c r="AD84" s="3">
        <f t="shared" si="39"/>
        <v>247500.00000000003</v>
      </c>
      <c r="AE84" s="5">
        <f t="shared" si="40"/>
        <v>3.9999999999999996</v>
      </c>
      <c r="AF84" s="10">
        <f t="shared" si="41"/>
        <v>297600</v>
      </c>
      <c r="AG84" s="10">
        <f t="shared" si="42"/>
        <v>96000</v>
      </c>
      <c r="AH84" s="10">
        <f t="shared" si="43"/>
        <v>48000</v>
      </c>
      <c r="AI84" s="10">
        <f t="shared" si="44"/>
        <v>24000</v>
      </c>
      <c r="AJ84" s="10">
        <f t="shared" si="45"/>
        <v>14400</v>
      </c>
    </row>
    <row r="85" spans="1:36" x14ac:dyDescent="0.3">
      <c r="A85" t="s">
        <v>372</v>
      </c>
      <c r="B85" t="s">
        <v>373</v>
      </c>
      <c r="C85" t="s">
        <v>374</v>
      </c>
      <c r="D85" t="s">
        <v>281</v>
      </c>
      <c r="E85">
        <v>59011</v>
      </c>
      <c r="F85" t="s">
        <v>15</v>
      </c>
      <c r="G85">
        <v>4</v>
      </c>
      <c r="H85">
        <v>150</v>
      </c>
      <c r="I85" t="str" cm="1">
        <f t="array" ref="I85">_xlfn.IFS(H85&lt;=120,"V1",H85&lt;=150,"V2",H85&lt;=250,"V3", H85&lt;=350, "V4")</f>
        <v>V2</v>
      </c>
      <c r="J85" t="s">
        <v>375</v>
      </c>
      <c r="K85" t="str">
        <f t="shared" si="23"/>
        <v>45.836201</v>
      </c>
      <c r="L85" t="str">
        <f t="shared" si="24"/>
        <v>-109.943317</v>
      </c>
      <c r="M85">
        <v>1246</v>
      </c>
      <c r="N85" s="1">
        <v>41934</v>
      </c>
      <c r="O85" s="1">
        <v>46099</v>
      </c>
      <c r="P85" s="2">
        <f t="shared" si="25"/>
        <v>11.403148528405202</v>
      </c>
      <c r="Q85" s="2" t="str">
        <f t="shared" si="26"/>
        <v>Old</v>
      </c>
      <c r="R85">
        <f t="shared" si="27"/>
        <v>600</v>
      </c>
      <c r="S85" t="str">
        <f t="shared" si="28"/>
        <v>Small</v>
      </c>
      <c r="T85" t="str">
        <f t="shared" si="29"/>
        <v>Lower EV Adoption Corridor</v>
      </c>
      <c r="U85" s="3">
        <f t="shared" si="30"/>
        <v>990000.00000000012</v>
      </c>
      <c r="V85" s="4">
        <f t="shared" si="31"/>
        <v>240000</v>
      </c>
      <c r="W85" s="3">
        <f t="shared" si="32"/>
        <v>3000000</v>
      </c>
      <c r="X85" s="3">
        <f t="shared" si="33"/>
        <v>1800000</v>
      </c>
      <c r="Y85">
        <f t="shared" si="34"/>
        <v>0.3</v>
      </c>
      <c r="Z85">
        <f t="shared" si="35"/>
        <v>0.75757575757575757</v>
      </c>
      <c r="AA85" t="str">
        <f t="shared" si="36"/>
        <v>Tier 4 - Stable Network</v>
      </c>
      <c r="AB85" s="3">
        <f t="shared" si="37"/>
        <v>60000</v>
      </c>
      <c r="AC85" s="3">
        <f t="shared" si="38"/>
        <v>750000</v>
      </c>
      <c r="AD85" s="3">
        <f t="shared" si="39"/>
        <v>247500.00000000003</v>
      </c>
      <c r="AE85" s="5">
        <f t="shared" si="40"/>
        <v>3.9999999999999996</v>
      </c>
      <c r="AF85" s="10">
        <f t="shared" si="41"/>
        <v>148800</v>
      </c>
      <c r="AG85" s="10">
        <f t="shared" si="42"/>
        <v>48000</v>
      </c>
      <c r="AH85" s="10">
        <f t="shared" si="43"/>
        <v>24000</v>
      </c>
      <c r="AI85" s="10">
        <f t="shared" si="44"/>
        <v>12000</v>
      </c>
      <c r="AJ85" s="10">
        <f t="shared" si="45"/>
        <v>7200</v>
      </c>
    </row>
    <row r="86" spans="1:36" x14ac:dyDescent="0.3">
      <c r="A86" t="s">
        <v>376</v>
      </c>
      <c r="B86" t="s">
        <v>377</v>
      </c>
      <c r="C86" t="s">
        <v>378</v>
      </c>
      <c r="D86" t="s">
        <v>350</v>
      </c>
      <c r="E86">
        <v>70601</v>
      </c>
      <c r="F86" t="s">
        <v>15</v>
      </c>
      <c r="G86">
        <v>6</v>
      </c>
      <c r="H86">
        <v>150</v>
      </c>
      <c r="I86" t="str" cm="1">
        <f t="array" ref="I86">_xlfn.IFS(H86&lt;=120,"V1",H86&lt;=150,"V2",H86&lt;=250,"V3", H86&lt;=350, "V4")</f>
        <v>V2</v>
      </c>
      <c r="J86" t="s">
        <v>379</v>
      </c>
      <c r="K86" t="str">
        <f t="shared" si="23"/>
        <v>30.199071</v>
      </c>
      <c r="L86" t="str">
        <f t="shared" si="24"/>
        <v>-93.248782</v>
      </c>
      <c r="M86">
        <v>3</v>
      </c>
      <c r="N86" s="1">
        <v>41994</v>
      </c>
      <c r="O86" s="1">
        <v>46099</v>
      </c>
      <c r="P86" s="2">
        <f t="shared" si="25"/>
        <v>11.238877481177276</v>
      </c>
      <c r="Q86" s="2" t="str">
        <f t="shared" si="26"/>
        <v>Old</v>
      </c>
      <c r="R86">
        <f t="shared" si="27"/>
        <v>900</v>
      </c>
      <c r="S86" t="str">
        <f t="shared" si="28"/>
        <v>Small</v>
      </c>
      <c r="T86" t="str">
        <f t="shared" si="29"/>
        <v>Lower EV Adoption Corridor</v>
      </c>
      <c r="U86" s="3">
        <f t="shared" si="30"/>
        <v>1485000.0000000002</v>
      </c>
      <c r="V86" s="4">
        <f t="shared" si="31"/>
        <v>360000</v>
      </c>
      <c r="W86" s="3">
        <f t="shared" si="32"/>
        <v>4500000</v>
      </c>
      <c r="X86" s="3">
        <f t="shared" si="33"/>
        <v>2700000</v>
      </c>
      <c r="Y86">
        <f t="shared" si="34"/>
        <v>0.3</v>
      </c>
      <c r="Z86">
        <f t="shared" si="35"/>
        <v>0.75757575757575757</v>
      </c>
      <c r="AA86" t="str">
        <f t="shared" si="36"/>
        <v>Tier 4 - Stable Network</v>
      </c>
      <c r="AB86" s="3">
        <f t="shared" si="37"/>
        <v>60000</v>
      </c>
      <c r="AC86" s="3">
        <f t="shared" si="38"/>
        <v>750000</v>
      </c>
      <c r="AD86" s="3">
        <f t="shared" si="39"/>
        <v>247500.00000000003</v>
      </c>
      <c r="AE86" s="5">
        <f t="shared" si="40"/>
        <v>3.9999999999999991</v>
      </c>
      <c r="AF86" s="10">
        <f t="shared" si="41"/>
        <v>223200</v>
      </c>
      <c r="AG86" s="10">
        <f t="shared" si="42"/>
        <v>72000</v>
      </c>
      <c r="AH86" s="10">
        <f t="shared" si="43"/>
        <v>36000</v>
      </c>
      <c r="AI86" s="10">
        <f t="shared" si="44"/>
        <v>18000</v>
      </c>
      <c r="AJ86" s="10">
        <f t="shared" si="45"/>
        <v>10800</v>
      </c>
    </row>
    <row r="87" spans="1:36" x14ac:dyDescent="0.3">
      <c r="A87" t="s">
        <v>380</v>
      </c>
      <c r="B87" t="s">
        <v>381</v>
      </c>
      <c r="C87" t="s">
        <v>382</v>
      </c>
      <c r="D87" t="s">
        <v>41</v>
      </c>
      <c r="E87">
        <v>33442</v>
      </c>
      <c r="F87" t="s">
        <v>15</v>
      </c>
      <c r="G87">
        <v>8</v>
      </c>
      <c r="H87">
        <v>250</v>
      </c>
      <c r="I87" t="str" cm="1">
        <f t="array" ref="I87">_xlfn.IFS(H87&lt;=120,"V1",H87&lt;=150,"V2",H87&lt;=250,"V3", H87&lt;=350, "V4")</f>
        <v>V3</v>
      </c>
      <c r="J87" t="s">
        <v>383</v>
      </c>
      <c r="K87" t="str">
        <f t="shared" si="23"/>
        <v>26.317736</v>
      </c>
      <c r="L87" t="str">
        <f t="shared" si="24"/>
        <v>-80.119643</v>
      </c>
      <c r="M87">
        <v>4</v>
      </c>
      <c r="N87" s="1">
        <v>43886</v>
      </c>
      <c r="O87" s="1">
        <v>46099</v>
      </c>
      <c r="P87" s="2">
        <f t="shared" si="25"/>
        <v>6.0588637919233399</v>
      </c>
      <c r="Q87" s="2" t="str">
        <f t="shared" si="26"/>
        <v>Mid</v>
      </c>
      <c r="R87">
        <f t="shared" si="27"/>
        <v>2000</v>
      </c>
      <c r="S87" t="str">
        <f t="shared" si="28"/>
        <v>Small</v>
      </c>
      <c r="T87" t="str">
        <f t="shared" si="29"/>
        <v>High EV Adoption Corridor</v>
      </c>
      <c r="U87" s="3">
        <f t="shared" si="30"/>
        <v>4680000</v>
      </c>
      <c r="V87" s="4">
        <f t="shared" si="31"/>
        <v>1056000</v>
      </c>
      <c r="W87" s="3">
        <f t="shared" si="32"/>
        <v>13200000.000000002</v>
      </c>
      <c r="X87" s="3">
        <f t="shared" si="33"/>
        <v>9900000.0000000019</v>
      </c>
      <c r="Y87">
        <f t="shared" si="34"/>
        <v>0.23999999999999996</v>
      </c>
      <c r="Z87">
        <f t="shared" si="35"/>
        <v>0.77435897435897438</v>
      </c>
      <c r="AA87" t="str">
        <f t="shared" si="36"/>
        <v>Tier 1 - Priority Fleet</v>
      </c>
      <c r="AB87" s="3">
        <f t="shared" si="37"/>
        <v>132000</v>
      </c>
      <c r="AC87" s="3">
        <f t="shared" si="38"/>
        <v>1650000.0000000002</v>
      </c>
      <c r="AD87" s="3">
        <f t="shared" si="39"/>
        <v>585000</v>
      </c>
      <c r="AE87" s="5">
        <f t="shared" si="40"/>
        <v>3.6423841059602653</v>
      </c>
      <c r="AF87" s="10">
        <f t="shared" si="41"/>
        <v>654720</v>
      </c>
      <c r="AG87" s="10">
        <f t="shared" si="42"/>
        <v>211200</v>
      </c>
      <c r="AH87" s="10">
        <f t="shared" si="43"/>
        <v>105600</v>
      </c>
      <c r="AI87" s="10">
        <f t="shared" si="44"/>
        <v>52800</v>
      </c>
      <c r="AJ87" s="10">
        <f t="shared" si="45"/>
        <v>31680</v>
      </c>
    </row>
    <row r="88" spans="1:36" x14ac:dyDescent="0.3">
      <c r="A88" t="s">
        <v>384</v>
      </c>
      <c r="B88" t="s">
        <v>385</v>
      </c>
      <c r="C88" t="s">
        <v>386</v>
      </c>
      <c r="D88" t="s">
        <v>41</v>
      </c>
      <c r="E88">
        <v>34972</v>
      </c>
      <c r="F88" t="s">
        <v>15</v>
      </c>
      <c r="G88">
        <v>10</v>
      </c>
      <c r="H88">
        <v>150</v>
      </c>
      <c r="I88" t="str" cm="1">
        <f t="array" ref="I88">_xlfn.IFS(H88&lt;=120,"V1",H88&lt;=150,"V2",H88&lt;=250,"V3", H88&lt;=350, "V4")</f>
        <v>V2</v>
      </c>
      <c r="J88" t="s">
        <v>387</v>
      </c>
      <c r="K88" t="str">
        <f t="shared" si="23"/>
        <v>27.601444</v>
      </c>
      <c r="L88" t="str">
        <f t="shared" si="24"/>
        <v>-80.822187</v>
      </c>
      <c r="M88">
        <v>16</v>
      </c>
      <c r="N88" s="1">
        <v>41969</v>
      </c>
      <c r="O88" s="1">
        <v>46099</v>
      </c>
      <c r="P88" s="2">
        <f t="shared" si="25"/>
        <v>11.307323750855579</v>
      </c>
      <c r="Q88" s="2" t="str">
        <f t="shared" si="26"/>
        <v>Old</v>
      </c>
      <c r="R88">
        <f t="shared" si="27"/>
        <v>1500</v>
      </c>
      <c r="S88" t="str">
        <f t="shared" si="28"/>
        <v>Small</v>
      </c>
      <c r="T88" t="str">
        <f t="shared" si="29"/>
        <v>High EV Adoption Corridor</v>
      </c>
      <c r="U88" s="3">
        <f t="shared" si="30"/>
        <v>3217500</v>
      </c>
      <c r="V88" s="4">
        <f t="shared" si="31"/>
        <v>720000</v>
      </c>
      <c r="W88" s="3">
        <f t="shared" si="32"/>
        <v>8250000.0000000009</v>
      </c>
      <c r="X88" s="3">
        <f t="shared" si="33"/>
        <v>6750000</v>
      </c>
      <c r="Y88">
        <f t="shared" si="34"/>
        <v>0.22888888888888889</v>
      </c>
      <c r="Z88">
        <f t="shared" si="35"/>
        <v>0.77622377622377625</v>
      </c>
      <c r="AA88" t="str">
        <f t="shared" si="36"/>
        <v>Tier 3 - Upgrade Pipeline</v>
      </c>
      <c r="AB88" s="3">
        <f t="shared" si="37"/>
        <v>72000</v>
      </c>
      <c r="AC88" s="3">
        <f t="shared" si="38"/>
        <v>825000.00000000012</v>
      </c>
      <c r="AD88" s="3">
        <f t="shared" si="39"/>
        <v>321750</v>
      </c>
      <c r="AE88" s="5">
        <f t="shared" si="40"/>
        <v>3.3033033033033035</v>
      </c>
      <c r="AF88" s="10">
        <f t="shared" si="41"/>
        <v>446400</v>
      </c>
      <c r="AG88" s="10">
        <f t="shared" si="42"/>
        <v>144000</v>
      </c>
      <c r="AH88" s="10">
        <f t="shared" si="43"/>
        <v>72000</v>
      </c>
      <c r="AI88" s="10">
        <f t="shared" si="44"/>
        <v>36000</v>
      </c>
      <c r="AJ88" s="10">
        <f t="shared" si="45"/>
        <v>21600</v>
      </c>
    </row>
    <row r="89" spans="1:36" x14ac:dyDescent="0.3">
      <c r="A89" t="s">
        <v>388</v>
      </c>
      <c r="B89" t="s">
        <v>389</v>
      </c>
      <c r="C89" t="s">
        <v>390</v>
      </c>
      <c r="D89" t="s">
        <v>59</v>
      </c>
      <c r="E89">
        <v>60478</v>
      </c>
      <c r="F89" t="s">
        <v>15</v>
      </c>
      <c r="G89">
        <v>8</v>
      </c>
      <c r="H89">
        <v>150</v>
      </c>
      <c r="I89" t="str" cm="1">
        <f t="array" ref="I89">_xlfn.IFS(H89&lt;=120,"V1",H89&lt;=150,"V2",H89&lt;=250,"V3", H89&lt;=350, "V4")</f>
        <v>V2</v>
      </c>
      <c r="J89" t="s">
        <v>391</v>
      </c>
      <c r="K89" t="str">
        <f t="shared" si="23"/>
        <v>41.584927</v>
      </c>
      <c r="L89" t="str">
        <f t="shared" si="24"/>
        <v>-87.721062</v>
      </c>
      <c r="M89">
        <v>205</v>
      </c>
      <c r="N89" s="1">
        <v>41951</v>
      </c>
      <c r="O89" s="1">
        <v>46099</v>
      </c>
      <c r="P89" s="2">
        <f t="shared" si="25"/>
        <v>11.356605065023956</v>
      </c>
      <c r="Q89" s="2" t="str">
        <f t="shared" si="26"/>
        <v>Old</v>
      </c>
      <c r="R89">
        <f t="shared" si="27"/>
        <v>1200</v>
      </c>
      <c r="S89" t="str">
        <f t="shared" si="28"/>
        <v>Small</v>
      </c>
      <c r="T89" t="str">
        <f t="shared" si="29"/>
        <v>Lower EV Adoption Corridor</v>
      </c>
      <c r="U89" s="3">
        <f t="shared" si="30"/>
        <v>1980000.0000000002</v>
      </c>
      <c r="V89" s="4">
        <f t="shared" si="31"/>
        <v>480000</v>
      </c>
      <c r="W89" s="3">
        <f t="shared" si="32"/>
        <v>6000000</v>
      </c>
      <c r="X89" s="3">
        <f t="shared" si="33"/>
        <v>3600000</v>
      </c>
      <c r="Y89">
        <f t="shared" si="34"/>
        <v>0.3</v>
      </c>
      <c r="Z89">
        <f t="shared" si="35"/>
        <v>0.75757575757575757</v>
      </c>
      <c r="AA89" t="str">
        <f t="shared" si="36"/>
        <v>Tier 4 - Stable Network</v>
      </c>
      <c r="AB89" s="3">
        <f t="shared" si="37"/>
        <v>60000</v>
      </c>
      <c r="AC89" s="3">
        <f t="shared" si="38"/>
        <v>750000</v>
      </c>
      <c r="AD89" s="3">
        <f t="shared" si="39"/>
        <v>247500.00000000003</v>
      </c>
      <c r="AE89" s="5">
        <f t="shared" si="40"/>
        <v>3.9999999999999996</v>
      </c>
      <c r="AF89" s="10">
        <f t="shared" si="41"/>
        <v>297600</v>
      </c>
      <c r="AG89" s="10">
        <f t="shared" si="42"/>
        <v>96000</v>
      </c>
      <c r="AH89" s="10">
        <f t="shared" si="43"/>
        <v>48000</v>
      </c>
      <c r="AI89" s="10">
        <f t="shared" si="44"/>
        <v>24000</v>
      </c>
      <c r="AJ89" s="10">
        <f t="shared" si="45"/>
        <v>14400</v>
      </c>
    </row>
    <row r="90" spans="1:36" x14ac:dyDescent="0.3">
      <c r="A90" t="s">
        <v>392</v>
      </c>
      <c r="B90" t="s">
        <v>393</v>
      </c>
      <c r="C90" t="s">
        <v>394</v>
      </c>
      <c r="D90" t="s">
        <v>158</v>
      </c>
      <c r="E90">
        <v>14779</v>
      </c>
      <c r="F90" t="s">
        <v>15</v>
      </c>
      <c r="G90">
        <v>8</v>
      </c>
      <c r="H90">
        <v>120</v>
      </c>
      <c r="I90" t="str" cm="1">
        <f t="array" ref="I90">_xlfn.IFS(H90&lt;=120,"V1",H90&lt;=150,"V2",H90&lt;=250,"V3", H90&lt;=350, "V4")</f>
        <v>V1</v>
      </c>
      <c r="J90" t="s">
        <v>395</v>
      </c>
      <c r="K90" t="str">
        <f t="shared" si="23"/>
        <v>42.153067</v>
      </c>
      <c r="L90" t="str">
        <f t="shared" si="24"/>
        <v>-78.747726</v>
      </c>
      <c r="M90">
        <v>429</v>
      </c>
      <c r="N90" s="1">
        <v>43496</v>
      </c>
      <c r="O90" s="1">
        <v>46099</v>
      </c>
      <c r="P90" s="2">
        <f t="shared" si="25"/>
        <v>7.1266255989048597</v>
      </c>
      <c r="Q90" s="2" t="str">
        <f t="shared" si="26"/>
        <v>Mid</v>
      </c>
      <c r="R90">
        <f t="shared" si="27"/>
        <v>960</v>
      </c>
      <c r="S90" t="str">
        <f t="shared" si="28"/>
        <v>Small</v>
      </c>
      <c r="T90" t="str">
        <f t="shared" si="29"/>
        <v>Lower EV Adoption Corridor</v>
      </c>
      <c r="U90" s="3">
        <f t="shared" si="30"/>
        <v>1440000</v>
      </c>
      <c r="V90" s="4">
        <f t="shared" si="31"/>
        <v>345600</v>
      </c>
      <c r="W90" s="3">
        <f t="shared" si="32"/>
        <v>3840000</v>
      </c>
      <c r="X90" s="3">
        <f t="shared" si="33"/>
        <v>2592000</v>
      </c>
      <c r="Y90">
        <f t="shared" si="34"/>
        <v>0.2814814814814815</v>
      </c>
      <c r="Z90">
        <f t="shared" si="35"/>
        <v>0.76</v>
      </c>
      <c r="AA90" t="str">
        <f t="shared" si="36"/>
        <v>Tier 5 - Retirement Pipeline</v>
      </c>
      <c r="AB90" s="3">
        <f t="shared" si="37"/>
        <v>43200</v>
      </c>
      <c r="AC90" s="3">
        <f t="shared" si="38"/>
        <v>480000</v>
      </c>
      <c r="AD90" s="3">
        <f t="shared" si="39"/>
        <v>180000</v>
      </c>
      <c r="AE90" s="5">
        <f t="shared" si="40"/>
        <v>3.5087719298245612</v>
      </c>
      <c r="AF90" s="10">
        <f t="shared" si="41"/>
        <v>214272</v>
      </c>
      <c r="AG90" s="10">
        <f t="shared" si="42"/>
        <v>69120</v>
      </c>
      <c r="AH90" s="10">
        <f t="shared" si="43"/>
        <v>34560</v>
      </c>
      <c r="AI90" s="10">
        <f t="shared" si="44"/>
        <v>17280</v>
      </c>
      <c r="AJ90" s="10">
        <f t="shared" si="45"/>
        <v>10368</v>
      </c>
    </row>
    <row r="91" spans="1:36" x14ac:dyDescent="0.3">
      <c r="A91" t="s">
        <v>396</v>
      </c>
      <c r="B91" t="s">
        <v>397</v>
      </c>
      <c r="C91" t="s">
        <v>398</v>
      </c>
      <c r="D91" t="s">
        <v>230</v>
      </c>
      <c r="E91">
        <v>98087</v>
      </c>
      <c r="F91" t="s">
        <v>15</v>
      </c>
      <c r="G91">
        <v>10</v>
      </c>
      <c r="H91">
        <v>72</v>
      </c>
      <c r="I91" t="str" cm="1">
        <f t="array" ref="I91">_xlfn.IFS(H91&lt;=120,"V1",H91&lt;=150,"V2",H91&lt;=250,"V3", H91&lt;=350, "V4")</f>
        <v>V1</v>
      </c>
      <c r="J91" t="s">
        <v>399</v>
      </c>
      <c r="K91" t="str">
        <f t="shared" si="23"/>
        <v>47.846712</v>
      </c>
      <c r="L91" t="str">
        <f t="shared" si="24"/>
        <v>-122.271391</v>
      </c>
      <c r="M91">
        <v>131</v>
      </c>
      <c r="N91" s="1">
        <v>43120</v>
      </c>
      <c r="O91" s="1">
        <v>46099</v>
      </c>
      <c r="P91" s="2">
        <f t="shared" si="25"/>
        <v>8.1560574948665305</v>
      </c>
      <c r="Q91" s="2" t="str">
        <f t="shared" si="26"/>
        <v>Old</v>
      </c>
      <c r="R91">
        <f t="shared" si="27"/>
        <v>720</v>
      </c>
      <c r="S91" t="str">
        <f t="shared" si="28"/>
        <v>Small</v>
      </c>
      <c r="T91" t="str">
        <f t="shared" si="29"/>
        <v>High EV Adoption Corridor</v>
      </c>
      <c r="U91" s="3">
        <f t="shared" si="30"/>
        <v>1404000</v>
      </c>
      <c r="V91" s="4">
        <f t="shared" si="31"/>
        <v>311040</v>
      </c>
      <c r="W91" s="3">
        <f t="shared" si="32"/>
        <v>3168000.0000000005</v>
      </c>
      <c r="X91" s="3">
        <f t="shared" si="33"/>
        <v>2916000</v>
      </c>
      <c r="Y91">
        <f t="shared" si="34"/>
        <v>0.21530864197530863</v>
      </c>
      <c r="Z91">
        <f t="shared" si="35"/>
        <v>0.77846153846153843</v>
      </c>
      <c r="AA91" t="str">
        <f t="shared" si="36"/>
        <v>Tier 3 - Upgrade Pipeline</v>
      </c>
      <c r="AB91" s="3">
        <f t="shared" si="37"/>
        <v>31104</v>
      </c>
      <c r="AC91" s="3">
        <f t="shared" si="38"/>
        <v>316800.00000000006</v>
      </c>
      <c r="AD91" s="3">
        <f t="shared" si="39"/>
        <v>140400</v>
      </c>
      <c r="AE91" s="5">
        <f t="shared" si="40"/>
        <v>2.8985507246376816</v>
      </c>
      <c r="AF91" s="10">
        <f t="shared" si="41"/>
        <v>192844.79999999999</v>
      </c>
      <c r="AG91" s="10">
        <f t="shared" si="42"/>
        <v>62208</v>
      </c>
      <c r="AH91" s="10">
        <f t="shared" si="43"/>
        <v>31104</v>
      </c>
      <c r="AI91" s="10">
        <f t="shared" si="44"/>
        <v>15552</v>
      </c>
      <c r="AJ91" s="10">
        <f t="shared" si="45"/>
        <v>9331.1999999999989</v>
      </c>
    </row>
    <row r="92" spans="1:36" x14ac:dyDescent="0.3">
      <c r="A92" t="s">
        <v>400</v>
      </c>
      <c r="B92" t="s">
        <v>401</v>
      </c>
      <c r="C92" t="s">
        <v>402</v>
      </c>
      <c r="D92" t="s">
        <v>268</v>
      </c>
      <c r="E92">
        <v>80239</v>
      </c>
      <c r="F92" t="s">
        <v>15</v>
      </c>
      <c r="G92">
        <v>10</v>
      </c>
      <c r="H92">
        <v>150</v>
      </c>
      <c r="I92" t="str" cm="1">
        <f t="array" ref="I92">_xlfn.IFS(H92&lt;=120,"V1",H92&lt;=150,"V2",H92&lt;=250,"V3", H92&lt;=350, "V4")</f>
        <v>V2</v>
      </c>
      <c r="J92" t="s">
        <v>403</v>
      </c>
      <c r="K92" t="str">
        <f t="shared" si="23"/>
        <v>39.775259</v>
      </c>
      <c r="L92" t="str">
        <f t="shared" si="24"/>
        <v>-104.794674</v>
      </c>
      <c r="M92">
        <v>1641</v>
      </c>
      <c r="N92" s="1">
        <v>41951</v>
      </c>
      <c r="O92" s="1">
        <v>46099</v>
      </c>
      <c r="P92" s="2">
        <f t="shared" si="25"/>
        <v>11.356605065023956</v>
      </c>
      <c r="Q92" s="2" t="str">
        <f t="shared" si="26"/>
        <v>Old</v>
      </c>
      <c r="R92">
        <f t="shared" si="27"/>
        <v>1500</v>
      </c>
      <c r="S92" t="str">
        <f t="shared" si="28"/>
        <v>Small</v>
      </c>
      <c r="T92" t="str">
        <f t="shared" si="29"/>
        <v>High EV Adoption Corridor</v>
      </c>
      <c r="U92" s="3">
        <f t="shared" si="30"/>
        <v>3217500</v>
      </c>
      <c r="V92" s="4">
        <f t="shared" si="31"/>
        <v>720000</v>
      </c>
      <c r="W92" s="3">
        <f t="shared" si="32"/>
        <v>8250000.0000000009</v>
      </c>
      <c r="X92" s="3">
        <f t="shared" si="33"/>
        <v>6750000</v>
      </c>
      <c r="Y92">
        <f t="shared" si="34"/>
        <v>0.22888888888888889</v>
      </c>
      <c r="Z92">
        <f t="shared" si="35"/>
        <v>0.77622377622377625</v>
      </c>
      <c r="AA92" t="str">
        <f t="shared" si="36"/>
        <v>Tier 3 - Upgrade Pipeline</v>
      </c>
      <c r="AB92" s="3">
        <f t="shared" si="37"/>
        <v>72000</v>
      </c>
      <c r="AC92" s="3">
        <f t="shared" si="38"/>
        <v>825000.00000000012</v>
      </c>
      <c r="AD92" s="3">
        <f t="shared" si="39"/>
        <v>321750</v>
      </c>
      <c r="AE92" s="5">
        <f t="shared" si="40"/>
        <v>3.3033033033033035</v>
      </c>
      <c r="AF92" s="10">
        <f t="shared" si="41"/>
        <v>446400</v>
      </c>
      <c r="AG92" s="10">
        <f t="shared" si="42"/>
        <v>144000</v>
      </c>
      <c r="AH92" s="10">
        <f t="shared" si="43"/>
        <v>72000</v>
      </c>
      <c r="AI92" s="10">
        <f t="shared" si="44"/>
        <v>36000</v>
      </c>
      <c r="AJ92" s="10">
        <f t="shared" si="45"/>
        <v>21600</v>
      </c>
    </row>
    <row r="93" spans="1:36" x14ac:dyDescent="0.3">
      <c r="A93" t="s">
        <v>404</v>
      </c>
      <c r="B93" t="s">
        <v>405</v>
      </c>
      <c r="C93" t="s">
        <v>406</v>
      </c>
      <c r="D93" t="s">
        <v>50</v>
      </c>
      <c r="E93">
        <v>76201</v>
      </c>
      <c r="F93" t="s">
        <v>15</v>
      </c>
      <c r="G93">
        <v>6</v>
      </c>
      <c r="H93">
        <v>150</v>
      </c>
      <c r="I93" t="str" cm="1">
        <f t="array" ref="I93">_xlfn.IFS(H93&lt;=120,"V1",H93&lt;=150,"V2",H93&lt;=250,"V3", H93&lt;=350, "V4")</f>
        <v>V2</v>
      </c>
      <c r="J93" t="s">
        <v>407</v>
      </c>
      <c r="K93" t="str">
        <f t="shared" si="23"/>
        <v>33.231403</v>
      </c>
      <c r="L93" t="str">
        <f t="shared" si="24"/>
        <v>-97.166419</v>
      </c>
      <c r="M93">
        <v>212</v>
      </c>
      <c r="N93" s="1">
        <v>42312</v>
      </c>
      <c r="O93" s="1">
        <v>46099</v>
      </c>
      <c r="P93" s="2">
        <f t="shared" si="25"/>
        <v>10.368240930869268</v>
      </c>
      <c r="Q93" s="2" t="str">
        <f t="shared" si="26"/>
        <v>Old</v>
      </c>
      <c r="R93">
        <f t="shared" si="27"/>
        <v>900</v>
      </c>
      <c r="S93" t="str">
        <f t="shared" si="28"/>
        <v>Small</v>
      </c>
      <c r="T93" t="str">
        <f t="shared" si="29"/>
        <v>High EV Adoption Corridor</v>
      </c>
      <c r="U93" s="3">
        <f t="shared" si="30"/>
        <v>1930500.0000000005</v>
      </c>
      <c r="V93" s="4">
        <f t="shared" si="31"/>
        <v>432000</v>
      </c>
      <c r="W93" s="3">
        <f t="shared" si="32"/>
        <v>4950000</v>
      </c>
      <c r="X93" s="3">
        <f t="shared" si="33"/>
        <v>4050000</v>
      </c>
      <c r="Y93">
        <f t="shared" si="34"/>
        <v>0.22888888888888889</v>
      </c>
      <c r="Z93">
        <f t="shared" si="35"/>
        <v>0.77622377622377625</v>
      </c>
      <c r="AA93" t="str">
        <f t="shared" si="36"/>
        <v>Tier 3 - Upgrade Pipeline</v>
      </c>
      <c r="AB93" s="3">
        <f t="shared" si="37"/>
        <v>72000</v>
      </c>
      <c r="AC93" s="3">
        <f t="shared" si="38"/>
        <v>825000</v>
      </c>
      <c r="AD93" s="3">
        <f t="shared" si="39"/>
        <v>321750.00000000006</v>
      </c>
      <c r="AE93" s="5">
        <f t="shared" si="40"/>
        <v>3.3033033033033021</v>
      </c>
      <c r="AF93" s="10">
        <f t="shared" si="41"/>
        <v>267840</v>
      </c>
      <c r="AG93" s="10">
        <f t="shared" si="42"/>
        <v>86400</v>
      </c>
      <c r="AH93" s="10">
        <f t="shared" si="43"/>
        <v>43200</v>
      </c>
      <c r="AI93" s="10">
        <f t="shared" si="44"/>
        <v>21600</v>
      </c>
      <c r="AJ93" s="10">
        <f t="shared" si="45"/>
        <v>12960</v>
      </c>
    </row>
    <row r="94" spans="1:36" x14ac:dyDescent="0.3">
      <c r="A94" t="s">
        <v>408</v>
      </c>
      <c r="B94" t="s">
        <v>409</v>
      </c>
      <c r="C94" t="s">
        <v>410</v>
      </c>
      <c r="D94" t="s">
        <v>281</v>
      </c>
      <c r="E94">
        <v>59701</v>
      </c>
      <c r="F94" t="s">
        <v>15</v>
      </c>
      <c r="G94">
        <v>6</v>
      </c>
      <c r="H94">
        <v>150</v>
      </c>
      <c r="I94" t="str" cm="1">
        <f t="array" ref="I94">_xlfn.IFS(H94&lt;=120,"V1",H94&lt;=150,"V2",H94&lt;=250,"V3", H94&lt;=350, "V4")</f>
        <v>V2</v>
      </c>
      <c r="J94" t="s">
        <v>411</v>
      </c>
      <c r="K94" t="str">
        <f t="shared" si="23"/>
        <v>45.981226</v>
      </c>
      <c r="L94" t="str">
        <f t="shared" si="24"/>
        <v>-112.507161</v>
      </c>
      <c r="M94">
        <v>1666</v>
      </c>
      <c r="N94" s="1">
        <v>41977</v>
      </c>
      <c r="O94" s="1">
        <v>46099</v>
      </c>
      <c r="P94" s="2">
        <f t="shared" si="25"/>
        <v>11.285420944558522</v>
      </c>
      <c r="Q94" s="2" t="str">
        <f t="shared" si="26"/>
        <v>Old</v>
      </c>
      <c r="R94">
        <f t="shared" si="27"/>
        <v>900</v>
      </c>
      <c r="S94" t="str">
        <f t="shared" si="28"/>
        <v>Small</v>
      </c>
      <c r="T94" t="str">
        <f t="shared" si="29"/>
        <v>Lower EV Adoption Corridor</v>
      </c>
      <c r="U94" s="3">
        <f t="shared" si="30"/>
        <v>1485000.0000000002</v>
      </c>
      <c r="V94" s="4">
        <f t="shared" si="31"/>
        <v>360000</v>
      </c>
      <c r="W94" s="3">
        <f t="shared" si="32"/>
        <v>4500000</v>
      </c>
      <c r="X94" s="3">
        <f t="shared" si="33"/>
        <v>2700000</v>
      </c>
      <c r="Y94">
        <f t="shared" si="34"/>
        <v>0.3</v>
      </c>
      <c r="Z94">
        <f t="shared" si="35"/>
        <v>0.75757575757575757</v>
      </c>
      <c r="AA94" t="str">
        <f t="shared" si="36"/>
        <v>Tier 4 - Stable Network</v>
      </c>
      <c r="AB94" s="3">
        <f t="shared" si="37"/>
        <v>60000</v>
      </c>
      <c r="AC94" s="3">
        <f t="shared" si="38"/>
        <v>750000</v>
      </c>
      <c r="AD94" s="3">
        <f t="shared" si="39"/>
        <v>247500.00000000003</v>
      </c>
      <c r="AE94" s="5">
        <f t="shared" si="40"/>
        <v>3.9999999999999991</v>
      </c>
      <c r="AF94" s="10">
        <f t="shared" si="41"/>
        <v>223200</v>
      </c>
      <c r="AG94" s="10">
        <f t="shared" si="42"/>
        <v>72000</v>
      </c>
      <c r="AH94" s="10">
        <f t="shared" si="43"/>
        <v>36000</v>
      </c>
      <c r="AI94" s="10">
        <f t="shared" si="44"/>
        <v>18000</v>
      </c>
      <c r="AJ94" s="10">
        <f t="shared" si="45"/>
        <v>10800</v>
      </c>
    </row>
    <row r="95" spans="1:36" x14ac:dyDescent="0.3">
      <c r="A95" t="s">
        <v>412</v>
      </c>
      <c r="B95" t="s">
        <v>413</v>
      </c>
      <c r="C95" t="s">
        <v>414</v>
      </c>
      <c r="D95" t="s">
        <v>415</v>
      </c>
      <c r="E95">
        <v>52003</v>
      </c>
      <c r="F95" t="s">
        <v>15</v>
      </c>
      <c r="G95">
        <v>8</v>
      </c>
      <c r="H95">
        <v>150</v>
      </c>
      <c r="I95" t="str" cm="1">
        <f t="array" ref="I95">_xlfn.IFS(H95&lt;=120,"V1",H95&lt;=150,"V2",H95&lt;=250,"V3", H95&lt;=350, "V4")</f>
        <v>V2</v>
      </c>
      <c r="J95" t="s">
        <v>416</v>
      </c>
      <c r="K95" t="str">
        <f t="shared" si="23"/>
        <v>42.48773</v>
      </c>
      <c r="L95" t="str">
        <f t="shared" si="24"/>
        <v>-90.663624</v>
      </c>
      <c r="M95">
        <v>186</v>
      </c>
      <c r="N95" s="1">
        <v>43222</v>
      </c>
      <c r="O95" s="1">
        <v>46099</v>
      </c>
      <c r="P95" s="2">
        <f t="shared" si="25"/>
        <v>7.8767967145790552</v>
      </c>
      <c r="Q95" s="2" t="str">
        <f t="shared" si="26"/>
        <v>Mid</v>
      </c>
      <c r="R95">
        <f t="shared" si="27"/>
        <v>1200</v>
      </c>
      <c r="S95" t="str">
        <f t="shared" si="28"/>
        <v>Small</v>
      </c>
      <c r="T95" t="str">
        <f t="shared" si="29"/>
        <v>Lower EV Adoption Corridor</v>
      </c>
      <c r="U95" s="3">
        <f t="shared" si="30"/>
        <v>1980000.0000000002</v>
      </c>
      <c r="V95" s="4">
        <f t="shared" si="31"/>
        <v>480000</v>
      </c>
      <c r="W95" s="3">
        <f t="shared" si="32"/>
        <v>6000000</v>
      </c>
      <c r="X95" s="3">
        <f t="shared" si="33"/>
        <v>3600000</v>
      </c>
      <c r="Y95">
        <f t="shared" si="34"/>
        <v>0.3</v>
      </c>
      <c r="Z95">
        <f t="shared" si="35"/>
        <v>0.75757575757575757</v>
      </c>
      <c r="AA95" t="str">
        <f t="shared" si="36"/>
        <v>Tier 4 - Stable Network</v>
      </c>
      <c r="AB95" s="3">
        <f t="shared" si="37"/>
        <v>60000</v>
      </c>
      <c r="AC95" s="3">
        <f t="shared" si="38"/>
        <v>750000</v>
      </c>
      <c r="AD95" s="3">
        <f t="shared" si="39"/>
        <v>247500.00000000003</v>
      </c>
      <c r="AE95" s="5">
        <f t="shared" si="40"/>
        <v>3.9999999999999996</v>
      </c>
      <c r="AF95" s="10">
        <f t="shared" si="41"/>
        <v>297600</v>
      </c>
      <c r="AG95" s="10">
        <f t="shared" si="42"/>
        <v>96000</v>
      </c>
      <c r="AH95" s="10">
        <f t="shared" si="43"/>
        <v>48000</v>
      </c>
      <c r="AI95" s="10">
        <f t="shared" si="44"/>
        <v>24000</v>
      </c>
      <c r="AJ95" s="10">
        <f t="shared" si="45"/>
        <v>14400</v>
      </c>
    </row>
    <row r="96" spans="1:36" x14ac:dyDescent="0.3">
      <c r="A96" t="s">
        <v>417</v>
      </c>
      <c r="B96" t="s">
        <v>418</v>
      </c>
      <c r="C96" t="s">
        <v>419</v>
      </c>
      <c r="D96" t="s">
        <v>14</v>
      </c>
      <c r="E96">
        <v>91910</v>
      </c>
      <c r="F96" t="s">
        <v>15</v>
      </c>
      <c r="G96">
        <v>12</v>
      </c>
      <c r="H96">
        <v>250</v>
      </c>
      <c r="I96" t="str" cm="1">
        <f t="array" ref="I96">_xlfn.IFS(H96&lt;=120,"V1",H96&lt;=150,"V2",H96&lt;=250,"V3", H96&lt;=350, "V4")</f>
        <v>V3</v>
      </c>
      <c r="J96" t="s">
        <v>420</v>
      </c>
      <c r="K96" t="str">
        <f t="shared" si="23"/>
        <v>32.628946</v>
      </c>
      <c r="L96" t="str">
        <f t="shared" si="24"/>
        <v>-117.041103</v>
      </c>
      <c r="M96">
        <v>65</v>
      </c>
      <c r="N96" s="1">
        <v>44899</v>
      </c>
      <c r="O96" s="1">
        <v>46099</v>
      </c>
      <c r="P96" s="2">
        <f t="shared" si="25"/>
        <v>3.2854209445585214</v>
      </c>
      <c r="Q96" s="2" t="str">
        <f t="shared" si="26"/>
        <v>Mid</v>
      </c>
      <c r="R96">
        <f t="shared" si="27"/>
        <v>3000</v>
      </c>
      <c r="S96" t="str">
        <f t="shared" si="28"/>
        <v>Small</v>
      </c>
      <c r="T96" t="str">
        <f t="shared" si="29"/>
        <v>High EV Adoption Corridor</v>
      </c>
      <c r="U96" s="3">
        <f t="shared" si="30"/>
        <v>7020000</v>
      </c>
      <c r="V96" s="4">
        <f t="shared" si="31"/>
        <v>1584000</v>
      </c>
      <c r="W96" s="3">
        <f t="shared" si="32"/>
        <v>19800000</v>
      </c>
      <c r="X96" s="3">
        <f t="shared" si="33"/>
        <v>14850000</v>
      </c>
      <c r="Y96">
        <f t="shared" si="34"/>
        <v>0.24</v>
      </c>
      <c r="Z96">
        <f t="shared" si="35"/>
        <v>0.77435897435897438</v>
      </c>
      <c r="AA96" t="str">
        <f t="shared" si="36"/>
        <v>Tier 1 - Priority Fleet</v>
      </c>
      <c r="AB96" s="3">
        <f t="shared" si="37"/>
        <v>132000</v>
      </c>
      <c r="AC96" s="3">
        <f t="shared" si="38"/>
        <v>1650000</v>
      </c>
      <c r="AD96" s="3">
        <f t="shared" si="39"/>
        <v>585000</v>
      </c>
      <c r="AE96" s="5">
        <f t="shared" si="40"/>
        <v>3.6423841059602649</v>
      </c>
      <c r="AF96" s="10">
        <f t="shared" si="41"/>
        <v>982080</v>
      </c>
      <c r="AG96" s="10">
        <f t="shared" si="42"/>
        <v>316800</v>
      </c>
      <c r="AH96" s="10">
        <f t="shared" si="43"/>
        <v>158400</v>
      </c>
      <c r="AI96" s="10">
        <f t="shared" si="44"/>
        <v>79200</v>
      </c>
      <c r="AJ96" s="10">
        <f t="shared" si="45"/>
        <v>47520</v>
      </c>
    </row>
    <row r="97" spans="1:36" x14ac:dyDescent="0.3">
      <c r="A97" t="s">
        <v>421</v>
      </c>
      <c r="B97" t="s">
        <v>422</v>
      </c>
      <c r="C97" t="s">
        <v>423</v>
      </c>
      <c r="D97" t="s">
        <v>281</v>
      </c>
      <c r="E97">
        <v>59872</v>
      </c>
      <c r="F97" t="s">
        <v>15</v>
      </c>
      <c r="G97">
        <v>4</v>
      </c>
      <c r="H97">
        <v>150</v>
      </c>
      <c r="I97" t="str" cm="1">
        <f t="array" ref="I97">_xlfn.IFS(H97&lt;=120,"V1",H97&lt;=150,"V2",H97&lt;=250,"V3", H97&lt;=350, "V4")</f>
        <v>V2</v>
      </c>
      <c r="J97" t="s">
        <v>424</v>
      </c>
      <c r="K97" t="str">
        <f t="shared" si="23"/>
        <v>47.192149</v>
      </c>
      <c r="L97" t="str">
        <f t="shared" si="24"/>
        <v>-114.888901</v>
      </c>
      <c r="M97">
        <v>835</v>
      </c>
      <c r="N97" s="1">
        <v>41978</v>
      </c>
      <c r="O97" s="1">
        <v>46099</v>
      </c>
      <c r="P97" s="2">
        <f t="shared" si="25"/>
        <v>11.282683093771389</v>
      </c>
      <c r="Q97" s="2" t="str">
        <f t="shared" si="26"/>
        <v>Old</v>
      </c>
      <c r="R97">
        <f t="shared" si="27"/>
        <v>600</v>
      </c>
      <c r="S97" t="str">
        <f t="shared" si="28"/>
        <v>Small</v>
      </c>
      <c r="T97" t="str">
        <f t="shared" si="29"/>
        <v>Lower EV Adoption Corridor</v>
      </c>
      <c r="U97" s="3">
        <f t="shared" si="30"/>
        <v>990000.00000000012</v>
      </c>
      <c r="V97" s="4">
        <f t="shared" si="31"/>
        <v>240000</v>
      </c>
      <c r="W97" s="3">
        <f t="shared" si="32"/>
        <v>3000000</v>
      </c>
      <c r="X97" s="3">
        <f t="shared" si="33"/>
        <v>1800000</v>
      </c>
      <c r="Y97">
        <f t="shared" si="34"/>
        <v>0.3</v>
      </c>
      <c r="Z97">
        <f t="shared" si="35"/>
        <v>0.75757575757575757</v>
      </c>
      <c r="AA97" t="str">
        <f t="shared" si="36"/>
        <v>Tier 4 - Stable Network</v>
      </c>
      <c r="AB97" s="3">
        <f t="shared" si="37"/>
        <v>60000</v>
      </c>
      <c r="AC97" s="3">
        <f t="shared" si="38"/>
        <v>750000</v>
      </c>
      <c r="AD97" s="3">
        <f t="shared" si="39"/>
        <v>247500.00000000003</v>
      </c>
      <c r="AE97" s="5">
        <f t="shared" si="40"/>
        <v>3.9999999999999996</v>
      </c>
      <c r="AF97" s="10">
        <f t="shared" si="41"/>
        <v>148800</v>
      </c>
      <c r="AG97" s="10">
        <f t="shared" si="42"/>
        <v>48000</v>
      </c>
      <c r="AH97" s="10">
        <f t="shared" si="43"/>
        <v>24000</v>
      </c>
      <c r="AI97" s="10">
        <f t="shared" si="44"/>
        <v>12000</v>
      </c>
      <c r="AJ97" s="10">
        <f t="shared" si="45"/>
        <v>7200</v>
      </c>
    </row>
    <row r="98" spans="1:36" x14ac:dyDescent="0.3">
      <c r="A98" t="s">
        <v>425</v>
      </c>
      <c r="B98" t="s">
        <v>426</v>
      </c>
      <c r="C98" t="s">
        <v>427</v>
      </c>
      <c r="D98" t="s">
        <v>428</v>
      </c>
      <c r="E98">
        <v>3106</v>
      </c>
      <c r="F98" t="s">
        <v>15</v>
      </c>
      <c r="G98">
        <v>10</v>
      </c>
      <c r="H98">
        <v>150</v>
      </c>
      <c r="I98" t="str" cm="1">
        <f t="array" ref="I98">_xlfn.IFS(H98&lt;=120,"V1",H98&lt;=150,"V2",H98&lt;=250,"V3", H98&lt;=350, "V4")</f>
        <v>V2</v>
      </c>
      <c r="J98" t="s">
        <v>429</v>
      </c>
      <c r="K98" t="str">
        <f t="shared" si="23"/>
        <v>43.109587</v>
      </c>
      <c r="L98" t="str">
        <f t="shared" si="24"/>
        <v>-71.474575</v>
      </c>
      <c r="M98">
        <v>90</v>
      </c>
      <c r="N98" s="1">
        <v>42024</v>
      </c>
      <c r="O98" s="1">
        <v>46099</v>
      </c>
      <c r="P98" s="2">
        <f t="shared" si="25"/>
        <v>11.156741957563312</v>
      </c>
      <c r="Q98" s="2" t="str">
        <f t="shared" si="26"/>
        <v>Old</v>
      </c>
      <c r="R98">
        <f t="shared" si="27"/>
        <v>1500</v>
      </c>
      <c r="S98" t="str">
        <f t="shared" si="28"/>
        <v>Small</v>
      </c>
      <c r="T98" t="str">
        <f t="shared" si="29"/>
        <v>Lower EV Adoption Corridor</v>
      </c>
      <c r="U98" s="3">
        <f t="shared" si="30"/>
        <v>2475000</v>
      </c>
      <c r="V98" s="4">
        <f t="shared" si="31"/>
        <v>600000</v>
      </c>
      <c r="W98" s="3">
        <f t="shared" si="32"/>
        <v>7500000</v>
      </c>
      <c r="X98" s="3">
        <f t="shared" si="33"/>
        <v>4500000</v>
      </c>
      <c r="Y98">
        <f t="shared" si="34"/>
        <v>0.3</v>
      </c>
      <c r="Z98">
        <f t="shared" si="35"/>
        <v>0.75757575757575757</v>
      </c>
      <c r="AA98" t="str">
        <f t="shared" si="36"/>
        <v>Tier 4 - Stable Network</v>
      </c>
      <c r="AB98" s="3">
        <f t="shared" si="37"/>
        <v>60000</v>
      </c>
      <c r="AC98" s="3">
        <f t="shared" si="38"/>
        <v>750000</v>
      </c>
      <c r="AD98" s="3">
        <f t="shared" si="39"/>
        <v>247500</v>
      </c>
      <c r="AE98" s="5">
        <f t="shared" si="40"/>
        <v>4</v>
      </c>
      <c r="AF98" s="10">
        <f t="shared" si="41"/>
        <v>372000</v>
      </c>
      <c r="AG98" s="10">
        <f t="shared" si="42"/>
        <v>120000</v>
      </c>
      <c r="AH98" s="10">
        <f t="shared" si="43"/>
        <v>60000</v>
      </c>
      <c r="AI98" s="10">
        <f t="shared" si="44"/>
        <v>30000</v>
      </c>
      <c r="AJ98" s="10">
        <f t="shared" si="45"/>
        <v>18000</v>
      </c>
    </row>
    <row r="99" spans="1:36" x14ac:dyDescent="0.3">
      <c r="A99" t="s">
        <v>430</v>
      </c>
      <c r="B99" t="s">
        <v>431</v>
      </c>
      <c r="C99" t="s">
        <v>432</v>
      </c>
      <c r="D99" t="s">
        <v>433</v>
      </c>
      <c r="E99">
        <v>89883</v>
      </c>
      <c r="F99" t="s">
        <v>15</v>
      </c>
      <c r="G99">
        <v>6</v>
      </c>
      <c r="H99">
        <v>150</v>
      </c>
      <c r="I99" t="str" cm="1">
        <f t="array" ref="I99">_xlfn.IFS(H99&lt;=120,"V1",H99&lt;=150,"V2",H99&lt;=250,"V3", H99&lt;=350, "V4")</f>
        <v>V2</v>
      </c>
      <c r="J99" t="s">
        <v>434</v>
      </c>
      <c r="K99" t="str">
        <f t="shared" si="23"/>
        <v>40.738399</v>
      </c>
      <c r="L99" t="str">
        <f t="shared" si="24"/>
        <v>-114.058998</v>
      </c>
      <c r="M99">
        <v>1335</v>
      </c>
      <c r="N99" s="1">
        <v>42026</v>
      </c>
      <c r="O99" s="1">
        <v>46099</v>
      </c>
      <c r="P99" s="2">
        <f t="shared" si="25"/>
        <v>11.151266255989048</v>
      </c>
      <c r="Q99" s="2" t="str">
        <f t="shared" si="26"/>
        <v>Old</v>
      </c>
      <c r="R99">
        <f t="shared" si="27"/>
        <v>900</v>
      </c>
      <c r="S99" t="str">
        <f t="shared" si="28"/>
        <v>Small</v>
      </c>
      <c r="T99" t="str">
        <f t="shared" si="29"/>
        <v>Lower EV Adoption Corridor</v>
      </c>
      <c r="U99" s="3">
        <f t="shared" si="30"/>
        <v>1485000.0000000002</v>
      </c>
      <c r="V99" s="4">
        <f t="shared" si="31"/>
        <v>360000</v>
      </c>
      <c r="W99" s="3">
        <f t="shared" si="32"/>
        <v>4500000</v>
      </c>
      <c r="X99" s="3">
        <f t="shared" si="33"/>
        <v>2700000</v>
      </c>
      <c r="Y99">
        <f t="shared" si="34"/>
        <v>0.3</v>
      </c>
      <c r="Z99">
        <f t="shared" si="35"/>
        <v>0.75757575757575757</v>
      </c>
      <c r="AA99" t="str">
        <f t="shared" si="36"/>
        <v>Tier 4 - Stable Network</v>
      </c>
      <c r="AB99" s="3">
        <f t="shared" si="37"/>
        <v>60000</v>
      </c>
      <c r="AC99" s="3">
        <f t="shared" si="38"/>
        <v>750000</v>
      </c>
      <c r="AD99" s="3">
        <f t="shared" si="39"/>
        <v>247500.00000000003</v>
      </c>
      <c r="AE99" s="5">
        <f t="shared" si="40"/>
        <v>3.9999999999999991</v>
      </c>
      <c r="AF99" s="10">
        <f t="shared" si="41"/>
        <v>223200</v>
      </c>
      <c r="AG99" s="10">
        <f t="shared" si="42"/>
        <v>72000</v>
      </c>
      <c r="AH99" s="10">
        <f t="shared" si="43"/>
        <v>36000</v>
      </c>
      <c r="AI99" s="10">
        <f t="shared" si="44"/>
        <v>18000</v>
      </c>
      <c r="AJ99" s="10">
        <f t="shared" si="45"/>
        <v>10800</v>
      </c>
    </row>
    <row r="100" spans="1:36" x14ac:dyDescent="0.3">
      <c r="A100" t="s">
        <v>435</v>
      </c>
      <c r="B100" t="s">
        <v>436</v>
      </c>
      <c r="C100" t="s">
        <v>437</v>
      </c>
      <c r="D100" t="s">
        <v>153</v>
      </c>
      <c r="E100">
        <v>19034</v>
      </c>
      <c r="F100" t="s">
        <v>15</v>
      </c>
      <c r="G100">
        <v>8</v>
      </c>
      <c r="H100">
        <v>250</v>
      </c>
      <c r="I100" t="str" cm="1">
        <f t="array" ref="I100">_xlfn.IFS(H100&lt;=120,"V1",H100&lt;=150,"V2",H100&lt;=250,"V3", H100&lt;=350, "V4")</f>
        <v>V3</v>
      </c>
      <c r="J100" t="s">
        <v>438</v>
      </c>
      <c r="K100" t="str">
        <f t="shared" si="23"/>
        <v>40.139399</v>
      </c>
      <c r="L100" t="str">
        <f t="shared" si="24"/>
        <v>-75.172384</v>
      </c>
      <c r="M100">
        <v>59</v>
      </c>
      <c r="N100" s="1">
        <v>45071</v>
      </c>
      <c r="O100" s="1">
        <v>46099</v>
      </c>
      <c r="P100" s="2">
        <f t="shared" si="25"/>
        <v>2.8145106091718</v>
      </c>
      <c r="Q100" s="2" t="str">
        <f t="shared" si="26"/>
        <v>New</v>
      </c>
      <c r="R100">
        <f t="shared" si="27"/>
        <v>2000</v>
      </c>
      <c r="S100" t="str">
        <f t="shared" si="28"/>
        <v>Small</v>
      </c>
      <c r="T100" t="str">
        <f t="shared" si="29"/>
        <v>Lower EV Adoption Corridor</v>
      </c>
      <c r="U100" s="3">
        <f t="shared" si="30"/>
        <v>3600000</v>
      </c>
      <c r="V100" s="4">
        <f t="shared" si="31"/>
        <v>880000.00000000012</v>
      </c>
      <c r="W100" s="3">
        <f t="shared" si="32"/>
        <v>12000000</v>
      </c>
      <c r="X100" s="3">
        <f t="shared" si="33"/>
        <v>6600000.0000000009</v>
      </c>
      <c r="Y100">
        <f t="shared" si="34"/>
        <v>0.31515151515151513</v>
      </c>
      <c r="Z100">
        <f t="shared" si="35"/>
        <v>0.75555555555555554</v>
      </c>
      <c r="AA100" t="str">
        <f t="shared" si="36"/>
        <v>Tier 2 - Growth Markets</v>
      </c>
      <c r="AB100" s="3">
        <f t="shared" si="37"/>
        <v>110000.00000000001</v>
      </c>
      <c r="AC100" s="3">
        <f t="shared" si="38"/>
        <v>1500000</v>
      </c>
      <c r="AD100" s="3">
        <f t="shared" si="39"/>
        <v>450000</v>
      </c>
      <c r="AE100" s="5">
        <f t="shared" si="40"/>
        <v>4.4117647058823533</v>
      </c>
      <c r="AF100" s="10">
        <f t="shared" si="41"/>
        <v>545600.00000000012</v>
      </c>
      <c r="AG100" s="10">
        <f t="shared" si="42"/>
        <v>176000.00000000003</v>
      </c>
      <c r="AH100" s="10">
        <f t="shared" si="43"/>
        <v>88000.000000000015</v>
      </c>
      <c r="AI100" s="10">
        <f t="shared" si="44"/>
        <v>44000.000000000007</v>
      </c>
      <c r="AJ100" s="10">
        <f t="shared" si="45"/>
        <v>26400.000000000004</v>
      </c>
    </row>
    <row r="101" spans="1:36" x14ac:dyDescent="0.3">
      <c r="A101" t="s">
        <v>439</v>
      </c>
      <c r="B101" t="s">
        <v>440</v>
      </c>
      <c r="C101" t="s">
        <v>441</v>
      </c>
      <c r="D101" t="s">
        <v>158</v>
      </c>
      <c r="E101">
        <v>11249</v>
      </c>
      <c r="F101" t="s">
        <v>15</v>
      </c>
      <c r="G101">
        <v>4</v>
      </c>
      <c r="H101">
        <v>72</v>
      </c>
      <c r="I101" t="str" cm="1">
        <f t="array" ref="I101">_xlfn.IFS(H101&lt;=120,"V1",H101&lt;=150,"V2",H101&lt;=250,"V3", H101&lt;=350, "V4")</f>
        <v>V1</v>
      </c>
      <c r="J101" t="s">
        <v>442</v>
      </c>
      <c r="K101" t="str">
        <f t="shared" si="23"/>
        <v>40.721861</v>
      </c>
      <c r="L101" t="str">
        <f t="shared" si="24"/>
        <v>-73.956629</v>
      </c>
      <c r="M101">
        <v>6</v>
      </c>
      <c r="N101" s="1">
        <v>43017</v>
      </c>
      <c r="O101" s="1">
        <v>46099</v>
      </c>
      <c r="P101" s="2">
        <f t="shared" si="25"/>
        <v>8.4380561259411362</v>
      </c>
      <c r="Q101" s="2" t="str">
        <f t="shared" si="26"/>
        <v>Old</v>
      </c>
      <c r="R101">
        <f t="shared" si="27"/>
        <v>288</v>
      </c>
      <c r="S101" t="str">
        <f t="shared" si="28"/>
        <v>Small</v>
      </c>
      <c r="T101" t="str">
        <f t="shared" si="29"/>
        <v>Lower EV Adoption Corridor</v>
      </c>
      <c r="U101" s="3">
        <f t="shared" si="30"/>
        <v>432000</v>
      </c>
      <c r="V101" s="4">
        <f t="shared" si="31"/>
        <v>103680</v>
      </c>
      <c r="W101" s="3">
        <f t="shared" si="32"/>
        <v>1152000</v>
      </c>
      <c r="X101" s="3">
        <f t="shared" si="33"/>
        <v>777600</v>
      </c>
      <c r="Y101">
        <f t="shared" si="34"/>
        <v>0.2814814814814815</v>
      </c>
      <c r="Z101">
        <f t="shared" si="35"/>
        <v>0.76</v>
      </c>
      <c r="AA101" t="str">
        <f t="shared" si="36"/>
        <v>Tier 5 - Retirement Pipeline</v>
      </c>
      <c r="AB101" s="3">
        <f t="shared" si="37"/>
        <v>25920</v>
      </c>
      <c r="AC101" s="3">
        <f t="shared" si="38"/>
        <v>288000</v>
      </c>
      <c r="AD101" s="3">
        <f t="shared" si="39"/>
        <v>108000</v>
      </c>
      <c r="AE101" s="5">
        <f t="shared" si="40"/>
        <v>3.5087719298245612</v>
      </c>
      <c r="AF101" s="10">
        <f t="shared" si="41"/>
        <v>64281.599999999999</v>
      </c>
      <c r="AG101" s="10">
        <f t="shared" si="42"/>
        <v>20736</v>
      </c>
      <c r="AH101" s="10">
        <f t="shared" si="43"/>
        <v>10368</v>
      </c>
      <c r="AI101" s="10">
        <f t="shared" si="44"/>
        <v>5184</v>
      </c>
      <c r="AJ101" s="10">
        <f t="shared" si="45"/>
        <v>3110.4</v>
      </c>
    </row>
    <row r="102" spans="1:36" x14ac:dyDescent="0.3">
      <c r="A102" t="s">
        <v>443</v>
      </c>
      <c r="B102" t="s">
        <v>444</v>
      </c>
      <c r="C102" t="s">
        <v>427</v>
      </c>
      <c r="D102" t="s">
        <v>428</v>
      </c>
      <c r="E102">
        <v>3106</v>
      </c>
      <c r="F102" t="s">
        <v>15</v>
      </c>
      <c r="G102">
        <v>12</v>
      </c>
      <c r="H102">
        <v>150</v>
      </c>
      <c r="I102" t="str" cm="1">
        <f t="array" ref="I102">_xlfn.IFS(H102&lt;=120,"V1",H102&lt;=150,"V2",H102&lt;=250,"V3", H102&lt;=350, "V4")</f>
        <v>V2</v>
      </c>
      <c r="J102" t="s">
        <v>445</v>
      </c>
      <c r="K102" t="str">
        <f t="shared" si="23"/>
        <v>43.108363</v>
      </c>
      <c r="L102" t="str">
        <f t="shared" si="24"/>
        <v>-71.477625</v>
      </c>
      <c r="M102">
        <v>95</v>
      </c>
      <c r="N102" s="1">
        <v>42019</v>
      </c>
      <c r="O102" s="1">
        <v>46099</v>
      </c>
      <c r="P102" s="2">
        <f t="shared" si="25"/>
        <v>11.170431211498974</v>
      </c>
      <c r="Q102" s="2" t="str">
        <f t="shared" si="26"/>
        <v>Old</v>
      </c>
      <c r="R102">
        <f t="shared" si="27"/>
        <v>1800</v>
      </c>
      <c r="S102" t="str">
        <f t="shared" si="28"/>
        <v>Small</v>
      </c>
      <c r="T102" t="str">
        <f t="shared" si="29"/>
        <v>Lower EV Adoption Corridor</v>
      </c>
      <c r="U102" s="3">
        <f t="shared" si="30"/>
        <v>2970000.0000000005</v>
      </c>
      <c r="V102" s="4">
        <f t="shared" si="31"/>
        <v>720000</v>
      </c>
      <c r="W102" s="3">
        <f t="shared" si="32"/>
        <v>9000000</v>
      </c>
      <c r="X102" s="3">
        <f t="shared" si="33"/>
        <v>5400000</v>
      </c>
      <c r="Y102">
        <f t="shared" si="34"/>
        <v>0.3</v>
      </c>
      <c r="Z102">
        <f t="shared" si="35"/>
        <v>0.75757575757575757</v>
      </c>
      <c r="AA102" t="str">
        <f t="shared" si="36"/>
        <v>Tier 4 - Stable Network</v>
      </c>
      <c r="AB102" s="3">
        <f t="shared" si="37"/>
        <v>60000</v>
      </c>
      <c r="AC102" s="3">
        <f t="shared" si="38"/>
        <v>750000</v>
      </c>
      <c r="AD102" s="3">
        <f t="shared" si="39"/>
        <v>247500.00000000003</v>
      </c>
      <c r="AE102" s="5">
        <f t="shared" si="40"/>
        <v>3.9999999999999991</v>
      </c>
      <c r="AF102" s="10">
        <f t="shared" si="41"/>
        <v>446400</v>
      </c>
      <c r="AG102" s="10">
        <f t="shared" si="42"/>
        <v>144000</v>
      </c>
      <c r="AH102" s="10">
        <f t="shared" si="43"/>
        <v>72000</v>
      </c>
      <c r="AI102" s="10">
        <f t="shared" si="44"/>
        <v>36000</v>
      </c>
      <c r="AJ102" s="10">
        <f t="shared" si="45"/>
        <v>21600</v>
      </c>
    </row>
    <row r="103" spans="1:36" x14ac:dyDescent="0.3">
      <c r="A103" t="s">
        <v>446</v>
      </c>
      <c r="B103" t="s">
        <v>447</v>
      </c>
      <c r="C103" t="s">
        <v>448</v>
      </c>
      <c r="D103" t="s">
        <v>41</v>
      </c>
      <c r="E103">
        <v>33050</v>
      </c>
      <c r="F103" t="s">
        <v>15</v>
      </c>
      <c r="G103">
        <v>4</v>
      </c>
      <c r="H103">
        <v>150</v>
      </c>
      <c r="I103" t="str" cm="1">
        <f t="array" ref="I103">_xlfn.IFS(H103&lt;=120,"V1",H103&lt;=150,"V2",H103&lt;=250,"V3", H103&lt;=350, "V4")</f>
        <v>V2</v>
      </c>
      <c r="J103" t="s">
        <v>449</v>
      </c>
      <c r="K103" t="str">
        <f t="shared" si="23"/>
        <v>24.725916</v>
      </c>
      <c r="L103" t="str">
        <f t="shared" si="24"/>
        <v>-81.047519</v>
      </c>
      <c r="M103">
        <v>1</v>
      </c>
      <c r="N103" s="1">
        <v>42126</v>
      </c>
      <c r="O103" s="1">
        <v>46099</v>
      </c>
      <c r="P103" s="2">
        <f t="shared" si="25"/>
        <v>10.877481177275838</v>
      </c>
      <c r="Q103" s="2" t="str">
        <f t="shared" si="26"/>
        <v>Old</v>
      </c>
      <c r="R103">
        <f t="shared" si="27"/>
        <v>600</v>
      </c>
      <c r="S103" t="str">
        <f t="shared" si="28"/>
        <v>Small</v>
      </c>
      <c r="T103" t="str">
        <f t="shared" si="29"/>
        <v>High EV Adoption Corridor</v>
      </c>
      <c r="U103" s="3">
        <f t="shared" si="30"/>
        <v>1287000.0000000002</v>
      </c>
      <c r="V103" s="4">
        <f t="shared" si="31"/>
        <v>288000</v>
      </c>
      <c r="W103" s="3">
        <f t="shared" si="32"/>
        <v>3300000.0000000005</v>
      </c>
      <c r="X103" s="3">
        <f t="shared" si="33"/>
        <v>2700000</v>
      </c>
      <c r="Y103">
        <f t="shared" si="34"/>
        <v>0.22888888888888889</v>
      </c>
      <c r="Z103">
        <f t="shared" si="35"/>
        <v>0.77622377622377625</v>
      </c>
      <c r="AA103" t="str">
        <f t="shared" si="36"/>
        <v>Tier 3 - Upgrade Pipeline</v>
      </c>
      <c r="AB103" s="3">
        <f t="shared" si="37"/>
        <v>72000</v>
      </c>
      <c r="AC103" s="3">
        <f t="shared" si="38"/>
        <v>825000.00000000012</v>
      </c>
      <c r="AD103" s="3">
        <f t="shared" si="39"/>
        <v>321750.00000000006</v>
      </c>
      <c r="AE103" s="5">
        <f t="shared" si="40"/>
        <v>3.303303303303303</v>
      </c>
      <c r="AF103" s="10">
        <f t="shared" si="41"/>
        <v>178560</v>
      </c>
      <c r="AG103" s="10">
        <f t="shared" si="42"/>
        <v>57600</v>
      </c>
      <c r="AH103" s="10">
        <f t="shared" si="43"/>
        <v>28800</v>
      </c>
      <c r="AI103" s="10">
        <f t="shared" si="44"/>
        <v>14400</v>
      </c>
      <c r="AJ103" s="10">
        <f t="shared" si="45"/>
        <v>8640</v>
      </c>
    </row>
    <row r="104" spans="1:36" x14ac:dyDescent="0.3">
      <c r="A104" t="s">
        <v>450</v>
      </c>
      <c r="B104" t="s">
        <v>451</v>
      </c>
      <c r="C104" t="s">
        <v>452</v>
      </c>
      <c r="D104" t="s">
        <v>14</v>
      </c>
      <c r="E104">
        <v>95677</v>
      </c>
      <c r="F104" t="s">
        <v>15</v>
      </c>
      <c r="G104">
        <v>18</v>
      </c>
      <c r="H104">
        <v>150</v>
      </c>
      <c r="I104" t="str" cm="1">
        <f t="array" ref="I104">_xlfn.IFS(H104&lt;=120,"V1",H104&lt;=150,"V2",H104&lt;=250,"V3", H104&lt;=350, "V4")</f>
        <v>V2</v>
      </c>
      <c r="J104" t="s">
        <v>453</v>
      </c>
      <c r="K104" t="str">
        <f t="shared" si="23"/>
        <v>38.800537</v>
      </c>
      <c r="L104" t="str">
        <f t="shared" si="24"/>
        <v>-121.210485</v>
      </c>
      <c r="M104">
        <v>98</v>
      </c>
      <c r="N104" s="1">
        <v>42055</v>
      </c>
      <c r="O104" s="1">
        <v>46099</v>
      </c>
      <c r="P104" s="2">
        <f t="shared" si="25"/>
        <v>11.071868583162217</v>
      </c>
      <c r="Q104" s="2" t="str">
        <f t="shared" si="26"/>
        <v>Old</v>
      </c>
      <c r="R104">
        <f t="shared" si="27"/>
        <v>2700</v>
      </c>
      <c r="S104" t="str">
        <f t="shared" si="28"/>
        <v>Small</v>
      </c>
      <c r="T104" t="str">
        <f t="shared" si="29"/>
        <v>High EV Adoption Corridor</v>
      </c>
      <c r="U104" s="3">
        <f t="shared" si="30"/>
        <v>5791500</v>
      </c>
      <c r="V104" s="4">
        <f t="shared" si="31"/>
        <v>1296000</v>
      </c>
      <c r="W104" s="3">
        <f t="shared" si="32"/>
        <v>14850000.000000002</v>
      </c>
      <c r="X104" s="3">
        <f t="shared" si="33"/>
        <v>12150000</v>
      </c>
      <c r="Y104">
        <f t="shared" si="34"/>
        <v>0.22888888888888889</v>
      </c>
      <c r="Z104">
        <f t="shared" si="35"/>
        <v>0.77622377622377625</v>
      </c>
      <c r="AA104" t="str">
        <f t="shared" si="36"/>
        <v>Tier 3 - Upgrade Pipeline</v>
      </c>
      <c r="AB104" s="3">
        <f t="shared" si="37"/>
        <v>72000</v>
      </c>
      <c r="AC104" s="3">
        <f t="shared" si="38"/>
        <v>825000.00000000012</v>
      </c>
      <c r="AD104" s="3">
        <f t="shared" si="39"/>
        <v>321750</v>
      </c>
      <c r="AE104" s="5">
        <f t="shared" si="40"/>
        <v>3.3033033033033039</v>
      </c>
      <c r="AF104" s="10">
        <f t="shared" si="41"/>
        <v>803520</v>
      </c>
      <c r="AG104" s="10">
        <f t="shared" si="42"/>
        <v>259200</v>
      </c>
      <c r="AH104" s="10">
        <f t="shared" si="43"/>
        <v>129600</v>
      </c>
      <c r="AI104" s="10">
        <f t="shared" si="44"/>
        <v>64800</v>
      </c>
      <c r="AJ104" s="10">
        <f t="shared" si="45"/>
        <v>38880</v>
      </c>
    </row>
    <row r="105" spans="1:36" x14ac:dyDescent="0.3">
      <c r="A105" t="s">
        <v>454</v>
      </c>
      <c r="B105" t="s">
        <v>455</v>
      </c>
      <c r="C105" t="s">
        <v>456</v>
      </c>
      <c r="D105" t="s">
        <v>59</v>
      </c>
      <c r="E105">
        <v>60632</v>
      </c>
      <c r="F105" t="s">
        <v>15</v>
      </c>
      <c r="G105">
        <v>12</v>
      </c>
      <c r="H105">
        <v>250</v>
      </c>
      <c r="I105" t="str" cm="1">
        <f t="array" ref="I105">_xlfn.IFS(H105&lt;=120,"V1",H105&lt;=150,"V2",H105&lt;=250,"V3", H105&lt;=350, "V4")</f>
        <v>V3</v>
      </c>
      <c r="J105" t="s">
        <v>457</v>
      </c>
      <c r="K105" t="str">
        <f t="shared" si="23"/>
        <v>41.8133</v>
      </c>
      <c r="L105" t="str">
        <f t="shared" si="24"/>
        <v>-87.72189</v>
      </c>
      <c r="M105">
        <v>181</v>
      </c>
      <c r="N105" s="1">
        <v>44865</v>
      </c>
      <c r="O105" s="1">
        <v>46099</v>
      </c>
      <c r="P105" s="2">
        <f t="shared" si="25"/>
        <v>3.378507871321013</v>
      </c>
      <c r="Q105" s="2" t="str">
        <f t="shared" si="26"/>
        <v>Mid</v>
      </c>
      <c r="R105">
        <f t="shared" si="27"/>
        <v>3000</v>
      </c>
      <c r="S105" t="str">
        <f t="shared" si="28"/>
        <v>Small</v>
      </c>
      <c r="T105" t="str">
        <f t="shared" si="29"/>
        <v>Lower EV Adoption Corridor</v>
      </c>
      <c r="U105" s="3">
        <f t="shared" si="30"/>
        <v>5400000</v>
      </c>
      <c r="V105" s="4">
        <f t="shared" si="31"/>
        <v>1320000</v>
      </c>
      <c r="W105" s="3">
        <f t="shared" si="32"/>
        <v>18000000</v>
      </c>
      <c r="X105" s="3">
        <f t="shared" si="33"/>
        <v>9900000</v>
      </c>
      <c r="Y105">
        <f t="shared" si="34"/>
        <v>0.31515151515151513</v>
      </c>
      <c r="Z105">
        <f t="shared" si="35"/>
        <v>0.75555555555555554</v>
      </c>
      <c r="AA105" t="str">
        <f t="shared" si="36"/>
        <v>Tier 2 - Growth Markets</v>
      </c>
      <c r="AB105" s="3">
        <f t="shared" si="37"/>
        <v>110000</v>
      </c>
      <c r="AC105" s="3">
        <f t="shared" si="38"/>
        <v>1500000</v>
      </c>
      <c r="AD105" s="3">
        <f t="shared" si="39"/>
        <v>450000</v>
      </c>
      <c r="AE105" s="5">
        <f t="shared" si="40"/>
        <v>4.4117647058823533</v>
      </c>
      <c r="AF105" s="10">
        <f t="shared" si="41"/>
        <v>818400</v>
      </c>
      <c r="AG105" s="10">
        <f t="shared" si="42"/>
        <v>264000</v>
      </c>
      <c r="AH105" s="10">
        <f t="shared" si="43"/>
        <v>132000</v>
      </c>
      <c r="AI105" s="10">
        <f t="shared" si="44"/>
        <v>66000</v>
      </c>
      <c r="AJ105" s="10">
        <f t="shared" si="45"/>
        <v>39600</v>
      </c>
    </row>
    <row r="106" spans="1:36" x14ac:dyDescent="0.3">
      <c r="A106" t="s">
        <v>458</v>
      </c>
      <c r="B106" t="s">
        <v>459</v>
      </c>
      <c r="C106" t="s">
        <v>460</v>
      </c>
      <c r="D106" t="s">
        <v>225</v>
      </c>
      <c r="E106">
        <v>84074</v>
      </c>
      <c r="F106" t="s">
        <v>15</v>
      </c>
      <c r="G106">
        <v>6</v>
      </c>
      <c r="H106">
        <v>150</v>
      </c>
      <c r="I106" t="str" cm="1">
        <f t="array" ref="I106">_xlfn.IFS(H106&lt;=120,"V1",H106&lt;=150,"V2",H106&lt;=250,"V3", H106&lt;=350, "V4")</f>
        <v>V2</v>
      </c>
      <c r="J106" t="s">
        <v>461</v>
      </c>
      <c r="K106" t="str">
        <f t="shared" si="23"/>
        <v>40.684486</v>
      </c>
      <c r="L106" t="str">
        <f t="shared" si="24"/>
        <v>-112.268818</v>
      </c>
      <c r="M106">
        <v>1290</v>
      </c>
      <c r="N106" s="1">
        <v>42060</v>
      </c>
      <c r="O106" s="1">
        <v>46099</v>
      </c>
      <c r="P106" s="2">
        <f t="shared" si="25"/>
        <v>11.058179329226558</v>
      </c>
      <c r="Q106" s="2" t="str">
        <f t="shared" si="26"/>
        <v>Old</v>
      </c>
      <c r="R106">
        <f t="shared" si="27"/>
        <v>900</v>
      </c>
      <c r="S106" t="str">
        <f t="shared" si="28"/>
        <v>Small</v>
      </c>
      <c r="T106" t="str">
        <f t="shared" si="29"/>
        <v>Lower EV Adoption Corridor</v>
      </c>
      <c r="U106" s="3">
        <f t="shared" si="30"/>
        <v>1485000.0000000002</v>
      </c>
      <c r="V106" s="4">
        <f t="shared" si="31"/>
        <v>360000</v>
      </c>
      <c r="W106" s="3">
        <f t="shared" si="32"/>
        <v>4500000</v>
      </c>
      <c r="X106" s="3">
        <f t="shared" si="33"/>
        <v>2700000</v>
      </c>
      <c r="Y106">
        <f t="shared" si="34"/>
        <v>0.3</v>
      </c>
      <c r="Z106">
        <f t="shared" si="35"/>
        <v>0.75757575757575757</v>
      </c>
      <c r="AA106" t="str">
        <f t="shared" si="36"/>
        <v>Tier 4 - Stable Network</v>
      </c>
      <c r="AB106" s="3">
        <f t="shared" si="37"/>
        <v>60000</v>
      </c>
      <c r="AC106" s="3">
        <f t="shared" si="38"/>
        <v>750000</v>
      </c>
      <c r="AD106" s="3">
        <f t="shared" si="39"/>
        <v>247500.00000000003</v>
      </c>
      <c r="AE106" s="5">
        <f t="shared" si="40"/>
        <v>3.9999999999999991</v>
      </c>
      <c r="AF106" s="10">
        <f t="shared" si="41"/>
        <v>223200</v>
      </c>
      <c r="AG106" s="10">
        <f t="shared" si="42"/>
        <v>72000</v>
      </c>
      <c r="AH106" s="10">
        <f t="shared" si="43"/>
        <v>36000</v>
      </c>
      <c r="AI106" s="10">
        <f t="shared" si="44"/>
        <v>18000</v>
      </c>
      <c r="AJ106" s="10">
        <f t="shared" si="45"/>
        <v>10800</v>
      </c>
    </row>
    <row r="107" spans="1:36" x14ac:dyDescent="0.3">
      <c r="A107" t="s">
        <v>462</v>
      </c>
      <c r="B107" t="s">
        <v>463</v>
      </c>
      <c r="C107" t="s">
        <v>464</v>
      </c>
      <c r="D107" t="s">
        <v>433</v>
      </c>
      <c r="E107">
        <v>89801</v>
      </c>
      <c r="F107" t="s">
        <v>15</v>
      </c>
      <c r="G107">
        <v>6</v>
      </c>
      <c r="H107">
        <v>150</v>
      </c>
      <c r="I107" t="str" cm="1">
        <f t="array" ref="I107">_xlfn.IFS(H107&lt;=120,"V1",H107&lt;=150,"V2",H107&lt;=250,"V3", H107&lt;=350, "V4")</f>
        <v>V2</v>
      </c>
      <c r="J107" t="s">
        <v>465</v>
      </c>
      <c r="K107" t="str">
        <f t="shared" si="23"/>
        <v>40.836301</v>
      </c>
      <c r="L107" t="str">
        <f t="shared" si="24"/>
        <v>-115.790859</v>
      </c>
      <c r="M107">
        <v>1574</v>
      </c>
      <c r="N107" s="1">
        <v>42038</v>
      </c>
      <c r="O107" s="1">
        <v>46099</v>
      </c>
      <c r="P107" s="2">
        <f t="shared" si="25"/>
        <v>11.118412046543463</v>
      </c>
      <c r="Q107" s="2" t="str">
        <f t="shared" si="26"/>
        <v>Old</v>
      </c>
      <c r="R107">
        <f t="shared" si="27"/>
        <v>900</v>
      </c>
      <c r="S107" t="str">
        <f t="shared" si="28"/>
        <v>Small</v>
      </c>
      <c r="T107" t="str">
        <f t="shared" si="29"/>
        <v>Lower EV Adoption Corridor</v>
      </c>
      <c r="U107" s="3">
        <f t="shared" si="30"/>
        <v>1485000.0000000002</v>
      </c>
      <c r="V107" s="4">
        <f t="shared" si="31"/>
        <v>360000</v>
      </c>
      <c r="W107" s="3">
        <f t="shared" si="32"/>
        <v>4500000</v>
      </c>
      <c r="X107" s="3">
        <f t="shared" si="33"/>
        <v>2700000</v>
      </c>
      <c r="Y107">
        <f t="shared" si="34"/>
        <v>0.3</v>
      </c>
      <c r="Z107">
        <f t="shared" si="35"/>
        <v>0.75757575757575757</v>
      </c>
      <c r="AA107" t="str">
        <f t="shared" si="36"/>
        <v>Tier 4 - Stable Network</v>
      </c>
      <c r="AB107" s="3">
        <f t="shared" si="37"/>
        <v>60000</v>
      </c>
      <c r="AC107" s="3">
        <f t="shared" si="38"/>
        <v>750000</v>
      </c>
      <c r="AD107" s="3">
        <f t="shared" si="39"/>
        <v>247500.00000000003</v>
      </c>
      <c r="AE107" s="5">
        <f t="shared" si="40"/>
        <v>3.9999999999999991</v>
      </c>
      <c r="AF107" s="10">
        <f t="shared" si="41"/>
        <v>223200</v>
      </c>
      <c r="AG107" s="10">
        <f t="shared" si="42"/>
        <v>72000</v>
      </c>
      <c r="AH107" s="10">
        <f t="shared" si="43"/>
        <v>36000</v>
      </c>
      <c r="AI107" s="10">
        <f t="shared" si="44"/>
        <v>18000</v>
      </c>
      <c r="AJ107" s="10">
        <f t="shared" si="45"/>
        <v>10800</v>
      </c>
    </row>
    <row r="108" spans="1:36" x14ac:dyDescent="0.3">
      <c r="A108" t="s">
        <v>466</v>
      </c>
      <c r="B108" t="s">
        <v>467</v>
      </c>
      <c r="C108" t="s">
        <v>468</v>
      </c>
      <c r="D108" t="s">
        <v>433</v>
      </c>
      <c r="E108">
        <v>89419</v>
      </c>
      <c r="F108" t="s">
        <v>15</v>
      </c>
      <c r="G108">
        <v>4</v>
      </c>
      <c r="H108">
        <v>150</v>
      </c>
      <c r="I108" t="str" cm="1">
        <f t="array" ref="I108">_xlfn.IFS(H108&lt;=120,"V1",H108&lt;=150,"V2",H108&lt;=250,"V3", H108&lt;=350, "V4")</f>
        <v>V2</v>
      </c>
      <c r="J108" t="s">
        <v>469</v>
      </c>
      <c r="K108" t="str">
        <f t="shared" si="23"/>
        <v>40.179476</v>
      </c>
      <c r="L108" t="str">
        <f t="shared" si="24"/>
        <v>-118.472135</v>
      </c>
      <c r="M108">
        <v>1213</v>
      </c>
      <c r="N108" s="1">
        <v>42032</v>
      </c>
      <c r="O108" s="1">
        <v>46099</v>
      </c>
      <c r="P108" s="2">
        <f t="shared" si="25"/>
        <v>11.134839151266256</v>
      </c>
      <c r="Q108" s="2" t="str">
        <f t="shared" si="26"/>
        <v>Old</v>
      </c>
      <c r="R108">
        <f t="shared" si="27"/>
        <v>600</v>
      </c>
      <c r="S108" t="str">
        <f t="shared" si="28"/>
        <v>Small</v>
      </c>
      <c r="T108" t="str">
        <f t="shared" si="29"/>
        <v>Lower EV Adoption Corridor</v>
      </c>
      <c r="U108" s="3">
        <f t="shared" si="30"/>
        <v>990000.00000000012</v>
      </c>
      <c r="V108" s="4">
        <f t="shared" si="31"/>
        <v>240000</v>
      </c>
      <c r="W108" s="3">
        <f t="shared" si="32"/>
        <v>3000000</v>
      </c>
      <c r="X108" s="3">
        <f t="shared" si="33"/>
        <v>1800000</v>
      </c>
      <c r="Y108">
        <f t="shared" si="34"/>
        <v>0.3</v>
      </c>
      <c r="Z108">
        <f t="shared" si="35"/>
        <v>0.75757575757575757</v>
      </c>
      <c r="AA108" t="str">
        <f t="shared" si="36"/>
        <v>Tier 4 - Stable Network</v>
      </c>
      <c r="AB108" s="3">
        <f t="shared" si="37"/>
        <v>60000</v>
      </c>
      <c r="AC108" s="3">
        <f t="shared" si="38"/>
        <v>750000</v>
      </c>
      <c r="AD108" s="3">
        <f t="shared" si="39"/>
        <v>247500.00000000003</v>
      </c>
      <c r="AE108" s="5">
        <f t="shared" si="40"/>
        <v>3.9999999999999996</v>
      </c>
      <c r="AF108" s="10">
        <f t="shared" si="41"/>
        <v>148800</v>
      </c>
      <c r="AG108" s="10">
        <f t="shared" si="42"/>
        <v>48000</v>
      </c>
      <c r="AH108" s="10">
        <f t="shared" si="43"/>
        <v>24000</v>
      </c>
      <c r="AI108" s="10">
        <f t="shared" si="44"/>
        <v>12000</v>
      </c>
      <c r="AJ108" s="10">
        <f t="shared" si="45"/>
        <v>7200</v>
      </c>
    </row>
    <row r="109" spans="1:36" x14ac:dyDescent="0.3">
      <c r="A109" t="s">
        <v>470</v>
      </c>
      <c r="B109" t="s">
        <v>471</v>
      </c>
      <c r="C109" t="s">
        <v>472</v>
      </c>
      <c r="D109" t="s">
        <v>14</v>
      </c>
      <c r="E109">
        <v>93527</v>
      </c>
      <c r="F109" t="s">
        <v>15</v>
      </c>
      <c r="G109">
        <v>4</v>
      </c>
      <c r="H109">
        <v>150</v>
      </c>
      <c r="I109" t="str" cm="1">
        <f t="array" ref="I109">_xlfn.IFS(H109&lt;=120,"V1",H109&lt;=150,"V2",H109&lt;=250,"V3", H109&lt;=350, "V4")</f>
        <v>V2</v>
      </c>
      <c r="J109" t="s">
        <v>473</v>
      </c>
      <c r="K109" t="str">
        <f t="shared" si="23"/>
        <v>35.646461</v>
      </c>
      <c r="L109" t="str">
        <f t="shared" si="24"/>
        <v>-117.812629</v>
      </c>
      <c r="M109">
        <v>742</v>
      </c>
      <c r="N109" s="1">
        <v>42083</v>
      </c>
      <c r="O109" s="1">
        <v>46099</v>
      </c>
      <c r="P109" s="2">
        <f t="shared" si="25"/>
        <v>10.99520876112252</v>
      </c>
      <c r="Q109" s="2" t="str">
        <f t="shared" si="26"/>
        <v>Old</v>
      </c>
      <c r="R109">
        <f t="shared" si="27"/>
        <v>600</v>
      </c>
      <c r="S109" t="str">
        <f t="shared" si="28"/>
        <v>Small</v>
      </c>
      <c r="T109" t="str">
        <f t="shared" si="29"/>
        <v>High EV Adoption Corridor</v>
      </c>
      <c r="U109" s="3">
        <f t="shared" si="30"/>
        <v>1287000.0000000002</v>
      </c>
      <c r="V109" s="4">
        <f t="shared" si="31"/>
        <v>288000</v>
      </c>
      <c r="W109" s="3">
        <f t="shared" si="32"/>
        <v>3300000.0000000005</v>
      </c>
      <c r="X109" s="3">
        <f t="shared" si="33"/>
        <v>2700000</v>
      </c>
      <c r="Y109">
        <f t="shared" si="34"/>
        <v>0.22888888888888889</v>
      </c>
      <c r="Z109">
        <f t="shared" si="35"/>
        <v>0.77622377622377625</v>
      </c>
      <c r="AA109" t="str">
        <f t="shared" si="36"/>
        <v>Tier 3 - Upgrade Pipeline</v>
      </c>
      <c r="AB109" s="3">
        <f t="shared" si="37"/>
        <v>72000</v>
      </c>
      <c r="AC109" s="3">
        <f t="shared" si="38"/>
        <v>825000.00000000012</v>
      </c>
      <c r="AD109" s="3">
        <f t="shared" si="39"/>
        <v>321750.00000000006</v>
      </c>
      <c r="AE109" s="5">
        <f t="shared" si="40"/>
        <v>3.303303303303303</v>
      </c>
      <c r="AF109" s="10">
        <f t="shared" si="41"/>
        <v>178560</v>
      </c>
      <c r="AG109" s="10">
        <f t="shared" si="42"/>
        <v>57600</v>
      </c>
      <c r="AH109" s="10">
        <f t="shared" si="43"/>
        <v>28800</v>
      </c>
      <c r="AI109" s="10">
        <f t="shared" si="44"/>
        <v>14400</v>
      </c>
      <c r="AJ109" s="10">
        <f t="shared" si="45"/>
        <v>8640</v>
      </c>
    </row>
    <row r="110" spans="1:36" x14ac:dyDescent="0.3">
      <c r="A110" t="s">
        <v>474</v>
      </c>
      <c r="B110" t="s">
        <v>475</v>
      </c>
      <c r="C110" t="s">
        <v>476</v>
      </c>
      <c r="D110" t="s">
        <v>14</v>
      </c>
      <c r="E110">
        <v>94404</v>
      </c>
      <c r="F110" t="s">
        <v>15</v>
      </c>
      <c r="G110">
        <v>12</v>
      </c>
      <c r="H110">
        <v>120</v>
      </c>
      <c r="I110" t="str" cm="1">
        <f t="array" ref="I110">_xlfn.IFS(H110&lt;=120,"V1",H110&lt;=150,"V2",H110&lt;=250,"V3", H110&lt;=350, "V4")</f>
        <v>V1</v>
      </c>
      <c r="J110" t="s">
        <v>477</v>
      </c>
      <c r="K110" t="str">
        <f t="shared" si="23"/>
        <v>37.558546</v>
      </c>
      <c r="L110" t="str">
        <f t="shared" si="24"/>
        <v>-122.284614</v>
      </c>
      <c r="M110">
        <v>3</v>
      </c>
      <c r="N110" s="1">
        <v>43040</v>
      </c>
      <c r="O110" s="1">
        <v>46099</v>
      </c>
      <c r="P110" s="2">
        <f t="shared" si="25"/>
        <v>8.3750855578370977</v>
      </c>
      <c r="Q110" s="2" t="str">
        <f t="shared" si="26"/>
        <v>Old</v>
      </c>
      <c r="R110">
        <f t="shared" si="27"/>
        <v>1440</v>
      </c>
      <c r="S110" t="str">
        <f t="shared" si="28"/>
        <v>Small</v>
      </c>
      <c r="T110" t="str">
        <f t="shared" si="29"/>
        <v>High EV Adoption Corridor</v>
      </c>
      <c r="U110" s="3">
        <f t="shared" si="30"/>
        <v>2808000</v>
      </c>
      <c r="V110" s="4">
        <f t="shared" si="31"/>
        <v>622080</v>
      </c>
      <c r="W110" s="3">
        <f t="shared" si="32"/>
        <v>6336000.0000000009</v>
      </c>
      <c r="X110" s="3">
        <f t="shared" si="33"/>
        <v>5832000</v>
      </c>
      <c r="Y110">
        <f t="shared" si="34"/>
        <v>0.21530864197530863</v>
      </c>
      <c r="Z110">
        <f t="shared" si="35"/>
        <v>0.77846153846153843</v>
      </c>
      <c r="AA110" t="str">
        <f t="shared" si="36"/>
        <v>Tier 3 - Upgrade Pipeline</v>
      </c>
      <c r="AB110" s="3">
        <f t="shared" si="37"/>
        <v>51840</v>
      </c>
      <c r="AC110" s="3">
        <f t="shared" si="38"/>
        <v>528000.00000000012</v>
      </c>
      <c r="AD110" s="3">
        <f t="shared" si="39"/>
        <v>234000</v>
      </c>
      <c r="AE110" s="5">
        <f t="shared" si="40"/>
        <v>2.8985507246376816</v>
      </c>
      <c r="AF110" s="10">
        <f t="shared" si="41"/>
        <v>385689.59999999998</v>
      </c>
      <c r="AG110" s="10">
        <f t="shared" si="42"/>
        <v>124416</v>
      </c>
      <c r="AH110" s="10">
        <f t="shared" si="43"/>
        <v>62208</v>
      </c>
      <c r="AI110" s="10">
        <f t="shared" si="44"/>
        <v>31104</v>
      </c>
      <c r="AJ110" s="10">
        <f t="shared" si="45"/>
        <v>18662.399999999998</v>
      </c>
    </row>
    <row r="111" spans="1:36" x14ac:dyDescent="0.3">
      <c r="A111" t="s">
        <v>478</v>
      </c>
      <c r="B111" t="s">
        <v>479</v>
      </c>
      <c r="C111" t="s">
        <v>480</v>
      </c>
      <c r="D111" t="s">
        <v>321</v>
      </c>
      <c r="E111">
        <v>2026</v>
      </c>
      <c r="F111" t="s">
        <v>15</v>
      </c>
      <c r="G111">
        <v>8</v>
      </c>
      <c r="H111">
        <v>120</v>
      </c>
      <c r="I111" t="str" cm="1">
        <f t="array" ref="I111">_xlfn.IFS(H111&lt;=120,"V1",H111&lt;=150,"V2",H111&lt;=250,"V3", H111&lt;=350, "V4")</f>
        <v>V1</v>
      </c>
      <c r="J111" t="s">
        <v>481</v>
      </c>
      <c r="K111" t="str">
        <f t="shared" si="23"/>
        <v>42.236417</v>
      </c>
      <c r="L111" t="str">
        <f t="shared" si="24"/>
        <v>-71.17825</v>
      </c>
      <c r="M111">
        <v>29</v>
      </c>
      <c r="N111" s="1">
        <v>42224</v>
      </c>
      <c r="O111" s="1">
        <v>46099</v>
      </c>
      <c r="P111" s="2">
        <f t="shared" si="25"/>
        <v>10.609171800136892</v>
      </c>
      <c r="Q111" s="2" t="str">
        <f t="shared" si="26"/>
        <v>Old</v>
      </c>
      <c r="R111">
        <f t="shared" si="27"/>
        <v>960</v>
      </c>
      <c r="S111" t="str">
        <f t="shared" si="28"/>
        <v>Small</v>
      </c>
      <c r="T111" t="str">
        <f t="shared" si="29"/>
        <v>Lower EV Adoption Corridor</v>
      </c>
      <c r="U111" s="3">
        <f t="shared" si="30"/>
        <v>1440000</v>
      </c>
      <c r="V111" s="4">
        <f t="shared" si="31"/>
        <v>345600</v>
      </c>
      <c r="W111" s="3">
        <f t="shared" si="32"/>
        <v>3840000</v>
      </c>
      <c r="X111" s="3">
        <f t="shared" si="33"/>
        <v>2592000</v>
      </c>
      <c r="Y111">
        <f t="shared" si="34"/>
        <v>0.2814814814814815</v>
      </c>
      <c r="Z111">
        <f t="shared" si="35"/>
        <v>0.76</v>
      </c>
      <c r="AA111" t="str">
        <f t="shared" si="36"/>
        <v>Tier 5 - Retirement Pipeline</v>
      </c>
      <c r="AB111" s="3">
        <f t="shared" si="37"/>
        <v>43200</v>
      </c>
      <c r="AC111" s="3">
        <f t="shared" si="38"/>
        <v>480000</v>
      </c>
      <c r="AD111" s="3">
        <f t="shared" si="39"/>
        <v>180000</v>
      </c>
      <c r="AE111" s="5">
        <f t="shared" si="40"/>
        <v>3.5087719298245612</v>
      </c>
      <c r="AF111" s="10">
        <f t="shared" si="41"/>
        <v>214272</v>
      </c>
      <c r="AG111" s="10">
        <f t="shared" si="42"/>
        <v>69120</v>
      </c>
      <c r="AH111" s="10">
        <f t="shared" si="43"/>
        <v>34560</v>
      </c>
      <c r="AI111" s="10">
        <f t="shared" si="44"/>
        <v>17280</v>
      </c>
      <c r="AJ111" s="10">
        <f t="shared" si="45"/>
        <v>10368</v>
      </c>
    </row>
    <row r="112" spans="1:36" x14ac:dyDescent="0.3">
      <c r="A112" t="s">
        <v>482</v>
      </c>
      <c r="B112" t="s">
        <v>483</v>
      </c>
      <c r="C112" t="s">
        <v>362</v>
      </c>
      <c r="D112" t="s">
        <v>484</v>
      </c>
      <c r="E112">
        <v>36832</v>
      </c>
      <c r="F112" t="s">
        <v>15</v>
      </c>
      <c r="G112">
        <v>12</v>
      </c>
      <c r="H112">
        <v>250</v>
      </c>
      <c r="I112" t="str" cm="1">
        <f t="array" ref="I112">_xlfn.IFS(H112&lt;=120,"V1",H112&lt;=150,"V2",H112&lt;=250,"V3", H112&lt;=350, "V4")</f>
        <v>V3</v>
      </c>
      <c r="J112" t="s">
        <v>485</v>
      </c>
      <c r="K112" t="str">
        <f t="shared" si="23"/>
        <v>32.57645</v>
      </c>
      <c r="L112" t="str">
        <f t="shared" si="24"/>
        <v>-85.497641</v>
      </c>
      <c r="M112">
        <v>186</v>
      </c>
      <c r="N112" s="1">
        <v>44693</v>
      </c>
      <c r="O112" s="1">
        <v>46099</v>
      </c>
      <c r="P112" s="2">
        <f t="shared" si="25"/>
        <v>3.8494182067077345</v>
      </c>
      <c r="Q112" s="2" t="str">
        <f t="shared" si="26"/>
        <v>Mid</v>
      </c>
      <c r="R112">
        <f t="shared" si="27"/>
        <v>3000</v>
      </c>
      <c r="S112" t="str">
        <f t="shared" si="28"/>
        <v>Small</v>
      </c>
      <c r="T112" t="str">
        <f t="shared" si="29"/>
        <v>Lower EV Adoption Corridor</v>
      </c>
      <c r="U112" s="3">
        <f t="shared" si="30"/>
        <v>5400000</v>
      </c>
      <c r="V112" s="4">
        <f t="shared" si="31"/>
        <v>1320000</v>
      </c>
      <c r="W112" s="3">
        <f t="shared" si="32"/>
        <v>18000000</v>
      </c>
      <c r="X112" s="3">
        <f t="shared" si="33"/>
        <v>9900000</v>
      </c>
      <c r="Y112">
        <f t="shared" si="34"/>
        <v>0.31515151515151513</v>
      </c>
      <c r="Z112">
        <f t="shared" si="35"/>
        <v>0.75555555555555554</v>
      </c>
      <c r="AA112" t="str">
        <f t="shared" si="36"/>
        <v>Tier 2 - Growth Markets</v>
      </c>
      <c r="AB112" s="3">
        <f t="shared" si="37"/>
        <v>110000</v>
      </c>
      <c r="AC112" s="3">
        <f t="shared" si="38"/>
        <v>1500000</v>
      </c>
      <c r="AD112" s="3">
        <f t="shared" si="39"/>
        <v>450000</v>
      </c>
      <c r="AE112" s="5">
        <f t="shared" si="40"/>
        <v>4.4117647058823533</v>
      </c>
      <c r="AF112" s="10">
        <f t="shared" si="41"/>
        <v>818400</v>
      </c>
      <c r="AG112" s="10">
        <f t="shared" si="42"/>
        <v>264000</v>
      </c>
      <c r="AH112" s="10">
        <f t="shared" si="43"/>
        <v>132000</v>
      </c>
      <c r="AI112" s="10">
        <f t="shared" si="44"/>
        <v>66000</v>
      </c>
      <c r="AJ112" s="10">
        <f t="shared" si="45"/>
        <v>39600</v>
      </c>
    </row>
    <row r="113" spans="1:36" x14ac:dyDescent="0.3">
      <c r="A113" t="s">
        <v>486</v>
      </c>
      <c r="B113" t="s">
        <v>487</v>
      </c>
      <c r="C113" t="s">
        <v>488</v>
      </c>
      <c r="D113" t="s">
        <v>268</v>
      </c>
      <c r="E113">
        <v>81082</v>
      </c>
      <c r="F113" t="s">
        <v>15</v>
      </c>
      <c r="G113">
        <v>9</v>
      </c>
      <c r="H113">
        <v>250</v>
      </c>
      <c r="I113" t="str" cm="1">
        <f t="array" ref="I113">_xlfn.IFS(H113&lt;=120,"V1",H113&lt;=150,"V2",H113&lt;=250,"V3", H113&lt;=350, "V4")</f>
        <v>V3</v>
      </c>
      <c r="J113" t="s">
        <v>489</v>
      </c>
      <c r="K113" t="str">
        <f t="shared" si="23"/>
        <v>37.134228</v>
      </c>
      <c r="L113" t="str">
        <f t="shared" si="24"/>
        <v>-104.519962</v>
      </c>
      <c r="M113">
        <v>1933</v>
      </c>
      <c r="N113" s="1">
        <v>42215</v>
      </c>
      <c r="O113" s="1">
        <v>46099</v>
      </c>
      <c r="P113" s="2">
        <f t="shared" si="25"/>
        <v>10.633812457221081</v>
      </c>
      <c r="Q113" s="2" t="str">
        <f t="shared" si="26"/>
        <v>Old</v>
      </c>
      <c r="R113">
        <f t="shared" si="27"/>
        <v>2250</v>
      </c>
      <c r="S113" t="str">
        <f t="shared" si="28"/>
        <v>Small</v>
      </c>
      <c r="T113" t="str">
        <f t="shared" si="29"/>
        <v>High EV Adoption Corridor</v>
      </c>
      <c r="U113" s="3">
        <f t="shared" si="30"/>
        <v>5265000</v>
      </c>
      <c r="V113" s="4">
        <f t="shared" si="31"/>
        <v>1188000</v>
      </c>
      <c r="W113" s="3">
        <f t="shared" si="32"/>
        <v>14850000.000000002</v>
      </c>
      <c r="X113" s="3">
        <f t="shared" si="33"/>
        <v>11137500.000000002</v>
      </c>
      <c r="Y113">
        <f t="shared" si="34"/>
        <v>0.23999999999999996</v>
      </c>
      <c r="Z113">
        <f t="shared" si="35"/>
        <v>0.77435897435897438</v>
      </c>
      <c r="AA113" t="str">
        <f t="shared" si="36"/>
        <v>Tier 1 - Priority Fleet</v>
      </c>
      <c r="AB113" s="3">
        <f t="shared" si="37"/>
        <v>132000</v>
      </c>
      <c r="AC113" s="3">
        <f t="shared" si="38"/>
        <v>1650000.0000000002</v>
      </c>
      <c r="AD113" s="3">
        <f t="shared" si="39"/>
        <v>585000</v>
      </c>
      <c r="AE113" s="5">
        <f t="shared" si="40"/>
        <v>3.6423841059602653</v>
      </c>
      <c r="AF113" s="10">
        <f t="shared" si="41"/>
        <v>736560</v>
      </c>
      <c r="AG113" s="10">
        <f t="shared" si="42"/>
        <v>237600</v>
      </c>
      <c r="AH113" s="10">
        <f t="shared" si="43"/>
        <v>118800</v>
      </c>
      <c r="AI113" s="10">
        <f t="shared" si="44"/>
        <v>59400</v>
      </c>
      <c r="AJ113" s="10">
        <f t="shared" si="45"/>
        <v>35640</v>
      </c>
    </row>
    <row r="114" spans="1:36" x14ac:dyDescent="0.3">
      <c r="A114" t="s">
        <v>490</v>
      </c>
      <c r="B114" t="s">
        <v>491</v>
      </c>
      <c r="C114" t="s">
        <v>492</v>
      </c>
      <c r="D114" t="s">
        <v>59</v>
      </c>
      <c r="E114">
        <v>62401</v>
      </c>
      <c r="F114" t="s">
        <v>15</v>
      </c>
      <c r="G114">
        <v>6</v>
      </c>
      <c r="H114">
        <v>150</v>
      </c>
      <c r="I114" t="str" cm="1">
        <f t="array" ref="I114">_xlfn.IFS(H114&lt;=120,"V1",H114&lt;=150,"V2",H114&lt;=250,"V3", H114&lt;=350, "V4")</f>
        <v>V2</v>
      </c>
      <c r="J114" t="s">
        <v>493</v>
      </c>
      <c r="K114" t="str">
        <f t="shared" si="23"/>
        <v>39.137048</v>
      </c>
      <c r="L114" t="str">
        <f t="shared" si="24"/>
        <v>-88.563736</v>
      </c>
      <c r="M114">
        <v>184</v>
      </c>
      <c r="N114" s="1">
        <v>42091</v>
      </c>
      <c r="O114" s="1">
        <v>46099</v>
      </c>
      <c r="P114" s="2">
        <f t="shared" si="25"/>
        <v>10.973305954825461</v>
      </c>
      <c r="Q114" s="2" t="str">
        <f t="shared" si="26"/>
        <v>Old</v>
      </c>
      <c r="R114">
        <f t="shared" si="27"/>
        <v>900</v>
      </c>
      <c r="S114" t="str">
        <f t="shared" si="28"/>
        <v>Small</v>
      </c>
      <c r="T114" t="str">
        <f t="shared" si="29"/>
        <v>Lower EV Adoption Corridor</v>
      </c>
      <c r="U114" s="3">
        <f t="shared" si="30"/>
        <v>1485000.0000000002</v>
      </c>
      <c r="V114" s="4">
        <f t="shared" si="31"/>
        <v>360000</v>
      </c>
      <c r="W114" s="3">
        <f t="shared" si="32"/>
        <v>4500000</v>
      </c>
      <c r="X114" s="3">
        <f t="shared" si="33"/>
        <v>2700000</v>
      </c>
      <c r="Y114">
        <f t="shared" si="34"/>
        <v>0.3</v>
      </c>
      <c r="Z114">
        <f t="shared" si="35"/>
        <v>0.75757575757575757</v>
      </c>
      <c r="AA114" t="str">
        <f t="shared" si="36"/>
        <v>Tier 4 - Stable Network</v>
      </c>
      <c r="AB114" s="3">
        <f t="shared" si="37"/>
        <v>60000</v>
      </c>
      <c r="AC114" s="3">
        <f t="shared" si="38"/>
        <v>750000</v>
      </c>
      <c r="AD114" s="3">
        <f t="shared" si="39"/>
        <v>247500.00000000003</v>
      </c>
      <c r="AE114" s="5">
        <f t="shared" si="40"/>
        <v>3.9999999999999991</v>
      </c>
      <c r="AF114" s="10">
        <f t="shared" si="41"/>
        <v>223200</v>
      </c>
      <c r="AG114" s="10">
        <f t="shared" si="42"/>
        <v>72000</v>
      </c>
      <c r="AH114" s="10">
        <f t="shared" si="43"/>
        <v>36000</v>
      </c>
      <c r="AI114" s="10">
        <f t="shared" si="44"/>
        <v>18000</v>
      </c>
      <c r="AJ114" s="10">
        <f t="shared" si="45"/>
        <v>10800</v>
      </c>
    </row>
    <row r="115" spans="1:36" x14ac:dyDescent="0.3">
      <c r="A115" t="s">
        <v>494</v>
      </c>
      <c r="B115" t="s">
        <v>495</v>
      </c>
      <c r="C115" t="s">
        <v>496</v>
      </c>
      <c r="D115" t="s">
        <v>14</v>
      </c>
      <c r="E115">
        <v>90278</v>
      </c>
      <c r="F115" t="s">
        <v>15</v>
      </c>
      <c r="G115">
        <v>8</v>
      </c>
      <c r="H115">
        <v>150</v>
      </c>
      <c r="I115" t="str" cm="1">
        <f t="array" ref="I115">_xlfn.IFS(H115&lt;=120,"V1",H115&lt;=150,"V2",H115&lt;=250,"V3", H115&lt;=350, "V4")</f>
        <v>V2</v>
      </c>
      <c r="J115" t="s">
        <v>497</v>
      </c>
      <c r="K115" t="str">
        <f t="shared" si="23"/>
        <v>33.894294</v>
      </c>
      <c r="L115" t="str">
        <f t="shared" si="24"/>
        <v>-118.367379</v>
      </c>
      <c r="M115">
        <v>21</v>
      </c>
      <c r="N115" s="1">
        <v>42024</v>
      </c>
      <c r="O115" s="1">
        <v>46099</v>
      </c>
      <c r="P115" s="2">
        <f t="shared" si="25"/>
        <v>11.156741957563312</v>
      </c>
      <c r="Q115" s="2" t="str">
        <f t="shared" si="26"/>
        <v>Old</v>
      </c>
      <c r="R115">
        <f t="shared" si="27"/>
        <v>1200</v>
      </c>
      <c r="S115" t="str">
        <f t="shared" si="28"/>
        <v>Small</v>
      </c>
      <c r="T115" t="str">
        <f t="shared" si="29"/>
        <v>High EV Adoption Corridor</v>
      </c>
      <c r="U115" s="3">
        <f t="shared" si="30"/>
        <v>2574000.0000000005</v>
      </c>
      <c r="V115" s="4">
        <f t="shared" si="31"/>
        <v>576000</v>
      </c>
      <c r="W115" s="3">
        <f t="shared" si="32"/>
        <v>6600000.0000000009</v>
      </c>
      <c r="X115" s="3">
        <f t="shared" si="33"/>
        <v>5400000</v>
      </c>
      <c r="Y115">
        <f t="shared" si="34"/>
        <v>0.22888888888888889</v>
      </c>
      <c r="Z115">
        <f t="shared" si="35"/>
        <v>0.77622377622377625</v>
      </c>
      <c r="AA115" t="str">
        <f t="shared" si="36"/>
        <v>Tier 3 - Upgrade Pipeline</v>
      </c>
      <c r="AB115" s="3">
        <f t="shared" si="37"/>
        <v>72000</v>
      </c>
      <c r="AC115" s="3">
        <f t="shared" si="38"/>
        <v>825000.00000000012</v>
      </c>
      <c r="AD115" s="3">
        <f t="shared" si="39"/>
        <v>321750.00000000006</v>
      </c>
      <c r="AE115" s="5">
        <f t="shared" si="40"/>
        <v>3.303303303303303</v>
      </c>
      <c r="AF115" s="10">
        <f t="shared" si="41"/>
        <v>357120</v>
      </c>
      <c r="AG115" s="10">
        <f t="shared" si="42"/>
        <v>115200</v>
      </c>
      <c r="AH115" s="10">
        <f t="shared" si="43"/>
        <v>57600</v>
      </c>
      <c r="AI115" s="10">
        <f t="shared" si="44"/>
        <v>28800</v>
      </c>
      <c r="AJ115" s="10">
        <f t="shared" si="45"/>
        <v>17280</v>
      </c>
    </row>
    <row r="116" spans="1:36" x14ac:dyDescent="0.3">
      <c r="A116" t="s">
        <v>498</v>
      </c>
      <c r="B116" t="s">
        <v>499</v>
      </c>
      <c r="C116" t="s">
        <v>500</v>
      </c>
      <c r="D116" t="s">
        <v>50</v>
      </c>
      <c r="E116">
        <v>79079</v>
      </c>
      <c r="F116" t="s">
        <v>15</v>
      </c>
      <c r="G116">
        <v>6</v>
      </c>
      <c r="H116">
        <v>150</v>
      </c>
      <c r="I116" t="str" cm="1">
        <f t="array" ref="I116">_xlfn.IFS(H116&lt;=120,"V1",H116&lt;=150,"V2",H116&lt;=250,"V3", H116&lt;=350, "V4")</f>
        <v>V2</v>
      </c>
      <c r="J116" t="s">
        <v>501</v>
      </c>
      <c r="K116" t="str">
        <f t="shared" si="23"/>
        <v>35.226765</v>
      </c>
      <c r="L116" t="str">
        <f t="shared" si="24"/>
        <v>-100.24836</v>
      </c>
      <c r="M116">
        <v>704</v>
      </c>
      <c r="N116" s="1">
        <v>42055</v>
      </c>
      <c r="O116" s="1">
        <v>46099</v>
      </c>
      <c r="P116" s="2">
        <f t="shared" si="25"/>
        <v>11.071868583162217</v>
      </c>
      <c r="Q116" s="2" t="str">
        <f t="shared" si="26"/>
        <v>Old</v>
      </c>
      <c r="R116">
        <f t="shared" si="27"/>
        <v>900</v>
      </c>
      <c r="S116" t="str">
        <f t="shared" si="28"/>
        <v>Small</v>
      </c>
      <c r="T116" t="str">
        <f t="shared" si="29"/>
        <v>High EV Adoption Corridor</v>
      </c>
      <c r="U116" s="3">
        <f t="shared" si="30"/>
        <v>1930500.0000000005</v>
      </c>
      <c r="V116" s="4">
        <f t="shared" si="31"/>
        <v>432000</v>
      </c>
      <c r="W116" s="3">
        <f t="shared" si="32"/>
        <v>4950000</v>
      </c>
      <c r="X116" s="3">
        <f t="shared" si="33"/>
        <v>4050000</v>
      </c>
      <c r="Y116">
        <f t="shared" si="34"/>
        <v>0.22888888888888889</v>
      </c>
      <c r="Z116">
        <f t="shared" si="35"/>
        <v>0.77622377622377625</v>
      </c>
      <c r="AA116" t="str">
        <f t="shared" si="36"/>
        <v>Tier 3 - Upgrade Pipeline</v>
      </c>
      <c r="AB116" s="3">
        <f t="shared" si="37"/>
        <v>72000</v>
      </c>
      <c r="AC116" s="3">
        <f t="shared" si="38"/>
        <v>825000</v>
      </c>
      <c r="AD116" s="3">
        <f t="shared" si="39"/>
        <v>321750.00000000006</v>
      </c>
      <c r="AE116" s="5">
        <f t="shared" si="40"/>
        <v>3.3033033033033021</v>
      </c>
      <c r="AF116" s="10">
        <f t="shared" si="41"/>
        <v>267840</v>
      </c>
      <c r="AG116" s="10">
        <f t="shared" si="42"/>
        <v>86400</v>
      </c>
      <c r="AH116" s="10">
        <f t="shared" si="43"/>
        <v>43200</v>
      </c>
      <c r="AI116" s="10">
        <f t="shared" si="44"/>
        <v>21600</v>
      </c>
      <c r="AJ116" s="10">
        <f t="shared" si="45"/>
        <v>12960</v>
      </c>
    </row>
    <row r="117" spans="1:36" x14ac:dyDescent="0.3">
      <c r="A117" t="s">
        <v>502</v>
      </c>
      <c r="B117" t="s">
        <v>503</v>
      </c>
      <c r="C117" t="s">
        <v>504</v>
      </c>
      <c r="D117" t="s">
        <v>505</v>
      </c>
      <c r="E117">
        <v>73096</v>
      </c>
      <c r="F117" t="s">
        <v>15</v>
      </c>
      <c r="G117">
        <v>6</v>
      </c>
      <c r="H117">
        <v>150</v>
      </c>
      <c r="I117" t="str" cm="1">
        <f t="array" ref="I117">_xlfn.IFS(H117&lt;=120,"V1",H117&lt;=150,"V2",H117&lt;=250,"V3", H117&lt;=350, "V4")</f>
        <v>V2</v>
      </c>
      <c r="J117" t="s">
        <v>506</v>
      </c>
      <c r="K117" t="str">
        <f t="shared" si="23"/>
        <v>35.53859</v>
      </c>
      <c r="L117" t="str">
        <f t="shared" si="24"/>
        <v>-98.66012</v>
      </c>
      <c r="M117">
        <v>485</v>
      </c>
      <c r="N117" s="1">
        <v>42074</v>
      </c>
      <c r="O117" s="1">
        <v>46099</v>
      </c>
      <c r="P117" s="2">
        <f t="shared" si="25"/>
        <v>11.019849418206707</v>
      </c>
      <c r="Q117" s="2" t="str">
        <f t="shared" si="26"/>
        <v>Old</v>
      </c>
      <c r="R117">
        <f t="shared" si="27"/>
        <v>900</v>
      </c>
      <c r="S117" t="str">
        <f t="shared" si="28"/>
        <v>Small</v>
      </c>
      <c r="T117" t="str">
        <f t="shared" si="29"/>
        <v>Lower EV Adoption Corridor</v>
      </c>
      <c r="U117" s="3">
        <f t="shared" si="30"/>
        <v>1485000.0000000002</v>
      </c>
      <c r="V117" s="4">
        <f t="shared" si="31"/>
        <v>360000</v>
      </c>
      <c r="W117" s="3">
        <f t="shared" si="32"/>
        <v>4500000</v>
      </c>
      <c r="X117" s="3">
        <f t="shared" si="33"/>
        <v>2700000</v>
      </c>
      <c r="Y117">
        <f t="shared" si="34"/>
        <v>0.3</v>
      </c>
      <c r="Z117">
        <f t="shared" si="35"/>
        <v>0.75757575757575757</v>
      </c>
      <c r="AA117" t="str">
        <f t="shared" si="36"/>
        <v>Tier 4 - Stable Network</v>
      </c>
      <c r="AB117" s="3">
        <f t="shared" si="37"/>
        <v>60000</v>
      </c>
      <c r="AC117" s="3">
        <f t="shared" si="38"/>
        <v>750000</v>
      </c>
      <c r="AD117" s="3">
        <f t="shared" si="39"/>
        <v>247500.00000000003</v>
      </c>
      <c r="AE117" s="5">
        <f t="shared" si="40"/>
        <v>3.9999999999999991</v>
      </c>
      <c r="AF117" s="10">
        <f t="shared" si="41"/>
        <v>223200</v>
      </c>
      <c r="AG117" s="10">
        <f t="shared" si="42"/>
        <v>72000</v>
      </c>
      <c r="AH117" s="10">
        <f t="shared" si="43"/>
        <v>36000</v>
      </c>
      <c r="AI117" s="10">
        <f t="shared" si="44"/>
        <v>18000</v>
      </c>
      <c r="AJ117" s="10">
        <f t="shared" si="45"/>
        <v>10800</v>
      </c>
    </row>
    <row r="118" spans="1:36" x14ac:dyDescent="0.3">
      <c r="A118" t="s">
        <v>507</v>
      </c>
      <c r="B118" t="s">
        <v>508</v>
      </c>
      <c r="C118" t="s">
        <v>509</v>
      </c>
      <c r="D118" t="s">
        <v>143</v>
      </c>
      <c r="E118">
        <v>88401</v>
      </c>
      <c r="F118" t="s">
        <v>15</v>
      </c>
      <c r="G118">
        <v>6</v>
      </c>
      <c r="H118">
        <v>150</v>
      </c>
      <c r="I118" t="str" cm="1">
        <f t="array" ref="I118">_xlfn.IFS(H118&lt;=120,"V1",H118&lt;=150,"V2",H118&lt;=250,"V3", H118&lt;=350, "V4")</f>
        <v>V2</v>
      </c>
      <c r="J118" t="s">
        <v>510</v>
      </c>
      <c r="K118" t="str">
        <f t="shared" si="23"/>
        <v>35.153963</v>
      </c>
      <c r="L118" t="str">
        <f t="shared" si="24"/>
        <v>-103.722539</v>
      </c>
      <c r="M118">
        <v>1253</v>
      </c>
      <c r="N118" s="1">
        <v>42115</v>
      </c>
      <c r="O118" s="1">
        <v>46099</v>
      </c>
      <c r="P118" s="2">
        <f t="shared" si="25"/>
        <v>10.907597535934292</v>
      </c>
      <c r="Q118" s="2" t="str">
        <f t="shared" si="26"/>
        <v>Old</v>
      </c>
      <c r="R118">
        <f t="shared" si="27"/>
        <v>900</v>
      </c>
      <c r="S118" t="str">
        <f t="shared" si="28"/>
        <v>Small</v>
      </c>
      <c r="T118" t="str">
        <f t="shared" si="29"/>
        <v>Lower EV Adoption Corridor</v>
      </c>
      <c r="U118" s="3">
        <f t="shared" si="30"/>
        <v>1485000.0000000002</v>
      </c>
      <c r="V118" s="4">
        <f t="shared" si="31"/>
        <v>360000</v>
      </c>
      <c r="W118" s="3">
        <f t="shared" si="32"/>
        <v>4500000</v>
      </c>
      <c r="X118" s="3">
        <f t="shared" si="33"/>
        <v>2700000</v>
      </c>
      <c r="Y118">
        <f t="shared" si="34"/>
        <v>0.3</v>
      </c>
      <c r="Z118">
        <f t="shared" si="35"/>
        <v>0.75757575757575757</v>
      </c>
      <c r="AA118" t="str">
        <f t="shared" si="36"/>
        <v>Tier 4 - Stable Network</v>
      </c>
      <c r="AB118" s="3">
        <f t="shared" si="37"/>
        <v>60000</v>
      </c>
      <c r="AC118" s="3">
        <f t="shared" si="38"/>
        <v>750000</v>
      </c>
      <c r="AD118" s="3">
        <f t="shared" si="39"/>
        <v>247500.00000000003</v>
      </c>
      <c r="AE118" s="5">
        <f t="shared" si="40"/>
        <v>3.9999999999999991</v>
      </c>
      <c r="AF118" s="10">
        <f t="shared" si="41"/>
        <v>223200</v>
      </c>
      <c r="AG118" s="10">
        <f t="shared" si="42"/>
        <v>72000</v>
      </c>
      <c r="AH118" s="10">
        <f t="shared" si="43"/>
        <v>36000</v>
      </c>
      <c r="AI118" s="10">
        <f t="shared" si="44"/>
        <v>18000</v>
      </c>
      <c r="AJ118" s="10">
        <f t="shared" si="45"/>
        <v>10800</v>
      </c>
    </row>
    <row r="119" spans="1:36" x14ac:dyDescent="0.3">
      <c r="A119" t="s">
        <v>511</v>
      </c>
      <c r="B119" t="s">
        <v>512</v>
      </c>
      <c r="C119" t="s">
        <v>513</v>
      </c>
      <c r="D119" t="s">
        <v>143</v>
      </c>
      <c r="E119">
        <v>88435</v>
      </c>
      <c r="F119" t="s">
        <v>15</v>
      </c>
      <c r="G119">
        <v>6</v>
      </c>
      <c r="H119">
        <v>150</v>
      </c>
      <c r="I119" t="str" cm="1">
        <f t="array" ref="I119">_xlfn.IFS(H119&lt;=120,"V1",H119&lt;=150,"V2",H119&lt;=250,"V3", H119&lt;=350, "V4")</f>
        <v>V2</v>
      </c>
      <c r="J119" t="s">
        <v>514</v>
      </c>
      <c r="K119" t="str">
        <f t="shared" si="23"/>
        <v>34.947013</v>
      </c>
      <c r="L119" t="str">
        <f t="shared" si="24"/>
        <v>-104.647997</v>
      </c>
      <c r="M119">
        <v>1440</v>
      </c>
      <c r="N119" s="1">
        <v>42076</v>
      </c>
      <c r="O119" s="1">
        <v>46099</v>
      </c>
      <c r="P119" s="2">
        <f t="shared" si="25"/>
        <v>11.014373716632443</v>
      </c>
      <c r="Q119" s="2" t="str">
        <f t="shared" si="26"/>
        <v>Old</v>
      </c>
      <c r="R119">
        <f t="shared" si="27"/>
        <v>900</v>
      </c>
      <c r="S119" t="str">
        <f t="shared" si="28"/>
        <v>Small</v>
      </c>
      <c r="T119" t="str">
        <f t="shared" si="29"/>
        <v>Lower EV Adoption Corridor</v>
      </c>
      <c r="U119" s="3">
        <f t="shared" si="30"/>
        <v>1485000.0000000002</v>
      </c>
      <c r="V119" s="4">
        <f t="shared" si="31"/>
        <v>360000</v>
      </c>
      <c r="W119" s="3">
        <f t="shared" si="32"/>
        <v>4500000</v>
      </c>
      <c r="X119" s="3">
        <f t="shared" si="33"/>
        <v>2700000</v>
      </c>
      <c r="Y119">
        <f t="shared" si="34"/>
        <v>0.3</v>
      </c>
      <c r="Z119">
        <f t="shared" si="35"/>
        <v>0.75757575757575757</v>
      </c>
      <c r="AA119" t="str">
        <f t="shared" si="36"/>
        <v>Tier 4 - Stable Network</v>
      </c>
      <c r="AB119" s="3">
        <f t="shared" si="37"/>
        <v>60000</v>
      </c>
      <c r="AC119" s="3">
        <f t="shared" si="38"/>
        <v>750000</v>
      </c>
      <c r="AD119" s="3">
        <f t="shared" si="39"/>
        <v>247500.00000000003</v>
      </c>
      <c r="AE119" s="5">
        <f t="shared" si="40"/>
        <v>3.9999999999999991</v>
      </c>
      <c r="AF119" s="10">
        <f t="shared" si="41"/>
        <v>223200</v>
      </c>
      <c r="AG119" s="10">
        <f t="shared" si="42"/>
        <v>72000</v>
      </c>
      <c r="AH119" s="10">
        <f t="shared" si="43"/>
        <v>36000</v>
      </c>
      <c r="AI119" s="10">
        <f t="shared" si="44"/>
        <v>18000</v>
      </c>
      <c r="AJ119" s="10">
        <f t="shared" si="45"/>
        <v>10800</v>
      </c>
    </row>
    <row r="120" spans="1:36" x14ac:dyDescent="0.3">
      <c r="A120" t="s">
        <v>515</v>
      </c>
      <c r="B120" t="s">
        <v>516</v>
      </c>
      <c r="C120" t="s">
        <v>517</v>
      </c>
      <c r="D120" t="s">
        <v>148</v>
      </c>
      <c r="E120">
        <v>67216</v>
      </c>
      <c r="F120" t="s">
        <v>15</v>
      </c>
      <c r="G120">
        <v>6</v>
      </c>
      <c r="H120">
        <v>150</v>
      </c>
      <c r="I120" t="str" cm="1">
        <f t="array" ref="I120">_xlfn.IFS(H120&lt;=120,"V1",H120&lt;=150,"V2",H120&lt;=250,"V3", H120&lt;=350, "V4")</f>
        <v>V2</v>
      </c>
      <c r="J120" t="s">
        <v>518</v>
      </c>
      <c r="K120" t="str">
        <f t="shared" si="23"/>
        <v>37.60878</v>
      </c>
      <c r="L120" t="str">
        <f t="shared" si="24"/>
        <v>-97.33314</v>
      </c>
      <c r="M120">
        <v>388</v>
      </c>
      <c r="N120" s="1">
        <v>42025</v>
      </c>
      <c r="O120" s="1">
        <v>46099</v>
      </c>
      <c r="P120" s="2">
        <f t="shared" si="25"/>
        <v>11.154004106776181</v>
      </c>
      <c r="Q120" s="2" t="str">
        <f t="shared" si="26"/>
        <v>Old</v>
      </c>
      <c r="R120">
        <f t="shared" si="27"/>
        <v>900</v>
      </c>
      <c r="S120" t="str">
        <f t="shared" si="28"/>
        <v>Small</v>
      </c>
      <c r="T120" t="str">
        <f t="shared" si="29"/>
        <v>Lower EV Adoption Corridor</v>
      </c>
      <c r="U120" s="3">
        <f t="shared" si="30"/>
        <v>1485000.0000000002</v>
      </c>
      <c r="V120" s="4">
        <f t="shared" si="31"/>
        <v>360000</v>
      </c>
      <c r="W120" s="3">
        <f t="shared" si="32"/>
        <v>4500000</v>
      </c>
      <c r="X120" s="3">
        <f t="shared" si="33"/>
        <v>2700000</v>
      </c>
      <c r="Y120">
        <f t="shared" si="34"/>
        <v>0.3</v>
      </c>
      <c r="Z120">
        <f t="shared" si="35"/>
        <v>0.75757575757575757</v>
      </c>
      <c r="AA120" t="str">
        <f t="shared" si="36"/>
        <v>Tier 4 - Stable Network</v>
      </c>
      <c r="AB120" s="3">
        <f t="shared" si="37"/>
        <v>60000</v>
      </c>
      <c r="AC120" s="3">
        <f t="shared" si="38"/>
        <v>750000</v>
      </c>
      <c r="AD120" s="3">
        <f t="shared" si="39"/>
        <v>247500.00000000003</v>
      </c>
      <c r="AE120" s="5">
        <f t="shared" si="40"/>
        <v>3.9999999999999991</v>
      </c>
      <c r="AF120" s="10">
        <f t="shared" si="41"/>
        <v>223200</v>
      </c>
      <c r="AG120" s="10">
        <f t="shared" si="42"/>
        <v>72000</v>
      </c>
      <c r="AH120" s="10">
        <f t="shared" si="43"/>
        <v>36000</v>
      </c>
      <c r="AI120" s="10">
        <f t="shared" si="44"/>
        <v>18000</v>
      </c>
      <c r="AJ120" s="10">
        <f t="shared" si="45"/>
        <v>10800</v>
      </c>
    </row>
    <row r="121" spans="1:36" x14ac:dyDescent="0.3">
      <c r="A121" t="s">
        <v>519</v>
      </c>
      <c r="B121" t="s">
        <v>520</v>
      </c>
      <c r="C121" t="s">
        <v>521</v>
      </c>
      <c r="D121" t="s">
        <v>522</v>
      </c>
      <c r="E121">
        <v>63303</v>
      </c>
      <c r="F121" t="s">
        <v>15</v>
      </c>
      <c r="G121">
        <v>5</v>
      </c>
      <c r="H121">
        <v>150</v>
      </c>
      <c r="I121" t="str" cm="1">
        <f t="array" ref="I121">_xlfn.IFS(H121&lt;=120,"V1",H121&lt;=150,"V2",H121&lt;=250,"V3", H121&lt;=350, "V4")</f>
        <v>V2</v>
      </c>
      <c r="J121" t="s">
        <v>523</v>
      </c>
      <c r="K121" t="str">
        <f t="shared" si="23"/>
        <v>38.782139</v>
      </c>
      <c r="L121" t="str">
        <f t="shared" si="24"/>
        <v>-90.532862</v>
      </c>
      <c r="M121">
        <v>149</v>
      </c>
      <c r="N121" s="1">
        <v>42109</v>
      </c>
      <c r="O121" s="1">
        <v>46099</v>
      </c>
      <c r="P121" s="2">
        <f t="shared" si="25"/>
        <v>10.924024640657084</v>
      </c>
      <c r="Q121" s="2" t="str">
        <f t="shared" si="26"/>
        <v>Old</v>
      </c>
      <c r="R121">
        <f t="shared" si="27"/>
        <v>750</v>
      </c>
      <c r="S121" t="str">
        <f t="shared" si="28"/>
        <v>Small</v>
      </c>
      <c r="T121" t="str">
        <f t="shared" si="29"/>
        <v>Lower EV Adoption Corridor</v>
      </c>
      <c r="U121" s="3">
        <f t="shared" si="30"/>
        <v>1237500</v>
      </c>
      <c r="V121" s="4">
        <f t="shared" si="31"/>
        <v>300000</v>
      </c>
      <c r="W121" s="3">
        <f t="shared" si="32"/>
        <v>3750000</v>
      </c>
      <c r="X121" s="3">
        <f t="shared" si="33"/>
        <v>2250000</v>
      </c>
      <c r="Y121">
        <f t="shared" si="34"/>
        <v>0.3</v>
      </c>
      <c r="Z121">
        <f t="shared" si="35"/>
        <v>0.75757575757575757</v>
      </c>
      <c r="AA121" t="str">
        <f t="shared" si="36"/>
        <v>Tier 4 - Stable Network</v>
      </c>
      <c r="AB121" s="3">
        <f t="shared" si="37"/>
        <v>60000</v>
      </c>
      <c r="AC121" s="3">
        <f t="shared" si="38"/>
        <v>750000</v>
      </c>
      <c r="AD121" s="3">
        <f t="shared" si="39"/>
        <v>247500</v>
      </c>
      <c r="AE121" s="5">
        <f t="shared" si="40"/>
        <v>4</v>
      </c>
      <c r="AF121" s="10">
        <f t="shared" si="41"/>
        <v>186000</v>
      </c>
      <c r="AG121" s="10">
        <f t="shared" si="42"/>
        <v>60000</v>
      </c>
      <c r="AH121" s="10">
        <f t="shared" si="43"/>
        <v>30000</v>
      </c>
      <c r="AI121" s="10">
        <f t="shared" si="44"/>
        <v>15000</v>
      </c>
      <c r="AJ121" s="10">
        <f t="shared" si="45"/>
        <v>9000</v>
      </c>
    </row>
    <row r="122" spans="1:36" x14ac:dyDescent="0.3">
      <c r="A122" t="s">
        <v>524</v>
      </c>
      <c r="B122" t="s">
        <v>525</v>
      </c>
      <c r="C122" t="s">
        <v>526</v>
      </c>
      <c r="D122" t="s">
        <v>415</v>
      </c>
      <c r="E122">
        <v>51501</v>
      </c>
      <c r="F122" t="s">
        <v>15</v>
      </c>
      <c r="G122">
        <v>8</v>
      </c>
      <c r="H122">
        <v>150</v>
      </c>
      <c r="I122" t="str" cm="1">
        <f t="array" ref="I122">_xlfn.IFS(H122&lt;=120,"V1",H122&lt;=150,"V2",H122&lt;=250,"V3", H122&lt;=350, "V4")</f>
        <v>V2</v>
      </c>
      <c r="J122" t="s">
        <v>527</v>
      </c>
      <c r="K122" t="str">
        <f t="shared" si="23"/>
        <v>41.220935</v>
      </c>
      <c r="L122" t="str">
        <f t="shared" si="24"/>
        <v>-95.835622</v>
      </c>
      <c r="M122">
        <v>299</v>
      </c>
      <c r="N122" s="1">
        <v>42074</v>
      </c>
      <c r="O122" s="1">
        <v>46099</v>
      </c>
      <c r="P122" s="2">
        <f t="shared" si="25"/>
        <v>11.019849418206707</v>
      </c>
      <c r="Q122" s="2" t="str">
        <f t="shared" si="26"/>
        <v>Old</v>
      </c>
      <c r="R122">
        <f t="shared" si="27"/>
        <v>1200</v>
      </c>
      <c r="S122" t="str">
        <f t="shared" si="28"/>
        <v>Small</v>
      </c>
      <c r="T122" t="str">
        <f t="shared" si="29"/>
        <v>Lower EV Adoption Corridor</v>
      </c>
      <c r="U122" s="3">
        <f t="shared" si="30"/>
        <v>1980000.0000000002</v>
      </c>
      <c r="V122" s="4">
        <f t="shared" si="31"/>
        <v>480000</v>
      </c>
      <c r="W122" s="3">
        <f t="shared" si="32"/>
        <v>6000000</v>
      </c>
      <c r="X122" s="3">
        <f t="shared" si="33"/>
        <v>3600000</v>
      </c>
      <c r="Y122">
        <f t="shared" si="34"/>
        <v>0.3</v>
      </c>
      <c r="Z122">
        <f t="shared" si="35"/>
        <v>0.75757575757575757</v>
      </c>
      <c r="AA122" t="str">
        <f t="shared" si="36"/>
        <v>Tier 4 - Stable Network</v>
      </c>
      <c r="AB122" s="3">
        <f t="shared" si="37"/>
        <v>60000</v>
      </c>
      <c r="AC122" s="3">
        <f t="shared" si="38"/>
        <v>750000</v>
      </c>
      <c r="AD122" s="3">
        <f t="shared" si="39"/>
        <v>247500.00000000003</v>
      </c>
      <c r="AE122" s="5">
        <f t="shared" si="40"/>
        <v>3.9999999999999996</v>
      </c>
      <c r="AF122" s="10">
        <f t="shared" si="41"/>
        <v>297600</v>
      </c>
      <c r="AG122" s="10">
        <f t="shared" si="42"/>
        <v>96000</v>
      </c>
      <c r="AH122" s="10">
        <f t="shared" si="43"/>
        <v>48000</v>
      </c>
      <c r="AI122" s="10">
        <f t="shared" si="44"/>
        <v>24000</v>
      </c>
      <c r="AJ122" s="10">
        <f t="shared" si="45"/>
        <v>14400</v>
      </c>
    </row>
    <row r="123" spans="1:36" x14ac:dyDescent="0.3">
      <c r="A123" t="s">
        <v>528</v>
      </c>
      <c r="B123" t="s">
        <v>529</v>
      </c>
      <c r="C123" t="s">
        <v>530</v>
      </c>
      <c r="D123" t="s">
        <v>14</v>
      </c>
      <c r="E123">
        <v>95014</v>
      </c>
      <c r="F123" t="s">
        <v>15</v>
      </c>
      <c r="G123">
        <v>10</v>
      </c>
      <c r="H123">
        <v>150</v>
      </c>
      <c r="I123" t="str" cm="1">
        <f t="array" ref="I123">_xlfn.IFS(H123&lt;=120,"V1",H123&lt;=150,"V2",H123&lt;=250,"V3", H123&lt;=350, "V4")</f>
        <v>V2</v>
      </c>
      <c r="J123" t="s">
        <v>531</v>
      </c>
      <c r="K123" t="str">
        <f t="shared" si="23"/>
        <v>37.324372</v>
      </c>
      <c r="L123" t="str">
        <f t="shared" si="24"/>
        <v>-122.009179</v>
      </c>
      <c r="M123">
        <v>55</v>
      </c>
      <c r="N123" s="1">
        <v>43188</v>
      </c>
      <c r="O123" s="1">
        <v>46099</v>
      </c>
      <c r="P123" s="2">
        <f t="shared" si="25"/>
        <v>7.9698836413415473</v>
      </c>
      <c r="Q123" s="2" t="str">
        <f t="shared" si="26"/>
        <v>Mid</v>
      </c>
      <c r="R123">
        <f t="shared" si="27"/>
        <v>1500</v>
      </c>
      <c r="S123" t="str">
        <f t="shared" si="28"/>
        <v>Small</v>
      </c>
      <c r="T123" t="str">
        <f t="shared" si="29"/>
        <v>High EV Adoption Corridor</v>
      </c>
      <c r="U123" s="3">
        <f t="shared" si="30"/>
        <v>3217500</v>
      </c>
      <c r="V123" s="4">
        <f t="shared" si="31"/>
        <v>720000</v>
      </c>
      <c r="W123" s="3">
        <f t="shared" si="32"/>
        <v>8250000.0000000009</v>
      </c>
      <c r="X123" s="3">
        <f t="shared" si="33"/>
        <v>6750000</v>
      </c>
      <c r="Y123">
        <f t="shared" si="34"/>
        <v>0.22888888888888889</v>
      </c>
      <c r="Z123">
        <f t="shared" si="35"/>
        <v>0.77622377622377625</v>
      </c>
      <c r="AA123" t="str">
        <f t="shared" si="36"/>
        <v>Tier 3 - Upgrade Pipeline</v>
      </c>
      <c r="AB123" s="3">
        <f t="shared" si="37"/>
        <v>72000</v>
      </c>
      <c r="AC123" s="3">
        <f t="shared" si="38"/>
        <v>825000.00000000012</v>
      </c>
      <c r="AD123" s="3">
        <f t="shared" si="39"/>
        <v>321750</v>
      </c>
      <c r="AE123" s="5">
        <f t="shared" si="40"/>
        <v>3.3033033033033035</v>
      </c>
      <c r="AF123" s="10">
        <f t="shared" si="41"/>
        <v>446400</v>
      </c>
      <c r="AG123" s="10">
        <f t="shared" si="42"/>
        <v>144000</v>
      </c>
      <c r="AH123" s="10">
        <f t="shared" si="43"/>
        <v>72000</v>
      </c>
      <c r="AI123" s="10">
        <f t="shared" si="44"/>
        <v>36000</v>
      </c>
      <c r="AJ123" s="10">
        <f t="shared" si="45"/>
        <v>21600</v>
      </c>
    </row>
    <row r="124" spans="1:36" x14ac:dyDescent="0.3">
      <c r="A124" t="s">
        <v>532</v>
      </c>
      <c r="B124" t="s">
        <v>533</v>
      </c>
      <c r="C124" t="s">
        <v>534</v>
      </c>
      <c r="D124" t="s">
        <v>28</v>
      </c>
      <c r="E124">
        <v>31707</v>
      </c>
      <c r="F124" t="s">
        <v>15</v>
      </c>
      <c r="G124">
        <v>12</v>
      </c>
      <c r="H124">
        <v>250</v>
      </c>
      <c r="I124" t="str" cm="1">
        <f t="array" ref="I124">_xlfn.IFS(H124&lt;=120,"V1",H124&lt;=150,"V2",H124&lt;=250,"V3", H124&lt;=350, "V4")</f>
        <v>V3</v>
      </c>
      <c r="J124" t="s">
        <v>535</v>
      </c>
      <c r="K124" t="str">
        <f t="shared" si="23"/>
        <v>31.62396</v>
      </c>
      <c r="L124" t="str">
        <f t="shared" si="24"/>
        <v>-84.215788</v>
      </c>
      <c r="M124">
        <v>75</v>
      </c>
      <c r="N124" s="1">
        <v>44785</v>
      </c>
      <c r="O124" s="1">
        <v>46099</v>
      </c>
      <c r="P124" s="2">
        <f t="shared" si="25"/>
        <v>3.5975359342915811</v>
      </c>
      <c r="Q124" s="2" t="str">
        <f t="shared" si="26"/>
        <v>Mid</v>
      </c>
      <c r="R124">
        <f t="shared" si="27"/>
        <v>3000</v>
      </c>
      <c r="S124" t="str">
        <f t="shared" si="28"/>
        <v>Small</v>
      </c>
      <c r="T124" t="str">
        <f t="shared" si="29"/>
        <v>Lower EV Adoption Corridor</v>
      </c>
      <c r="U124" s="3">
        <f t="shared" si="30"/>
        <v>5400000</v>
      </c>
      <c r="V124" s="4">
        <f t="shared" si="31"/>
        <v>1320000</v>
      </c>
      <c r="W124" s="3">
        <f t="shared" si="32"/>
        <v>18000000</v>
      </c>
      <c r="X124" s="3">
        <f t="shared" si="33"/>
        <v>9900000</v>
      </c>
      <c r="Y124">
        <f t="shared" si="34"/>
        <v>0.31515151515151513</v>
      </c>
      <c r="Z124">
        <f t="shared" si="35"/>
        <v>0.75555555555555554</v>
      </c>
      <c r="AA124" t="str">
        <f t="shared" si="36"/>
        <v>Tier 2 - Growth Markets</v>
      </c>
      <c r="AB124" s="3">
        <f t="shared" si="37"/>
        <v>110000</v>
      </c>
      <c r="AC124" s="3">
        <f t="shared" si="38"/>
        <v>1500000</v>
      </c>
      <c r="AD124" s="3">
        <f t="shared" si="39"/>
        <v>450000</v>
      </c>
      <c r="AE124" s="5">
        <f t="shared" si="40"/>
        <v>4.4117647058823533</v>
      </c>
      <c r="AF124" s="10">
        <f t="shared" si="41"/>
        <v>818400</v>
      </c>
      <c r="AG124" s="10">
        <f t="shared" si="42"/>
        <v>264000</v>
      </c>
      <c r="AH124" s="10">
        <f t="shared" si="43"/>
        <v>132000</v>
      </c>
      <c r="AI124" s="10">
        <f t="shared" si="44"/>
        <v>66000</v>
      </c>
      <c r="AJ124" s="10">
        <f t="shared" si="45"/>
        <v>39600</v>
      </c>
    </row>
    <row r="125" spans="1:36" x14ac:dyDescent="0.3">
      <c r="A125" t="s">
        <v>536</v>
      </c>
      <c r="B125" t="s">
        <v>537</v>
      </c>
      <c r="C125" t="s">
        <v>362</v>
      </c>
      <c r="D125" t="s">
        <v>484</v>
      </c>
      <c r="E125">
        <v>36830</v>
      </c>
      <c r="F125" t="s">
        <v>15</v>
      </c>
      <c r="G125">
        <v>6</v>
      </c>
      <c r="H125">
        <v>150</v>
      </c>
      <c r="I125" t="str" cm="1">
        <f t="array" ref="I125">_xlfn.IFS(H125&lt;=120,"V1",H125&lt;=150,"V2",H125&lt;=250,"V3", H125&lt;=350, "V4")</f>
        <v>V2</v>
      </c>
      <c r="J125" t="s">
        <v>538</v>
      </c>
      <c r="K125" t="str">
        <f t="shared" si="23"/>
        <v>32.627837</v>
      </c>
      <c r="L125" t="str">
        <f t="shared" si="24"/>
        <v>-85.445105</v>
      </c>
      <c r="M125">
        <v>222</v>
      </c>
      <c r="N125" s="1">
        <v>41996</v>
      </c>
      <c r="O125" s="1">
        <v>46099</v>
      </c>
      <c r="P125" s="2">
        <f t="shared" si="25"/>
        <v>11.233401779603012</v>
      </c>
      <c r="Q125" s="2" t="str">
        <f t="shared" si="26"/>
        <v>Old</v>
      </c>
      <c r="R125">
        <f t="shared" si="27"/>
        <v>900</v>
      </c>
      <c r="S125" t="str">
        <f t="shared" si="28"/>
        <v>Small</v>
      </c>
      <c r="T125" t="str">
        <f t="shared" si="29"/>
        <v>Lower EV Adoption Corridor</v>
      </c>
      <c r="U125" s="3">
        <f t="shared" si="30"/>
        <v>1485000.0000000002</v>
      </c>
      <c r="V125" s="4">
        <f t="shared" si="31"/>
        <v>360000</v>
      </c>
      <c r="W125" s="3">
        <f t="shared" si="32"/>
        <v>4500000</v>
      </c>
      <c r="X125" s="3">
        <f t="shared" si="33"/>
        <v>2700000</v>
      </c>
      <c r="Y125">
        <f t="shared" si="34"/>
        <v>0.3</v>
      </c>
      <c r="Z125">
        <f t="shared" si="35"/>
        <v>0.75757575757575757</v>
      </c>
      <c r="AA125" t="str">
        <f t="shared" si="36"/>
        <v>Tier 4 - Stable Network</v>
      </c>
      <c r="AB125" s="3">
        <f t="shared" si="37"/>
        <v>60000</v>
      </c>
      <c r="AC125" s="3">
        <f t="shared" si="38"/>
        <v>750000</v>
      </c>
      <c r="AD125" s="3">
        <f t="shared" si="39"/>
        <v>247500.00000000003</v>
      </c>
      <c r="AE125" s="5">
        <f t="shared" si="40"/>
        <v>3.9999999999999991</v>
      </c>
      <c r="AF125" s="10">
        <f t="shared" si="41"/>
        <v>223200</v>
      </c>
      <c r="AG125" s="10">
        <f t="shared" si="42"/>
        <v>72000</v>
      </c>
      <c r="AH125" s="10">
        <f t="shared" si="43"/>
        <v>36000</v>
      </c>
      <c r="AI125" s="10">
        <f t="shared" si="44"/>
        <v>18000</v>
      </c>
      <c r="AJ125" s="10">
        <f t="shared" si="45"/>
        <v>10800</v>
      </c>
    </row>
    <row r="126" spans="1:36" x14ac:dyDescent="0.3">
      <c r="A126" t="s">
        <v>539</v>
      </c>
      <c r="B126" t="s">
        <v>540</v>
      </c>
      <c r="C126" t="s">
        <v>541</v>
      </c>
      <c r="D126" t="s">
        <v>14</v>
      </c>
      <c r="E126">
        <v>93501</v>
      </c>
      <c r="F126" t="s">
        <v>15</v>
      </c>
      <c r="G126">
        <v>12</v>
      </c>
      <c r="H126">
        <v>250</v>
      </c>
      <c r="I126" t="str" cm="1">
        <f t="array" ref="I126">_xlfn.IFS(H126&lt;=120,"V1",H126&lt;=150,"V2",H126&lt;=250,"V3", H126&lt;=350, "V4")</f>
        <v>V3</v>
      </c>
      <c r="J126" t="s">
        <v>542</v>
      </c>
      <c r="K126" t="str">
        <f t="shared" si="23"/>
        <v>35.068595</v>
      </c>
      <c r="L126" t="str">
        <f t="shared" si="24"/>
        <v>-118.174576</v>
      </c>
      <c r="M126">
        <v>866</v>
      </c>
      <c r="N126" s="1">
        <v>42090</v>
      </c>
      <c r="O126" s="1">
        <v>46099</v>
      </c>
      <c r="P126" s="2">
        <f t="shared" si="25"/>
        <v>10.976043805612594</v>
      </c>
      <c r="Q126" s="2" t="str">
        <f t="shared" si="26"/>
        <v>Old</v>
      </c>
      <c r="R126">
        <f t="shared" si="27"/>
        <v>3000</v>
      </c>
      <c r="S126" t="str">
        <f t="shared" si="28"/>
        <v>Small</v>
      </c>
      <c r="T126" t="str">
        <f t="shared" si="29"/>
        <v>High EV Adoption Corridor</v>
      </c>
      <c r="U126" s="3">
        <f t="shared" si="30"/>
        <v>7020000</v>
      </c>
      <c r="V126" s="4">
        <f t="shared" si="31"/>
        <v>1584000</v>
      </c>
      <c r="W126" s="3">
        <f t="shared" si="32"/>
        <v>19800000</v>
      </c>
      <c r="X126" s="3">
        <f t="shared" si="33"/>
        <v>14850000</v>
      </c>
      <c r="Y126">
        <f t="shared" si="34"/>
        <v>0.24</v>
      </c>
      <c r="Z126">
        <f t="shared" si="35"/>
        <v>0.77435897435897438</v>
      </c>
      <c r="AA126" t="str">
        <f t="shared" si="36"/>
        <v>Tier 1 - Priority Fleet</v>
      </c>
      <c r="AB126" s="3">
        <f t="shared" si="37"/>
        <v>132000</v>
      </c>
      <c r="AC126" s="3">
        <f t="shared" si="38"/>
        <v>1650000</v>
      </c>
      <c r="AD126" s="3">
        <f t="shared" si="39"/>
        <v>585000</v>
      </c>
      <c r="AE126" s="5">
        <f t="shared" si="40"/>
        <v>3.6423841059602649</v>
      </c>
      <c r="AF126" s="10">
        <f t="shared" si="41"/>
        <v>982080</v>
      </c>
      <c r="AG126" s="10">
        <f t="shared" si="42"/>
        <v>316800</v>
      </c>
      <c r="AH126" s="10">
        <f t="shared" si="43"/>
        <v>158400</v>
      </c>
      <c r="AI126" s="10">
        <f t="shared" si="44"/>
        <v>79200</v>
      </c>
      <c r="AJ126" s="10">
        <f t="shared" si="45"/>
        <v>47520</v>
      </c>
    </row>
    <row r="127" spans="1:36" x14ac:dyDescent="0.3">
      <c r="A127" t="s">
        <v>543</v>
      </c>
      <c r="B127" t="s">
        <v>544</v>
      </c>
      <c r="C127" t="s">
        <v>545</v>
      </c>
      <c r="D127" t="s">
        <v>546</v>
      </c>
      <c r="E127">
        <v>40509</v>
      </c>
      <c r="F127" t="s">
        <v>15</v>
      </c>
      <c r="G127">
        <v>20</v>
      </c>
      <c r="H127">
        <v>250</v>
      </c>
      <c r="I127" t="str" cm="1">
        <f t="array" ref="I127">_xlfn.IFS(H127&lt;=120,"V1",H127&lt;=150,"V2",H127&lt;=250,"V3", H127&lt;=350, "V4")</f>
        <v>V3</v>
      </c>
      <c r="J127" t="s">
        <v>547</v>
      </c>
      <c r="K127" t="str">
        <f t="shared" si="23"/>
        <v>38.017955</v>
      </c>
      <c r="L127" t="str">
        <f t="shared" si="24"/>
        <v>-84.420664</v>
      </c>
      <c r="M127">
        <v>310</v>
      </c>
      <c r="N127" s="1">
        <v>42034</v>
      </c>
      <c r="O127" s="1">
        <v>46099</v>
      </c>
      <c r="P127" s="2">
        <f t="shared" si="25"/>
        <v>11.129363449691992</v>
      </c>
      <c r="Q127" s="2" t="str">
        <f t="shared" si="26"/>
        <v>Old</v>
      </c>
      <c r="R127">
        <f t="shared" si="27"/>
        <v>5000</v>
      </c>
      <c r="S127" t="str">
        <f t="shared" si="28"/>
        <v>Small</v>
      </c>
      <c r="T127" t="str">
        <f t="shared" si="29"/>
        <v>Lower EV Adoption Corridor</v>
      </c>
      <c r="U127" s="3">
        <f t="shared" si="30"/>
        <v>9000000</v>
      </c>
      <c r="V127" s="4">
        <f t="shared" si="31"/>
        <v>2200000</v>
      </c>
      <c r="W127" s="3">
        <f t="shared" si="32"/>
        <v>30000000</v>
      </c>
      <c r="X127" s="3">
        <f t="shared" si="33"/>
        <v>16500000.000000002</v>
      </c>
      <c r="Y127">
        <f t="shared" si="34"/>
        <v>0.31515151515151513</v>
      </c>
      <c r="Z127">
        <f t="shared" si="35"/>
        <v>0.75555555555555554</v>
      </c>
      <c r="AA127" t="str">
        <f t="shared" si="36"/>
        <v>Tier 2 - Growth Markets</v>
      </c>
      <c r="AB127" s="3">
        <f t="shared" si="37"/>
        <v>110000</v>
      </c>
      <c r="AC127" s="3">
        <f t="shared" si="38"/>
        <v>1500000</v>
      </c>
      <c r="AD127" s="3">
        <f t="shared" si="39"/>
        <v>450000</v>
      </c>
      <c r="AE127" s="5">
        <f t="shared" si="40"/>
        <v>4.4117647058823533</v>
      </c>
      <c r="AF127" s="10">
        <f t="shared" si="41"/>
        <v>1364000</v>
      </c>
      <c r="AG127" s="10">
        <f t="shared" si="42"/>
        <v>440000</v>
      </c>
      <c r="AH127" s="10">
        <f t="shared" si="43"/>
        <v>220000</v>
      </c>
      <c r="AI127" s="10">
        <f t="shared" si="44"/>
        <v>110000</v>
      </c>
      <c r="AJ127" s="10">
        <f t="shared" si="45"/>
        <v>66000</v>
      </c>
    </row>
    <row r="128" spans="1:36" x14ac:dyDescent="0.3">
      <c r="A128" t="s">
        <v>548</v>
      </c>
      <c r="B128" t="s">
        <v>549</v>
      </c>
      <c r="C128" t="s">
        <v>550</v>
      </c>
      <c r="D128" t="s">
        <v>522</v>
      </c>
      <c r="E128">
        <v>64055</v>
      </c>
      <c r="F128" t="s">
        <v>15</v>
      </c>
      <c r="G128">
        <v>6</v>
      </c>
      <c r="H128">
        <v>150</v>
      </c>
      <c r="I128" t="str" cm="1">
        <f t="array" ref="I128">_xlfn.IFS(H128&lt;=120,"V1",H128&lt;=150,"V2",H128&lt;=250,"V3", H128&lt;=350, "V4")</f>
        <v>V2</v>
      </c>
      <c r="J128" t="s">
        <v>551</v>
      </c>
      <c r="K128" t="str">
        <f t="shared" si="23"/>
        <v>39.040814</v>
      </c>
      <c r="L128" t="str">
        <f t="shared" si="24"/>
        <v>-94.369265</v>
      </c>
      <c r="M128">
        <v>245</v>
      </c>
      <c r="N128" s="1">
        <v>42052</v>
      </c>
      <c r="O128" s="1">
        <v>46099</v>
      </c>
      <c r="P128" s="2">
        <f t="shared" si="25"/>
        <v>11.080082135523615</v>
      </c>
      <c r="Q128" s="2" t="str">
        <f t="shared" si="26"/>
        <v>Old</v>
      </c>
      <c r="R128">
        <f t="shared" si="27"/>
        <v>900</v>
      </c>
      <c r="S128" t="str">
        <f t="shared" si="28"/>
        <v>Small</v>
      </c>
      <c r="T128" t="str">
        <f t="shared" si="29"/>
        <v>Lower EV Adoption Corridor</v>
      </c>
      <c r="U128" s="3">
        <f t="shared" si="30"/>
        <v>1485000.0000000002</v>
      </c>
      <c r="V128" s="4">
        <f t="shared" si="31"/>
        <v>360000</v>
      </c>
      <c r="W128" s="3">
        <f t="shared" si="32"/>
        <v>4500000</v>
      </c>
      <c r="X128" s="3">
        <f t="shared" si="33"/>
        <v>2700000</v>
      </c>
      <c r="Y128">
        <f t="shared" si="34"/>
        <v>0.3</v>
      </c>
      <c r="Z128">
        <f t="shared" si="35"/>
        <v>0.75757575757575757</v>
      </c>
      <c r="AA128" t="str">
        <f t="shared" si="36"/>
        <v>Tier 4 - Stable Network</v>
      </c>
      <c r="AB128" s="3">
        <f t="shared" si="37"/>
        <v>60000</v>
      </c>
      <c r="AC128" s="3">
        <f t="shared" si="38"/>
        <v>750000</v>
      </c>
      <c r="AD128" s="3">
        <f t="shared" si="39"/>
        <v>247500.00000000003</v>
      </c>
      <c r="AE128" s="5">
        <f t="shared" si="40"/>
        <v>3.9999999999999991</v>
      </c>
      <c r="AF128" s="10">
        <f t="shared" si="41"/>
        <v>223200</v>
      </c>
      <c r="AG128" s="10">
        <f t="shared" si="42"/>
        <v>72000</v>
      </c>
      <c r="AH128" s="10">
        <f t="shared" si="43"/>
        <v>36000</v>
      </c>
      <c r="AI128" s="10">
        <f t="shared" si="44"/>
        <v>18000</v>
      </c>
      <c r="AJ128" s="10">
        <f t="shared" si="45"/>
        <v>10800</v>
      </c>
    </row>
    <row r="129" spans="1:36" x14ac:dyDescent="0.3">
      <c r="A129" t="s">
        <v>552</v>
      </c>
      <c r="B129" t="s">
        <v>553</v>
      </c>
      <c r="C129" t="s">
        <v>476</v>
      </c>
      <c r="D129" t="s">
        <v>14</v>
      </c>
      <c r="E129">
        <v>94403</v>
      </c>
      <c r="F129" t="s">
        <v>15</v>
      </c>
      <c r="G129">
        <v>8</v>
      </c>
      <c r="H129">
        <v>150</v>
      </c>
      <c r="I129" t="str" cm="1">
        <f t="array" ref="I129">_xlfn.IFS(H129&lt;=120,"V1",H129&lt;=150,"V2",H129&lt;=250,"V3", H129&lt;=350, "V4")</f>
        <v>V2</v>
      </c>
      <c r="J129" t="s">
        <v>554</v>
      </c>
      <c r="K129" t="str">
        <f t="shared" si="23"/>
        <v>37.544632</v>
      </c>
      <c r="L129" t="str">
        <f t="shared" si="24"/>
        <v>-122.290188</v>
      </c>
      <c r="M129">
        <v>3</v>
      </c>
      <c r="N129" s="1">
        <v>42195</v>
      </c>
      <c r="O129" s="1">
        <v>46099</v>
      </c>
      <c r="P129" s="2">
        <f t="shared" si="25"/>
        <v>10.688569472963723</v>
      </c>
      <c r="Q129" s="2" t="str">
        <f t="shared" si="26"/>
        <v>Old</v>
      </c>
      <c r="R129">
        <f t="shared" si="27"/>
        <v>1200</v>
      </c>
      <c r="S129" t="str">
        <f t="shared" si="28"/>
        <v>Small</v>
      </c>
      <c r="T129" t="str">
        <f t="shared" si="29"/>
        <v>High EV Adoption Corridor</v>
      </c>
      <c r="U129" s="3">
        <f t="shared" si="30"/>
        <v>2574000.0000000005</v>
      </c>
      <c r="V129" s="4">
        <f t="shared" si="31"/>
        <v>576000</v>
      </c>
      <c r="W129" s="3">
        <f t="shared" si="32"/>
        <v>6600000.0000000009</v>
      </c>
      <c r="X129" s="3">
        <f t="shared" si="33"/>
        <v>5400000</v>
      </c>
      <c r="Y129">
        <f t="shared" si="34"/>
        <v>0.22888888888888889</v>
      </c>
      <c r="Z129">
        <f t="shared" si="35"/>
        <v>0.77622377622377625</v>
      </c>
      <c r="AA129" t="str">
        <f t="shared" si="36"/>
        <v>Tier 3 - Upgrade Pipeline</v>
      </c>
      <c r="AB129" s="3">
        <f t="shared" si="37"/>
        <v>72000</v>
      </c>
      <c r="AC129" s="3">
        <f t="shared" si="38"/>
        <v>825000.00000000012</v>
      </c>
      <c r="AD129" s="3">
        <f t="shared" si="39"/>
        <v>321750.00000000006</v>
      </c>
      <c r="AE129" s="5">
        <f t="shared" si="40"/>
        <v>3.303303303303303</v>
      </c>
      <c r="AF129" s="10">
        <f t="shared" si="41"/>
        <v>357120</v>
      </c>
      <c r="AG129" s="10">
        <f t="shared" si="42"/>
        <v>115200</v>
      </c>
      <c r="AH129" s="10">
        <f t="shared" si="43"/>
        <v>57600</v>
      </c>
      <c r="AI129" s="10">
        <f t="shared" si="44"/>
        <v>28800</v>
      </c>
      <c r="AJ129" s="10">
        <f t="shared" si="45"/>
        <v>17280</v>
      </c>
    </row>
    <row r="130" spans="1:36" x14ac:dyDescent="0.3">
      <c r="A130" t="s">
        <v>555</v>
      </c>
      <c r="B130" t="s">
        <v>556</v>
      </c>
      <c r="C130" t="s">
        <v>557</v>
      </c>
      <c r="D130" t="s">
        <v>143</v>
      </c>
      <c r="E130">
        <v>87701</v>
      </c>
      <c r="F130" t="s">
        <v>15</v>
      </c>
      <c r="G130">
        <v>6</v>
      </c>
      <c r="H130">
        <v>150</v>
      </c>
      <c r="I130" t="str" cm="1">
        <f t="array" ref="I130">_xlfn.IFS(H130&lt;=120,"V1",H130&lt;=150,"V2",H130&lt;=250,"V3", H130&lt;=350, "V4")</f>
        <v>V2</v>
      </c>
      <c r="J130" t="s">
        <v>558</v>
      </c>
      <c r="K130" t="str">
        <f t="shared" si="23"/>
        <v>35.622007</v>
      </c>
      <c r="L130" t="str">
        <f t="shared" si="24"/>
        <v>-105.20541</v>
      </c>
      <c r="M130">
        <v>1971</v>
      </c>
      <c r="N130" s="1">
        <v>42261</v>
      </c>
      <c r="O130" s="1">
        <v>46099</v>
      </c>
      <c r="P130" s="2">
        <f t="shared" si="25"/>
        <v>10.507871321013004</v>
      </c>
      <c r="Q130" s="2" t="str">
        <f t="shared" si="26"/>
        <v>Old</v>
      </c>
      <c r="R130">
        <f t="shared" si="27"/>
        <v>900</v>
      </c>
      <c r="S130" t="str">
        <f t="shared" si="28"/>
        <v>Small</v>
      </c>
      <c r="T130" t="str">
        <f t="shared" si="29"/>
        <v>Lower EV Adoption Corridor</v>
      </c>
      <c r="U130" s="3">
        <f t="shared" si="30"/>
        <v>1485000.0000000002</v>
      </c>
      <c r="V130" s="4">
        <f t="shared" si="31"/>
        <v>360000</v>
      </c>
      <c r="W130" s="3">
        <f t="shared" si="32"/>
        <v>4500000</v>
      </c>
      <c r="X130" s="3">
        <f t="shared" si="33"/>
        <v>2700000</v>
      </c>
      <c r="Y130">
        <f t="shared" si="34"/>
        <v>0.3</v>
      </c>
      <c r="Z130">
        <f t="shared" si="35"/>
        <v>0.75757575757575757</v>
      </c>
      <c r="AA130" t="str">
        <f t="shared" si="36"/>
        <v>Tier 4 - Stable Network</v>
      </c>
      <c r="AB130" s="3">
        <f t="shared" si="37"/>
        <v>60000</v>
      </c>
      <c r="AC130" s="3">
        <f t="shared" si="38"/>
        <v>750000</v>
      </c>
      <c r="AD130" s="3">
        <f t="shared" si="39"/>
        <v>247500.00000000003</v>
      </c>
      <c r="AE130" s="5">
        <f t="shared" si="40"/>
        <v>3.9999999999999991</v>
      </c>
      <c r="AF130" s="10">
        <f t="shared" si="41"/>
        <v>223200</v>
      </c>
      <c r="AG130" s="10">
        <f t="shared" si="42"/>
        <v>72000</v>
      </c>
      <c r="AH130" s="10">
        <f t="shared" si="43"/>
        <v>36000</v>
      </c>
      <c r="AI130" s="10">
        <f t="shared" si="44"/>
        <v>18000</v>
      </c>
      <c r="AJ130" s="10">
        <f t="shared" si="45"/>
        <v>10800</v>
      </c>
    </row>
    <row r="131" spans="1:36" x14ac:dyDescent="0.3">
      <c r="A131" t="s">
        <v>559</v>
      </c>
      <c r="B131" t="s">
        <v>560</v>
      </c>
      <c r="C131" t="s">
        <v>561</v>
      </c>
      <c r="D131" t="s">
        <v>143</v>
      </c>
      <c r="E131">
        <v>87107</v>
      </c>
      <c r="F131" t="s">
        <v>15</v>
      </c>
      <c r="G131">
        <v>6</v>
      </c>
      <c r="H131">
        <v>150</v>
      </c>
      <c r="I131" t="str" cm="1">
        <f t="array" ref="I131">_xlfn.IFS(H131&lt;=120,"V1",H131&lt;=150,"V2",H131&lt;=250,"V3", H131&lt;=350, "V4")</f>
        <v>V2</v>
      </c>
      <c r="J131" t="s">
        <v>562</v>
      </c>
      <c r="K131" t="str">
        <f t="shared" ref="K131:K194" si="46">TRIM(LEFT(J131, FIND(",", J131) - 1))</f>
        <v>35.108962</v>
      </c>
      <c r="L131" t="str">
        <f t="shared" ref="L131:L194" si="47">TRIM(MID(J131, FIND(",", J131) + 1, LEN(J131)))</f>
        <v>-106.612794</v>
      </c>
      <c r="M131">
        <v>1558</v>
      </c>
      <c r="N131" s="1">
        <v>42251</v>
      </c>
      <c r="O131" s="1">
        <v>46099</v>
      </c>
      <c r="P131" s="2">
        <f t="shared" ref="P131:P194" si="48">(O131-N131)/365.25</f>
        <v>10.535249828884325</v>
      </c>
      <c r="Q131" s="2" t="str">
        <f t="shared" ref="Q131:Q194" si="49">IF(P131&lt;3,"New",IF(P131&lt;=8,"Mid","Old"))</f>
        <v>Old</v>
      </c>
      <c r="R131">
        <f t="shared" ref="R131:R194" si="50">G131*H131</f>
        <v>900</v>
      </c>
      <c r="S131" t="str">
        <f t="shared" ref="S131:S194" si="51">IF(G131&lt;=30,"Small",IF(G131&lt;=60,"Medium","Large"))</f>
        <v>Small</v>
      </c>
      <c r="T131" t="str">
        <f t="shared" ref="T131:T194" si="52">IF(OR(D131="CA",D131="FL",D131="WA",D131="CO",D131="TX",D131="NJ"),"High EV Adoption Corridor","Lower EV Adoption Corridor")</f>
        <v>Lower EV Adoption Corridor</v>
      </c>
      <c r="U131" s="3">
        <f t="shared" ref="U131:U194" si="53" xml:space="preserve"> R131 * 1500 *
  IF(I131="V1",1,
     IF(I131="V2",1.1,1.2)) *
  IF(T131="High EV Adoption Corridor",1.3,1)</f>
        <v>1485000.0000000002</v>
      </c>
      <c r="V131" s="4">
        <f t="shared" ref="V131:V194" si="54" xml:space="preserve"> R131 * 400 *
  IF(I131="V1",0.9,
     IF(I131="V2",1,1.1)) *
  IF(T131="High EV Adoption Corridor",1.2,1)</f>
        <v>360000</v>
      </c>
      <c r="W131" s="3">
        <f t="shared" ref="W131:W194" si="55" xml:space="preserve"> R131 * 5000 *
  IF(I131="V1",0.8,
     IF(I131="V2",1,1.2)) *
  IF(T131="High EV Adoption Corridor",1.1,1)</f>
        <v>4500000</v>
      </c>
      <c r="X131" s="3">
        <f t="shared" ref="X131:X194" si="56" xml:space="preserve"> R131 * 3000 *
  IF(I131="V1",0.9,
     IF(I131="V2",1,1.1)) *
  IF(T131="High EV Adoption Corridor",1.5,1)</f>
        <v>2700000</v>
      </c>
      <c r="Y131">
        <f t="shared" ref="Y131:Y194" si="57" xml:space="preserve"> ((W131/10) + V131) / X131</f>
        <v>0.3</v>
      </c>
      <c r="Z131">
        <f t="shared" ref="Z131:Z194" si="58">(U131-V131)/U131</f>
        <v>0.75757575757575757</v>
      </c>
      <c r="AA131" t="str">
        <f t="shared" ref="AA131:AA194" si="59">IF(AND(I131="V3",T131="High EV Adoption Corridor"),
"Tier 1 - Priority Fleet",
IF(AND(I131="V3",T131="Lower EV Adoption Corridor"),
"Tier 2 - Growth Markets",
IF(AND(OR(I131="V1",I131="V2"),T131="High EV Adoption Corridor"),
"Tier 3 - Upgrade Pipeline",
IF(AND(I131="V2",T131="Lower EV Adoption Corridor"),
"Tier 4 - Stable Network",
"Tier 5 - Retirement Pipeline"))))</f>
        <v>Tier 4 - Stable Network</v>
      </c>
      <c r="AB131" s="3">
        <f t="shared" ref="AB131:AB194" si="60">V131/G131</f>
        <v>60000</v>
      </c>
      <c r="AC131" s="3">
        <f t="shared" ref="AC131:AC194" si="61">W131/G131</f>
        <v>750000</v>
      </c>
      <c r="AD131" s="3">
        <f t="shared" ref="AD131:AD194" si="62">U131/G131</f>
        <v>247500.00000000003</v>
      </c>
      <c r="AE131" s="5">
        <f t="shared" ref="AE131:AE194" si="63">W131/(U131-V131)</f>
        <v>3.9999999999999991</v>
      </c>
      <c r="AF131" s="10">
        <f t="shared" ref="AF131:AF194" si="64">V131*0.62</f>
        <v>223200</v>
      </c>
      <c r="AG131" s="10">
        <f t="shared" ref="AG131:AG194" si="65">V131*0.2</f>
        <v>72000</v>
      </c>
      <c r="AH131" s="10">
        <f t="shared" ref="AH131:AH194" si="66">V131*0.1</f>
        <v>36000</v>
      </c>
      <c r="AI131" s="10">
        <f t="shared" ref="AI131:AI194" si="67">V131*0.05</f>
        <v>18000</v>
      </c>
      <c r="AJ131" s="10">
        <f t="shared" ref="AJ131:AJ194" si="68">V131*0.03</f>
        <v>10800</v>
      </c>
    </row>
    <row r="132" spans="1:36" x14ac:dyDescent="0.3">
      <c r="A132" t="s">
        <v>563</v>
      </c>
      <c r="B132" t="s">
        <v>564</v>
      </c>
      <c r="C132" t="s">
        <v>565</v>
      </c>
      <c r="D132" t="s">
        <v>259</v>
      </c>
      <c r="E132">
        <v>82801</v>
      </c>
      <c r="F132" t="s">
        <v>15</v>
      </c>
      <c r="G132">
        <v>4</v>
      </c>
      <c r="H132">
        <v>150</v>
      </c>
      <c r="I132" t="str" cm="1">
        <f t="array" ref="I132">_xlfn.IFS(H132&lt;=120,"V1",H132&lt;=150,"V2",H132&lt;=250,"V3", H132&lt;=350, "V4")</f>
        <v>V2</v>
      </c>
      <c r="J132" t="s">
        <v>566</v>
      </c>
      <c r="K132" t="str">
        <f t="shared" si="46"/>
        <v>44.804565</v>
      </c>
      <c r="L132" t="str">
        <f t="shared" si="47"/>
        <v>-106.956363</v>
      </c>
      <c r="M132">
        <v>1136</v>
      </c>
      <c r="N132" s="1">
        <v>42200</v>
      </c>
      <c r="O132" s="1">
        <v>46099</v>
      </c>
      <c r="P132" s="2">
        <f t="shared" si="48"/>
        <v>10.674880219028063</v>
      </c>
      <c r="Q132" s="2" t="str">
        <f t="shared" si="49"/>
        <v>Old</v>
      </c>
      <c r="R132">
        <f t="shared" si="50"/>
        <v>600</v>
      </c>
      <c r="S132" t="str">
        <f t="shared" si="51"/>
        <v>Small</v>
      </c>
      <c r="T132" t="str">
        <f t="shared" si="52"/>
        <v>Lower EV Adoption Corridor</v>
      </c>
      <c r="U132" s="3">
        <f t="shared" si="53"/>
        <v>990000.00000000012</v>
      </c>
      <c r="V132" s="4">
        <f t="shared" si="54"/>
        <v>240000</v>
      </c>
      <c r="W132" s="3">
        <f t="shared" si="55"/>
        <v>3000000</v>
      </c>
      <c r="X132" s="3">
        <f t="shared" si="56"/>
        <v>1800000</v>
      </c>
      <c r="Y132">
        <f t="shared" si="57"/>
        <v>0.3</v>
      </c>
      <c r="Z132">
        <f t="shared" si="58"/>
        <v>0.75757575757575757</v>
      </c>
      <c r="AA132" t="str">
        <f t="shared" si="59"/>
        <v>Tier 4 - Stable Network</v>
      </c>
      <c r="AB132" s="3">
        <f t="shared" si="60"/>
        <v>60000</v>
      </c>
      <c r="AC132" s="3">
        <f t="shared" si="61"/>
        <v>750000</v>
      </c>
      <c r="AD132" s="3">
        <f t="shared" si="62"/>
        <v>247500.00000000003</v>
      </c>
      <c r="AE132" s="5">
        <f t="shared" si="63"/>
        <v>3.9999999999999996</v>
      </c>
      <c r="AF132" s="10">
        <f t="shared" si="64"/>
        <v>148800</v>
      </c>
      <c r="AG132" s="10">
        <f t="shared" si="65"/>
        <v>48000</v>
      </c>
      <c r="AH132" s="10">
        <f t="shared" si="66"/>
        <v>24000</v>
      </c>
      <c r="AI132" s="10">
        <f t="shared" si="67"/>
        <v>12000</v>
      </c>
      <c r="AJ132" s="10">
        <f t="shared" si="68"/>
        <v>7200</v>
      </c>
    </row>
    <row r="133" spans="1:36" x14ac:dyDescent="0.3">
      <c r="A133" t="s">
        <v>567</v>
      </c>
      <c r="B133" t="s">
        <v>568</v>
      </c>
      <c r="C133" t="s">
        <v>569</v>
      </c>
      <c r="D133" t="s">
        <v>299</v>
      </c>
      <c r="E133">
        <v>23502</v>
      </c>
      <c r="F133" t="s">
        <v>15</v>
      </c>
      <c r="G133">
        <v>6</v>
      </c>
      <c r="H133">
        <v>150</v>
      </c>
      <c r="I133" t="str" cm="1">
        <f t="array" ref="I133">_xlfn.IFS(H133&lt;=120,"V1",H133&lt;=150,"V2",H133&lt;=250,"V3", H133&lt;=350, "V4")</f>
        <v>V2</v>
      </c>
      <c r="J133" t="s">
        <v>570</v>
      </c>
      <c r="K133" t="str">
        <f t="shared" si="46"/>
        <v>36.860525</v>
      </c>
      <c r="L133" t="str">
        <f t="shared" si="47"/>
        <v>-76.207467</v>
      </c>
      <c r="M133">
        <v>5</v>
      </c>
      <c r="N133" s="1">
        <v>42295</v>
      </c>
      <c r="O133" s="1">
        <v>46099</v>
      </c>
      <c r="P133" s="2">
        <f t="shared" si="48"/>
        <v>10.414784394250514</v>
      </c>
      <c r="Q133" s="2" t="str">
        <f t="shared" si="49"/>
        <v>Old</v>
      </c>
      <c r="R133">
        <f t="shared" si="50"/>
        <v>900</v>
      </c>
      <c r="S133" t="str">
        <f t="shared" si="51"/>
        <v>Small</v>
      </c>
      <c r="T133" t="str">
        <f t="shared" si="52"/>
        <v>Lower EV Adoption Corridor</v>
      </c>
      <c r="U133" s="3">
        <f t="shared" si="53"/>
        <v>1485000.0000000002</v>
      </c>
      <c r="V133" s="4">
        <f t="shared" si="54"/>
        <v>360000</v>
      </c>
      <c r="W133" s="3">
        <f t="shared" si="55"/>
        <v>4500000</v>
      </c>
      <c r="X133" s="3">
        <f t="shared" si="56"/>
        <v>2700000</v>
      </c>
      <c r="Y133">
        <f t="shared" si="57"/>
        <v>0.3</v>
      </c>
      <c r="Z133">
        <f t="shared" si="58"/>
        <v>0.75757575757575757</v>
      </c>
      <c r="AA133" t="str">
        <f t="shared" si="59"/>
        <v>Tier 4 - Stable Network</v>
      </c>
      <c r="AB133" s="3">
        <f t="shared" si="60"/>
        <v>60000</v>
      </c>
      <c r="AC133" s="3">
        <f t="shared" si="61"/>
        <v>750000</v>
      </c>
      <c r="AD133" s="3">
        <f t="shared" si="62"/>
        <v>247500.00000000003</v>
      </c>
      <c r="AE133" s="5">
        <f t="shared" si="63"/>
        <v>3.9999999999999991</v>
      </c>
      <c r="AF133" s="10">
        <f t="shared" si="64"/>
        <v>223200</v>
      </c>
      <c r="AG133" s="10">
        <f t="shared" si="65"/>
        <v>72000</v>
      </c>
      <c r="AH133" s="10">
        <f t="shared" si="66"/>
        <v>36000</v>
      </c>
      <c r="AI133" s="10">
        <f t="shared" si="67"/>
        <v>18000</v>
      </c>
      <c r="AJ133" s="10">
        <f t="shared" si="68"/>
        <v>10800</v>
      </c>
    </row>
    <row r="134" spans="1:36" x14ac:dyDescent="0.3">
      <c r="A134" t="s">
        <v>571</v>
      </c>
      <c r="B134" t="s">
        <v>572</v>
      </c>
      <c r="C134" t="s">
        <v>573</v>
      </c>
      <c r="D134" t="s">
        <v>14</v>
      </c>
      <c r="E134">
        <v>94043</v>
      </c>
      <c r="F134" t="s">
        <v>15</v>
      </c>
      <c r="G134">
        <v>12</v>
      </c>
      <c r="H134">
        <v>150</v>
      </c>
      <c r="I134" t="str" cm="1">
        <f t="array" ref="I134">_xlfn.IFS(H134&lt;=120,"V1",H134&lt;=150,"V2",H134&lt;=250,"V3", H134&lt;=350, "V4")</f>
        <v>V2</v>
      </c>
      <c r="J134" t="s">
        <v>574</v>
      </c>
      <c r="K134" t="str">
        <f t="shared" si="46"/>
        <v>37.415344</v>
      </c>
      <c r="L134" t="str">
        <f t="shared" si="47"/>
        <v>-122.076607</v>
      </c>
      <c r="M134">
        <v>6</v>
      </c>
      <c r="N134" s="1">
        <v>42165</v>
      </c>
      <c r="O134" s="1">
        <v>46099</v>
      </c>
      <c r="P134" s="2">
        <f t="shared" si="48"/>
        <v>10.770704996577686</v>
      </c>
      <c r="Q134" s="2" t="str">
        <f t="shared" si="49"/>
        <v>Old</v>
      </c>
      <c r="R134">
        <f t="shared" si="50"/>
        <v>1800</v>
      </c>
      <c r="S134" t="str">
        <f t="shared" si="51"/>
        <v>Small</v>
      </c>
      <c r="T134" t="str">
        <f t="shared" si="52"/>
        <v>High EV Adoption Corridor</v>
      </c>
      <c r="U134" s="3">
        <f t="shared" si="53"/>
        <v>3861000.0000000009</v>
      </c>
      <c r="V134" s="4">
        <f t="shared" si="54"/>
        <v>864000</v>
      </c>
      <c r="W134" s="3">
        <f t="shared" si="55"/>
        <v>9900000</v>
      </c>
      <c r="X134" s="3">
        <f t="shared" si="56"/>
        <v>8100000</v>
      </c>
      <c r="Y134">
        <f t="shared" si="57"/>
        <v>0.22888888888888889</v>
      </c>
      <c r="Z134">
        <f t="shared" si="58"/>
        <v>0.77622377622377625</v>
      </c>
      <c r="AA134" t="str">
        <f t="shared" si="59"/>
        <v>Tier 3 - Upgrade Pipeline</v>
      </c>
      <c r="AB134" s="3">
        <f t="shared" si="60"/>
        <v>72000</v>
      </c>
      <c r="AC134" s="3">
        <f t="shared" si="61"/>
        <v>825000</v>
      </c>
      <c r="AD134" s="3">
        <f t="shared" si="62"/>
        <v>321750.00000000006</v>
      </c>
      <c r="AE134" s="5">
        <f t="shared" si="63"/>
        <v>3.3033033033033021</v>
      </c>
      <c r="AF134" s="10">
        <f t="shared" si="64"/>
        <v>535680</v>
      </c>
      <c r="AG134" s="10">
        <f t="shared" si="65"/>
        <v>172800</v>
      </c>
      <c r="AH134" s="10">
        <f t="shared" si="66"/>
        <v>86400</v>
      </c>
      <c r="AI134" s="10">
        <f t="shared" si="67"/>
        <v>43200</v>
      </c>
      <c r="AJ134" s="10">
        <f t="shared" si="68"/>
        <v>25920</v>
      </c>
    </row>
    <row r="135" spans="1:36" x14ac:dyDescent="0.3">
      <c r="A135" t="s">
        <v>575</v>
      </c>
      <c r="B135" t="s">
        <v>576</v>
      </c>
      <c r="C135" t="s">
        <v>577</v>
      </c>
      <c r="D135" t="s">
        <v>189</v>
      </c>
      <c r="E135">
        <v>53081</v>
      </c>
      <c r="F135" t="s">
        <v>15</v>
      </c>
      <c r="G135">
        <v>8</v>
      </c>
      <c r="H135">
        <v>150</v>
      </c>
      <c r="I135" t="str" cm="1">
        <f t="array" ref="I135">_xlfn.IFS(H135&lt;=120,"V1",H135&lt;=150,"V2",H135&lt;=250,"V3", H135&lt;=350, "V4")</f>
        <v>V2</v>
      </c>
      <c r="J135" t="s">
        <v>578</v>
      </c>
      <c r="K135" t="str">
        <f t="shared" si="46"/>
        <v>43.749912</v>
      </c>
      <c r="L135" t="str">
        <f t="shared" si="47"/>
        <v>-87.747073</v>
      </c>
      <c r="M135">
        <v>200</v>
      </c>
      <c r="N135" s="1">
        <v>42284</v>
      </c>
      <c r="O135" s="1">
        <v>46099</v>
      </c>
      <c r="P135" s="2">
        <f t="shared" si="48"/>
        <v>10.444900752908966</v>
      </c>
      <c r="Q135" s="2" t="str">
        <f t="shared" si="49"/>
        <v>Old</v>
      </c>
      <c r="R135">
        <f t="shared" si="50"/>
        <v>1200</v>
      </c>
      <c r="S135" t="str">
        <f t="shared" si="51"/>
        <v>Small</v>
      </c>
      <c r="T135" t="str">
        <f t="shared" si="52"/>
        <v>Lower EV Adoption Corridor</v>
      </c>
      <c r="U135" s="3">
        <f t="shared" si="53"/>
        <v>1980000.0000000002</v>
      </c>
      <c r="V135" s="4">
        <f t="shared" si="54"/>
        <v>480000</v>
      </c>
      <c r="W135" s="3">
        <f t="shared" si="55"/>
        <v>6000000</v>
      </c>
      <c r="X135" s="3">
        <f t="shared" si="56"/>
        <v>3600000</v>
      </c>
      <c r="Y135">
        <f t="shared" si="57"/>
        <v>0.3</v>
      </c>
      <c r="Z135">
        <f t="shared" si="58"/>
        <v>0.75757575757575757</v>
      </c>
      <c r="AA135" t="str">
        <f t="shared" si="59"/>
        <v>Tier 4 - Stable Network</v>
      </c>
      <c r="AB135" s="3">
        <f t="shared" si="60"/>
        <v>60000</v>
      </c>
      <c r="AC135" s="3">
        <f t="shared" si="61"/>
        <v>750000</v>
      </c>
      <c r="AD135" s="3">
        <f t="shared" si="62"/>
        <v>247500.00000000003</v>
      </c>
      <c r="AE135" s="5">
        <f t="shared" si="63"/>
        <v>3.9999999999999996</v>
      </c>
      <c r="AF135" s="10">
        <f t="shared" si="64"/>
        <v>297600</v>
      </c>
      <c r="AG135" s="10">
        <f t="shared" si="65"/>
        <v>96000</v>
      </c>
      <c r="AH135" s="10">
        <f t="shared" si="66"/>
        <v>48000</v>
      </c>
      <c r="AI135" s="10">
        <f t="shared" si="67"/>
        <v>24000</v>
      </c>
      <c r="AJ135" s="10">
        <f t="shared" si="68"/>
        <v>14400</v>
      </c>
    </row>
    <row r="136" spans="1:36" x14ac:dyDescent="0.3">
      <c r="A136" t="s">
        <v>579</v>
      </c>
      <c r="B136" t="s">
        <v>580</v>
      </c>
      <c r="C136" t="s">
        <v>581</v>
      </c>
      <c r="D136" t="s">
        <v>321</v>
      </c>
      <c r="E136">
        <v>2184</v>
      </c>
      <c r="F136" t="s">
        <v>15</v>
      </c>
      <c r="G136">
        <v>8</v>
      </c>
      <c r="H136">
        <v>72</v>
      </c>
      <c r="I136" t="str" cm="1">
        <f t="array" ref="I136">_xlfn.IFS(H136&lt;=120,"V1",H136&lt;=150,"V2",H136&lt;=250,"V3", H136&lt;=350, "V4")</f>
        <v>V1</v>
      </c>
      <c r="J136" t="s">
        <v>582</v>
      </c>
      <c r="K136" t="str">
        <f t="shared" si="46"/>
        <v>42.222955</v>
      </c>
      <c r="L136" t="str">
        <f t="shared" si="47"/>
        <v>-71.021964</v>
      </c>
      <c r="M136">
        <v>23</v>
      </c>
      <c r="N136" s="1">
        <v>43671</v>
      </c>
      <c r="O136" s="1">
        <v>46099</v>
      </c>
      <c r="P136" s="2">
        <f t="shared" si="48"/>
        <v>6.6475017111567416</v>
      </c>
      <c r="Q136" s="2" t="str">
        <f t="shared" si="49"/>
        <v>Mid</v>
      </c>
      <c r="R136">
        <f t="shared" si="50"/>
        <v>576</v>
      </c>
      <c r="S136" t="str">
        <f t="shared" si="51"/>
        <v>Small</v>
      </c>
      <c r="T136" t="str">
        <f t="shared" si="52"/>
        <v>Lower EV Adoption Corridor</v>
      </c>
      <c r="U136" s="3">
        <f t="shared" si="53"/>
        <v>864000</v>
      </c>
      <c r="V136" s="4">
        <f t="shared" si="54"/>
        <v>207360</v>
      </c>
      <c r="W136" s="3">
        <f t="shared" si="55"/>
        <v>2304000</v>
      </c>
      <c r="X136" s="3">
        <f t="shared" si="56"/>
        <v>1555200</v>
      </c>
      <c r="Y136">
        <f t="shared" si="57"/>
        <v>0.2814814814814815</v>
      </c>
      <c r="Z136">
        <f t="shared" si="58"/>
        <v>0.76</v>
      </c>
      <c r="AA136" t="str">
        <f t="shared" si="59"/>
        <v>Tier 5 - Retirement Pipeline</v>
      </c>
      <c r="AB136" s="3">
        <f t="shared" si="60"/>
        <v>25920</v>
      </c>
      <c r="AC136" s="3">
        <f t="shared" si="61"/>
        <v>288000</v>
      </c>
      <c r="AD136" s="3">
        <f t="shared" si="62"/>
        <v>108000</v>
      </c>
      <c r="AE136" s="5">
        <f t="shared" si="63"/>
        <v>3.5087719298245612</v>
      </c>
      <c r="AF136" s="10">
        <f t="shared" si="64"/>
        <v>128563.2</v>
      </c>
      <c r="AG136" s="10">
        <f t="shared" si="65"/>
        <v>41472</v>
      </c>
      <c r="AH136" s="10">
        <f t="shared" si="66"/>
        <v>20736</v>
      </c>
      <c r="AI136" s="10">
        <f t="shared" si="67"/>
        <v>10368</v>
      </c>
      <c r="AJ136" s="10">
        <f t="shared" si="68"/>
        <v>6220.8</v>
      </c>
    </row>
    <row r="137" spans="1:36" x14ac:dyDescent="0.3">
      <c r="A137" t="s">
        <v>583</v>
      </c>
      <c r="B137" t="s">
        <v>584</v>
      </c>
      <c r="C137" t="s">
        <v>585</v>
      </c>
      <c r="D137" t="s">
        <v>158</v>
      </c>
      <c r="E137">
        <v>12550</v>
      </c>
      <c r="F137" t="s">
        <v>15</v>
      </c>
      <c r="G137">
        <v>6</v>
      </c>
      <c r="H137">
        <v>120</v>
      </c>
      <c r="I137" t="str" cm="1">
        <f t="array" ref="I137">_xlfn.IFS(H137&lt;=120,"V1",H137&lt;=150,"V2",H137&lt;=250,"V3", H137&lt;=350, "V4")</f>
        <v>V1</v>
      </c>
      <c r="J137" t="s">
        <v>586</v>
      </c>
      <c r="K137" t="str">
        <f t="shared" si="46"/>
        <v>41.499775</v>
      </c>
      <c r="L137" t="str">
        <f t="shared" si="47"/>
        <v>-74.071261</v>
      </c>
      <c r="M137">
        <v>104</v>
      </c>
      <c r="N137" s="1">
        <v>42178</v>
      </c>
      <c r="O137" s="1">
        <v>46099</v>
      </c>
      <c r="P137" s="2">
        <f t="shared" si="48"/>
        <v>10.735112936344969</v>
      </c>
      <c r="Q137" s="2" t="str">
        <f t="shared" si="49"/>
        <v>Old</v>
      </c>
      <c r="R137">
        <f t="shared" si="50"/>
        <v>720</v>
      </c>
      <c r="S137" t="str">
        <f t="shared" si="51"/>
        <v>Small</v>
      </c>
      <c r="T137" t="str">
        <f t="shared" si="52"/>
        <v>Lower EV Adoption Corridor</v>
      </c>
      <c r="U137" s="3">
        <f t="shared" si="53"/>
        <v>1080000</v>
      </c>
      <c r="V137" s="4">
        <f t="shared" si="54"/>
        <v>259200</v>
      </c>
      <c r="W137" s="3">
        <f t="shared" si="55"/>
        <v>2880000</v>
      </c>
      <c r="X137" s="3">
        <f t="shared" si="56"/>
        <v>1944000</v>
      </c>
      <c r="Y137">
        <f t="shared" si="57"/>
        <v>0.2814814814814815</v>
      </c>
      <c r="Z137">
        <f t="shared" si="58"/>
        <v>0.76</v>
      </c>
      <c r="AA137" t="str">
        <f t="shared" si="59"/>
        <v>Tier 5 - Retirement Pipeline</v>
      </c>
      <c r="AB137" s="3">
        <f t="shared" si="60"/>
        <v>43200</v>
      </c>
      <c r="AC137" s="3">
        <f t="shared" si="61"/>
        <v>480000</v>
      </c>
      <c r="AD137" s="3">
        <f t="shared" si="62"/>
        <v>180000</v>
      </c>
      <c r="AE137" s="5">
        <f t="shared" si="63"/>
        <v>3.5087719298245612</v>
      </c>
      <c r="AF137" s="10">
        <f t="shared" si="64"/>
        <v>160704</v>
      </c>
      <c r="AG137" s="10">
        <f t="shared" si="65"/>
        <v>51840</v>
      </c>
      <c r="AH137" s="10">
        <f t="shared" si="66"/>
        <v>25920</v>
      </c>
      <c r="AI137" s="10">
        <f t="shared" si="67"/>
        <v>12960</v>
      </c>
      <c r="AJ137" s="10">
        <f t="shared" si="68"/>
        <v>7776</v>
      </c>
    </row>
    <row r="138" spans="1:36" x14ac:dyDescent="0.3">
      <c r="A138" t="s">
        <v>587</v>
      </c>
      <c r="B138" t="s">
        <v>588</v>
      </c>
      <c r="C138" t="s">
        <v>589</v>
      </c>
      <c r="D138" t="s">
        <v>505</v>
      </c>
      <c r="E138">
        <v>73127</v>
      </c>
      <c r="F138" t="s">
        <v>15</v>
      </c>
      <c r="G138">
        <v>8</v>
      </c>
      <c r="H138">
        <v>150</v>
      </c>
      <c r="I138" t="str" cm="1">
        <f t="array" ref="I138">_xlfn.IFS(H138&lt;=120,"V1",H138&lt;=150,"V2",H138&lt;=250,"V3", H138&lt;=350, "V4")</f>
        <v>V2</v>
      </c>
      <c r="J138" t="s">
        <v>590</v>
      </c>
      <c r="K138" t="str">
        <f t="shared" si="46"/>
        <v>35.461704</v>
      </c>
      <c r="L138" t="str">
        <f t="shared" si="47"/>
        <v>-97.651445</v>
      </c>
      <c r="M138">
        <v>372</v>
      </c>
      <c r="N138" s="1">
        <v>42216</v>
      </c>
      <c r="O138" s="1">
        <v>46099</v>
      </c>
      <c r="P138" s="2">
        <f t="shared" si="48"/>
        <v>10.63107460643395</v>
      </c>
      <c r="Q138" s="2" t="str">
        <f t="shared" si="49"/>
        <v>Old</v>
      </c>
      <c r="R138">
        <f t="shared" si="50"/>
        <v>1200</v>
      </c>
      <c r="S138" t="str">
        <f t="shared" si="51"/>
        <v>Small</v>
      </c>
      <c r="T138" t="str">
        <f t="shared" si="52"/>
        <v>Lower EV Adoption Corridor</v>
      </c>
      <c r="U138" s="3">
        <f t="shared" si="53"/>
        <v>1980000.0000000002</v>
      </c>
      <c r="V138" s="4">
        <f t="shared" si="54"/>
        <v>480000</v>
      </c>
      <c r="W138" s="3">
        <f t="shared" si="55"/>
        <v>6000000</v>
      </c>
      <c r="X138" s="3">
        <f t="shared" si="56"/>
        <v>3600000</v>
      </c>
      <c r="Y138">
        <f t="shared" si="57"/>
        <v>0.3</v>
      </c>
      <c r="Z138">
        <f t="shared" si="58"/>
        <v>0.75757575757575757</v>
      </c>
      <c r="AA138" t="str">
        <f t="shared" si="59"/>
        <v>Tier 4 - Stable Network</v>
      </c>
      <c r="AB138" s="3">
        <f t="shared" si="60"/>
        <v>60000</v>
      </c>
      <c r="AC138" s="3">
        <f t="shared" si="61"/>
        <v>750000</v>
      </c>
      <c r="AD138" s="3">
        <f t="shared" si="62"/>
        <v>247500.00000000003</v>
      </c>
      <c r="AE138" s="5">
        <f t="shared" si="63"/>
        <v>3.9999999999999996</v>
      </c>
      <c r="AF138" s="10">
        <f t="shared" si="64"/>
        <v>297600</v>
      </c>
      <c r="AG138" s="10">
        <f t="shared" si="65"/>
        <v>96000</v>
      </c>
      <c r="AH138" s="10">
        <f t="shared" si="66"/>
        <v>48000</v>
      </c>
      <c r="AI138" s="10">
        <f t="shared" si="67"/>
        <v>24000</v>
      </c>
      <c r="AJ138" s="10">
        <f t="shared" si="68"/>
        <v>14400</v>
      </c>
    </row>
    <row r="139" spans="1:36" x14ac:dyDescent="0.3">
      <c r="A139" t="s">
        <v>591</v>
      </c>
      <c r="B139" t="s">
        <v>592</v>
      </c>
      <c r="C139" t="s">
        <v>593</v>
      </c>
      <c r="D139" t="s">
        <v>299</v>
      </c>
      <c r="E139">
        <v>23453</v>
      </c>
      <c r="F139" t="s">
        <v>15</v>
      </c>
      <c r="G139">
        <v>8</v>
      </c>
      <c r="H139">
        <v>250</v>
      </c>
      <c r="I139" t="str" cm="1">
        <f t="array" ref="I139">_xlfn.IFS(H139&lt;=120,"V1",H139&lt;=150,"V2",H139&lt;=250,"V3", H139&lt;=350, "V4")</f>
        <v>V3</v>
      </c>
      <c r="J139" t="s">
        <v>594</v>
      </c>
      <c r="K139" t="str">
        <f t="shared" si="46"/>
        <v>36.795662</v>
      </c>
      <c r="L139" t="str">
        <f t="shared" si="47"/>
        <v>-76.102691</v>
      </c>
      <c r="M139">
        <v>5</v>
      </c>
      <c r="N139" s="1">
        <v>45044</v>
      </c>
      <c r="O139" s="1">
        <v>46099</v>
      </c>
      <c r="P139" s="2">
        <f t="shared" si="48"/>
        <v>2.8884325804243667</v>
      </c>
      <c r="Q139" s="2" t="str">
        <f t="shared" si="49"/>
        <v>New</v>
      </c>
      <c r="R139">
        <f t="shared" si="50"/>
        <v>2000</v>
      </c>
      <c r="S139" t="str">
        <f t="shared" si="51"/>
        <v>Small</v>
      </c>
      <c r="T139" t="str">
        <f t="shared" si="52"/>
        <v>Lower EV Adoption Corridor</v>
      </c>
      <c r="U139" s="3">
        <f t="shared" si="53"/>
        <v>3600000</v>
      </c>
      <c r="V139" s="4">
        <f t="shared" si="54"/>
        <v>880000.00000000012</v>
      </c>
      <c r="W139" s="3">
        <f t="shared" si="55"/>
        <v>12000000</v>
      </c>
      <c r="X139" s="3">
        <f t="shared" si="56"/>
        <v>6600000.0000000009</v>
      </c>
      <c r="Y139">
        <f t="shared" si="57"/>
        <v>0.31515151515151513</v>
      </c>
      <c r="Z139">
        <f t="shared" si="58"/>
        <v>0.75555555555555554</v>
      </c>
      <c r="AA139" t="str">
        <f t="shared" si="59"/>
        <v>Tier 2 - Growth Markets</v>
      </c>
      <c r="AB139" s="3">
        <f t="shared" si="60"/>
        <v>110000.00000000001</v>
      </c>
      <c r="AC139" s="3">
        <f t="shared" si="61"/>
        <v>1500000</v>
      </c>
      <c r="AD139" s="3">
        <f t="shared" si="62"/>
        <v>450000</v>
      </c>
      <c r="AE139" s="5">
        <f t="shared" si="63"/>
        <v>4.4117647058823533</v>
      </c>
      <c r="AF139" s="10">
        <f t="shared" si="64"/>
        <v>545600.00000000012</v>
      </c>
      <c r="AG139" s="10">
        <f t="shared" si="65"/>
        <v>176000.00000000003</v>
      </c>
      <c r="AH139" s="10">
        <f t="shared" si="66"/>
        <v>88000.000000000015</v>
      </c>
      <c r="AI139" s="10">
        <f t="shared" si="67"/>
        <v>44000.000000000007</v>
      </c>
      <c r="AJ139" s="10">
        <f t="shared" si="68"/>
        <v>26400.000000000004</v>
      </c>
    </row>
    <row r="140" spans="1:36" x14ac:dyDescent="0.3">
      <c r="A140" t="s">
        <v>595</v>
      </c>
      <c r="B140" t="s">
        <v>596</v>
      </c>
      <c r="C140" t="s">
        <v>597</v>
      </c>
      <c r="D140" t="s">
        <v>111</v>
      </c>
      <c r="E140">
        <v>55802</v>
      </c>
      <c r="F140" t="s">
        <v>15</v>
      </c>
      <c r="G140">
        <v>4</v>
      </c>
      <c r="H140">
        <v>150</v>
      </c>
      <c r="I140" t="str" cm="1">
        <f t="array" ref="I140">_xlfn.IFS(H140&lt;=120,"V1",H140&lt;=150,"V2",H140&lt;=250,"V3", H140&lt;=350, "V4")</f>
        <v>V2</v>
      </c>
      <c r="J140" t="s">
        <v>598</v>
      </c>
      <c r="K140" t="str">
        <f t="shared" si="46"/>
        <v>46.784467</v>
      </c>
      <c r="L140" t="str">
        <f t="shared" si="47"/>
        <v>-92.10232</v>
      </c>
      <c r="M140">
        <v>200</v>
      </c>
      <c r="N140" s="1">
        <v>42202</v>
      </c>
      <c r="O140" s="1">
        <v>46099</v>
      </c>
      <c r="P140" s="2">
        <f t="shared" si="48"/>
        <v>10.669404517453799</v>
      </c>
      <c r="Q140" s="2" t="str">
        <f t="shared" si="49"/>
        <v>Old</v>
      </c>
      <c r="R140">
        <f t="shared" si="50"/>
        <v>600</v>
      </c>
      <c r="S140" t="str">
        <f t="shared" si="51"/>
        <v>Small</v>
      </c>
      <c r="T140" t="str">
        <f t="shared" si="52"/>
        <v>Lower EV Adoption Corridor</v>
      </c>
      <c r="U140" s="3">
        <f t="shared" si="53"/>
        <v>990000.00000000012</v>
      </c>
      <c r="V140" s="4">
        <f t="shared" si="54"/>
        <v>240000</v>
      </c>
      <c r="W140" s="3">
        <f t="shared" si="55"/>
        <v>3000000</v>
      </c>
      <c r="X140" s="3">
        <f t="shared" si="56"/>
        <v>1800000</v>
      </c>
      <c r="Y140">
        <f t="shared" si="57"/>
        <v>0.3</v>
      </c>
      <c r="Z140">
        <f t="shared" si="58"/>
        <v>0.75757575757575757</v>
      </c>
      <c r="AA140" t="str">
        <f t="shared" si="59"/>
        <v>Tier 4 - Stable Network</v>
      </c>
      <c r="AB140" s="3">
        <f t="shared" si="60"/>
        <v>60000</v>
      </c>
      <c r="AC140" s="3">
        <f t="shared" si="61"/>
        <v>750000</v>
      </c>
      <c r="AD140" s="3">
        <f t="shared" si="62"/>
        <v>247500.00000000003</v>
      </c>
      <c r="AE140" s="5">
        <f t="shared" si="63"/>
        <v>3.9999999999999996</v>
      </c>
      <c r="AF140" s="10">
        <f t="shared" si="64"/>
        <v>148800</v>
      </c>
      <c r="AG140" s="10">
        <f t="shared" si="65"/>
        <v>48000</v>
      </c>
      <c r="AH140" s="10">
        <f t="shared" si="66"/>
        <v>24000</v>
      </c>
      <c r="AI140" s="10">
        <f t="shared" si="67"/>
        <v>12000</v>
      </c>
      <c r="AJ140" s="10">
        <f t="shared" si="68"/>
        <v>7200</v>
      </c>
    </row>
    <row r="141" spans="1:36" x14ac:dyDescent="0.3">
      <c r="A141" t="s">
        <v>599</v>
      </c>
      <c r="B141" t="s">
        <v>600</v>
      </c>
      <c r="C141" t="s">
        <v>601</v>
      </c>
      <c r="D141" t="s">
        <v>14</v>
      </c>
      <c r="E141">
        <v>94560</v>
      </c>
      <c r="F141" t="s">
        <v>15</v>
      </c>
      <c r="G141">
        <v>16</v>
      </c>
      <c r="H141">
        <v>72</v>
      </c>
      <c r="I141" t="str" cm="1">
        <f t="array" ref="I141">_xlfn.IFS(H141&lt;=120,"V1",H141&lt;=150,"V2",H141&lt;=250,"V3", H141&lt;=350, "V4")</f>
        <v>V1</v>
      </c>
      <c r="J141" t="s">
        <v>602</v>
      </c>
      <c r="K141" t="str">
        <f t="shared" si="46"/>
        <v>37.525905</v>
      </c>
      <c r="L141" t="str">
        <f t="shared" si="47"/>
        <v>-122.006624</v>
      </c>
      <c r="M141">
        <v>9</v>
      </c>
      <c r="N141" s="1">
        <v>43727</v>
      </c>
      <c r="O141" s="1">
        <v>46099</v>
      </c>
      <c r="P141" s="2">
        <f t="shared" si="48"/>
        <v>6.494182067077344</v>
      </c>
      <c r="Q141" s="2" t="str">
        <f t="shared" si="49"/>
        <v>Mid</v>
      </c>
      <c r="R141">
        <f t="shared" si="50"/>
        <v>1152</v>
      </c>
      <c r="S141" t="str">
        <f t="shared" si="51"/>
        <v>Small</v>
      </c>
      <c r="T141" t="str">
        <f t="shared" si="52"/>
        <v>High EV Adoption Corridor</v>
      </c>
      <c r="U141" s="3">
        <f t="shared" si="53"/>
        <v>2246400</v>
      </c>
      <c r="V141" s="4">
        <f t="shared" si="54"/>
        <v>497664</v>
      </c>
      <c r="W141" s="3">
        <f t="shared" si="55"/>
        <v>5068800</v>
      </c>
      <c r="X141" s="3">
        <f t="shared" si="56"/>
        <v>4665600</v>
      </c>
      <c r="Y141">
        <f t="shared" si="57"/>
        <v>0.21530864197530863</v>
      </c>
      <c r="Z141">
        <f t="shared" si="58"/>
        <v>0.77846153846153843</v>
      </c>
      <c r="AA141" t="str">
        <f t="shared" si="59"/>
        <v>Tier 3 - Upgrade Pipeline</v>
      </c>
      <c r="AB141" s="3">
        <f t="shared" si="60"/>
        <v>31104</v>
      </c>
      <c r="AC141" s="3">
        <f t="shared" si="61"/>
        <v>316800</v>
      </c>
      <c r="AD141" s="3">
        <f t="shared" si="62"/>
        <v>140400</v>
      </c>
      <c r="AE141" s="5">
        <f t="shared" si="63"/>
        <v>2.8985507246376812</v>
      </c>
      <c r="AF141" s="10">
        <f t="shared" si="64"/>
        <v>308551.67999999999</v>
      </c>
      <c r="AG141" s="10">
        <f t="shared" si="65"/>
        <v>99532.800000000003</v>
      </c>
      <c r="AH141" s="10">
        <f t="shared" si="66"/>
        <v>49766.400000000001</v>
      </c>
      <c r="AI141" s="10">
        <f t="shared" si="67"/>
        <v>24883.200000000001</v>
      </c>
      <c r="AJ141" s="10">
        <f t="shared" si="68"/>
        <v>14929.92</v>
      </c>
    </row>
    <row r="142" spans="1:36" x14ac:dyDescent="0.3">
      <c r="A142" t="s">
        <v>603</v>
      </c>
      <c r="B142" t="s">
        <v>604</v>
      </c>
      <c r="C142" t="s">
        <v>605</v>
      </c>
      <c r="D142" t="s">
        <v>50</v>
      </c>
      <c r="E142">
        <v>77090</v>
      </c>
      <c r="F142" t="s">
        <v>15</v>
      </c>
      <c r="G142">
        <v>6</v>
      </c>
      <c r="H142">
        <v>150</v>
      </c>
      <c r="I142" t="str" cm="1">
        <f t="array" ref="I142">_xlfn.IFS(H142&lt;=120,"V1",H142&lt;=150,"V2",H142&lt;=250,"V3", H142&lt;=350, "V4")</f>
        <v>V2</v>
      </c>
      <c r="J142" t="s">
        <v>606</v>
      </c>
      <c r="K142" t="str">
        <f t="shared" si="46"/>
        <v>29.980741</v>
      </c>
      <c r="L142" t="str">
        <f t="shared" si="47"/>
        <v>-95.421697</v>
      </c>
      <c r="M142">
        <v>31</v>
      </c>
      <c r="N142" s="1">
        <v>42194</v>
      </c>
      <c r="O142" s="1">
        <v>46099</v>
      </c>
      <c r="P142" s="2">
        <f t="shared" si="48"/>
        <v>10.691307323750856</v>
      </c>
      <c r="Q142" s="2" t="str">
        <f t="shared" si="49"/>
        <v>Old</v>
      </c>
      <c r="R142">
        <f t="shared" si="50"/>
        <v>900</v>
      </c>
      <c r="S142" t="str">
        <f t="shared" si="51"/>
        <v>Small</v>
      </c>
      <c r="T142" t="str">
        <f t="shared" si="52"/>
        <v>High EV Adoption Corridor</v>
      </c>
      <c r="U142" s="3">
        <f t="shared" si="53"/>
        <v>1930500.0000000005</v>
      </c>
      <c r="V142" s="4">
        <f t="shared" si="54"/>
        <v>432000</v>
      </c>
      <c r="W142" s="3">
        <f t="shared" si="55"/>
        <v>4950000</v>
      </c>
      <c r="X142" s="3">
        <f t="shared" si="56"/>
        <v>4050000</v>
      </c>
      <c r="Y142">
        <f t="shared" si="57"/>
        <v>0.22888888888888889</v>
      </c>
      <c r="Z142">
        <f t="shared" si="58"/>
        <v>0.77622377622377625</v>
      </c>
      <c r="AA142" t="str">
        <f t="shared" si="59"/>
        <v>Tier 3 - Upgrade Pipeline</v>
      </c>
      <c r="AB142" s="3">
        <f t="shared" si="60"/>
        <v>72000</v>
      </c>
      <c r="AC142" s="3">
        <f t="shared" si="61"/>
        <v>825000</v>
      </c>
      <c r="AD142" s="3">
        <f t="shared" si="62"/>
        <v>321750.00000000006</v>
      </c>
      <c r="AE142" s="5">
        <f t="shared" si="63"/>
        <v>3.3033033033033021</v>
      </c>
      <c r="AF142" s="10">
        <f t="shared" si="64"/>
        <v>267840</v>
      </c>
      <c r="AG142" s="10">
        <f t="shared" si="65"/>
        <v>86400</v>
      </c>
      <c r="AH142" s="10">
        <f t="shared" si="66"/>
        <v>43200</v>
      </c>
      <c r="AI142" s="10">
        <f t="shared" si="67"/>
        <v>21600</v>
      </c>
      <c r="AJ142" s="10">
        <f t="shared" si="68"/>
        <v>12960</v>
      </c>
    </row>
    <row r="143" spans="1:36" x14ac:dyDescent="0.3">
      <c r="A143" t="s">
        <v>607</v>
      </c>
      <c r="B143" t="s">
        <v>608</v>
      </c>
      <c r="C143" t="s">
        <v>609</v>
      </c>
      <c r="D143" t="s">
        <v>14</v>
      </c>
      <c r="E143">
        <v>92705</v>
      </c>
      <c r="F143" t="s">
        <v>15</v>
      </c>
      <c r="G143">
        <v>12</v>
      </c>
      <c r="H143">
        <v>150</v>
      </c>
      <c r="I143" t="str" cm="1">
        <f t="array" ref="I143">_xlfn.IFS(H143&lt;=120,"V1",H143&lt;=150,"V2",H143&lt;=250,"V3", H143&lt;=350, "V4")</f>
        <v>V2</v>
      </c>
      <c r="J143" t="s">
        <v>610</v>
      </c>
      <c r="K143" t="str">
        <f t="shared" si="46"/>
        <v>33.776011</v>
      </c>
      <c r="L143" t="str">
        <f t="shared" si="47"/>
        <v>-117.872176</v>
      </c>
      <c r="M143">
        <v>47</v>
      </c>
      <c r="N143" s="1">
        <v>42710</v>
      </c>
      <c r="O143" s="1">
        <v>46099</v>
      </c>
      <c r="P143" s="2">
        <f t="shared" si="48"/>
        <v>9.2785763175906908</v>
      </c>
      <c r="Q143" s="2" t="str">
        <f t="shared" si="49"/>
        <v>Old</v>
      </c>
      <c r="R143">
        <f t="shared" si="50"/>
        <v>1800</v>
      </c>
      <c r="S143" t="str">
        <f t="shared" si="51"/>
        <v>Small</v>
      </c>
      <c r="T143" t="str">
        <f t="shared" si="52"/>
        <v>High EV Adoption Corridor</v>
      </c>
      <c r="U143" s="3">
        <f t="shared" si="53"/>
        <v>3861000.0000000009</v>
      </c>
      <c r="V143" s="4">
        <f t="shared" si="54"/>
        <v>864000</v>
      </c>
      <c r="W143" s="3">
        <f t="shared" si="55"/>
        <v>9900000</v>
      </c>
      <c r="X143" s="3">
        <f t="shared" si="56"/>
        <v>8100000</v>
      </c>
      <c r="Y143">
        <f t="shared" si="57"/>
        <v>0.22888888888888889</v>
      </c>
      <c r="Z143">
        <f t="shared" si="58"/>
        <v>0.77622377622377625</v>
      </c>
      <c r="AA143" t="str">
        <f t="shared" si="59"/>
        <v>Tier 3 - Upgrade Pipeline</v>
      </c>
      <c r="AB143" s="3">
        <f t="shared" si="60"/>
        <v>72000</v>
      </c>
      <c r="AC143" s="3">
        <f t="shared" si="61"/>
        <v>825000</v>
      </c>
      <c r="AD143" s="3">
        <f t="shared" si="62"/>
        <v>321750.00000000006</v>
      </c>
      <c r="AE143" s="5">
        <f t="shared" si="63"/>
        <v>3.3033033033033021</v>
      </c>
      <c r="AF143" s="10">
        <f t="shared" si="64"/>
        <v>535680</v>
      </c>
      <c r="AG143" s="10">
        <f t="shared" si="65"/>
        <v>172800</v>
      </c>
      <c r="AH143" s="10">
        <f t="shared" si="66"/>
        <v>86400</v>
      </c>
      <c r="AI143" s="10">
        <f t="shared" si="67"/>
        <v>43200</v>
      </c>
      <c r="AJ143" s="10">
        <f t="shared" si="68"/>
        <v>25920</v>
      </c>
    </row>
    <row r="144" spans="1:36" x14ac:dyDescent="0.3">
      <c r="A144" t="s">
        <v>611</v>
      </c>
      <c r="B144" t="s">
        <v>612</v>
      </c>
      <c r="C144" t="s">
        <v>613</v>
      </c>
      <c r="D144" t="s">
        <v>316</v>
      </c>
      <c r="E144">
        <v>97801</v>
      </c>
      <c r="F144" t="s">
        <v>15</v>
      </c>
      <c r="G144">
        <v>8</v>
      </c>
      <c r="H144">
        <v>150</v>
      </c>
      <c r="I144" t="str" cm="1">
        <f t="array" ref="I144">_xlfn.IFS(H144&lt;=120,"V1",H144&lt;=150,"V2",H144&lt;=250,"V3", H144&lt;=350, "V4")</f>
        <v>V2</v>
      </c>
      <c r="J144" t="s">
        <v>614</v>
      </c>
      <c r="K144" t="str">
        <f t="shared" si="46"/>
        <v>45.64655</v>
      </c>
      <c r="L144" t="str">
        <f t="shared" si="47"/>
        <v>-118.68198</v>
      </c>
      <c r="M144">
        <v>437</v>
      </c>
      <c r="N144" s="1">
        <v>42152</v>
      </c>
      <c r="O144" s="1">
        <v>46099</v>
      </c>
      <c r="P144" s="2">
        <f t="shared" si="48"/>
        <v>10.806297056810404</v>
      </c>
      <c r="Q144" s="2" t="str">
        <f t="shared" si="49"/>
        <v>Old</v>
      </c>
      <c r="R144">
        <f t="shared" si="50"/>
        <v>1200</v>
      </c>
      <c r="S144" t="str">
        <f t="shared" si="51"/>
        <v>Small</v>
      </c>
      <c r="T144" t="str">
        <f t="shared" si="52"/>
        <v>Lower EV Adoption Corridor</v>
      </c>
      <c r="U144" s="3">
        <f t="shared" si="53"/>
        <v>1980000.0000000002</v>
      </c>
      <c r="V144" s="4">
        <f t="shared" si="54"/>
        <v>480000</v>
      </c>
      <c r="W144" s="3">
        <f t="shared" si="55"/>
        <v>6000000</v>
      </c>
      <c r="X144" s="3">
        <f t="shared" si="56"/>
        <v>3600000</v>
      </c>
      <c r="Y144">
        <f t="shared" si="57"/>
        <v>0.3</v>
      </c>
      <c r="Z144">
        <f t="shared" si="58"/>
        <v>0.75757575757575757</v>
      </c>
      <c r="AA144" t="str">
        <f t="shared" si="59"/>
        <v>Tier 4 - Stable Network</v>
      </c>
      <c r="AB144" s="3">
        <f t="shared" si="60"/>
        <v>60000</v>
      </c>
      <c r="AC144" s="3">
        <f t="shared" si="61"/>
        <v>750000</v>
      </c>
      <c r="AD144" s="3">
        <f t="shared" si="62"/>
        <v>247500.00000000003</v>
      </c>
      <c r="AE144" s="5">
        <f t="shared" si="63"/>
        <v>3.9999999999999996</v>
      </c>
      <c r="AF144" s="10">
        <f t="shared" si="64"/>
        <v>297600</v>
      </c>
      <c r="AG144" s="10">
        <f t="shared" si="65"/>
        <v>96000</v>
      </c>
      <c r="AH144" s="10">
        <f t="shared" si="66"/>
        <v>48000</v>
      </c>
      <c r="AI144" s="10">
        <f t="shared" si="67"/>
        <v>24000</v>
      </c>
      <c r="AJ144" s="10">
        <f t="shared" si="68"/>
        <v>14400</v>
      </c>
    </row>
    <row r="145" spans="1:36" x14ac:dyDescent="0.3">
      <c r="A145" t="s">
        <v>615</v>
      </c>
      <c r="B145" t="s">
        <v>616</v>
      </c>
      <c r="C145" t="s">
        <v>617</v>
      </c>
      <c r="D145" t="s">
        <v>522</v>
      </c>
      <c r="E145">
        <v>65201</v>
      </c>
      <c r="F145" t="s">
        <v>15</v>
      </c>
      <c r="G145">
        <v>8</v>
      </c>
      <c r="H145">
        <v>150</v>
      </c>
      <c r="I145" t="str" cm="1">
        <f t="array" ref="I145">_xlfn.IFS(H145&lt;=120,"V1",H145&lt;=150,"V2",H145&lt;=250,"V3", H145&lt;=350, "V4")</f>
        <v>V2</v>
      </c>
      <c r="J145" t="s">
        <v>618</v>
      </c>
      <c r="K145" t="str">
        <f t="shared" si="46"/>
        <v>38.957816</v>
      </c>
      <c r="L145" t="str">
        <f t="shared" si="47"/>
        <v>-92.252773</v>
      </c>
      <c r="M145">
        <v>254</v>
      </c>
      <c r="N145" s="1">
        <v>42258</v>
      </c>
      <c r="O145" s="1">
        <v>46099</v>
      </c>
      <c r="P145" s="2">
        <f t="shared" si="48"/>
        <v>10.516084873374401</v>
      </c>
      <c r="Q145" s="2" t="str">
        <f t="shared" si="49"/>
        <v>Old</v>
      </c>
      <c r="R145">
        <f t="shared" si="50"/>
        <v>1200</v>
      </c>
      <c r="S145" t="str">
        <f t="shared" si="51"/>
        <v>Small</v>
      </c>
      <c r="T145" t="str">
        <f t="shared" si="52"/>
        <v>Lower EV Adoption Corridor</v>
      </c>
      <c r="U145" s="3">
        <f t="shared" si="53"/>
        <v>1980000.0000000002</v>
      </c>
      <c r="V145" s="4">
        <f t="shared" si="54"/>
        <v>480000</v>
      </c>
      <c r="W145" s="3">
        <f t="shared" si="55"/>
        <v>6000000</v>
      </c>
      <c r="X145" s="3">
        <f t="shared" si="56"/>
        <v>3600000</v>
      </c>
      <c r="Y145">
        <f t="shared" si="57"/>
        <v>0.3</v>
      </c>
      <c r="Z145">
        <f t="shared" si="58"/>
        <v>0.75757575757575757</v>
      </c>
      <c r="AA145" t="str">
        <f t="shared" si="59"/>
        <v>Tier 4 - Stable Network</v>
      </c>
      <c r="AB145" s="3">
        <f t="shared" si="60"/>
        <v>60000</v>
      </c>
      <c r="AC145" s="3">
        <f t="shared" si="61"/>
        <v>750000</v>
      </c>
      <c r="AD145" s="3">
        <f t="shared" si="62"/>
        <v>247500.00000000003</v>
      </c>
      <c r="AE145" s="5">
        <f t="shared" si="63"/>
        <v>3.9999999999999996</v>
      </c>
      <c r="AF145" s="10">
        <f t="shared" si="64"/>
        <v>297600</v>
      </c>
      <c r="AG145" s="10">
        <f t="shared" si="65"/>
        <v>96000</v>
      </c>
      <c r="AH145" s="10">
        <f t="shared" si="66"/>
        <v>48000</v>
      </c>
      <c r="AI145" s="10">
        <f t="shared" si="67"/>
        <v>24000</v>
      </c>
      <c r="AJ145" s="10">
        <f t="shared" si="68"/>
        <v>14400</v>
      </c>
    </row>
    <row r="146" spans="1:36" x14ac:dyDescent="0.3">
      <c r="A146" t="s">
        <v>619</v>
      </c>
      <c r="B146" t="s">
        <v>620</v>
      </c>
      <c r="C146" t="s">
        <v>621</v>
      </c>
      <c r="D146" t="s">
        <v>77</v>
      </c>
      <c r="E146">
        <v>28805</v>
      </c>
      <c r="F146" t="s">
        <v>15</v>
      </c>
      <c r="G146">
        <v>8</v>
      </c>
      <c r="H146">
        <v>250</v>
      </c>
      <c r="I146" t="str" cm="1">
        <f t="array" ref="I146">_xlfn.IFS(H146&lt;=120,"V1",H146&lt;=150,"V2",H146&lt;=250,"V3", H146&lt;=350, "V4")</f>
        <v>V3</v>
      </c>
      <c r="J146" t="s">
        <v>622</v>
      </c>
      <c r="K146" t="str">
        <f t="shared" si="46"/>
        <v>35.581912</v>
      </c>
      <c r="L146" t="str">
        <f t="shared" si="47"/>
        <v>-82.523642</v>
      </c>
      <c r="M146">
        <v>635</v>
      </c>
      <c r="N146" s="1">
        <v>44960</v>
      </c>
      <c r="O146" s="1">
        <v>46099</v>
      </c>
      <c r="P146" s="2">
        <f t="shared" si="48"/>
        <v>3.1184120465434635</v>
      </c>
      <c r="Q146" s="2" t="str">
        <f t="shared" si="49"/>
        <v>Mid</v>
      </c>
      <c r="R146">
        <f t="shared" si="50"/>
        <v>2000</v>
      </c>
      <c r="S146" t="str">
        <f t="shared" si="51"/>
        <v>Small</v>
      </c>
      <c r="T146" t="str">
        <f t="shared" si="52"/>
        <v>Lower EV Adoption Corridor</v>
      </c>
      <c r="U146" s="3">
        <f t="shared" si="53"/>
        <v>3600000</v>
      </c>
      <c r="V146" s="4">
        <f t="shared" si="54"/>
        <v>880000.00000000012</v>
      </c>
      <c r="W146" s="3">
        <f t="shared" si="55"/>
        <v>12000000</v>
      </c>
      <c r="X146" s="3">
        <f t="shared" si="56"/>
        <v>6600000.0000000009</v>
      </c>
      <c r="Y146">
        <f t="shared" si="57"/>
        <v>0.31515151515151513</v>
      </c>
      <c r="Z146">
        <f t="shared" si="58"/>
        <v>0.75555555555555554</v>
      </c>
      <c r="AA146" t="str">
        <f t="shared" si="59"/>
        <v>Tier 2 - Growth Markets</v>
      </c>
      <c r="AB146" s="3">
        <f t="shared" si="60"/>
        <v>110000.00000000001</v>
      </c>
      <c r="AC146" s="3">
        <f t="shared" si="61"/>
        <v>1500000</v>
      </c>
      <c r="AD146" s="3">
        <f t="shared" si="62"/>
        <v>450000</v>
      </c>
      <c r="AE146" s="5">
        <f t="shared" si="63"/>
        <v>4.4117647058823533</v>
      </c>
      <c r="AF146" s="10">
        <f t="shared" si="64"/>
        <v>545600.00000000012</v>
      </c>
      <c r="AG146" s="10">
        <f t="shared" si="65"/>
        <v>176000.00000000003</v>
      </c>
      <c r="AH146" s="10">
        <f t="shared" si="66"/>
        <v>88000.000000000015</v>
      </c>
      <c r="AI146" s="10">
        <f t="shared" si="67"/>
        <v>44000.000000000007</v>
      </c>
      <c r="AJ146" s="10">
        <f t="shared" si="68"/>
        <v>26400.000000000004</v>
      </c>
    </row>
    <row r="147" spans="1:36" x14ac:dyDescent="0.3">
      <c r="A147" t="s">
        <v>623</v>
      </c>
      <c r="B147" t="s">
        <v>624</v>
      </c>
      <c r="C147" t="s">
        <v>625</v>
      </c>
      <c r="D147" t="s">
        <v>77</v>
      </c>
      <c r="E147">
        <v>28312</v>
      </c>
      <c r="F147" t="s">
        <v>15</v>
      </c>
      <c r="G147">
        <v>16</v>
      </c>
      <c r="H147">
        <v>150</v>
      </c>
      <c r="I147" t="str" cm="1">
        <f t="array" ref="I147">_xlfn.IFS(H147&lt;=120,"V1",H147&lt;=150,"V2",H147&lt;=250,"V3", H147&lt;=350, "V4")</f>
        <v>V2</v>
      </c>
      <c r="J147" t="s">
        <v>626</v>
      </c>
      <c r="K147" t="str">
        <f t="shared" si="46"/>
        <v>35.009527</v>
      </c>
      <c r="L147" t="str">
        <f t="shared" si="47"/>
        <v>-78.822416</v>
      </c>
      <c r="M147">
        <v>28</v>
      </c>
      <c r="N147" s="1">
        <v>43045</v>
      </c>
      <c r="O147" s="1">
        <v>46099</v>
      </c>
      <c r="P147" s="2">
        <f t="shared" si="48"/>
        <v>8.3613963039014365</v>
      </c>
      <c r="Q147" s="2" t="str">
        <f t="shared" si="49"/>
        <v>Old</v>
      </c>
      <c r="R147">
        <f t="shared" si="50"/>
        <v>2400</v>
      </c>
      <c r="S147" t="str">
        <f t="shared" si="51"/>
        <v>Small</v>
      </c>
      <c r="T147" t="str">
        <f t="shared" si="52"/>
        <v>Lower EV Adoption Corridor</v>
      </c>
      <c r="U147" s="3">
        <f t="shared" si="53"/>
        <v>3960000.0000000005</v>
      </c>
      <c r="V147" s="4">
        <f t="shared" si="54"/>
        <v>960000</v>
      </c>
      <c r="W147" s="3">
        <f t="shared" si="55"/>
        <v>12000000</v>
      </c>
      <c r="X147" s="3">
        <f t="shared" si="56"/>
        <v>7200000</v>
      </c>
      <c r="Y147">
        <f t="shared" si="57"/>
        <v>0.3</v>
      </c>
      <c r="Z147">
        <f t="shared" si="58"/>
        <v>0.75757575757575757</v>
      </c>
      <c r="AA147" t="str">
        <f t="shared" si="59"/>
        <v>Tier 4 - Stable Network</v>
      </c>
      <c r="AB147" s="3">
        <f t="shared" si="60"/>
        <v>60000</v>
      </c>
      <c r="AC147" s="3">
        <f t="shared" si="61"/>
        <v>750000</v>
      </c>
      <c r="AD147" s="3">
        <f t="shared" si="62"/>
        <v>247500.00000000003</v>
      </c>
      <c r="AE147" s="5">
        <f t="shared" si="63"/>
        <v>3.9999999999999996</v>
      </c>
      <c r="AF147" s="10">
        <f t="shared" si="64"/>
        <v>595200</v>
      </c>
      <c r="AG147" s="10">
        <f t="shared" si="65"/>
        <v>192000</v>
      </c>
      <c r="AH147" s="10">
        <f t="shared" si="66"/>
        <v>96000</v>
      </c>
      <c r="AI147" s="10">
        <f t="shared" si="67"/>
        <v>48000</v>
      </c>
      <c r="AJ147" s="10">
        <f t="shared" si="68"/>
        <v>28800</v>
      </c>
    </row>
    <row r="148" spans="1:36" x14ac:dyDescent="0.3">
      <c r="A148" t="s">
        <v>627</v>
      </c>
      <c r="B148" t="s">
        <v>628</v>
      </c>
      <c r="C148" t="s">
        <v>629</v>
      </c>
      <c r="D148" t="s">
        <v>630</v>
      </c>
      <c r="E148">
        <v>49601</v>
      </c>
      <c r="F148" t="s">
        <v>15</v>
      </c>
      <c r="G148">
        <v>8</v>
      </c>
      <c r="H148">
        <v>150</v>
      </c>
      <c r="I148" t="str" cm="1">
        <f t="array" ref="I148">_xlfn.IFS(H148&lt;=120,"V1",H148&lt;=150,"V2",H148&lt;=250,"V3", H148&lt;=350, "V4")</f>
        <v>V2</v>
      </c>
      <c r="J148" t="s">
        <v>631</v>
      </c>
      <c r="K148" t="str">
        <f t="shared" si="46"/>
        <v>44.282551</v>
      </c>
      <c r="L148" t="str">
        <f t="shared" si="47"/>
        <v>-85.403096</v>
      </c>
      <c r="M148">
        <v>393</v>
      </c>
      <c r="N148" s="1">
        <v>42361</v>
      </c>
      <c r="O148" s="1">
        <v>46099</v>
      </c>
      <c r="P148" s="2">
        <f t="shared" si="48"/>
        <v>10.234086242299794</v>
      </c>
      <c r="Q148" s="2" t="str">
        <f t="shared" si="49"/>
        <v>Old</v>
      </c>
      <c r="R148">
        <f t="shared" si="50"/>
        <v>1200</v>
      </c>
      <c r="S148" t="str">
        <f t="shared" si="51"/>
        <v>Small</v>
      </c>
      <c r="T148" t="str">
        <f t="shared" si="52"/>
        <v>Lower EV Adoption Corridor</v>
      </c>
      <c r="U148" s="3">
        <f t="shared" si="53"/>
        <v>1980000.0000000002</v>
      </c>
      <c r="V148" s="4">
        <f t="shared" si="54"/>
        <v>480000</v>
      </c>
      <c r="W148" s="3">
        <f t="shared" si="55"/>
        <v>6000000</v>
      </c>
      <c r="X148" s="3">
        <f t="shared" si="56"/>
        <v>3600000</v>
      </c>
      <c r="Y148">
        <f t="shared" si="57"/>
        <v>0.3</v>
      </c>
      <c r="Z148">
        <f t="shared" si="58"/>
        <v>0.75757575757575757</v>
      </c>
      <c r="AA148" t="str">
        <f t="shared" si="59"/>
        <v>Tier 4 - Stable Network</v>
      </c>
      <c r="AB148" s="3">
        <f t="shared" si="60"/>
        <v>60000</v>
      </c>
      <c r="AC148" s="3">
        <f t="shared" si="61"/>
        <v>750000</v>
      </c>
      <c r="AD148" s="3">
        <f t="shared" si="62"/>
        <v>247500.00000000003</v>
      </c>
      <c r="AE148" s="5">
        <f t="shared" si="63"/>
        <v>3.9999999999999996</v>
      </c>
      <c r="AF148" s="10">
        <f t="shared" si="64"/>
        <v>297600</v>
      </c>
      <c r="AG148" s="10">
        <f t="shared" si="65"/>
        <v>96000</v>
      </c>
      <c r="AH148" s="10">
        <f t="shared" si="66"/>
        <v>48000</v>
      </c>
      <c r="AI148" s="10">
        <f t="shared" si="67"/>
        <v>24000</v>
      </c>
      <c r="AJ148" s="10">
        <f t="shared" si="68"/>
        <v>14400</v>
      </c>
    </row>
    <row r="149" spans="1:36" x14ac:dyDescent="0.3">
      <c r="A149" t="s">
        <v>632</v>
      </c>
      <c r="B149" t="s">
        <v>633</v>
      </c>
      <c r="C149" t="s">
        <v>634</v>
      </c>
      <c r="D149" t="s">
        <v>230</v>
      </c>
      <c r="E149">
        <v>99336</v>
      </c>
      <c r="F149" t="s">
        <v>15</v>
      </c>
      <c r="G149">
        <v>8</v>
      </c>
      <c r="H149">
        <v>150</v>
      </c>
      <c r="I149" t="str" cm="1">
        <f t="array" ref="I149">_xlfn.IFS(H149&lt;=120,"V1",H149&lt;=150,"V2",H149&lt;=250,"V3", H149&lt;=350, "V4")</f>
        <v>V2</v>
      </c>
      <c r="J149" t="s">
        <v>635</v>
      </c>
      <c r="K149" t="str">
        <f t="shared" si="46"/>
        <v>46.198085</v>
      </c>
      <c r="L149" t="str">
        <f t="shared" si="47"/>
        <v>-119.162734</v>
      </c>
      <c r="M149">
        <v>167</v>
      </c>
      <c r="N149" s="1">
        <v>42251</v>
      </c>
      <c r="O149" s="1">
        <v>46099</v>
      </c>
      <c r="P149" s="2">
        <f t="shared" si="48"/>
        <v>10.535249828884325</v>
      </c>
      <c r="Q149" s="2" t="str">
        <f t="shared" si="49"/>
        <v>Old</v>
      </c>
      <c r="R149">
        <f t="shared" si="50"/>
        <v>1200</v>
      </c>
      <c r="S149" t="str">
        <f t="shared" si="51"/>
        <v>Small</v>
      </c>
      <c r="T149" t="str">
        <f t="shared" si="52"/>
        <v>High EV Adoption Corridor</v>
      </c>
      <c r="U149" s="3">
        <f t="shared" si="53"/>
        <v>2574000.0000000005</v>
      </c>
      <c r="V149" s="4">
        <f t="shared" si="54"/>
        <v>576000</v>
      </c>
      <c r="W149" s="3">
        <f t="shared" si="55"/>
        <v>6600000.0000000009</v>
      </c>
      <c r="X149" s="3">
        <f t="shared" si="56"/>
        <v>5400000</v>
      </c>
      <c r="Y149">
        <f t="shared" si="57"/>
        <v>0.22888888888888889</v>
      </c>
      <c r="Z149">
        <f t="shared" si="58"/>
        <v>0.77622377622377625</v>
      </c>
      <c r="AA149" t="str">
        <f t="shared" si="59"/>
        <v>Tier 3 - Upgrade Pipeline</v>
      </c>
      <c r="AB149" s="3">
        <f t="shared" si="60"/>
        <v>72000</v>
      </c>
      <c r="AC149" s="3">
        <f t="shared" si="61"/>
        <v>825000.00000000012</v>
      </c>
      <c r="AD149" s="3">
        <f t="shared" si="62"/>
        <v>321750.00000000006</v>
      </c>
      <c r="AE149" s="5">
        <f t="shared" si="63"/>
        <v>3.303303303303303</v>
      </c>
      <c r="AF149" s="10">
        <f t="shared" si="64"/>
        <v>357120</v>
      </c>
      <c r="AG149" s="10">
        <f t="shared" si="65"/>
        <v>115200</v>
      </c>
      <c r="AH149" s="10">
        <f t="shared" si="66"/>
        <v>57600</v>
      </c>
      <c r="AI149" s="10">
        <f t="shared" si="67"/>
        <v>28800</v>
      </c>
      <c r="AJ149" s="10">
        <f t="shared" si="68"/>
        <v>17280</v>
      </c>
    </row>
    <row r="150" spans="1:36" x14ac:dyDescent="0.3">
      <c r="A150" t="s">
        <v>636</v>
      </c>
      <c r="B150" t="s">
        <v>637</v>
      </c>
      <c r="C150" t="s">
        <v>638</v>
      </c>
      <c r="D150" t="s">
        <v>225</v>
      </c>
      <c r="E150">
        <v>84501</v>
      </c>
      <c r="F150" t="s">
        <v>15</v>
      </c>
      <c r="G150">
        <v>8</v>
      </c>
      <c r="H150">
        <v>150</v>
      </c>
      <c r="I150" t="str" cm="1">
        <f t="array" ref="I150">_xlfn.IFS(H150&lt;=120,"V1",H150&lt;=150,"V2",H150&lt;=250,"V3", H150&lt;=350, "V4")</f>
        <v>V2</v>
      </c>
      <c r="J150" t="s">
        <v>639</v>
      </c>
      <c r="K150" t="str">
        <f t="shared" si="46"/>
        <v>39.600731</v>
      </c>
      <c r="L150" t="str">
        <f t="shared" si="47"/>
        <v>-110.831701</v>
      </c>
      <c r="M150">
        <v>1207</v>
      </c>
      <c r="N150" s="1">
        <v>42293</v>
      </c>
      <c r="O150" s="1">
        <v>46099</v>
      </c>
      <c r="P150" s="2">
        <f t="shared" si="48"/>
        <v>10.420260095824778</v>
      </c>
      <c r="Q150" s="2" t="str">
        <f t="shared" si="49"/>
        <v>Old</v>
      </c>
      <c r="R150">
        <f t="shared" si="50"/>
        <v>1200</v>
      </c>
      <c r="S150" t="str">
        <f t="shared" si="51"/>
        <v>Small</v>
      </c>
      <c r="T150" t="str">
        <f t="shared" si="52"/>
        <v>Lower EV Adoption Corridor</v>
      </c>
      <c r="U150" s="3">
        <f t="shared" si="53"/>
        <v>1980000.0000000002</v>
      </c>
      <c r="V150" s="4">
        <f t="shared" si="54"/>
        <v>480000</v>
      </c>
      <c r="W150" s="3">
        <f t="shared" si="55"/>
        <v>6000000</v>
      </c>
      <c r="X150" s="3">
        <f t="shared" si="56"/>
        <v>3600000</v>
      </c>
      <c r="Y150">
        <f t="shared" si="57"/>
        <v>0.3</v>
      </c>
      <c r="Z150">
        <f t="shared" si="58"/>
        <v>0.75757575757575757</v>
      </c>
      <c r="AA150" t="str">
        <f t="shared" si="59"/>
        <v>Tier 4 - Stable Network</v>
      </c>
      <c r="AB150" s="3">
        <f t="shared" si="60"/>
        <v>60000</v>
      </c>
      <c r="AC150" s="3">
        <f t="shared" si="61"/>
        <v>750000</v>
      </c>
      <c r="AD150" s="3">
        <f t="shared" si="62"/>
        <v>247500.00000000003</v>
      </c>
      <c r="AE150" s="5">
        <f t="shared" si="63"/>
        <v>3.9999999999999996</v>
      </c>
      <c r="AF150" s="10">
        <f t="shared" si="64"/>
        <v>297600</v>
      </c>
      <c r="AG150" s="10">
        <f t="shared" si="65"/>
        <v>96000</v>
      </c>
      <c r="AH150" s="10">
        <f t="shared" si="66"/>
        <v>48000</v>
      </c>
      <c r="AI150" s="10">
        <f t="shared" si="67"/>
        <v>24000</v>
      </c>
      <c r="AJ150" s="10">
        <f t="shared" si="68"/>
        <v>14400</v>
      </c>
    </row>
    <row r="151" spans="1:36" x14ac:dyDescent="0.3">
      <c r="A151" t="s">
        <v>640</v>
      </c>
      <c r="B151" t="s">
        <v>641</v>
      </c>
      <c r="C151" t="s">
        <v>642</v>
      </c>
      <c r="D151" t="s">
        <v>643</v>
      </c>
      <c r="E151">
        <v>5403</v>
      </c>
      <c r="F151" t="s">
        <v>15</v>
      </c>
      <c r="G151">
        <v>8</v>
      </c>
      <c r="H151">
        <v>150</v>
      </c>
      <c r="I151" t="str" cm="1">
        <f t="array" ref="I151">_xlfn.IFS(H151&lt;=120,"V1",H151&lt;=150,"V2",H151&lt;=250,"V3", H151&lt;=350, "V4")</f>
        <v>V2</v>
      </c>
      <c r="J151" t="s">
        <v>644</v>
      </c>
      <c r="K151" t="str">
        <f t="shared" si="46"/>
        <v>44.462814</v>
      </c>
      <c r="L151" t="str">
        <f t="shared" si="47"/>
        <v>-73.179316</v>
      </c>
      <c r="M151">
        <v>93</v>
      </c>
      <c r="N151" s="1">
        <v>42312</v>
      </c>
      <c r="O151" s="1">
        <v>46099</v>
      </c>
      <c r="P151" s="2">
        <f t="shared" si="48"/>
        <v>10.368240930869268</v>
      </c>
      <c r="Q151" s="2" t="str">
        <f t="shared" si="49"/>
        <v>Old</v>
      </c>
      <c r="R151">
        <f t="shared" si="50"/>
        <v>1200</v>
      </c>
      <c r="S151" t="str">
        <f t="shared" si="51"/>
        <v>Small</v>
      </c>
      <c r="T151" t="str">
        <f t="shared" si="52"/>
        <v>Lower EV Adoption Corridor</v>
      </c>
      <c r="U151" s="3">
        <f t="shared" si="53"/>
        <v>1980000.0000000002</v>
      </c>
      <c r="V151" s="4">
        <f t="shared" si="54"/>
        <v>480000</v>
      </c>
      <c r="W151" s="3">
        <f t="shared" si="55"/>
        <v>6000000</v>
      </c>
      <c r="X151" s="3">
        <f t="shared" si="56"/>
        <v>3600000</v>
      </c>
      <c r="Y151">
        <f t="shared" si="57"/>
        <v>0.3</v>
      </c>
      <c r="Z151">
        <f t="shared" si="58"/>
        <v>0.75757575757575757</v>
      </c>
      <c r="AA151" t="str">
        <f t="shared" si="59"/>
        <v>Tier 4 - Stable Network</v>
      </c>
      <c r="AB151" s="3">
        <f t="shared" si="60"/>
        <v>60000</v>
      </c>
      <c r="AC151" s="3">
        <f t="shared" si="61"/>
        <v>750000</v>
      </c>
      <c r="AD151" s="3">
        <f t="shared" si="62"/>
        <v>247500.00000000003</v>
      </c>
      <c r="AE151" s="5">
        <f t="shared" si="63"/>
        <v>3.9999999999999996</v>
      </c>
      <c r="AF151" s="10">
        <f t="shared" si="64"/>
        <v>297600</v>
      </c>
      <c r="AG151" s="10">
        <f t="shared" si="65"/>
        <v>96000</v>
      </c>
      <c r="AH151" s="10">
        <f t="shared" si="66"/>
        <v>48000</v>
      </c>
      <c r="AI151" s="10">
        <f t="shared" si="67"/>
        <v>24000</v>
      </c>
      <c r="AJ151" s="10">
        <f t="shared" si="68"/>
        <v>14400</v>
      </c>
    </row>
    <row r="152" spans="1:36" x14ac:dyDescent="0.3">
      <c r="A152" t="s">
        <v>645</v>
      </c>
      <c r="B152" t="s">
        <v>646</v>
      </c>
      <c r="C152" t="s">
        <v>647</v>
      </c>
      <c r="D152" t="s">
        <v>648</v>
      </c>
      <c r="E152">
        <v>83709</v>
      </c>
      <c r="F152" t="s">
        <v>15</v>
      </c>
      <c r="G152">
        <v>8</v>
      </c>
      <c r="H152">
        <v>150</v>
      </c>
      <c r="I152" t="str" cm="1">
        <f t="array" ref="I152">_xlfn.IFS(H152&lt;=120,"V1",H152&lt;=150,"V2",H152&lt;=250,"V3", H152&lt;=350, "V4")</f>
        <v>V2</v>
      </c>
      <c r="J152" t="s">
        <v>649</v>
      </c>
      <c r="K152" t="str">
        <f t="shared" si="46"/>
        <v>43.592292</v>
      </c>
      <c r="L152" t="str">
        <f t="shared" si="47"/>
        <v>-116.279467</v>
      </c>
      <c r="M152">
        <v>837</v>
      </c>
      <c r="N152" s="1">
        <v>42223</v>
      </c>
      <c r="O152" s="1">
        <v>46099</v>
      </c>
      <c r="P152" s="2">
        <f t="shared" si="48"/>
        <v>10.611909650924025</v>
      </c>
      <c r="Q152" s="2" t="str">
        <f t="shared" si="49"/>
        <v>Old</v>
      </c>
      <c r="R152">
        <f t="shared" si="50"/>
        <v>1200</v>
      </c>
      <c r="S152" t="str">
        <f t="shared" si="51"/>
        <v>Small</v>
      </c>
      <c r="T152" t="str">
        <f t="shared" si="52"/>
        <v>Lower EV Adoption Corridor</v>
      </c>
      <c r="U152" s="3">
        <f t="shared" si="53"/>
        <v>1980000.0000000002</v>
      </c>
      <c r="V152" s="4">
        <f t="shared" si="54"/>
        <v>480000</v>
      </c>
      <c r="W152" s="3">
        <f t="shared" si="55"/>
        <v>6000000</v>
      </c>
      <c r="X152" s="3">
        <f t="shared" si="56"/>
        <v>3600000</v>
      </c>
      <c r="Y152">
        <f t="shared" si="57"/>
        <v>0.3</v>
      </c>
      <c r="Z152">
        <f t="shared" si="58"/>
        <v>0.75757575757575757</v>
      </c>
      <c r="AA152" t="str">
        <f t="shared" si="59"/>
        <v>Tier 4 - Stable Network</v>
      </c>
      <c r="AB152" s="3">
        <f t="shared" si="60"/>
        <v>60000</v>
      </c>
      <c r="AC152" s="3">
        <f t="shared" si="61"/>
        <v>750000</v>
      </c>
      <c r="AD152" s="3">
        <f t="shared" si="62"/>
        <v>247500.00000000003</v>
      </c>
      <c r="AE152" s="5">
        <f t="shared" si="63"/>
        <v>3.9999999999999996</v>
      </c>
      <c r="AF152" s="10">
        <f t="shared" si="64"/>
        <v>297600</v>
      </c>
      <c r="AG152" s="10">
        <f t="shared" si="65"/>
        <v>96000</v>
      </c>
      <c r="AH152" s="10">
        <f t="shared" si="66"/>
        <v>48000</v>
      </c>
      <c r="AI152" s="10">
        <f t="shared" si="67"/>
        <v>24000</v>
      </c>
      <c r="AJ152" s="10">
        <f t="shared" si="68"/>
        <v>14400</v>
      </c>
    </row>
    <row r="153" spans="1:36" x14ac:dyDescent="0.3">
      <c r="A153" t="s">
        <v>650</v>
      </c>
      <c r="B153" t="s">
        <v>651</v>
      </c>
      <c r="C153" t="s">
        <v>652</v>
      </c>
      <c r="D153" t="s">
        <v>14</v>
      </c>
      <c r="E153">
        <v>92708</v>
      </c>
      <c r="F153" t="s">
        <v>15</v>
      </c>
      <c r="G153">
        <v>16</v>
      </c>
      <c r="H153">
        <v>150</v>
      </c>
      <c r="I153" t="str" cm="1">
        <f t="array" ref="I153">_xlfn.IFS(H153&lt;=120,"V1",H153&lt;=150,"V2",H153&lt;=250,"V3", H153&lt;=350, "V4")</f>
        <v>V2</v>
      </c>
      <c r="J153" t="s">
        <v>653</v>
      </c>
      <c r="K153" t="str">
        <f t="shared" si="46"/>
        <v>33.70278</v>
      </c>
      <c r="L153" t="str">
        <f t="shared" si="47"/>
        <v>-117.934127</v>
      </c>
      <c r="M153">
        <v>11</v>
      </c>
      <c r="N153" s="1">
        <v>42244</v>
      </c>
      <c r="O153" s="1">
        <v>46099</v>
      </c>
      <c r="P153" s="2">
        <f t="shared" si="48"/>
        <v>10.55441478439425</v>
      </c>
      <c r="Q153" s="2" t="str">
        <f t="shared" si="49"/>
        <v>Old</v>
      </c>
      <c r="R153">
        <f t="shared" si="50"/>
        <v>2400</v>
      </c>
      <c r="S153" t="str">
        <f t="shared" si="51"/>
        <v>Small</v>
      </c>
      <c r="T153" t="str">
        <f t="shared" si="52"/>
        <v>High EV Adoption Corridor</v>
      </c>
      <c r="U153" s="3">
        <f t="shared" si="53"/>
        <v>5148000.0000000009</v>
      </c>
      <c r="V153" s="4">
        <f t="shared" si="54"/>
        <v>1152000</v>
      </c>
      <c r="W153" s="3">
        <f t="shared" si="55"/>
        <v>13200000.000000002</v>
      </c>
      <c r="X153" s="3">
        <f t="shared" si="56"/>
        <v>10800000</v>
      </c>
      <c r="Y153">
        <f t="shared" si="57"/>
        <v>0.22888888888888889</v>
      </c>
      <c r="Z153">
        <f t="shared" si="58"/>
        <v>0.77622377622377625</v>
      </c>
      <c r="AA153" t="str">
        <f t="shared" si="59"/>
        <v>Tier 3 - Upgrade Pipeline</v>
      </c>
      <c r="AB153" s="3">
        <f t="shared" si="60"/>
        <v>72000</v>
      </c>
      <c r="AC153" s="3">
        <f t="shared" si="61"/>
        <v>825000.00000000012</v>
      </c>
      <c r="AD153" s="3">
        <f t="shared" si="62"/>
        <v>321750.00000000006</v>
      </c>
      <c r="AE153" s="5">
        <f t="shared" si="63"/>
        <v>3.303303303303303</v>
      </c>
      <c r="AF153" s="10">
        <f t="shared" si="64"/>
        <v>714240</v>
      </c>
      <c r="AG153" s="10">
        <f t="shared" si="65"/>
        <v>230400</v>
      </c>
      <c r="AH153" s="10">
        <f t="shared" si="66"/>
        <v>115200</v>
      </c>
      <c r="AI153" s="10">
        <f t="shared" si="67"/>
        <v>57600</v>
      </c>
      <c r="AJ153" s="10">
        <f t="shared" si="68"/>
        <v>34560</v>
      </c>
    </row>
    <row r="154" spans="1:36" x14ac:dyDescent="0.3">
      <c r="A154" t="s">
        <v>654</v>
      </c>
      <c r="B154" t="s">
        <v>655</v>
      </c>
      <c r="C154" t="s">
        <v>656</v>
      </c>
      <c r="D154" t="s">
        <v>50</v>
      </c>
      <c r="E154">
        <v>79772</v>
      </c>
      <c r="F154" t="s">
        <v>15</v>
      </c>
      <c r="G154">
        <v>8</v>
      </c>
      <c r="H154">
        <v>150</v>
      </c>
      <c r="I154" t="str" cm="1">
        <f t="array" ref="I154">_xlfn.IFS(H154&lt;=120,"V1",H154&lt;=150,"V2",H154&lt;=250,"V3", H154&lt;=350, "V4")</f>
        <v>V2</v>
      </c>
      <c r="J154" t="s">
        <v>657</v>
      </c>
      <c r="K154" t="str">
        <f t="shared" si="46"/>
        <v>31.400223</v>
      </c>
      <c r="L154" t="str">
        <f t="shared" si="47"/>
        <v>-103.486931</v>
      </c>
      <c r="M154">
        <v>786</v>
      </c>
      <c r="N154" s="1">
        <v>43388</v>
      </c>
      <c r="O154" s="1">
        <v>46099</v>
      </c>
      <c r="P154" s="2">
        <f t="shared" si="48"/>
        <v>7.4223134839151266</v>
      </c>
      <c r="Q154" s="2" t="str">
        <f t="shared" si="49"/>
        <v>Mid</v>
      </c>
      <c r="R154">
        <f t="shared" si="50"/>
        <v>1200</v>
      </c>
      <c r="S154" t="str">
        <f t="shared" si="51"/>
        <v>Small</v>
      </c>
      <c r="T154" t="str">
        <f t="shared" si="52"/>
        <v>High EV Adoption Corridor</v>
      </c>
      <c r="U154" s="3">
        <f t="shared" si="53"/>
        <v>2574000.0000000005</v>
      </c>
      <c r="V154" s="4">
        <f t="shared" si="54"/>
        <v>576000</v>
      </c>
      <c r="W154" s="3">
        <f t="shared" si="55"/>
        <v>6600000.0000000009</v>
      </c>
      <c r="X154" s="3">
        <f t="shared" si="56"/>
        <v>5400000</v>
      </c>
      <c r="Y154">
        <f t="shared" si="57"/>
        <v>0.22888888888888889</v>
      </c>
      <c r="Z154">
        <f t="shared" si="58"/>
        <v>0.77622377622377625</v>
      </c>
      <c r="AA154" t="str">
        <f t="shared" si="59"/>
        <v>Tier 3 - Upgrade Pipeline</v>
      </c>
      <c r="AB154" s="3">
        <f t="shared" si="60"/>
        <v>72000</v>
      </c>
      <c r="AC154" s="3">
        <f t="shared" si="61"/>
        <v>825000.00000000012</v>
      </c>
      <c r="AD154" s="3">
        <f t="shared" si="62"/>
        <v>321750.00000000006</v>
      </c>
      <c r="AE154" s="5">
        <f t="shared" si="63"/>
        <v>3.303303303303303</v>
      </c>
      <c r="AF154" s="10">
        <f t="shared" si="64"/>
        <v>357120</v>
      </c>
      <c r="AG154" s="10">
        <f t="shared" si="65"/>
        <v>115200</v>
      </c>
      <c r="AH154" s="10">
        <f t="shared" si="66"/>
        <v>57600</v>
      </c>
      <c r="AI154" s="10">
        <f t="shared" si="67"/>
        <v>28800</v>
      </c>
      <c r="AJ154" s="10">
        <f t="shared" si="68"/>
        <v>17280</v>
      </c>
    </row>
    <row r="155" spans="1:36" x14ac:dyDescent="0.3">
      <c r="A155" t="s">
        <v>658</v>
      </c>
      <c r="B155" t="s">
        <v>659</v>
      </c>
      <c r="C155" t="s">
        <v>660</v>
      </c>
      <c r="D155" t="s">
        <v>41</v>
      </c>
      <c r="E155">
        <v>32309</v>
      </c>
      <c r="F155" t="s">
        <v>15</v>
      </c>
      <c r="G155">
        <v>6</v>
      </c>
      <c r="H155">
        <v>150</v>
      </c>
      <c r="I155" t="str" cm="1">
        <f t="array" ref="I155">_xlfn.IFS(H155&lt;=120,"V1",H155&lt;=150,"V2",H155&lt;=250,"V3", H155&lt;=350, "V4")</f>
        <v>V2</v>
      </c>
      <c r="J155" t="s">
        <v>661</v>
      </c>
      <c r="K155" t="str">
        <f t="shared" si="46"/>
        <v>30.510935</v>
      </c>
      <c r="L155" t="str">
        <f t="shared" si="47"/>
        <v>-84.247838</v>
      </c>
      <c r="M155">
        <v>63</v>
      </c>
      <c r="N155" s="1">
        <v>42270</v>
      </c>
      <c r="O155" s="1">
        <v>46099</v>
      </c>
      <c r="P155" s="2">
        <f t="shared" si="48"/>
        <v>10.483230663928817</v>
      </c>
      <c r="Q155" s="2" t="str">
        <f t="shared" si="49"/>
        <v>Old</v>
      </c>
      <c r="R155">
        <f t="shared" si="50"/>
        <v>900</v>
      </c>
      <c r="S155" t="str">
        <f t="shared" si="51"/>
        <v>Small</v>
      </c>
      <c r="T155" t="str">
        <f t="shared" si="52"/>
        <v>High EV Adoption Corridor</v>
      </c>
      <c r="U155" s="3">
        <f t="shared" si="53"/>
        <v>1930500.0000000005</v>
      </c>
      <c r="V155" s="4">
        <f t="shared" si="54"/>
        <v>432000</v>
      </c>
      <c r="W155" s="3">
        <f t="shared" si="55"/>
        <v>4950000</v>
      </c>
      <c r="X155" s="3">
        <f t="shared" si="56"/>
        <v>4050000</v>
      </c>
      <c r="Y155">
        <f t="shared" si="57"/>
        <v>0.22888888888888889</v>
      </c>
      <c r="Z155">
        <f t="shared" si="58"/>
        <v>0.77622377622377625</v>
      </c>
      <c r="AA155" t="str">
        <f t="shared" si="59"/>
        <v>Tier 3 - Upgrade Pipeline</v>
      </c>
      <c r="AB155" s="3">
        <f t="shared" si="60"/>
        <v>72000</v>
      </c>
      <c r="AC155" s="3">
        <f t="shared" si="61"/>
        <v>825000</v>
      </c>
      <c r="AD155" s="3">
        <f t="shared" si="62"/>
        <v>321750.00000000006</v>
      </c>
      <c r="AE155" s="5">
        <f t="shared" si="63"/>
        <v>3.3033033033033021</v>
      </c>
      <c r="AF155" s="10">
        <f t="shared" si="64"/>
        <v>267840</v>
      </c>
      <c r="AG155" s="10">
        <f t="shared" si="65"/>
        <v>86400</v>
      </c>
      <c r="AH155" s="10">
        <f t="shared" si="66"/>
        <v>43200</v>
      </c>
      <c r="AI155" s="10">
        <f t="shared" si="67"/>
        <v>21600</v>
      </c>
      <c r="AJ155" s="10">
        <f t="shared" si="68"/>
        <v>12960</v>
      </c>
    </row>
    <row r="156" spans="1:36" x14ac:dyDescent="0.3">
      <c r="A156" t="s">
        <v>662</v>
      </c>
      <c r="B156" t="s">
        <v>663</v>
      </c>
      <c r="C156" t="s">
        <v>664</v>
      </c>
      <c r="D156" t="s">
        <v>50</v>
      </c>
      <c r="E156">
        <v>76537</v>
      </c>
      <c r="F156" t="s">
        <v>15</v>
      </c>
      <c r="G156">
        <v>8</v>
      </c>
      <c r="H156">
        <v>250</v>
      </c>
      <c r="I156" t="str" cm="1">
        <f t="array" ref="I156">_xlfn.IFS(H156&lt;=120,"V1",H156&lt;=150,"V2",H156&lt;=250,"V3", H156&lt;=350, "V4")</f>
        <v>V3</v>
      </c>
      <c r="J156" t="s">
        <v>665</v>
      </c>
      <c r="K156" t="str">
        <f t="shared" si="46"/>
        <v>30.814396</v>
      </c>
      <c r="L156" t="str">
        <f t="shared" si="47"/>
        <v>-97.610506</v>
      </c>
      <c r="M156">
        <v>276</v>
      </c>
      <c r="N156" s="1">
        <v>45071</v>
      </c>
      <c r="O156" s="1">
        <v>46099</v>
      </c>
      <c r="P156" s="2">
        <f t="shared" si="48"/>
        <v>2.8145106091718</v>
      </c>
      <c r="Q156" s="2" t="str">
        <f t="shared" si="49"/>
        <v>New</v>
      </c>
      <c r="R156">
        <f t="shared" si="50"/>
        <v>2000</v>
      </c>
      <c r="S156" t="str">
        <f t="shared" si="51"/>
        <v>Small</v>
      </c>
      <c r="T156" t="str">
        <f t="shared" si="52"/>
        <v>High EV Adoption Corridor</v>
      </c>
      <c r="U156" s="3">
        <f t="shared" si="53"/>
        <v>4680000</v>
      </c>
      <c r="V156" s="4">
        <f t="shared" si="54"/>
        <v>1056000</v>
      </c>
      <c r="W156" s="3">
        <f t="shared" si="55"/>
        <v>13200000.000000002</v>
      </c>
      <c r="X156" s="3">
        <f t="shared" si="56"/>
        <v>9900000.0000000019</v>
      </c>
      <c r="Y156">
        <f t="shared" si="57"/>
        <v>0.23999999999999996</v>
      </c>
      <c r="Z156">
        <f t="shared" si="58"/>
        <v>0.77435897435897438</v>
      </c>
      <c r="AA156" t="str">
        <f t="shared" si="59"/>
        <v>Tier 1 - Priority Fleet</v>
      </c>
      <c r="AB156" s="3">
        <f t="shared" si="60"/>
        <v>132000</v>
      </c>
      <c r="AC156" s="3">
        <f t="shared" si="61"/>
        <v>1650000.0000000002</v>
      </c>
      <c r="AD156" s="3">
        <f t="shared" si="62"/>
        <v>585000</v>
      </c>
      <c r="AE156" s="5">
        <f t="shared" si="63"/>
        <v>3.6423841059602653</v>
      </c>
      <c r="AF156" s="10">
        <f t="shared" si="64"/>
        <v>654720</v>
      </c>
      <c r="AG156" s="10">
        <f t="shared" si="65"/>
        <v>211200</v>
      </c>
      <c r="AH156" s="10">
        <f t="shared" si="66"/>
        <v>105600</v>
      </c>
      <c r="AI156" s="10">
        <f t="shared" si="67"/>
        <v>52800</v>
      </c>
      <c r="AJ156" s="10">
        <f t="shared" si="68"/>
        <v>31680</v>
      </c>
    </row>
    <row r="157" spans="1:36" x14ac:dyDescent="0.3">
      <c r="A157" t="s">
        <v>666</v>
      </c>
      <c r="B157" t="s">
        <v>667</v>
      </c>
      <c r="C157" t="s">
        <v>668</v>
      </c>
      <c r="D157" t="s">
        <v>14</v>
      </c>
      <c r="E157">
        <v>94901</v>
      </c>
      <c r="F157" t="s">
        <v>15</v>
      </c>
      <c r="G157">
        <v>8</v>
      </c>
      <c r="H157">
        <v>250</v>
      </c>
      <c r="I157" t="str" cm="1">
        <f t="array" ref="I157">_xlfn.IFS(H157&lt;=120,"V1",H157&lt;=150,"V2",H157&lt;=250,"V3", H157&lt;=350, "V4")</f>
        <v>V3</v>
      </c>
      <c r="J157" t="s">
        <v>669</v>
      </c>
      <c r="K157" t="str">
        <f t="shared" si="46"/>
        <v>37.971375</v>
      </c>
      <c r="L157" t="str">
        <f t="shared" si="47"/>
        <v>-122.517193</v>
      </c>
      <c r="M157">
        <v>3</v>
      </c>
      <c r="N157" s="1">
        <v>44961</v>
      </c>
      <c r="O157" s="1">
        <v>46099</v>
      </c>
      <c r="P157" s="2">
        <f t="shared" si="48"/>
        <v>3.1156741957563314</v>
      </c>
      <c r="Q157" s="2" t="str">
        <f t="shared" si="49"/>
        <v>Mid</v>
      </c>
      <c r="R157">
        <f t="shared" si="50"/>
        <v>2000</v>
      </c>
      <c r="S157" t="str">
        <f t="shared" si="51"/>
        <v>Small</v>
      </c>
      <c r="T157" t="str">
        <f t="shared" si="52"/>
        <v>High EV Adoption Corridor</v>
      </c>
      <c r="U157" s="3">
        <f t="shared" si="53"/>
        <v>4680000</v>
      </c>
      <c r="V157" s="4">
        <f t="shared" si="54"/>
        <v>1056000</v>
      </c>
      <c r="W157" s="3">
        <f t="shared" si="55"/>
        <v>13200000.000000002</v>
      </c>
      <c r="X157" s="3">
        <f t="shared" si="56"/>
        <v>9900000.0000000019</v>
      </c>
      <c r="Y157">
        <f t="shared" si="57"/>
        <v>0.23999999999999996</v>
      </c>
      <c r="Z157">
        <f t="shared" si="58"/>
        <v>0.77435897435897438</v>
      </c>
      <c r="AA157" t="str">
        <f t="shared" si="59"/>
        <v>Tier 1 - Priority Fleet</v>
      </c>
      <c r="AB157" s="3">
        <f t="shared" si="60"/>
        <v>132000</v>
      </c>
      <c r="AC157" s="3">
        <f t="shared" si="61"/>
        <v>1650000.0000000002</v>
      </c>
      <c r="AD157" s="3">
        <f t="shared" si="62"/>
        <v>585000</v>
      </c>
      <c r="AE157" s="5">
        <f t="shared" si="63"/>
        <v>3.6423841059602653</v>
      </c>
      <c r="AF157" s="10">
        <f t="shared" si="64"/>
        <v>654720</v>
      </c>
      <c r="AG157" s="10">
        <f t="shared" si="65"/>
        <v>211200</v>
      </c>
      <c r="AH157" s="10">
        <f t="shared" si="66"/>
        <v>105600</v>
      </c>
      <c r="AI157" s="10">
        <f t="shared" si="67"/>
        <v>52800</v>
      </c>
      <c r="AJ157" s="10">
        <f t="shared" si="68"/>
        <v>31680</v>
      </c>
    </row>
    <row r="158" spans="1:36" x14ac:dyDescent="0.3">
      <c r="A158" t="s">
        <v>670</v>
      </c>
      <c r="B158" t="s">
        <v>671</v>
      </c>
      <c r="C158" t="s">
        <v>672</v>
      </c>
      <c r="D158" t="s">
        <v>673</v>
      </c>
      <c r="E158">
        <v>968</v>
      </c>
      <c r="F158" t="s">
        <v>15</v>
      </c>
      <c r="G158">
        <v>2</v>
      </c>
      <c r="H158">
        <v>72</v>
      </c>
      <c r="I158" t="str" cm="1">
        <f t="array" ref="I158">_xlfn.IFS(H158&lt;=120,"V1",H158&lt;=150,"V2",H158&lt;=250,"V3", H158&lt;=350, "V4")</f>
        <v>V1</v>
      </c>
      <c r="J158" t="s">
        <v>674</v>
      </c>
      <c r="K158" t="str">
        <f t="shared" si="46"/>
        <v>18.4069</v>
      </c>
      <c r="L158" t="str">
        <f t="shared" si="47"/>
        <v>-66.1061</v>
      </c>
      <c r="M158">
        <v>14</v>
      </c>
      <c r="N158" s="1">
        <v>44519</v>
      </c>
      <c r="O158" s="1">
        <v>46099</v>
      </c>
      <c r="P158" s="2">
        <f t="shared" si="48"/>
        <v>4.3258042436687196</v>
      </c>
      <c r="Q158" s="2" t="str">
        <f t="shared" si="49"/>
        <v>Mid</v>
      </c>
      <c r="R158">
        <f t="shared" si="50"/>
        <v>144</v>
      </c>
      <c r="S158" t="str">
        <f t="shared" si="51"/>
        <v>Small</v>
      </c>
      <c r="T158" t="str">
        <f t="shared" si="52"/>
        <v>Lower EV Adoption Corridor</v>
      </c>
      <c r="U158" s="3">
        <f t="shared" si="53"/>
        <v>216000</v>
      </c>
      <c r="V158" s="4">
        <f t="shared" si="54"/>
        <v>51840</v>
      </c>
      <c r="W158" s="3">
        <f t="shared" si="55"/>
        <v>576000</v>
      </c>
      <c r="X158" s="3">
        <f t="shared" si="56"/>
        <v>388800</v>
      </c>
      <c r="Y158">
        <f t="shared" si="57"/>
        <v>0.2814814814814815</v>
      </c>
      <c r="Z158">
        <f t="shared" si="58"/>
        <v>0.76</v>
      </c>
      <c r="AA158" t="str">
        <f t="shared" si="59"/>
        <v>Tier 5 - Retirement Pipeline</v>
      </c>
      <c r="AB158" s="3">
        <f t="shared" si="60"/>
        <v>25920</v>
      </c>
      <c r="AC158" s="3">
        <f t="shared" si="61"/>
        <v>288000</v>
      </c>
      <c r="AD158" s="3">
        <f t="shared" si="62"/>
        <v>108000</v>
      </c>
      <c r="AE158" s="5">
        <f t="shared" si="63"/>
        <v>3.5087719298245612</v>
      </c>
      <c r="AF158" s="10">
        <f t="shared" si="64"/>
        <v>32140.799999999999</v>
      </c>
      <c r="AG158" s="10">
        <f t="shared" si="65"/>
        <v>10368</v>
      </c>
      <c r="AH158" s="10">
        <f t="shared" si="66"/>
        <v>5184</v>
      </c>
      <c r="AI158" s="10">
        <f t="shared" si="67"/>
        <v>2592</v>
      </c>
      <c r="AJ158" s="10">
        <f t="shared" si="68"/>
        <v>1555.2</v>
      </c>
    </row>
    <row r="159" spans="1:36" x14ac:dyDescent="0.3">
      <c r="A159" t="s">
        <v>675</v>
      </c>
      <c r="B159" t="s">
        <v>676</v>
      </c>
      <c r="C159" t="s">
        <v>677</v>
      </c>
      <c r="D159" t="s">
        <v>14</v>
      </c>
      <c r="E159">
        <v>93206</v>
      </c>
      <c r="F159" t="s">
        <v>15</v>
      </c>
      <c r="G159">
        <v>10</v>
      </c>
      <c r="H159">
        <v>150</v>
      </c>
      <c r="I159" t="str" cm="1">
        <f t="array" ref="I159">_xlfn.IFS(H159&lt;=120,"V1",H159&lt;=150,"V2",H159&lt;=250,"V3", H159&lt;=350, "V4")</f>
        <v>V2</v>
      </c>
      <c r="J159" t="s">
        <v>678</v>
      </c>
      <c r="K159" t="str">
        <f t="shared" si="46"/>
        <v>35.400105</v>
      </c>
      <c r="L159" t="str">
        <f t="shared" si="47"/>
        <v>-119.397796</v>
      </c>
      <c r="M159">
        <v>90</v>
      </c>
      <c r="N159" s="1">
        <v>42398</v>
      </c>
      <c r="O159" s="1">
        <v>46099</v>
      </c>
      <c r="P159" s="2">
        <f t="shared" si="48"/>
        <v>10.132785763175907</v>
      </c>
      <c r="Q159" s="2" t="str">
        <f t="shared" si="49"/>
        <v>Old</v>
      </c>
      <c r="R159">
        <f t="shared" si="50"/>
        <v>1500</v>
      </c>
      <c r="S159" t="str">
        <f t="shared" si="51"/>
        <v>Small</v>
      </c>
      <c r="T159" t="str">
        <f t="shared" si="52"/>
        <v>High EV Adoption Corridor</v>
      </c>
      <c r="U159" s="3">
        <f t="shared" si="53"/>
        <v>3217500</v>
      </c>
      <c r="V159" s="4">
        <f t="shared" si="54"/>
        <v>720000</v>
      </c>
      <c r="W159" s="3">
        <f t="shared" si="55"/>
        <v>8250000.0000000009</v>
      </c>
      <c r="X159" s="3">
        <f t="shared" si="56"/>
        <v>6750000</v>
      </c>
      <c r="Y159">
        <f t="shared" si="57"/>
        <v>0.22888888888888889</v>
      </c>
      <c r="Z159">
        <f t="shared" si="58"/>
        <v>0.77622377622377625</v>
      </c>
      <c r="AA159" t="str">
        <f t="shared" si="59"/>
        <v>Tier 3 - Upgrade Pipeline</v>
      </c>
      <c r="AB159" s="3">
        <f t="shared" si="60"/>
        <v>72000</v>
      </c>
      <c r="AC159" s="3">
        <f t="shared" si="61"/>
        <v>825000.00000000012</v>
      </c>
      <c r="AD159" s="3">
        <f t="shared" si="62"/>
        <v>321750</v>
      </c>
      <c r="AE159" s="5">
        <f t="shared" si="63"/>
        <v>3.3033033033033035</v>
      </c>
      <c r="AF159" s="10">
        <f t="shared" si="64"/>
        <v>446400</v>
      </c>
      <c r="AG159" s="10">
        <f t="shared" si="65"/>
        <v>144000</v>
      </c>
      <c r="AH159" s="10">
        <f t="shared" si="66"/>
        <v>72000</v>
      </c>
      <c r="AI159" s="10">
        <f t="shared" si="67"/>
        <v>36000</v>
      </c>
      <c r="AJ159" s="10">
        <f t="shared" si="68"/>
        <v>21600</v>
      </c>
    </row>
    <row r="160" spans="1:36" x14ac:dyDescent="0.3">
      <c r="A160" t="s">
        <v>679</v>
      </c>
      <c r="B160" t="s">
        <v>680</v>
      </c>
      <c r="C160" t="s">
        <v>681</v>
      </c>
      <c r="D160" t="s">
        <v>316</v>
      </c>
      <c r="E160">
        <v>97055</v>
      </c>
      <c r="F160" t="s">
        <v>15</v>
      </c>
      <c r="G160">
        <v>8</v>
      </c>
      <c r="H160">
        <v>150</v>
      </c>
      <c r="I160" t="str" cm="1">
        <f t="array" ref="I160">_xlfn.IFS(H160&lt;=120,"V1",H160&lt;=150,"V2",H160&lt;=250,"V3", H160&lt;=350, "V4")</f>
        <v>V2</v>
      </c>
      <c r="J160" t="s">
        <v>682</v>
      </c>
      <c r="K160" t="str">
        <f t="shared" si="46"/>
        <v>45.403531</v>
      </c>
      <c r="L160" t="str">
        <f t="shared" si="47"/>
        <v>-122.294242</v>
      </c>
      <c r="M160">
        <v>236</v>
      </c>
      <c r="N160" s="1">
        <v>42312</v>
      </c>
      <c r="O160" s="1">
        <v>46099</v>
      </c>
      <c r="P160" s="2">
        <f t="shared" si="48"/>
        <v>10.368240930869268</v>
      </c>
      <c r="Q160" s="2" t="str">
        <f t="shared" si="49"/>
        <v>Old</v>
      </c>
      <c r="R160">
        <f t="shared" si="50"/>
        <v>1200</v>
      </c>
      <c r="S160" t="str">
        <f t="shared" si="51"/>
        <v>Small</v>
      </c>
      <c r="T160" t="str">
        <f t="shared" si="52"/>
        <v>Lower EV Adoption Corridor</v>
      </c>
      <c r="U160" s="3">
        <f t="shared" si="53"/>
        <v>1980000.0000000002</v>
      </c>
      <c r="V160" s="4">
        <f t="shared" si="54"/>
        <v>480000</v>
      </c>
      <c r="W160" s="3">
        <f t="shared" si="55"/>
        <v>6000000</v>
      </c>
      <c r="X160" s="3">
        <f t="shared" si="56"/>
        <v>3600000</v>
      </c>
      <c r="Y160">
        <f t="shared" si="57"/>
        <v>0.3</v>
      </c>
      <c r="Z160">
        <f t="shared" si="58"/>
        <v>0.75757575757575757</v>
      </c>
      <c r="AA160" t="str">
        <f t="shared" si="59"/>
        <v>Tier 4 - Stable Network</v>
      </c>
      <c r="AB160" s="3">
        <f t="shared" si="60"/>
        <v>60000</v>
      </c>
      <c r="AC160" s="3">
        <f t="shared" si="61"/>
        <v>750000</v>
      </c>
      <c r="AD160" s="3">
        <f t="shared" si="62"/>
        <v>247500.00000000003</v>
      </c>
      <c r="AE160" s="5">
        <f t="shared" si="63"/>
        <v>3.9999999999999996</v>
      </c>
      <c r="AF160" s="10">
        <f t="shared" si="64"/>
        <v>297600</v>
      </c>
      <c r="AG160" s="10">
        <f t="shared" si="65"/>
        <v>96000</v>
      </c>
      <c r="AH160" s="10">
        <f t="shared" si="66"/>
        <v>48000</v>
      </c>
      <c r="AI160" s="10">
        <f t="shared" si="67"/>
        <v>24000</v>
      </c>
      <c r="AJ160" s="10">
        <f t="shared" si="68"/>
        <v>14400</v>
      </c>
    </row>
    <row r="161" spans="1:36" x14ac:dyDescent="0.3">
      <c r="A161" t="s">
        <v>683</v>
      </c>
      <c r="B161" t="s">
        <v>684</v>
      </c>
      <c r="C161" t="s">
        <v>685</v>
      </c>
      <c r="D161" t="s">
        <v>14</v>
      </c>
      <c r="E161">
        <v>93546</v>
      </c>
      <c r="F161" t="s">
        <v>15</v>
      </c>
      <c r="G161">
        <v>8</v>
      </c>
      <c r="H161">
        <v>150</v>
      </c>
      <c r="I161" t="str" cm="1">
        <f t="array" ref="I161">_xlfn.IFS(H161&lt;=120,"V1",H161&lt;=150,"V2",H161&lt;=250,"V3", H161&lt;=350, "V4")</f>
        <v>V2</v>
      </c>
      <c r="J161" t="s">
        <v>686</v>
      </c>
      <c r="K161" t="str">
        <f t="shared" si="46"/>
        <v>37.644544</v>
      </c>
      <c r="L161" t="str">
        <f t="shared" si="47"/>
        <v>-118.965875</v>
      </c>
      <c r="M161">
        <v>2390</v>
      </c>
      <c r="N161" s="1">
        <v>42390</v>
      </c>
      <c r="O161" s="1">
        <v>46099</v>
      </c>
      <c r="P161" s="2">
        <f t="shared" si="48"/>
        <v>10.154688569472963</v>
      </c>
      <c r="Q161" s="2" t="str">
        <f t="shared" si="49"/>
        <v>Old</v>
      </c>
      <c r="R161">
        <f t="shared" si="50"/>
        <v>1200</v>
      </c>
      <c r="S161" t="str">
        <f t="shared" si="51"/>
        <v>Small</v>
      </c>
      <c r="T161" t="str">
        <f t="shared" si="52"/>
        <v>High EV Adoption Corridor</v>
      </c>
      <c r="U161" s="3">
        <f t="shared" si="53"/>
        <v>2574000.0000000005</v>
      </c>
      <c r="V161" s="4">
        <f t="shared" si="54"/>
        <v>576000</v>
      </c>
      <c r="W161" s="3">
        <f t="shared" si="55"/>
        <v>6600000.0000000009</v>
      </c>
      <c r="X161" s="3">
        <f t="shared" si="56"/>
        <v>5400000</v>
      </c>
      <c r="Y161">
        <f t="shared" si="57"/>
        <v>0.22888888888888889</v>
      </c>
      <c r="Z161">
        <f t="shared" si="58"/>
        <v>0.77622377622377625</v>
      </c>
      <c r="AA161" t="str">
        <f t="shared" si="59"/>
        <v>Tier 3 - Upgrade Pipeline</v>
      </c>
      <c r="AB161" s="3">
        <f t="shared" si="60"/>
        <v>72000</v>
      </c>
      <c r="AC161" s="3">
        <f t="shared" si="61"/>
        <v>825000.00000000012</v>
      </c>
      <c r="AD161" s="3">
        <f t="shared" si="62"/>
        <v>321750.00000000006</v>
      </c>
      <c r="AE161" s="5">
        <f t="shared" si="63"/>
        <v>3.303303303303303</v>
      </c>
      <c r="AF161" s="10">
        <f t="shared" si="64"/>
        <v>357120</v>
      </c>
      <c r="AG161" s="10">
        <f t="shared" si="65"/>
        <v>115200</v>
      </c>
      <c r="AH161" s="10">
        <f t="shared" si="66"/>
        <v>57600</v>
      </c>
      <c r="AI161" s="10">
        <f t="shared" si="67"/>
        <v>28800</v>
      </c>
      <c r="AJ161" s="10">
        <f t="shared" si="68"/>
        <v>17280</v>
      </c>
    </row>
    <row r="162" spans="1:36" x14ac:dyDescent="0.3">
      <c r="A162" t="s">
        <v>687</v>
      </c>
      <c r="B162" t="s">
        <v>688</v>
      </c>
      <c r="C162" t="s">
        <v>689</v>
      </c>
      <c r="D162" t="s">
        <v>433</v>
      </c>
      <c r="E162">
        <v>89003</v>
      </c>
      <c r="F162" t="s">
        <v>15</v>
      </c>
      <c r="G162">
        <v>8</v>
      </c>
      <c r="H162">
        <v>150</v>
      </c>
      <c r="I162" t="str" cm="1">
        <f t="array" ref="I162">_xlfn.IFS(H162&lt;=120,"V1",H162&lt;=150,"V2",H162&lt;=250,"V3", H162&lt;=350, "V4")</f>
        <v>V2</v>
      </c>
      <c r="J162" t="s">
        <v>690</v>
      </c>
      <c r="K162" t="str">
        <f t="shared" si="46"/>
        <v>36.913718</v>
      </c>
      <c r="L162" t="str">
        <f t="shared" si="47"/>
        <v>-116.754371</v>
      </c>
      <c r="M162">
        <v>1011</v>
      </c>
      <c r="N162" s="1">
        <v>42409</v>
      </c>
      <c r="O162" s="1">
        <v>46099</v>
      </c>
      <c r="P162" s="2">
        <f t="shared" si="48"/>
        <v>10.102669404517453</v>
      </c>
      <c r="Q162" s="2" t="str">
        <f t="shared" si="49"/>
        <v>Old</v>
      </c>
      <c r="R162">
        <f t="shared" si="50"/>
        <v>1200</v>
      </c>
      <c r="S162" t="str">
        <f t="shared" si="51"/>
        <v>Small</v>
      </c>
      <c r="T162" t="str">
        <f t="shared" si="52"/>
        <v>Lower EV Adoption Corridor</v>
      </c>
      <c r="U162" s="3">
        <f t="shared" si="53"/>
        <v>1980000.0000000002</v>
      </c>
      <c r="V162" s="4">
        <f t="shared" si="54"/>
        <v>480000</v>
      </c>
      <c r="W162" s="3">
        <f t="shared" si="55"/>
        <v>6000000</v>
      </c>
      <c r="X162" s="3">
        <f t="shared" si="56"/>
        <v>3600000</v>
      </c>
      <c r="Y162">
        <f t="shared" si="57"/>
        <v>0.3</v>
      </c>
      <c r="Z162">
        <f t="shared" si="58"/>
        <v>0.75757575757575757</v>
      </c>
      <c r="AA162" t="str">
        <f t="shared" si="59"/>
        <v>Tier 4 - Stable Network</v>
      </c>
      <c r="AB162" s="3">
        <f t="shared" si="60"/>
        <v>60000</v>
      </c>
      <c r="AC162" s="3">
        <f t="shared" si="61"/>
        <v>750000</v>
      </c>
      <c r="AD162" s="3">
        <f t="shared" si="62"/>
        <v>247500.00000000003</v>
      </c>
      <c r="AE162" s="5">
        <f t="shared" si="63"/>
        <v>3.9999999999999996</v>
      </c>
      <c r="AF162" s="10">
        <f t="shared" si="64"/>
        <v>297600</v>
      </c>
      <c r="AG162" s="10">
        <f t="shared" si="65"/>
        <v>96000</v>
      </c>
      <c r="AH162" s="10">
        <f t="shared" si="66"/>
        <v>48000</v>
      </c>
      <c r="AI162" s="10">
        <f t="shared" si="67"/>
        <v>24000</v>
      </c>
      <c r="AJ162" s="10">
        <f t="shared" si="68"/>
        <v>14400</v>
      </c>
    </row>
    <row r="163" spans="1:36" x14ac:dyDescent="0.3">
      <c r="A163" t="s">
        <v>691</v>
      </c>
      <c r="B163" t="s">
        <v>692</v>
      </c>
      <c r="C163" t="s">
        <v>693</v>
      </c>
      <c r="D163" t="s">
        <v>648</v>
      </c>
      <c r="E163">
        <v>83301</v>
      </c>
      <c r="F163" t="s">
        <v>15</v>
      </c>
      <c r="G163">
        <v>8</v>
      </c>
      <c r="H163">
        <v>150</v>
      </c>
      <c r="I163" t="str" cm="1">
        <f t="array" ref="I163">_xlfn.IFS(H163&lt;=120,"V1",H163&lt;=150,"V2",H163&lt;=250,"V3", H163&lt;=350, "V4")</f>
        <v>V2</v>
      </c>
      <c r="J163" t="s">
        <v>694</v>
      </c>
      <c r="K163" t="str">
        <f t="shared" si="46"/>
        <v>42.597887</v>
      </c>
      <c r="L163" t="str">
        <f t="shared" si="47"/>
        <v>-114.455249</v>
      </c>
      <c r="M163">
        <v>1098</v>
      </c>
      <c r="N163" s="1">
        <v>42305</v>
      </c>
      <c r="O163" s="1">
        <v>46099</v>
      </c>
      <c r="P163" s="2">
        <f t="shared" si="48"/>
        <v>10.387405886379192</v>
      </c>
      <c r="Q163" s="2" t="str">
        <f t="shared" si="49"/>
        <v>Old</v>
      </c>
      <c r="R163">
        <f t="shared" si="50"/>
        <v>1200</v>
      </c>
      <c r="S163" t="str">
        <f t="shared" si="51"/>
        <v>Small</v>
      </c>
      <c r="T163" t="str">
        <f t="shared" si="52"/>
        <v>Lower EV Adoption Corridor</v>
      </c>
      <c r="U163" s="3">
        <f t="shared" si="53"/>
        <v>1980000.0000000002</v>
      </c>
      <c r="V163" s="4">
        <f t="shared" si="54"/>
        <v>480000</v>
      </c>
      <c r="W163" s="3">
        <f t="shared" si="55"/>
        <v>6000000</v>
      </c>
      <c r="X163" s="3">
        <f t="shared" si="56"/>
        <v>3600000</v>
      </c>
      <c r="Y163">
        <f t="shared" si="57"/>
        <v>0.3</v>
      </c>
      <c r="Z163">
        <f t="shared" si="58"/>
        <v>0.75757575757575757</v>
      </c>
      <c r="AA163" t="str">
        <f t="shared" si="59"/>
        <v>Tier 4 - Stable Network</v>
      </c>
      <c r="AB163" s="3">
        <f t="shared" si="60"/>
        <v>60000</v>
      </c>
      <c r="AC163" s="3">
        <f t="shared" si="61"/>
        <v>750000</v>
      </c>
      <c r="AD163" s="3">
        <f t="shared" si="62"/>
        <v>247500.00000000003</v>
      </c>
      <c r="AE163" s="5">
        <f t="shared" si="63"/>
        <v>3.9999999999999996</v>
      </c>
      <c r="AF163" s="10">
        <f t="shared" si="64"/>
        <v>297600</v>
      </c>
      <c r="AG163" s="10">
        <f t="shared" si="65"/>
        <v>96000</v>
      </c>
      <c r="AH163" s="10">
        <f t="shared" si="66"/>
        <v>48000</v>
      </c>
      <c r="AI163" s="10">
        <f t="shared" si="67"/>
        <v>24000</v>
      </c>
      <c r="AJ163" s="10">
        <f t="shared" si="68"/>
        <v>14400</v>
      </c>
    </row>
    <row r="164" spans="1:36" x14ac:dyDescent="0.3">
      <c r="A164" t="s">
        <v>695</v>
      </c>
      <c r="B164" t="s">
        <v>696</v>
      </c>
      <c r="C164" t="s">
        <v>697</v>
      </c>
      <c r="D164" t="s">
        <v>153</v>
      </c>
      <c r="E164">
        <v>18104</v>
      </c>
      <c r="F164" t="s">
        <v>15</v>
      </c>
      <c r="G164">
        <v>16</v>
      </c>
      <c r="H164">
        <v>250</v>
      </c>
      <c r="I164" t="str" cm="1">
        <f t="array" ref="I164">_xlfn.IFS(H164&lt;=120,"V1",H164&lt;=150,"V2",H164&lt;=250,"V3", H164&lt;=350, "V4")</f>
        <v>V3</v>
      </c>
      <c r="J164" t="s">
        <v>698</v>
      </c>
      <c r="K164" t="str">
        <f t="shared" si="46"/>
        <v>40.588102</v>
      </c>
      <c r="L164" t="str">
        <f t="shared" si="47"/>
        <v>-75.559904</v>
      </c>
      <c r="M164">
        <v>125</v>
      </c>
      <c r="N164" s="1">
        <v>42390</v>
      </c>
      <c r="O164" s="1">
        <v>46099</v>
      </c>
      <c r="P164" s="2">
        <f t="shared" si="48"/>
        <v>10.154688569472963</v>
      </c>
      <c r="Q164" s="2" t="str">
        <f t="shared" si="49"/>
        <v>Old</v>
      </c>
      <c r="R164">
        <f t="shared" si="50"/>
        <v>4000</v>
      </c>
      <c r="S164" t="str">
        <f t="shared" si="51"/>
        <v>Small</v>
      </c>
      <c r="T164" t="str">
        <f t="shared" si="52"/>
        <v>Lower EV Adoption Corridor</v>
      </c>
      <c r="U164" s="3">
        <f t="shared" si="53"/>
        <v>7200000</v>
      </c>
      <c r="V164" s="4">
        <f t="shared" si="54"/>
        <v>1760000.0000000002</v>
      </c>
      <c r="W164" s="3">
        <f t="shared" si="55"/>
        <v>24000000</v>
      </c>
      <c r="X164" s="3">
        <f t="shared" si="56"/>
        <v>13200000.000000002</v>
      </c>
      <c r="Y164">
        <f t="shared" si="57"/>
        <v>0.31515151515151513</v>
      </c>
      <c r="Z164">
        <f t="shared" si="58"/>
        <v>0.75555555555555554</v>
      </c>
      <c r="AA164" t="str">
        <f t="shared" si="59"/>
        <v>Tier 2 - Growth Markets</v>
      </c>
      <c r="AB164" s="3">
        <f t="shared" si="60"/>
        <v>110000.00000000001</v>
      </c>
      <c r="AC164" s="3">
        <f t="shared" si="61"/>
        <v>1500000</v>
      </c>
      <c r="AD164" s="3">
        <f t="shared" si="62"/>
        <v>450000</v>
      </c>
      <c r="AE164" s="5">
        <f t="shared" si="63"/>
        <v>4.4117647058823533</v>
      </c>
      <c r="AF164" s="10">
        <f t="shared" si="64"/>
        <v>1091200.0000000002</v>
      </c>
      <c r="AG164" s="10">
        <f t="shared" si="65"/>
        <v>352000.00000000006</v>
      </c>
      <c r="AH164" s="10">
        <f t="shared" si="66"/>
        <v>176000.00000000003</v>
      </c>
      <c r="AI164" s="10">
        <f t="shared" si="67"/>
        <v>88000.000000000015</v>
      </c>
      <c r="AJ164" s="10">
        <f t="shared" si="68"/>
        <v>52800.000000000007</v>
      </c>
    </row>
    <row r="165" spans="1:36" x14ac:dyDescent="0.3">
      <c r="A165" t="s">
        <v>699</v>
      </c>
      <c r="B165" t="s">
        <v>700</v>
      </c>
      <c r="C165" t="s">
        <v>701</v>
      </c>
      <c r="D165" t="s">
        <v>14</v>
      </c>
      <c r="E165">
        <v>95482</v>
      </c>
      <c r="F165" t="s">
        <v>15</v>
      </c>
      <c r="G165">
        <v>8</v>
      </c>
      <c r="H165">
        <v>150</v>
      </c>
      <c r="I165" t="str" cm="1">
        <f t="array" ref="I165">_xlfn.IFS(H165&lt;=120,"V1",H165&lt;=150,"V2",H165&lt;=250,"V3", H165&lt;=350, "V4")</f>
        <v>V2</v>
      </c>
      <c r="J165" t="s">
        <v>702</v>
      </c>
      <c r="K165" t="str">
        <f t="shared" si="46"/>
        <v>39.1481</v>
      </c>
      <c r="L165" t="str">
        <f t="shared" si="47"/>
        <v>-123.208604</v>
      </c>
      <c r="M165">
        <v>193</v>
      </c>
      <c r="N165" s="1">
        <v>42382</v>
      </c>
      <c r="O165" s="1">
        <v>46099</v>
      </c>
      <c r="P165" s="2">
        <f t="shared" si="48"/>
        <v>10.17659137577002</v>
      </c>
      <c r="Q165" s="2" t="str">
        <f t="shared" si="49"/>
        <v>Old</v>
      </c>
      <c r="R165">
        <f t="shared" si="50"/>
        <v>1200</v>
      </c>
      <c r="S165" t="str">
        <f t="shared" si="51"/>
        <v>Small</v>
      </c>
      <c r="T165" t="str">
        <f t="shared" si="52"/>
        <v>High EV Adoption Corridor</v>
      </c>
      <c r="U165" s="3">
        <f t="shared" si="53"/>
        <v>2574000.0000000005</v>
      </c>
      <c r="V165" s="4">
        <f t="shared" si="54"/>
        <v>576000</v>
      </c>
      <c r="W165" s="3">
        <f t="shared" si="55"/>
        <v>6600000.0000000009</v>
      </c>
      <c r="X165" s="3">
        <f t="shared" si="56"/>
        <v>5400000</v>
      </c>
      <c r="Y165">
        <f t="shared" si="57"/>
        <v>0.22888888888888889</v>
      </c>
      <c r="Z165">
        <f t="shared" si="58"/>
        <v>0.77622377622377625</v>
      </c>
      <c r="AA165" t="str">
        <f t="shared" si="59"/>
        <v>Tier 3 - Upgrade Pipeline</v>
      </c>
      <c r="AB165" s="3">
        <f t="shared" si="60"/>
        <v>72000</v>
      </c>
      <c r="AC165" s="3">
        <f t="shared" si="61"/>
        <v>825000.00000000012</v>
      </c>
      <c r="AD165" s="3">
        <f t="shared" si="62"/>
        <v>321750.00000000006</v>
      </c>
      <c r="AE165" s="5">
        <f t="shared" si="63"/>
        <v>3.303303303303303</v>
      </c>
      <c r="AF165" s="10">
        <f t="shared" si="64"/>
        <v>357120</v>
      </c>
      <c r="AG165" s="10">
        <f t="shared" si="65"/>
        <v>115200</v>
      </c>
      <c r="AH165" s="10">
        <f t="shared" si="66"/>
        <v>57600</v>
      </c>
      <c r="AI165" s="10">
        <f t="shared" si="67"/>
        <v>28800</v>
      </c>
      <c r="AJ165" s="10">
        <f t="shared" si="68"/>
        <v>17280</v>
      </c>
    </row>
    <row r="166" spans="1:36" x14ac:dyDescent="0.3">
      <c r="A166" t="s">
        <v>703</v>
      </c>
      <c r="B166" t="s">
        <v>704</v>
      </c>
      <c r="C166" t="s">
        <v>705</v>
      </c>
      <c r="D166" t="s">
        <v>14</v>
      </c>
      <c r="E166">
        <v>93704</v>
      </c>
      <c r="F166" t="s">
        <v>15</v>
      </c>
      <c r="G166">
        <v>10</v>
      </c>
      <c r="H166">
        <v>150</v>
      </c>
      <c r="I166" t="str" cm="1">
        <f t="array" ref="I166">_xlfn.IFS(H166&lt;=120,"V1",H166&lt;=150,"V2",H166&lt;=250,"V3", H166&lt;=350, "V4")</f>
        <v>V2</v>
      </c>
      <c r="J166" t="s">
        <v>706</v>
      </c>
      <c r="K166" t="str">
        <f t="shared" si="46"/>
        <v>36.835455</v>
      </c>
      <c r="L166" t="str">
        <f t="shared" si="47"/>
        <v>-119.91058</v>
      </c>
      <c r="M166">
        <v>91</v>
      </c>
      <c r="N166" s="1">
        <v>42398</v>
      </c>
      <c r="O166" s="1">
        <v>46099</v>
      </c>
      <c r="P166" s="2">
        <f t="shared" si="48"/>
        <v>10.132785763175907</v>
      </c>
      <c r="Q166" s="2" t="str">
        <f t="shared" si="49"/>
        <v>Old</v>
      </c>
      <c r="R166">
        <f t="shared" si="50"/>
        <v>1500</v>
      </c>
      <c r="S166" t="str">
        <f t="shared" si="51"/>
        <v>Small</v>
      </c>
      <c r="T166" t="str">
        <f t="shared" si="52"/>
        <v>High EV Adoption Corridor</v>
      </c>
      <c r="U166" s="3">
        <f t="shared" si="53"/>
        <v>3217500</v>
      </c>
      <c r="V166" s="4">
        <f t="shared" si="54"/>
        <v>720000</v>
      </c>
      <c r="W166" s="3">
        <f t="shared" si="55"/>
        <v>8250000.0000000009</v>
      </c>
      <c r="X166" s="3">
        <f t="shared" si="56"/>
        <v>6750000</v>
      </c>
      <c r="Y166">
        <f t="shared" si="57"/>
        <v>0.22888888888888889</v>
      </c>
      <c r="Z166">
        <f t="shared" si="58"/>
        <v>0.77622377622377625</v>
      </c>
      <c r="AA166" t="str">
        <f t="shared" si="59"/>
        <v>Tier 3 - Upgrade Pipeline</v>
      </c>
      <c r="AB166" s="3">
        <f t="shared" si="60"/>
        <v>72000</v>
      </c>
      <c r="AC166" s="3">
        <f t="shared" si="61"/>
        <v>825000.00000000012</v>
      </c>
      <c r="AD166" s="3">
        <f t="shared" si="62"/>
        <v>321750</v>
      </c>
      <c r="AE166" s="5">
        <f t="shared" si="63"/>
        <v>3.3033033033033035</v>
      </c>
      <c r="AF166" s="10">
        <f t="shared" si="64"/>
        <v>446400</v>
      </c>
      <c r="AG166" s="10">
        <f t="shared" si="65"/>
        <v>144000</v>
      </c>
      <c r="AH166" s="10">
        <f t="shared" si="66"/>
        <v>72000</v>
      </c>
      <c r="AI166" s="10">
        <f t="shared" si="67"/>
        <v>36000</v>
      </c>
      <c r="AJ166" s="10">
        <f t="shared" si="68"/>
        <v>21600</v>
      </c>
    </row>
    <row r="167" spans="1:36" x14ac:dyDescent="0.3">
      <c r="A167" t="s">
        <v>707</v>
      </c>
      <c r="B167" t="s">
        <v>708</v>
      </c>
      <c r="C167" t="s">
        <v>709</v>
      </c>
      <c r="D167" t="s">
        <v>50</v>
      </c>
      <c r="E167">
        <v>79124</v>
      </c>
      <c r="F167" t="s">
        <v>15</v>
      </c>
      <c r="G167">
        <v>8</v>
      </c>
      <c r="H167">
        <v>150</v>
      </c>
      <c r="I167" t="str" cm="1">
        <f t="array" ref="I167">_xlfn.IFS(H167&lt;=120,"V1",H167&lt;=150,"V2",H167&lt;=250,"V3", H167&lt;=350, "V4")</f>
        <v>V2</v>
      </c>
      <c r="J167" t="s">
        <v>710</v>
      </c>
      <c r="K167" t="str">
        <f t="shared" si="46"/>
        <v>35.189035</v>
      </c>
      <c r="L167" t="str">
        <f t="shared" si="47"/>
        <v>-101.931478</v>
      </c>
      <c r="M167">
        <v>1134</v>
      </c>
      <c r="N167" s="1">
        <v>42313</v>
      </c>
      <c r="O167" s="1">
        <v>46099</v>
      </c>
      <c r="P167" s="2">
        <f t="shared" si="48"/>
        <v>10.365503080082135</v>
      </c>
      <c r="Q167" s="2" t="str">
        <f t="shared" si="49"/>
        <v>Old</v>
      </c>
      <c r="R167">
        <f t="shared" si="50"/>
        <v>1200</v>
      </c>
      <c r="S167" t="str">
        <f t="shared" si="51"/>
        <v>Small</v>
      </c>
      <c r="T167" t="str">
        <f t="shared" si="52"/>
        <v>High EV Adoption Corridor</v>
      </c>
      <c r="U167" s="3">
        <f t="shared" si="53"/>
        <v>2574000.0000000005</v>
      </c>
      <c r="V167" s="4">
        <f t="shared" si="54"/>
        <v>576000</v>
      </c>
      <c r="W167" s="3">
        <f t="shared" si="55"/>
        <v>6600000.0000000009</v>
      </c>
      <c r="X167" s="3">
        <f t="shared" si="56"/>
        <v>5400000</v>
      </c>
      <c r="Y167">
        <f t="shared" si="57"/>
        <v>0.22888888888888889</v>
      </c>
      <c r="Z167">
        <f t="shared" si="58"/>
        <v>0.77622377622377625</v>
      </c>
      <c r="AA167" t="str">
        <f t="shared" si="59"/>
        <v>Tier 3 - Upgrade Pipeline</v>
      </c>
      <c r="AB167" s="3">
        <f t="shared" si="60"/>
        <v>72000</v>
      </c>
      <c r="AC167" s="3">
        <f t="shared" si="61"/>
        <v>825000.00000000012</v>
      </c>
      <c r="AD167" s="3">
        <f t="shared" si="62"/>
        <v>321750.00000000006</v>
      </c>
      <c r="AE167" s="5">
        <f t="shared" si="63"/>
        <v>3.303303303303303</v>
      </c>
      <c r="AF167" s="10">
        <f t="shared" si="64"/>
        <v>357120</v>
      </c>
      <c r="AG167" s="10">
        <f t="shared" si="65"/>
        <v>115200</v>
      </c>
      <c r="AH167" s="10">
        <f t="shared" si="66"/>
        <v>57600</v>
      </c>
      <c r="AI167" s="10">
        <f t="shared" si="67"/>
        <v>28800</v>
      </c>
      <c r="AJ167" s="10">
        <f t="shared" si="68"/>
        <v>17280</v>
      </c>
    </row>
    <row r="168" spans="1:36" x14ac:dyDescent="0.3">
      <c r="A168" t="s">
        <v>711</v>
      </c>
      <c r="B168" t="s">
        <v>712</v>
      </c>
      <c r="C168" t="s">
        <v>713</v>
      </c>
      <c r="D168" t="s">
        <v>158</v>
      </c>
      <c r="E168">
        <v>13905</v>
      </c>
      <c r="F168" t="s">
        <v>15</v>
      </c>
      <c r="G168">
        <v>8</v>
      </c>
      <c r="H168">
        <v>150</v>
      </c>
      <c r="I168" t="str" cm="1">
        <f t="array" ref="I168">_xlfn.IFS(H168&lt;=120,"V1",H168&lt;=150,"V2",H168&lt;=250,"V3", H168&lt;=350, "V4")</f>
        <v>V2</v>
      </c>
      <c r="J168" t="s">
        <v>714</v>
      </c>
      <c r="K168" t="str">
        <f t="shared" si="46"/>
        <v>42.145553</v>
      </c>
      <c r="L168" t="str">
        <f t="shared" si="47"/>
        <v>-75.901755</v>
      </c>
      <c r="M168">
        <v>262</v>
      </c>
      <c r="N168" s="1">
        <v>42309</v>
      </c>
      <c r="O168" s="1">
        <v>46099</v>
      </c>
      <c r="P168" s="2">
        <f t="shared" si="48"/>
        <v>10.376454483230663</v>
      </c>
      <c r="Q168" s="2" t="str">
        <f t="shared" si="49"/>
        <v>Old</v>
      </c>
      <c r="R168">
        <f t="shared" si="50"/>
        <v>1200</v>
      </c>
      <c r="S168" t="str">
        <f t="shared" si="51"/>
        <v>Small</v>
      </c>
      <c r="T168" t="str">
        <f t="shared" si="52"/>
        <v>Lower EV Adoption Corridor</v>
      </c>
      <c r="U168" s="3">
        <f t="shared" si="53"/>
        <v>1980000.0000000002</v>
      </c>
      <c r="V168" s="4">
        <f t="shared" si="54"/>
        <v>480000</v>
      </c>
      <c r="W168" s="3">
        <f t="shared" si="55"/>
        <v>6000000</v>
      </c>
      <c r="X168" s="3">
        <f t="shared" si="56"/>
        <v>3600000</v>
      </c>
      <c r="Y168">
        <f t="shared" si="57"/>
        <v>0.3</v>
      </c>
      <c r="Z168">
        <f t="shared" si="58"/>
        <v>0.75757575757575757</v>
      </c>
      <c r="AA168" t="str">
        <f t="shared" si="59"/>
        <v>Tier 4 - Stable Network</v>
      </c>
      <c r="AB168" s="3">
        <f t="shared" si="60"/>
        <v>60000</v>
      </c>
      <c r="AC168" s="3">
        <f t="shared" si="61"/>
        <v>750000</v>
      </c>
      <c r="AD168" s="3">
        <f t="shared" si="62"/>
        <v>247500.00000000003</v>
      </c>
      <c r="AE168" s="5">
        <f t="shared" si="63"/>
        <v>3.9999999999999996</v>
      </c>
      <c r="AF168" s="10">
        <f t="shared" si="64"/>
        <v>297600</v>
      </c>
      <c r="AG168" s="10">
        <f t="shared" si="65"/>
        <v>96000</v>
      </c>
      <c r="AH168" s="10">
        <f t="shared" si="66"/>
        <v>48000</v>
      </c>
      <c r="AI168" s="10">
        <f t="shared" si="67"/>
        <v>24000</v>
      </c>
      <c r="AJ168" s="10">
        <f t="shared" si="68"/>
        <v>14400</v>
      </c>
    </row>
    <row r="169" spans="1:36" x14ac:dyDescent="0.3">
      <c r="A169" t="s">
        <v>715</v>
      </c>
      <c r="B169" t="s">
        <v>716</v>
      </c>
      <c r="C169" t="s">
        <v>717</v>
      </c>
      <c r="D169" t="s">
        <v>153</v>
      </c>
      <c r="E169">
        <v>18372</v>
      </c>
      <c r="F169" t="s">
        <v>15</v>
      </c>
      <c r="G169">
        <v>8</v>
      </c>
      <c r="H169">
        <v>150</v>
      </c>
      <c r="I169" t="str" cm="1">
        <f t="array" ref="I169">_xlfn.IFS(H169&lt;=120,"V1",H169&lt;=150,"V2",H169&lt;=250,"V3", H169&lt;=350, "V4")</f>
        <v>V2</v>
      </c>
      <c r="J169" t="s">
        <v>718</v>
      </c>
      <c r="K169" t="str">
        <f t="shared" si="46"/>
        <v>41.045431</v>
      </c>
      <c r="L169" t="str">
        <f t="shared" si="47"/>
        <v>-75.312244</v>
      </c>
      <c r="M169">
        <v>284</v>
      </c>
      <c r="N169" s="1">
        <v>42352</v>
      </c>
      <c r="O169" s="1">
        <v>46099</v>
      </c>
      <c r="P169" s="2">
        <f t="shared" si="48"/>
        <v>10.258726899383984</v>
      </c>
      <c r="Q169" s="2" t="str">
        <f t="shared" si="49"/>
        <v>Old</v>
      </c>
      <c r="R169">
        <f t="shared" si="50"/>
        <v>1200</v>
      </c>
      <c r="S169" t="str">
        <f t="shared" si="51"/>
        <v>Small</v>
      </c>
      <c r="T169" t="str">
        <f t="shared" si="52"/>
        <v>Lower EV Adoption Corridor</v>
      </c>
      <c r="U169" s="3">
        <f t="shared" si="53"/>
        <v>1980000.0000000002</v>
      </c>
      <c r="V169" s="4">
        <f t="shared" si="54"/>
        <v>480000</v>
      </c>
      <c r="W169" s="3">
        <f t="shared" si="55"/>
        <v>6000000</v>
      </c>
      <c r="X169" s="3">
        <f t="shared" si="56"/>
        <v>3600000</v>
      </c>
      <c r="Y169">
        <f t="shared" si="57"/>
        <v>0.3</v>
      </c>
      <c r="Z169">
        <f t="shared" si="58"/>
        <v>0.75757575757575757</v>
      </c>
      <c r="AA169" t="str">
        <f t="shared" si="59"/>
        <v>Tier 4 - Stable Network</v>
      </c>
      <c r="AB169" s="3">
        <f t="shared" si="60"/>
        <v>60000</v>
      </c>
      <c r="AC169" s="3">
        <f t="shared" si="61"/>
        <v>750000</v>
      </c>
      <c r="AD169" s="3">
        <f t="shared" si="62"/>
        <v>247500.00000000003</v>
      </c>
      <c r="AE169" s="5">
        <f t="shared" si="63"/>
        <v>3.9999999999999996</v>
      </c>
      <c r="AF169" s="10">
        <f t="shared" si="64"/>
        <v>297600</v>
      </c>
      <c r="AG169" s="10">
        <f t="shared" si="65"/>
        <v>96000</v>
      </c>
      <c r="AH169" s="10">
        <f t="shared" si="66"/>
        <v>48000</v>
      </c>
      <c r="AI169" s="10">
        <f t="shared" si="67"/>
        <v>24000</v>
      </c>
      <c r="AJ169" s="10">
        <f t="shared" si="68"/>
        <v>14400</v>
      </c>
    </row>
    <row r="170" spans="1:36" x14ac:dyDescent="0.3">
      <c r="A170" t="s">
        <v>719</v>
      </c>
      <c r="B170" t="s">
        <v>720</v>
      </c>
      <c r="C170" t="s">
        <v>721</v>
      </c>
      <c r="D170" t="s">
        <v>111</v>
      </c>
      <c r="E170">
        <v>55037</v>
      </c>
      <c r="F170" t="s">
        <v>15</v>
      </c>
      <c r="G170">
        <v>8</v>
      </c>
      <c r="H170">
        <v>150</v>
      </c>
      <c r="I170" t="str" cm="1">
        <f t="array" ref="I170">_xlfn.IFS(H170&lt;=120,"V1",H170&lt;=150,"V2",H170&lt;=250,"V3", H170&lt;=350, "V4")</f>
        <v>V2</v>
      </c>
      <c r="J170" t="s">
        <v>722</v>
      </c>
      <c r="K170" t="str">
        <f t="shared" si="46"/>
        <v>46.009592</v>
      </c>
      <c r="L170" t="str">
        <f t="shared" si="47"/>
        <v>-92.93155</v>
      </c>
      <c r="M170">
        <v>313</v>
      </c>
      <c r="N170" s="1">
        <v>42298</v>
      </c>
      <c r="O170" s="1">
        <v>46099</v>
      </c>
      <c r="P170" s="2">
        <f t="shared" si="48"/>
        <v>10.406570841889117</v>
      </c>
      <c r="Q170" s="2" t="str">
        <f t="shared" si="49"/>
        <v>Old</v>
      </c>
      <c r="R170">
        <f t="shared" si="50"/>
        <v>1200</v>
      </c>
      <c r="S170" t="str">
        <f t="shared" si="51"/>
        <v>Small</v>
      </c>
      <c r="T170" t="str">
        <f t="shared" si="52"/>
        <v>Lower EV Adoption Corridor</v>
      </c>
      <c r="U170" s="3">
        <f t="shared" si="53"/>
        <v>1980000.0000000002</v>
      </c>
      <c r="V170" s="4">
        <f t="shared" si="54"/>
        <v>480000</v>
      </c>
      <c r="W170" s="3">
        <f t="shared" si="55"/>
        <v>6000000</v>
      </c>
      <c r="X170" s="3">
        <f t="shared" si="56"/>
        <v>3600000</v>
      </c>
      <c r="Y170">
        <f t="shared" si="57"/>
        <v>0.3</v>
      </c>
      <c r="Z170">
        <f t="shared" si="58"/>
        <v>0.75757575757575757</v>
      </c>
      <c r="AA170" t="str">
        <f t="shared" si="59"/>
        <v>Tier 4 - Stable Network</v>
      </c>
      <c r="AB170" s="3">
        <f t="shared" si="60"/>
        <v>60000</v>
      </c>
      <c r="AC170" s="3">
        <f t="shared" si="61"/>
        <v>750000</v>
      </c>
      <c r="AD170" s="3">
        <f t="shared" si="62"/>
        <v>247500.00000000003</v>
      </c>
      <c r="AE170" s="5">
        <f t="shared" si="63"/>
        <v>3.9999999999999996</v>
      </c>
      <c r="AF170" s="10">
        <f t="shared" si="64"/>
        <v>297600</v>
      </c>
      <c r="AG170" s="10">
        <f t="shared" si="65"/>
        <v>96000</v>
      </c>
      <c r="AH170" s="10">
        <f t="shared" si="66"/>
        <v>48000</v>
      </c>
      <c r="AI170" s="10">
        <f t="shared" si="67"/>
        <v>24000</v>
      </c>
      <c r="AJ170" s="10">
        <f t="shared" si="68"/>
        <v>14400</v>
      </c>
    </row>
    <row r="171" spans="1:36" x14ac:dyDescent="0.3">
      <c r="A171" t="s">
        <v>723</v>
      </c>
      <c r="B171" t="s">
        <v>724</v>
      </c>
      <c r="C171" t="s">
        <v>725</v>
      </c>
      <c r="D171" t="s">
        <v>111</v>
      </c>
      <c r="E171">
        <v>56425</v>
      </c>
      <c r="F171" t="s">
        <v>15</v>
      </c>
      <c r="G171">
        <v>8</v>
      </c>
      <c r="H171">
        <v>150</v>
      </c>
      <c r="I171" t="str" cm="1">
        <f t="array" ref="I171">_xlfn.IFS(H171&lt;=120,"V1",H171&lt;=150,"V2",H171&lt;=250,"V3", H171&lt;=350, "V4")</f>
        <v>V2</v>
      </c>
      <c r="J171" t="s">
        <v>726</v>
      </c>
      <c r="K171" t="str">
        <f t="shared" si="46"/>
        <v>46.378868</v>
      </c>
      <c r="L171" t="str">
        <f t="shared" si="47"/>
        <v>-94.256413</v>
      </c>
      <c r="M171">
        <v>369</v>
      </c>
      <c r="N171" s="1">
        <v>42298</v>
      </c>
      <c r="O171" s="1">
        <v>46099</v>
      </c>
      <c r="P171" s="2">
        <f t="shared" si="48"/>
        <v>10.406570841889117</v>
      </c>
      <c r="Q171" s="2" t="str">
        <f t="shared" si="49"/>
        <v>Old</v>
      </c>
      <c r="R171">
        <f t="shared" si="50"/>
        <v>1200</v>
      </c>
      <c r="S171" t="str">
        <f t="shared" si="51"/>
        <v>Small</v>
      </c>
      <c r="T171" t="str">
        <f t="shared" si="52"/>
        <v>Lower EV Adoption Corridor</v>
      </c>
      <c r="U171" s="3">
        <f t="shared" si="53"/>
        <v>1980000.0000000002</v>
      </c>
      <c r="V171" s="4">
        <f t="shared" si="54"/>
        <v>480000</v>
      </c>
      <c r="W171" s="3">
        <f t="shared" si="55"/>
        <v>6000000</v>
      </c>
      <c r="X171" s="3">
        <f t="shared" si="56"/>
        <v>3600000</v>
      </c>
      <c r="Y171">
        <f t="shared" si="57"/>
        <v>0.3</v>
      </c>
      <c r="Z171">
        <f t="shared" si="58"/>
        <v>0.75757575757575757</v>
      </c>
      <c r="AA171" t="str">
        <f t="shared" si="59"/>
        <v>Tier 4 - Stable Network</v>
      </c>
      <c r="AB171" s="3">
        <f t="shared" si="60"/>
        <v>60000</v>
      </c>
      <c r="AC171" s="3">
        <f t="shared" si="61"/>
        <v>750000</v>
      </c>
      <c r="AD171" s="3">
        <f t="shared" si="62"/>
        <v>247500.00000000003</v>
      </c>
      <c r="AE171" s="5">
        <f t="shared" si="63"/>
        <v>3.9999999999999996</v>
      </c>
      <c r="AF171" s="10">
        <f t="shared" si="64"/>
        <v>297600</v>
      </c>
      <c r="AG171" s="10">
        <f t="shared" si="65"/>
        <v>96000</v>
      </c>
      <c r="AH171" s="10">
        <f t="shared" si="66"/>
        <v>48000</v>
      </c>
      <c r="AI171" s="10">
        <f t="shared" si="67"/>
        <v>24000</v>
      </c>
      <c r="AJ171" s="10">
        <f t="shared" si="68"/>
        <v>14400</v>
      </c>
    </row>
    <row r="172" spans="1:36" x14ac:dyDescent="0.3">
      <c r="A172" t="s">
        <v>727</v>
      </c>
      <c r="B172" t="s">
        <v>728</v>
      </c>
      <c r="C172" t="s">
        <v>729</v>
      </c>
      <c r="D172" t="s">
        <v>28</v>
      </c>
      <c r="E172">
        <v>31548</v>
      </c>
      <c r="F172" t="s">
        <v>15</v>
      </c>
      <c r="G172">
        <v>8</v>
      </c>
      <c r="H172">
        <v>150</v>
      </c>
      <c r="I172" t="str" cm="1">
        <f t="array" ref="I172">_xlfn.IFS(H172&lt;=120,"V1",H172&lt;=150,"V2",H172&lt;=250,"V3", H172&lt;=350, "V4")</f>
        <v>V2</v>
      </c>
      <c r="J172" t="s">
        <v>730</v>
      </c>
      <c r="K172" t="str">
        <f t="shared" si="46"/>
        <v>30.790764</v>
      </c>
      <c r="L172" t="str">
        <f t="shared" si="47"/>
        <v>-81.663729</v>
      </c>
      <c r="M172">
        <v>9</v>
      </c>
      <c r="N172" s="1">
        <v>42326</v>
      </c>
      <c r="O172" s="1">
        <v>46099</v>
      </c>
      <c r="P172" s="2">
        <f t="shared" si="48"/>
        <v>10.329911019849419</v>
      </c>
      <c r="Q172" s="2" t="str">
        <f t="shared" si="49"/>
        <v>Old</v>
      </c>
      <c r="R172">
        <f t="shared" si="50"/>
        <v>1200</v>
      </c>
      <c r="S172" t="str">
        <f t="shared" si="51"/>
        <v>Small</v>
      </c>
      <c r="T172" t="str">
        <f t="shared" si="52"/>
        <v>Lower EV Adoption Corridor</v>
      </c>
      <c r="U172" s="3">
        <f t="shared" si="53"/>
        <v>1980000.0000000002</v>
      </c>
      <c r="V172" s="4">
        <f t="shared" si="54"/>
        <v>480000</v>
      </c>
      <c r="W172" s="3">
        <f t="shared" si="55"/>
        <v>6000000</v>
      </c>
      <c r="X172" s="3">
        <f t="shared" si="56"/>
        <v>3600000</v>
      </c>
      <c r="Y172">
        <f t="shared" si="57"/>
        <v>0.3</v>
      </c>
      <c r="Z172">
        <f t="shared" si="58"/>
        <v>0.75757575757575757</v>
      </c>
      <c r="AA172" t="str">
        <f t="shared" si="59"/>
        <v>Tier 4 - Stable Network</v>
      </c>
      <c r="AB172" s="3">
        <f t="shared" si="60"/>
        <v>60000</v>
      </c>
      <c r="AC172" s="3">
        <f t="shared" si="61"/>
        <v>750000</v>
      </c>
      <c r="AD172" s="3">
        <f t="shared" si="62"/>
        <v>247500.00000000003</v>
      </c>
      <c r="AE172" s="5">
        <f t="shared" si="63"/>
        <v>3.9999999999999996</v>
      </c>
      <c r="AF172" s="10">
        <f t="shared" si="64"/>
        <v>297600</v>
      </c>
      <c r="AG172" s="10">
        <f t="shared" si="65"/>
        <v>96000</v>
      </c>
      <c r="AH172" s="10">
        <f t="shared" si="66"/>
        <v>48000</v>
      </c>
      <c r="AI172" s="10">
        <f t="shared" si="67"/>
        <v>24000</v>
      </c>
      <c r="AJ172" s="10">
        <f t="shared" si="68"/>
        <v>14400</v>
      </c>
    </row>
    <row r="173" spans="1:36" x14ac:dyDescent="0.3">
      <c r="A173" t="s">
        <v>731</v>
      </c>
      <c r="B173" t="s">
        <v>732</v>
      </c>
      <c r="C173" t="s">
        <v>733</v>
      </c>
      <c r="D173" t="s">
        <v>268</v>
      </c>
      <c r="E173">
        <v>80903</v>
      </c>
      <c r="F173" t="s">
        <v>15</v>
      </c>
      <c r="G173">
        <v>8</v>
      </c>
      <c r="H173">
        <v>150</v>
      </c>
      <c r="I173" t="str" cm="1">
        <f t="array" ref="I173">_xlfn.IFS(H173&lt;=120,"V1",H173&lt;=150,"V2",H173&lt;=250,"V3", H173&lt;=350, "V4")</f>
        <v>V2</v>
      </c>
      <c r="J173" t="s">
        <v>734</v>
      </c>
      <c r="K173" t="str">
        <f t="shared" si="46"/>
        <v>38.837573</v>
      </c>
      <c r="L173" t="str">
        <f t="shared" si="47"/>
        <v>-104.824907</v>
      </c>
      <c r="M173">
        <v>1835</v>
      </c>
      <c r="N173" s="1">
        <v>42367</v>
      </c>
      <c r="O173" s="1">
        <v>46099</v>
      </c>
      <c r="P173" s="2">
        <f t="shared" si="48"/>
        <v>10.217659137577002</v>
      </c>
      <c r="Q173" s="2" t="str">
        <f t="shared" si="49"/>
        <v>Old</v>
      </c>
      <c r="R173">
        <f t="shared" si="50"/>
        <v>1200</v>
      </c>
      <c r="S173" t="str">
        <f t="shared" si="51"/>
        <v>Small</v>
      </c>
      <c r="T173" t="str">
        <f t="shared" si="52"/>
        <v>High EV Adoption Corridor</v>
      </c>
      <c r="U173" s="3">
        <f t="shared" si="53"/>
        <v>2574000.0000000005</v>
      </c>
      <c r="V173" s="4">
        <f t="shared" si="54"/>
        <v>576000</v>
      </c>
      <c r="W173" s="3">
        <f t="shared" si="55"/>
        <v>6600000.0000000009</v>
      </c>
      <c r="X173" s="3">
        <f t="shared" si="56"/>
        <v>5400000</v>
      </c>
      <c r="Y173">
        <f t="shared" si="57"/>
        <v>0.22888888888888889</v>
      </c>
      <c r="Z173">
        <f t="shared" si="58"/>
        <v>0.77622377622377625</v>
      </c>
      <c r="AA173" t="str">
        <f t="shared" si="59"/>
        <v>Tier 3 - Upgrade Pipeline</v>
      </c>
      <c r="AB173" s="3">
        <f t="shared" si="60"/>
        <v>72000</v>
      </c>
      <c r="AC173" s="3">
        <f t="shared" si="61"/>
        <v>825000.00000000012</v>
      </c>
      <c r="AD173" s="3">
        <f t="shared" si="62"/>
        <v>321750.00000000006</v>
      </c>
      <c r="AE173" s="5">
        <f t="shared" si="63"/>
        <v>3.303303303303303</v>
      </c>
      <c r="AF173" s="10">
        <f t="shared" si="64"/>
        <v>357120</v>
      </c>
      <c r="AG173" s="10">
        <f t="shared" si="65"/>
        <v>115200</v>
      </c>
      <c r="AH173" s="10">
        <f t="shared" si="66"/>
        <v>57600</v>
      </c>
      <c r="AI173" s="10">
        <f t="shared" si="67"/>
        <v>28800</v>
      </c>
      <c r="AJ173" s="10">
        <f t="shared" si="68"/>
        <v>17280</v>
      </c>
    </row>
    <row r="174" spans="1:36" x14ac:dyDescent="0.3">
      <c r="A174" t="s">
        <v>735</v>
      </c>
      <c r="B174" t="s">
        <v>736</v>
      </c>
      <c r="C174" t="s">
        <v>737</v>
      </c>
      <c r="D174" t="s">
        <v>433</v>
      </c>
      <c r="E174">
        <v>89049</v>
      </c>
      <c r="F174" t="s">
        <v>15</v>
      </c>
      <c r="G174">
        <v>8</v>
      </c>
      <c r="H174">
        <v>150</v>
      </c>
      <c r="I174" t="str" cm="1">
        <f t="array" ref="I174">_xlfn.IFS(H174&lt;=120,"V1",H174&lt;=150,"V2",H174&lt;=250,"V3", H174&lt;=350, "V4")</f>
        <v>V2</v>
      </c>
      <c r="J174" t="s">
        <v>738</v>
      </c>
      <c r="K174" t="str">
        <f t="shared" si="46"/>
        <v>38.069801</v>
      </c>
      <c r="L174" t="str">
        <f t="shared" si="47"/>
        <v>-117.232243</v>
      </c>
      <c r="M174">
        <v>1834</v>
      </c>
      <c r="N174" s="1">
        <v>42524</v>
      </c>
      <c r="O174" s="1">
        <v>46099</v>
      </c>
      <c r="P174" s="2">
        <f t="shared" si="48"/>
        <v>9.7878165639972625</v>
      </c>
      <c r="Q174" s="2" t="str">
        <f t="shared" si="49"/>
        <v>Old</v>
      </c>
      <c r="R174">
        <f t="shared" si="50"/>
        <v>1200</v>
      </c>
      <c r="S174" t="str">
        <f t="shared" si="51"/>
        <v>Small</v>
      </c>
      <c r="T174" t="str">
        <f t="shared" si="52"/>
        <v>Lower EV Adoption Corridor</v>
      </c>
      <c r="U174" s="3">
        <f t="shared" si="53"/>
        <v>1980000.0000000002</v>
      </c>
      <c r="V174" s="4">
        <f t="shared" si="54"/>
        <v>480000</v>
      </c>
      <c r="W174" s="3">
        <f t="shared" si="55"/>
        <v>6000000</v>
      </c>
      <c r="X174" s="3">
        <f t="shared" si="56"/>
        <v>3600000</v>
      </c>
      <c r="Y174">
        <f t="shared" si="57"/>
        <v>0.3</v>
      </c>
      <c r="Z174">
        <f t="shared" si="58"/>
        <v>0.75757575757575757</v>
      </c>
      <c r="AA174" t="str">
        <f t="shared" si="59"/>
        <v>Tier 4 - Stable Network</v>
      </c>
      <c r="AB174" s="3">
        <f t="shared" si="60"/>
        <v>60000</v>
      </c>
      <c r="AC174" s="3">
        <f t="shared" si="61"/>
        <v>750000</v>
      </c>
      <c r="AD174" s="3">
        <f t="shared" si="62"/>
        <v>247500.00000000003</v>
      </c>
      <c r="AE174" s="5">
        <f t="shared" si="63"/>
        <v>3.9999999999999996</v>
      </c>
      <c r="AF174" s="10">
        <f t="shared" si="64"/>
        <v>297600</v>
      </c>
      <c r="AG174" s="10">
        <f t="shared" si="65"/>
        <v>96000</v>
      </c>
      <c r="AH174" s="10">
        <f t="shared" si="66"/>
        <v>48000</v>
      </c>
      <c r="AI174" s="10">
        <f t="shared" si="67"/>
        <v>24000</v>
      </c>
      <c r="AJ174" s="10">
        <f t="shared" si="68"/>
        <v>14400</v>
      </c>
    </row>
    <row r="175" spans="1:36" x14ac:dyDescent="0.3">
      <c r="A175" t="s">
        <v>739</v>
      </c>
      <c r="B175" t="s">
        <v>740</v>
      </c>
      <c r="C175" t="s">
        <v>741</v>
      </c>
      <c r="D175" t="s">
        <v>50</v>
      </c>
      <c r="E175">
        <v>77901</v>
      </c>
      <c r="F175" t="s">
        <v>15</v>
      </c>
      <c r="G175">
        <v>6</v>
      </c>
      <c r="H175">
        <v>150</v>
      </c>
      <c r="I175" t="str" cm="1">
        <f t="array" ref="I175">_xlfn.IFS(H175&lt;=120,"V1",H175&lt;=150,"V2",H175&lt;=250,"V3", H175&lt;=350, "V4")</f>
        <v>V2</v>
      </c>
      <c r="J175" t="s">
        <v>742</v>
      </c>
      <c r="K175" t="str">
        <f t="shared" si="46"/>
        <v>28.766853</v>
      </c>
      <c r="L175" t="str">
        <f t="shared" si="47"/>
        <v>-96.978988</v>
      </c>
      <c r="M175">
        <v>23</v>
      </c>
      <c r="N175" s="1">
        <v>42368</v>
      </c>
      <c r="O175" s="1">
        <v>46099</v>
      </c>
      <c r="P175" s="2">
        <f t="shared" si="48"/>
        <v>10.21492128678987</v>
      </c>
      <c r="Q175" s="2" t="str">
        <f t="shared" si="49"/>
        <v>Old</v>
      </c>
      <c r="R175">
        <f t="shared" si="50"/>
        <v>900</v>
      </c>
      <c r="S175" t="str">
        <f t="shared" si="51"/>
        <v>Small</v>
      </c>
      <c r="T175" t="str">
        <f t="shared" si="52"/>
        <v>High EV Adoption Corridor</v>
      </c>
      <c r="U175" s="3">
        <f t="shared" si="53"/>
        <v>1930500.0000000005</v>
      </c>
      <c r="V175" s="4">
        <f t="shared" si="54"/>
        <v>432000</v>
      </c>
      <c r="W175" s="3">
        <f t="shared" si="55"/>
        <v>4950000</v>
      </c>
      <c r="X175" s="3">
        <f t="shared" si="56"/>
        <v>4050000</v>
      </c>
      <c r="Y175">
        <f t="shared" si="57"/>
        <v>0.22888888888888889</v>
      </c>
      <c r="Z175">
        <f t="shared" si="58"/>
        <v>0.77622377622377625</v>
      </c>
      <c r="AA175" t="str">
        <f t="shared" si="59"/>
        <v>Tier 3 - Upgrade Pipeline</v>
      </c>
      <c r="AB175" s="3">
        <f t="shared" si="60"/>
        <v>72000</v>
      </c>
      <c r="AC175" s="3">
        <f t="shared" si="61"/>
        <v>825000</v>
      </c>
      <c r="AD175" s="3">
        <f t="shared" si="62"/>
        <v>321750.00000000006</v>
      </c>
      <c r="AE175" s="5">
        <f t="shared" si="63"/>
        <v>3.3033033033033021</v>
      </c>
      <c r="AF175" s="10">
        <f t="shared" si="64"/>
        <v>267840</v>
      </c>
      <c r="AG175" s="10">
        <f t="shared" si="65"/>
        <v>86400</v>
      </c>
      <c r="AH175" s="10">
        <f t="shared" si="66"/>
        <v>43200</v>
      </c>
      <c r="AI175" s="10">
        <f t="shared" si="67"/>
        <v>21600</v>
      </c>
      <c r="AJ175" s="10">
        <f t="shared" si="68"/>
        <v>12960</v>
      </c>
    </row>
    <row r="176" spans="1:36" x14ac:dyDescent="0.3">
      <c r="A176" t="s">
        <v>743</v>
      </c>
      <c r="B176" t="s">
        <v>744</v>
      </c>
      <c r="C176" t="s">
        <v>745</v>
      </c>
      <c r="D176" t="s">
        <v>350</v>
      </c>
      <c r="E176">
        <v>70458</v>
      </c>
      <c r="F176" t="s">
        <v>15</v>
      </c>
      <c r="G176">
        <v>8</v>
      </c>
      <c r="H176">
        <v>150</v>
      </c>
      <c r="I176" t="str" cm="1">
        <f t="array" ref="I176">_xlfn.IFS(H176&lt;=120,"V1",H176&lt;=150,"V2",H176&lt;=250,"V3", H176&lt;=350, "V4")</f>
        <v>V2</v>
      </c>
      <c r="J176" t="s">
        <v>746</v>
      </c>
      <c r="K176" t="str">
        <f t="shared" si="46"/>
        <v>30.266552</v>
      </c>
      <c r="L176" t="str">
        <f t="shared" si="47"/>
        <v>-89.760156</v>
      </c>
      <c r="M176">
        <v>3</v>
      </c>
      <c r="N176" s="1">
        <v>42406</v>
      </c>
      <c r="O176" s="1">
        <v>46099</v>
      </c>
      <c r="P176" s="2">
        <f t="shared" si="48"/>
        <v>10.11088295687885</v>
      </c>
      <c r="Q176" s="2" t="str">
        <f t="shared" si="49"/>
        <v>Old</v>
      </c>
      <c r="R176">
        <f t="shared" si="50"/>
        <v>1200</v>
      </c>
      <c r="S176" t="str">
        <f t="shared" si="51"/>
        <v>Small</v>
      </c>
      <c r="T176" t="str">
        <f t="shared" si="52"/>
        <v>Lower EV Adoption Corridor</v>
      </c>
      <c r="U176" s="3">
        <f t="shared" si="53"/>
        <v>1980000.0000000002</v>
      </c>
      <c r="V176" s="4">
        <f t="shared" si="54"/>
        <v>480000</v>
      </c>
      <c r="W176" s="3">
        <f t="shared" si="55"/>
        <v>6000000</v>
      </c>
      <c r="X176" s="3">
        <f t="shared" si="56"/>
        <v>3600000</v>
      </c>
      <c r="Y176">
        <f t="shared" si="57"/>
        <v>0.3</v>
      </c>
      <c r="Z176">
        <f t="shared" si="58"/>
        <v>0.75757575757575757</v>
      </c>
      <c r="AA176" t="str">
        <f t="shared" si="59"/>
        <v>Tier 4 - Stable Network</v>
      </c>
      <c r="AB176" s="3">
        <f t="shared" si="60"/>
        <v>60000</v>
      </c>
      <c r="AC176" s="3">
        <f t="shared" si="61"/>
        <v>750000</v>
      </c>
      <c r="AD176" s="3">
        <f t="shared" si="62"/>
        <v>247500.00000000003</v>
      </c>
      <c r="AE176" s="5">
        <f t="shared" si="63"/>
        <v>3.9999999999999996</v>
      </c>
      <c r="AF176" s="10">
        <f t="shared" si="64"/>
        <v>297600</v>
      </c>
      <c r="AG176" s="10">
        <f t="shared" si="65"/>
        <v>96000</v>
      </c>
      <c r="AH176" s="10">
        <f t="shared" si="66"/>
        <v>48000</v>
      </c>
      <c r="AI176" s="10">
        <f t="shared" si="67"/>
        <v>24000</v>
      </c>
      <c r="AJ176" s="10">
        <f t="shared" si="68"/>
        <v>14400</v>
      </c>
    </row>
    <row r="177" spans="1:36" x14ac:dyDescent="0.3">
      <c r="A177" t="s">
        <v>747</v>
      </c>
      <c r="B177" t="s">
        <v>748</v>
      </c>
      <c r="C177" t="s">
        <v>749</v>
      </c>
      <c r="D177" t="s">
        <v>299</v>
      </c>
      <c r="E177">
        <v>24382</v>
      </c>
      <c r="F177" t="s">
        <v>15</v>
      </c>
      <c r="G177">
        <v>6</v>
      </c>
      <c r="H177">
        <v>150</v>
      </c>
      <c r="I177" t="str" cm="1">
        <f t="array" ref="I177">_xlfn.IFS(H177&lt;=120,"V1",H177&lt;=150,"V2",H177&lt;=250,"V3", H177&lt;=350, "V4")</f>
        <v>V2</v>
      </c>
      <c r="J177" t="s">
        <v>750</v>
      </c>
      <c r="K177" t="str">
        <f t="shared" si="46"/>
        <v>36.945795</v>
      </c>
      <c r="L177" t="str">
        <f t="shared" si="47"/>
        <v>-81.054406</v>
      </c>
      <c r="M177">
        <v>683</v>
      </c>
      <c r="N177" s="1">
        <v>42368</v>
      </c>
      <c r="O177" s="1">
        <v>46099</v>
      </c>
      <c r="P177" s="2">
        <f t="shared" si="48"/>
        <v>10.21492128678987</v>
      </c>
      <c r="Q177" s="2" t="str">
        <f t="shared" si="49"/>
        <v>Old</v>
      </c>
      <c r="R177">
        <f t="shared" si="50"/>
        <v>900</v>
      </c>
      <c r="S177" t="str">
        <f t="shared" si="51"/>
        <v>Small</v>
      </c>
      <c r="T177" t="str">
        <f t="shared" si="52"/>
        <v>Lower EV Adoption Corridor</v>
      </c>
      <c r="U177" s="3">
        <f t="shared" si="53"/>
        <v>1485000.0000000002</v>
      </c>
      <c r="V177" s="4">
        <f t="shared" si="54"/>
        <v>360000</v>
      </c>
      <c r="W177" s="3">
        <f t="shared" si="55"/>
        <v>4500000</v>
      </c>
      <c r="X177" s="3">
        <f t="shared" si="56"/>
        <v>2700000</v>
      </c>
      <c r="Y177">
        <f t="shared" si="57"/>
        <v>0.3</v>
      </c>
      <c r="Z177">
        <f t="shared" si="58"/>
        <v>0.75757575757575757</v>
      </c>
      <c r="AA177" t="str">
        <f t="shared" si="59"/>
        <v>Tier 4 - Stable Network</v>
      </c>
      <c r="AB177" s="3">
        <f t="shared" si="60"/>
        <v>60000</v>
      </c>
      <c r="AC177" s="3">
        <f t="shared" si="61"/>
        <v>750000</v>
      </c>
      <c r="AD177" s="3">
        <f t="shared" si="62"/>
        <v>247500.00000000003</v>
      </c>
      <c r="AE177" s="5">
        <f t="shared" si="63"/>
        <v>3.9999999999999991</v>
      </c>
      <c r="AF177" s="10">
        <f t="shared" si="64"/>
        <v>223200</v>
      </c>
      <c r="AG177" s="10">
        <f t="shared" si="65"/>
        <v>72000</v>
      </c>
      <c r="AH177" s="10">
        <f t="shared" si="66"/>
        <v>36000</v>
      </c>
      <c r="AI177" s="10">
        <f t="shared" si="67"/>
        <v>18000</v>
      </c>
      <c r="AJ177" s="10">
        <f t="shared" si="68"/>
        <v>10800</v>
      </c>
    </row>
    <row r="178" spans="1:36" x14ac:dyDescent="0.3">
      <c r="A178" t="s">
        <v>751</v>
      </c>
      <c r="B178" t="s">
        <v>752</v>
      </c>
      <c r="C178" t="s">
        <v>753</v>
      </c>
      <c r="D178" t="s">
        <v>77</v>
      </c>
      <c r="E178">
        <v>27804</v>
      </c>
      <c r="F178" t="s">
        <v>15</v>
      </c>
      <c r="G178">
        <v>8</v>
      </c>
      <c r="H178">
        <v>120</v>
      </c>
      <c r="I178" t="str" cm="1">
        <f t="array" ref="I178">_xlfn.IFS(H178&lt;=120,"V1",H178&lt;=150,"V2",H178&lt;=250,"V3", H178&lt;=350, "V4")</f>
        <v>V1</v>
      </c>
      <c r="J178" t="s">
        <v>754</v>
      </c>
      <c r="K178" t="str">
        <f t="shared" si="46"/>
        <v>35.972874</v>
      </c>
      <c r="L178" t="str">
        <f t="shared" si="47"/>
        <v>-77.84687</v>
      </c>
      <c r="M178">
        <v>40</v>
      </c>
      <c r="N178" s="1">
        <v>41586</v>
      </c>
      <c r="O178" s="1">
        <v>46099</v>
      </c>
      <c r="P178" s="2">
        <f t="shared" si="48"/>
        <v>12.355920602327172</v>
      </c>
      <c r="Q178" s="2" t="str">
        <f t="shared" si="49"/>
        <v>Old</v>
      </c>
      <c r="R178">
        <f t="shared" si="50"/>
        <v>960</v>
      </c>
      <c r="S178" t="str">
        <f t="shared" si="51"/>
        <v>Small</v>
      </c>
      <c r="T178" t="str">
        <f t="shared" si="52"/>
        <v>Lower EV Adoption Corridor</v>
      </c>
      <c r="U178" s="3">
        <f t="shared" si="53"/>
        <v>1440000</v>
      </c>
      <c r="V178" s="4">
        <f t="shared" si="54"/>
        <v>345600</v>
      </c>
      <c r="W178" s="3">
        <f t="shared" si="55"/>
        <v>3840000</v>
      </c>
      <c r="X178" s="3">
        <f t="shared" si="56"/>
        <v>2592000</v>
      </c>
      <c r="Y178">
        <f t="shared" si="57"/>
        <v>0.2814814814814815</v>
      </c>
      <c r="Z178">
        <f t="shared" si="58"/>
        <v>0.76</v>
      </c>
      <c r="AA178" t="str">
        <f t="shared" si="59"/>
        <v>Tier 5 - Retirement Pipeline</v>
      </c>
      <c r="AB178" s="3">
        <f t="shared" si="60"/>
        <v>43200</v>
      </c>
      <c r="AC178" s="3">
        <f t="shared" si="61"/>
        <v>480000</v>
      </c>
      <c r="AD178" s="3">
        <f t="shared" si="62"/>
        <v>180000</v>
      </c>
      <c r="AE178" s="5">
        <f t="shared" si="63"/>
        <v>3.5087719298245612</v>
      </c>
      <c r="AF178" s="10">
        <f t="shared" si="64"/>
        <v>214272</v>
      </c>
      <c r="AG178" s="10">
        <f t="shared" si="65"/>
        <v>69120</v>
      </c>
      <c r="AH178" s="10">
        <f t="shared" si="66"/>
        <v>34560</v>
      </c>
      <c r="AI178" s="10">
        <f t="shared" si="67"/>
        <v>17280</v>
      </c>
      <c r="AJ178" s="10">
        <f t="shared" si="68"/>
        <v>10368</v>
      </c>
    </row>
    <row r="179" spans="1:36" x14ac:dyDescent="0.3">
      <c r="A179" t="s">
        <v>755</v>
      </c>
      <c r="B179" t="s">
        <v>756</v>
      </c>
      <c r="C179" t="s">
        <v>757</v>
      </c>
      <c r="D179" t="s">
        <v>546</v>
      </c>
      <c r="E179">
        <v>40205</v>
      </c>
      <c r="F179" t="s">
        <v>15</v>
      </c>
      <c r="G179">
        <v>8</v>
      </c>
      <c r="H179">
        <v>150</v>
      </c>
      <c r="I179" t="str" cm="1">
        <f t="array" ref="I179">_xlfn.IFS(H179&lt;=120,"V1",H179&lt;=150,"V2",H179&lt;=250,"V3", H179&lt;=350, "V4")</f>
        <v>V2</v>
      </c>
      <c r="J179" t="s">
        <v>758</v>
      </c>
      <c r="K179" t="str">
        <f t="shared" si="46"/>
        <v>38.211846</v>
      </c>
      <c r="L179" t="str">
        <f t="shared" si="47"/>
        <v>-85.673087</v>
      </c>
      <c r="M179">
        <v>151</v>
      </c>
      <c r="N179" s="1">
        <v>42368</v>
      </c>
      <c r="O179" s="1">
        <v>46099</v>
      </c>
      <c r="P179" s="2">
        <f t="shared" si="48"/>
        <v>10.21492128678987</v>
      </c>
      <c r="Q179" s="2" t="str">
        <f t="shared" si="49"/>
        <v>Old</v>
      </c>
      <c r="R179">
        <f t="shared" si="50"/>
        <v>1200</v>
      </c>
      <c r="S179" t="str">
        <f t="shared" si="51"/>
        <v>Small</v>
      </c>
      <c r="T179" t="str">
        <f t="shared" si="52"/>
        <v>Lower EV Adoption Corridor</v>
      </c>
      <c r="U179" s="3">
        <f t="shared" si="53"/>
        <v>1980000.0000000002</v>
      </c>
      <c r="V179" s="4">
        <f t="shared" si="54"/>
        <v>480000</v>
      </c>
      <c r="W179" s="3">
        <f t="shared" si="55"/>
        <v>6000000</v>
      </c>
      <c r="X179" s="3">
        <f t="shared" si="56"/>
        <v>3600000</v>
      </c>
      <c r="Y179">
        <f t="shared" si="57"/>
        <v>0.3</v>
      </c>
      <c r="Z179">
        <f t="shared" si="58"/>
        <v>0.75757575757575757</v>
      </c>
      <c r="AA179" t="str">
        <f t="shared" si="59"/>
        <v>Tier 4 - Stable Network</v>
      </c>
      <c r="AB179" s="3">
        <f t="shared" si="60"/>
        <v>60000</v>
      </c>
      <c r="AC179" s="3">
        <f t="shared" si="61"/>
        <v>750000</v>
      </c>
      <c r="AD179" s="3">
        <f t="shared" si="62"/>
        <v>247500.00000000003</v>
      </c>
      <c r="AE179" s="5">
        <f t="shared" si="63"/>
        <v>3.9999999999999996</v>
      </c>
      <c r="AF179" s="10">
        <f t="shared" si="64"/>
        <v>297600</v>
      </c>
      <c r="AG179" s="10">
        <f t="shared" si="65"/>
        <v>96000</v>
      </c>
      <c r="AH179" s="10">
        <f t="shared" si="66"/>
        <v>48000</v>
      </c>
      <c r="AI179" s="10">
        <f t="shared" si="67"/>
        <v>24000</v>
      </c>
      <c r="AJ179" s="10">
        <f t="shared" si="68"/>
        <v>14400</v>
      </c>
    </row>
    <row r="180" spans="1:36" x14ac:dyDescent="0.3">
      <c r="A180" t="s">
        <v>759</v>
      </c>
      <c r="B180" t="s">
        <v>760</v>
      </c>
      <c r="C180" t="s">
        <v>337</v>
      </c>
      <c r="D180" t="s">
        <v>77</v>
      </c>
      <c r="E180">
        <v>28277</v>
      </c>
      <c r="F180" t="s">
        <v>15</v>
      </c>
      <c r="G180">
        <v>12</v>
      </c>
      <c r="H180">
        <v>150</v>
      </c>
      <c r="I180" t="str" cm="1">
        <f t="array" ref="I180">_xlfn.IFS(H180&lt;=120,"V1",H180&lt;=150,"V2",H180&lt;=250,"V3", H180&lt;=350, "V4")</f>
        <v>V2</v>
      </c>
      <c r="J180" t="s">
        <v>761</v>
      </c>
      <c r="K180" t="str">
        <f t="shared" si="46"/>
        <v>35.069252</v>
      </c>
      <c r="L180" t="str">
        <f t="shared" si="47"/>
        <v>-80.842291</v>
      </c>
      <c r="M180">
        <v>174</v>
      </c>
      <c r="N180" s="1">
        <v>43778</v>
      </c>
      <c r="O180" s="1">
        <v>46099</v>
      </c>
      <c r="P180" s="2">
        <f t="shared" si="48"/>
        <v>6.3545516769336068</v>
      </c>
      <c r="Q180" s="2" t="str">
        <f t="shared" si="49"/>
        <v>Mid</v>
      </c>
      <c r="R180">
        <f t="shared" si="50"/>
        <v>1800</v>
      </c>
      <c r="S180" t="str">
        <f t="shared" si="51"/>
        <v>Small</v>
      </c>
      <c r="T180" t="str">
        <f t="shared" si="52"/>
        <v>Lower EV Adoption Corridor</v>
      </c>
      <c r="U180" s="3">
        <f t="shared" si="53"/>
        <v>2970000.0000000005</v>
      </c>
      <c r="V180" s="4">
        <f t="shared" si="54"/>
        <v>720000</v>
      </c>
      <c r="W180" s="3">
        <f t="shared" si="55"/>
        <v>9000000</v>
      </c>
      <c r="X180" s="3">
        <f t="shared" si="56"/>
        <v>5400000</v>
      </c>
      <c r="Y180">
        <f t="shared" si="57"/>
        <v>0.3</v>
      </c>
      <c r="Z180">
        <f t="shared" si="58"/>
        <v>0.75757575757575757</v>
      </c>
      <c r="AA180" t="str">
        <f t="shared" si="59"/>
        <v>Tier 4 - Stable Network</v>
      </c>
      <c r="AB180" s="3">
        <f t="shared" si="60"/>
        <v>60000</v>
      </c>
      <c r="AC180" s="3">
        <f t="shared" si="61"/>
        <v>750000</v>
      </c>
      <c r="AD180" s="3">
        <f t="shared" si="62"/>
        <v>247500.00000000003</v>
      </c>
      <c r="AE180" s="5">
        <f t="shared" si="63"/>
        <v>3.9999999999999991</v>
      </c>
      <c r="AF180" s="10">
        <f t="shared" si="64"/>
        <v>446400</v>
      </c>
      <c r="AG180" s="10">
        <f t="shared" si="65"/>
        <v>144000</v>
      </c>
      <c r="AH180" s="10">
        <f t="shared" si="66"/>
        <v>72000</v>
      </c>
      <c r="AI180" s="10">
        <f t="shared" si="67"/>
        <v>36000</v>
      </c>
      <c r="AJ180" s="10">
        <f t="shared" si="68"/>
        <v>21600</v>
      </c>
    </row>
    <row r="181" spans="1:36" x14ac:dyDescent="0.3">
      <c r="A181" t="s">
        <v>762</v>
      </c>
      <c r="B181" t="s">
        <v>763</v>
      </c>
      <c r="C181" t="s">
        <v>764</v>
      </c>
      <c r="D181" t="s">
        <v>765</v>
      </c>
      <c r="E181">
        <v>39208</v>
      </c>
      <c r="F181" t="s">
        <v>15</v>
      </c>
      <c r="G181">
        <v>8</v>
      </c>
      <c r="H181">
        <v>150</v>
      </c>
      <c r="I181" t="str" cm="1">
        <f t="array" ref="I181">_xlfn.IFS(H181&lt;=120,"V1",H181&lt;=150,"V2",H181&lt;=250,"V3", H181&lt;=350, "V4")</f>
        <v>V2</v>
      </c>
      <c r="J181" t="s">
        <v>766</v>
      </c>
      <c r="K181" t="str">
        <f t="shared" si="46"/>
        <v>32.274159</v>
      </c>
      <c r="L181" t="str">
        <f t="shared" si="47"/>
        <v>-90.151048</v>
      </c>
      <c r="M181">
        <v>79</v>
      </c>
      <c r="N181" s="1">
        <v>42460</v>
      </c>
      <c r="O181" s="1">
        <v>46099</v>
      </c>
      <c r="P181" s="2">
        <f t="shared" si="48"/>
        <v>9.9630390143737166</v>
      </c>
      <c r="Q181" s="2" t="str">
        <f t="shared" si="49"/>
        <v>Old</v>
      </c>
      <c r="R181">
        <f t="shared" si="50"/>
        <v>1200</v>
      </c>
      <c r="S181" t="str">
        <f t="shared" si="51"/>
        <v>Small</v>
      </c>
      <c r="T181" t="str">
        <f t="shared" si="52"/>
        <v>Lower EV Adoption Corridor</v>
      </c>
      <c r="U181" s="3">
        <f t="shared" si="53"/>
        <v>1980000.0000000002</v>
      </c>
      <c r="V181" s="4">
        <f t="shared" si="54"/>
        <v>480000</v>
      </c>
      <c r="W181" s="3">
        <f t="shared" si="55"/>
        <v>6000000</v>
      </c>
      <c r="X181" s="3">
        <f t="shared" si="56"/>
        <v>3600000</v>
      </c>
      <c r="Y181">
        <f t="shared" si="57"/>
        <v>0.3</v>
      </c>
      <c r="Z181">
        <f t="shared" si="58"/>
        <v>0.75757575757575757</v>
      </c>
      <c r="AA181" t="str">
        <f t="shared" si="59"/>
        <v>Tier 4 - Stable Network</v>
      </c>
      <c r="AB181" s="3">
        <f t="shared" si="60"/>
        <v>60000</v>
      </c>
      <c r="AC181" s="3">
        <f t="shared" si="61"/>
        <v>750000</v>
      </c>
      <c r="AD181" s="3">
        <f t="shared" si="62"/>
        <v>247500.00000000003</v>
      </c>
      <c r="AE181" s="5">
        <f t="shared" si="63"/>
        <v>3.9999999999999996</v>
      </c>
      <c r="AF181" s="10">
        <f t="shared" si="64"/>
        <v>297600</v>
      </c>
      <c r="AG181" s="10">
        <f t="shared" si="65"/>
        <v>96000</v>
      </c>
      <c r="AH181" s="10">
        <f t="shared" si="66"/>
        <v>48000</v>
      </c>
      <c r="AI181" s="10">
        <f t="shared" si="67"/>
        <v>24000</v>
      </c>
      <c r="AJ181" s="10">
        <f t="shared" si="68"/>
        <v>14400</v>
      </c>
    </row>
    <row r="182" spans="1:36" x14ac:dyDescent="0.3">
      <c r="A182" t="s">
        <v>767</v>
      </c>
      <c r="B182" t="s">
        <v>768</v>
      </c>
      <c r="C182" t="s">
        <v>769</v>
      </c>
      <c r="D182" t="s">
        <v>14</v>
      </c>
      <c r="E182">
        <v>92591</v>
      </c>
      <c r="F182" t="s">
        <v>15</v>
      </c>
      <c r="G182">
        <v>10</v>
      </c>
      <c r="H182">
        <v>150</v>
      </c>
      <c r="I182" t="str" cm="1">
        <f t="array" ref="I182">_xlfn.IFS(H182&lt;=120,"V1",H182&lt;=150,"V2",H182&lt;=250,"V3", H182&lt;=350, "V4")</f>
        <v>V2</v>
      </c>
      <c r="J182" t="s">
        <v>770</v>
      </c>
      <c r="K182" t="str">
        <f t="shared" si="46"/>
        <v>33.52421</v>
      </c>
      <c r="L182" t="str">
        <f t="shared" si="47"/>
        <v>-117.152568</v>
      </c>
      <c r="M182">
        <v>324</v>
      </c>
      <c r="N182" s="1">
        <v>42500</v>
      </c>
      <c r="O182" s="1">
        <v>46099</v>
      </c>
      <c r="P182" s="2">
        <f t="shared" si="48"/>
        <v>9.8535249828884321</v>
      </c>
      <c r="Q182" s="2" t="str">
        <f t="shared" si="49"/>
        <v>Old</v>
      </c>
      <c r="R182">
        <f t="shared" si="50"/>
        <v>1500</v>
      </c>
      <c r="S182" t="str">
        <f t="shared" si="51"/>
        <v>Small</v>
      </c>
      <c r="T182" t="str">
        <f t="shared" si="52"/>
        <v>High EV Adoption Corridor</v>
      </c>
      <c r="U182" s="3">
        <f t="shared" si="53"/>
        <v>3217500</v>
      </c>
      <c r="V182" s="4">
        <f t="shared" si="54"/>
        <v>720000</v>
      </c>
      <c r="W182" s="3">
        <f t="shared" si="55"/>
        <v>8250000.0000000009</v>
      </c>
      <c r="X182" s="3">
        <f t="shared" si="56"/>
        <v>6750000</v>
      </c>
      <c r="Y182">
        <f t="shared" si="57"/>
        <v>0.22888888888888889</v>
      </c>
      <c r="Z182">
        <f t="shared" si="58"/>
        <v>0.77622377622377625</v>
      </c>
      <c r="AA182" t="str">
        <f t="shared" si="59"/>
        <v>Tier 3 - Upgrade Pipeline</v>
      </c>
      <c r="AB182" s="3">
        <f t="shared" si="60"/>
        <v>72000</v>
      </c>
      <c r="AC182" s="3">
        <f t="shared" si="61"/>
        <v>825000.00000000012</v>
      </c>
      <c r="AD182" s="3">
        <f t="shared" si="62"/>
        <v>321750</v>
      </c>
      <c r="AE182" s="5">
        <f t="shared" si="63"/>
        <v>3.3033033033033035</v>
      </c>
      <c r="AF182" s="10">
        <f t="shared" si="64"/>
        <v>446400</v>
      </c>
      <c r="AG182" s="10">
        <f t="shared" si="65"/>
        <v>144000</v>
      </c>
      <c r="AH182" s="10">
        <f t="shared" si="66"/>
        <v>72000</v>
      </c>
      <c r="AI182" s="10">
        <f t="shared" si="67"/>
        <v>36000</v>
      </c>
      <c r="AJ182" s="10">
        <f t="shared" si="68"/>
        <v>21600</v>
      </c>
    </row>
    <row r="183" spans="1:36" x14ac:dyDescent="0.3">
      <c r="A183" t="s">
        <v>771</v>
      </c>
      <c r="B183" t="s">
        <v>772</v>
      </c>
      <c r="C183" t="s">
        <v>773</v>
      </c>
      <c r="D183" t="s">
        <v>433</v>
      </c>
      <c r="E183">
        <v>89415</v>
      </c>
      <c r="F183" t="s">
        <v>15</v>
      </c>
      <c r="G183">
        <v>8</v>
      </c>
      <c r="H183">
        <v>150</v>
      </c>
      <c r="I183" t="str" cm="1">
        <f t="array" ref="I183">_xlfn.IFS(H183&lt;=120,"V1",H183&lt;=150,"V2",H183&lt;=250,"V3", H183&lt;=350, "V4")</f>
        <v>V2</v>
      </c>
      <c r="J183" t="s">
        <v>774</v>
      </c>
      <c r="K183" t="str">
        <f t="shared" si="46"/>
        <v>38.533939</v>
      </c>
      <c r="L183" t="str">
        <f t="shared" si="47"/>
        <v>-118.62308</v>
      </c>
      <c r="M183">
        <v>1301</v>
      </c>
      <c r="N183" s="1">
        <v>42493</v>
      </c>
      <c r="O183" s="1">
        <v>46099</v>
      </c>
      <c r="P183" s="2">
        <f t="shared" si="48"/>
        <v>9.8726899383983575</v>
      </c>
      <c r="Q183" s="2" t="str">
        <f t="shared" si="49"/>
        <v>Old</v>
      </c>
      <c r="R183">
        <f t="shared" si="50"/>
        <v>1200</v>
      </c>
      <c r="S183" t="str">
        <f t="shared" si="51"/>
        <v>Small</v>
      </c>
      <c r="T183" t="str">
        <f t="shared" si="52"/>
        <v>Lower EV Adoption Corridor</v>
      </c>
      <c r="U183" s="3">
        <f t="shared" si="53"/>
        <v>1980000.0000000002</v>
      </c>
      <c r="V183" s="4">
        <f t="shared" si="54"/>
        <v>480000</v>
      </c>
      <c r="W183" s="3">
        <f t="shared" si="55"/>
        <v>6000000</v>
      </c>
      <c r="X183" s="3">
        <f t="shared" si="56"/>
        <v>3600000</v>
      </c>
      <c r="Y183">
        <f t="shared" si="57"/>
        <v>0.3</v>
      </c>
      <c r="Z183">
        <f t="shared" si="58"/>
        <v>0.75757575757575757</v>
      </c>
      <c r="AA183" t="str">
        <f t="shared" si="59"/>
        <v>Tier 4 - Stable Network</v>
      </c>
      <c r="AB183" s="3">
        <f t="shared" si="60"/>
        <v>60000</v>
      </c>
      <c r="AC183" s="3">
        <f t="shared" si="61"/>
        <v>750000</v>
      </c>
      <c r="AD183" s="3">
        <f t="shared" si="62"/>
        <v>247500.00000000003</v>
      </c>
      <c r="AE183" s="5">
        <f t="shared" si="63"/>
        <v>3.9999999999999996</v>
      </c>
      <c r="AF183" s="10">
        <f t="shared" si="64"/>
        <v>297600</v>
      </c>
      <c r="AG183" s="10">
        <f t="shared" si="65"/>
        <v>96000</v>
      </c>
      <c r="AH183" s="10">
        <f t="shared" si="66"/>
        <v>48000</v>
      </c>
      <c r="AI183" s="10">
        <f t="shared" si="67"/>
        <v>24000</v>
      </c>
      <c r="AJ183" s="10">
        <f t="shared" si="68"/>
        <v>14400</v>
      </c>
    </row>
    <row r="184" spans="1:36" x14ac:dyDescent="0.3">
      <c r="A184" t="s">
        <v>775</v>
      </c>
      <c r="B184" t="s">
        <v>776</v>
      </c>
      <c r="C184" t="s">
        <v>777</v>
      </c>
      <c r="D184" t="s">
        <v>281</v>
      </c>
      <c r="E184">
        <v>59739</v>
      </c>
      <c r="F184" t="s">
        <v>15</v>
      </c>
      <c r="G184">
        <v>8</v>
      </c>
      <c r="H184">
        <v>150</v>
      </c>
      <c r="I184" t="str" cm="1">
        <f t="array" ref="I184">_xlfn.IFS(H184&lt;=120,"V1",H184&lt;=150,"V2",H184&lt;=250,"V3", H184&lt;=350, "V4")</f>
        <v>V2</v>
      </c>
      <c r="J184" t="s">
        <v>778</v>
      </c>
      <c r="K184" t="str">
        <f t="shared" si="46"/>
        <v>44.632745</v>
      </c>
      <c r="L184" t="str">
        <f t="shared" si="47"/>
        <v>-112.591203</v>
      </c>
      <c r="M184">
        <v>1912</v>
      </c>
      <c r="N184" s="1">
        <v>42744</v>
      </c>
      <c r="O184" s="1">
        <v>46099</v>
      </c>
      <c r="P184" s="2">
        <f t="shared" si="48"/>
        <v>9.1854893908282005</v>
      </c>
      <c r="Q184" s="2" t="str">
        <f t="shared" si="49"/>
        <v>Old</v>
      </c>
      <c r="R184">
        <f t="shared" si="50"/>
        <v>1200</v>
      </c>
      <c r="S184" t="str">
        <f t="shared" si="51"/>
        <v>Small</v>
      </c>
      <c r="T184" t="str">
        <f t="shared" si="52"/>
        <v>Lower EV Adoption Corridor</v>
      </c>
      <c r="U184" s="3">
        <f t="shared" si="53"/>
        <v>1980000.0000000002</v>
      </c>
      <c r="V184" s="4">
        <f t="shared" si="54"/>
        <v>480000</v>
      </c>
      <c r="W184" s="3">
        <f t="shared" si="55"/>
        <v>6000000</v>
      </c>
      <c r="X184" s="3">
        <f t="shared" si="56"/>
        <v>3600000</v>
      </c>
      <c r="Y184">
        <f t="shared" si="57"/>
        <v>0.3</v>
      </c>
      <c r="Z184">
        <f t="shared" si="58"/>
        <v>0.75757575757575757</v>
      </c>
      <c r="AA184" t="str">
        <f t="shared" si="59"/>
        <v>Tier 4 - Stable Network</v>
      </c>
      <c r="AB184" s="3">
        <f t="shared" si="60"/>
        <v>60000</v>
      </c>
      <c r="AC184" s="3">
        <f t="shared" si="61"/>
        <v>750000</v>
      </c>
      <c r="AD184" s="3">
        <f t="shared" si="62"/>
        <v>247500.00000000003</v>
      </c>
      <c r="AE184" s="5">
        <f t="shared" si="63"/>
        <v>3.9999999999999996</v>
      </c>
      <c r="AF184" s="10">
        <f t="shared" si="64"/>
        <v>297600</v>
      </c>
      <c r="AG184" s="10">
        <f t="shared" si="65"/>
        <v>96000</v>
      </c>
      <c r="AH184" s="10">
        <f t="shared" si="66"/>
        <v>48000</v>
      </c>
      <c r="AI184" s="10">
        <f t="shared" si="67"/>
        <v>24000</v>
      </c>
      <c r="AJ184" s="10">
        <f t="shared" si="68"/>
        <v>14400</v>
      </c>
    </row>
    <row r="185" spans="1:36" x14ac:dyDescent="0.3">
      <c r="A185" t="s">
        <v>779</v>
      </c>
      <c r="B185" t="s">
        <v>780</v>
      </c>
      <c r="C185" t="s">
        <v>781</v>
      </c>
      <c r="D185" t="s">
        <v>50</v>
      </c>
      <c r="E185">
        <v>79556</v>
      </c>
      <c r="F185" t="s">
        <v>15</v>
      </c>
      <c r="G185">
        <v>8</v>
      </c>
      <c r="H185">
        <v>150</v>
      </c>
      <c r="I185" t="str" cm="1">
        <f t="array" ref="I185">_xlfn.IFS(H185&lt;=120,"V1",H185&lt;=150,"V2",H185&lt;=250,"V3", H185&lt;=350, "V4")</f>
        <v>V2</v>
      </c>
      <c r="J185" t="s">
        <v>782</v>
      </c>
      <c r="K185" t="str">
        <f t="shared" si="46"/>
        <v>32.450591</v>
      </c>
      <c r="L185" t="str">
        <f t="shared" si="47"/>
        <v>-100.392455</v>
      </c>
      <c r="M185">
        <v>660</v>
      </c>
      <c r="N185" s="1">
        <v>42601</v>
      </c>
      <c r="O185" s="1">
        <v>46099</v>
      </c>
      <c r="P185" s="2">
        <f t="shared" si="48"/>
        <v>9.5770020533880906</v>
      </c>
      <c r="Q185" s="2" t="str">
        <f t="shared" si="49"/>
        <v>Old</v>
      </c>
      <c r="R185">
        <f t="shared" si="50"/>
        <v>1200</v>
      </c>
      <c r="S185" t="str">
        <f t="shared" si="51"/>
        <v>Small</v>
      </c>
      <c r="T185" t="str">
        <f t="shared" si="52"/>
        <v>High EV Adoption Corridor</v>
      </c>
      <c r="U185" s="3">
        <f t="shared" si="53"/>
        <v>2574000.0000000005</v>
      </c>
      <c r="V185" s="4">
        <f t="shared" si="54"/>
        <v>576000</v>
      </c>
      <c r="W185" s="3">
        <f t="shared" si="55"/>
        <v>6600000.0000000009</v>
      </c>
      <c r="X185" s="3">
        <f t="shared" si="56"/>
        <v>5400000</v>
      </c>
      <c r="Y185">
        <f t="shared" si="57"/>
        <v>0.22888888888888889</v>
      </c>
      <c r="Z185">
        <f t="shared" si="58"/>
        <v>0.77622377622377625</v>
      </c>
      <c r="AA185" t="str">
        <f t="shared" si="59"/>
        <v>Tier 3 - Upgrade Pipeline</v>
      </c>
      <c r="AB185" s="3">
        <f t="shared" si="60"/>
        <v>72000</v>
      </c>
      <c r="AC185" s="3">
        <f t="shared" si="61"/>
        <v>825000.00000000012</v>
      </c>
      <c r="AD185" s="3">
        <f t="shared" si="62"/>
        <v>321750.00000000006</v>
      </c>
      <c r="AE185" s="5">
        <f t="shared" si="63"/>
        <v>3.303303303303303</v>
      </c>
      <c r="AF185" s="10">
        <f t="shared" si="64"/>
        <v>357120</v>
      </c>
      <c r="AG185" s="10">
        <f t="shared" si="65"/>
        <v>115200</v>
      </c>
      <c r="AH185" s="10">
        <f t="shared" si="66"/>
        <v>57600</v>
      </c>
      <c r="AI185" s="10">
        <f t="shared" si="67"/>
        <v>28800</v>
      </c>
      <c r="AJ185" s="10">
        <f t="shared" si="68"/>
        <v>17280</v>
      </c>
    </row>
    <row r="186" spans="1:36" x14ac:dyDescent="0.3">
      <c r="A186" t="s">
        <v>783</v>
      </c>
      <c r="B186" t="s">
        <v>784</v>
      </c>
      <c r="C186" t="s">
        <v>785</v>
      </c>
      <c r="D186" t="s">
        <v>50</v>
      </c>
      <c r="E186">
        <v>76437</v>
      </c>
      <c r="F186" t="s">
        <v>15</v>
      </c>
      <c r="G186">
        <v>8</v>
      </c>
      <c r="H186">
        <v>150</v>
      </c>
      <c r="I186" t="str" cm="1">
        <f t="array" ref="I186">_xlfn.IFS(H186&lt;=120,"V1",H186&lt;=150,"V2",H186&lt;=250,"V3", H186&lt;=350, "V4")</f>
        <v>V2</v>
      </c>
      <c r="J186" t="s">
        <v>786</v>
      </c>
      <c r="K186" t="str">
        <f t="shared" si="46"/>
        <v>32.374263</v>
      </c>
      <c r="L186" t="str">
        <f t="shared" si="47"/>
        <v>-99.007197</v>
      </c>
      <c r="M186">
        <v>513</v>
      </c>
      <c r="N186" s="1">
        <v>42601</v>
      </c>
      <c r="O186" s="1">
        <v>46099</v>
      </c>
      <c r="P186" s="2">
        <f t="shared" si="48"/>
        <v>9.5770020533880906</v>
      </c>
      <c r="Q186" s="2" t="str">
        <f t="shared" si="49"/>
        <v>Old</v>
      </c>
      <c r="R186">
        <f t="shared" si="50"/>
        <v>1200</v>
      </c>
      <c r="S186" t="str">
        <f t="shared" si="51"/>
        <v>Small</v>
      </c>
      <c r="T186" t="str">
        <f t="shared" si="52"/>
        <v>High EV Adoption Corridor</v>
      </c>
      <c r="U186" s="3">
        <f t="shared" si="53"/>
        <v>2574000.0000000005</v>
      </c>
      <c r="V186" s="4">
        <f t="shared" si="54"/>
        <v>576000</v>
      </c>
      <c r="W186" s="3">
        <f t="shared" si="55"/>
        <v>6600000.0000000009</v>
      </c>
      <c r="X186" s="3">
        <f t="shared" si="56"/>
        <v>5400000</v>
      </c>
      <c r="Y186">
        <f t="shared" si="57"/>
        <v>0.22888888888888889</v>
      </c>
      <c r="Z186">
        <f t="shared" si="58"/>
        <v>0.77622377622377625</v>
      </c>
      <c r="AA186" t="str">
        <f t="shared" si="59"/>
        <v>Tier 3 - Upgrade Pipeline</v>
      </c>
      <c r="AB186" s="3">
        <f t="shared" si="60"/>
        <v>72000</v>
      </c>
      <c r="AC186" s="3">
        <f t="shared" si="61"/>
        <v>825000.00000000012</v>
      </c>
      <c r="AD186" s="3">
        <f t="shared" si="62"/>
        <v>321750.00000000006</v>
      </c>
      <c r="AE186" s="5">
        <f t="shared" si="63"/>
        <v>3.303303303303303</v>
      </c>
      <c r="AF186" s="10">
        <f t="shared" si="64"/>
        <v>357120</v>
      </c>
      <c r="AG186" s="10">
        <f t="shared" si="65"/>
        <v>115200</v>
      </c>
      <c r="AH186" s="10">
        <f t="shared" si="66"/>
        <v>57600</v>
      </c>
      <c r="AI186" s="10">
        <f t="shared" si="67"/>
        <v>28800</v>
      </c>
      <c r="AJ186" s="10">
        <f t="shared" si="68"/>
        <v>17280</v>
      </c>
    </row>
    <row r="187" spans="1:36" x14ac:dyDescent="0.3">
      <c r="A187" t="s">
        <v>787</v>
      </c>
      <c r="B187" t="s">
        <v>788</v>
      </c>
      <c r="C187" t="s">
        <v>789</v>
      </c>
      <c r="D187" t="s">
        <v>522</v>
      </c>
      <c r="E187">
        <v>65401</v>
      </c>
      <c r="F187" t="s">
        <v>15</v>
      </c>
      <c r="G187">
        <v>8</v>
      </c>
      <c r="H187">
        <v>150</v>
      </c>
      <c r="I187" t="str" cm="1">
        <f t="array" ref="I187">_xlfn.IFS(H187&lt;=120,"V1",H187&lt;=150,"V2",H187&lt;=250,"V3", H187&lt;=350, "V4")</f>
        <v>V2</v>
      </c>
      <c r="J187" t="s">
        <v>790</v>
      </c>
      <c r="K187" t="str">
        <f t="shared" si="46"/>
        <v>37.940064</v>
      </c>
      <c r="L187" t="str">
        <f t="shared" si="47"/>
        <v>-91.801658</v>
      </c>
      <c r="M187">
        <v>293</v>
      </c>
      <c r="N187" s="1">
        <v>42640</v>
      </c>
      <c r="O187" s="1">
        <v>46099</v>
      </c>
      <c r="P187" s="2">
        <f t="shared" si="48"/>
        <v>9.4702258726899391</v>
      </c>
      <c r="Q187" s="2" t="str">
        <f t="shared" si="49"/>
        <v>Old</v>
      </c>
      <c r="R187">
        <f t="shared" si="50"/>
        <v>1200</v>
      </c>
      <c r="S187" t="str">
        <f t="shared" si="51"/>
        <v>Small</v>
      </c>
      <c r="T187" t="str">
        <f t="shared" si="52"/>
        <v>Lower EV Adoption Corridor</v>
      </c>
      <c r="U187" s="3">
        <f t="shared" si="53"/>
        <v>1980000.0000000002</v>
      </c>
      <c r="V187" s="4">
        <f t="shared" si="54"/>
        <v>480000</v>
      </c>
      <c r="W187" s="3">
        <f t="shared" si="55"/>
        <v>6000000</v>
      </c>
      <c r="X187" s="3">
        <f t="shared" si="56"/>
        <v>3600000</v>
      </c>
      <c r="Y187">
        <f t="shared" si="57"/>
        <v>0.3</v>
      </c>
      <c r="Z187">
        <f t="shared" si="58"/>
        <v>0.75757575757575757</v>
      </c>
      <c r="AA187" t="str">
        <f t="shared" si="59"/>
        <v>Tier 4 - Stable Network</v>
      </c>
      <c r="AB187" s="3">
        <f t="shared" si="60"/>
        <v>60000</v>
      </c>
      <c r="AC187" s="3">
        <f t="shared" si="61"/>
        <v>750000</v>
      </c>
      <c r="AD187" s="3">
        <f t="shared" si="62"/>
        <v>247500.00000000003</v>
      </c>
      <c r="AE187" s="5">
        <f t="shared" si="63"/>
        <v>3.9999999999999996</v>
      </c>
      <c r="AF187" s="10">
        <f t="shared" si="64"/>
        <v>297600</v>
      </c>
      <c r="AG187" s="10">
        <f t="shared" si="65"/>
        <v>96000</v>
      </c>
      <c r="AH187" s="10">
        <f t="shared" si="66"/>
        <v>48000</v>
      </c>
      <c r="AI187" s="10">
        <f t="shared" si="67"/>
        <v>24000</v>
      </c>
      <c r="AJ187" s="10">
        <f t="shared" si="68"/>
        <v>14400</v>
      </c>
    </row>
    <row r="188" spans="1:36" x14ac:dyDescent="0.3">
      <c r="A188" t="s">
        <v>791</v>
      </c>
      <c r="B188" t="s">
        <v>792</v>
      </c>
      <c r="C188" t="s">
        <v>545</v>
      </c>
      <c r="D188" t="s">
        <v>299</v>
      </c>
      <c r="E188">
        <v>24450</v>
      </c>
      <c r="F188" t="s">
        <v>15</v>
      </c>
      <c r="G188">
        <v>6</v>
      </c>
      <c r="H188">
        <v>150</v>
      </c>
      <c r="I188" t="str" cm="1">
        <f t="array" ref="I188">_xlfn.IFS(H188&lt;=120,"V1",H188&lt;=150,"V2",H188&lt;=250,"V3", H188&lt;=350, "V4")</f>
        <v>V2</v>
      </c>
      <c r="J188" t="s">
        <v>793</v>
      </c>
      <c r="K188" t="str">
        <f t="shared" si="46"/>
        <v>37.796979</v>
      </c>
      <c r="L188" t="str">
        <f t="shared" si="47"/>
        <v>-79.419007</v>
      </c>
      <c r="M188">
        <v>319</v>
      </c>
      <c r="N188" s="1">
        <v>42354</v>
      </c>
      <c r="O188" s="1">
        <v>46099</v>
      </c>
      <c r="P188" s="2">
        <f t="shared" si="48"/>
        <v>10.253251197809719</v>
      </c>
      <c r="Q188" s="2" t="str">
        <f t="shared" si="49"/>
        <v>Old</v>
      </c>
      <c r="R188">
        <f t="shared" si="50"/>
        <v>900</v>
      </c>
      <c r="S188" t="str">
        <f t="shared" si="51"/>
        <v>Small</v>
      </c>
      <c r="T188" t="str">
        <f t="shared" si="52"/>
        <v>Lower EV Adoption Corridor</v>
      </c>
      <c r="U188" s="3">
        <f t="shared" si="53"/>
        <v>1485000.0000000002</v>
      </c>
      <c r="V188" s="4">
        <f t="shared" si="54"/>
        <v>360000</v>
      </c>
      <c r="W188" s="3">
        <f t="shared" si="55"/>
        <v>4500000</v>
      </c>
      <c r="X188" s="3">
        <f t="shared" si="56"/>
        <v>2700000</v>
      </c>
      <c r="Y188">
        <f t="shared" si="57"/>
        <v>0.3</v>
      </c>
      <c r="Z188">
        <f t="shared" si="58"/>
        <v>0.75757575757575757</v>
      </c>
      <c r="AA188" t="str">
        <f t="shared" si="59"/>
        <v>Tier 4 - Stable Network</v>
      </c>
      <c r="AB188" s="3">
        <f t="shared" si="60"/>
        <v>60000</v>
      </c>
      <c r="AC188" s="3">
        <f t="shared" si="61"/>
        <v>750000</v>
      </c>
      <c r="AD188" s="3">
        <f t="shared" si="62"/>
        <v>247500.00000000003</v>
      </c>
      <c r="AE188" s="5">
        <f t="shared" si="63"/>
        <v>3.9999999999999991</v>
      </c>
      <c r="AF188" s="10">
        <f t="shared" si="64"/>
        <v>223200</v>
      </c>
      <c r="AG188" s="10">
        <f t="shared" si="65"/>
        <v>72000</v>
      </c>
      <c r="AH188" s="10">
        <f t="shared" si="66"/>
        <v>36000</v>
      </c>
      <c r="AI188" s="10">
        <f t="shared" si="67"/>
        <v>18000</v>
      </c>
      <c r="AJ188" s="10">
        <f t="shared" si="68"/>
        <v>10800</v>
      </c>
    </row>
    <row r="189" spans="1:36" x14ac:dyDescent="0.3">
      <c r="A189" t="s">
        <v>794</v>
      </c>
      <c r="B189" t="s">
        <v>795</v>
      </c>
      <c r="C189" t="s">
        <v>796</v>
      </c>
      <c r="D189" t="s">
        <v>59</v>
      </c>
      <c r="E189">
        <v>61822</v>
      </c>
      <c r="F189" t="s">
        <v>15</v>
      </c>
      <c r="G189">
        <v>8</v>
      </c>
      <c r="H189">
        <v>150</v>
      </c>
      <c r="I189" t="str" cm="1">
        <f t="array" ref="I189">_xlfn.IFS(H189&lt;=120,"V1",H189&lt;=150,"V2",H189&lt;=250,"V3", H189&lt;=350, "V4")</f>
        <v>V2</v>
      </c>
      <c r="J189" t="s">
        <v>797</v>
      </c>
      <c r="K189" t="str">
        <f t="shared" si="46"/>
        <v>40.146209</v>
      </c>
      <c r="L189" t="str">
        <f t="shared" si="47"/>
        <v>-88.259884</v>
      </c>
      <c r="M189">
        <v>228</v>
      </c>
      <c r="N189" s="1">
        <v>42452</v>
      </c>
      <c r="O189" s="1">
        <v>46099</v>
      </c>
      <c r="P189" s="2">
        <f t="shared" si="48"/>
        <v>9.9849418206707732</v>
      </c>
      <c r="Q189" s="2" t="str">
        <f t="shared" si="49"/>
        <v>Old</v>
      </c>
      <c r="R189">
        <f t="shared" si="50"/>
        <v>1200</v>
      </c>
      <c r="S189" t="str">
        <f t="shared" si="51"/>
        <v>Small</v>
      </c>
      <c r="T189" t="str">
        <f t="shared" si="52"/>
        <v>Lower EV Adoption Corridor</v>
      </c>
      <c r="U189" s="3">
        <f t="shared" si="53"/>
        <v>1980000.0000000002</v>
      </c>
      <c r="V189" s="4">
        <f t="shared" si="54"/>
        <v>480000</v>
      </c>
      <c r="W189" s="3">
        <f t="shared" si="55"/>
        <v>6000000</v>
      </c>
      <c r="X189" s="3">
        <f t="shared" si="56"/>
        <v>3600000</v>
      </c>
      <c r="Y189">
        <f t="shared" si="57"/>
        <v>0.3</v>
      </c>
      <c r="Z189">
        <f t="shared" si="58"/>
        <v>0.75757575757575757</v>
      </c>
      <c r="AA189" t="str">
        <f t="shared" si="59"/>
        <v>Tier 4 - Stable Network</v>
      </c>
      <c r="AB189" s="3">
        <f t="shared" si="60"/>
        <v>60000</v>
      </c>
      <c r="AC189" s="3">
        <f t="shared" si="61"/>
        <v>750000</v>
      </c>
      <c r="AD189" s="3">
        <f t="shared" si="62"/>
        <v>247500.00000000003</v>
      </c>
      <c r="AE189" s="5">
        <f t="shared" si="63"/>
        <v>3.9999999999999996</v>
      </c>
      <c r="AF189" s="10">
        <f t="shared" si="64"/>
        <v>297600</v>
      </c>
      <c r="AG189" s="10">
        <f t="shared" si="65"/>
        <v>96000</v>
      </c>
      <c r="AH189" s="10">
        <f t="shared" si="66"/>
        <v>48000</v>
      </c>
      <c r="AI189" s="10">
        <f t="shared" si="67"/>
        <v>24000</v>
      </c>
      <c r="AJ189" s="10">
        <f t="shared" si="68"/>
        <v>14400</v>
      </c>
    </row>
    <row r="190" spans="1:36" x14ac:dyDescent="0.3">
      <c r="A190" t="s">
        <v>798</v>
      </c>
      <c r="B190" t="s">
        <v>799</v>
      </c>
      <c r="C190" t="s">
        <v>800</v>
      </c>
      <c r="D190" t="s">
        <v>14</v>
      </c>
      <c r="E190">
        <v>96080</v>
      </c>
      <c r="F190" t="s">
        <v>15</v>
      </c>
      <c r="G190">
        <v>12</v>
      </c>
      <c r="H190">
        <v>250</v>
      </c>
      <c r="I190" t="str" cm="1">
        <f t="array" ref="I190">_xlfn.IFS(H190&lt;=120,"V1",H190&lt;=150,"V2",H190&lt;=250,"V3", H190&lt;=350, "V4")</f>
        <v>V3</v>
      </c>
      <c r="J190" t="s">
        <v>801</v>
      </c>
      <c r="K190" t="str">
        <f t="shared" si="46"/>
        <v>40.163072</v>
      </c>
      <c r="L190" t="str">
        <f t="shared" si="47"/>
        <v>-122.228937</v>
      </c>
      <c r="M190">
        <v>88</v>
      </c>
      <c r="N190" s="1">
        <v>44744</v>
      </c>
      <c r="O190" s="1">
        <v>46099</v>
      </c>
      <c r="P190" s="2">
        <f t="shared" si="48"/>
        <v>3.7097878165639973</v>
      </c>
      <c r="Q190" s="2" t="str">
        <f t="shared" si="49"/>
        <v>Mid</v>
      </c>
      <c r="R190">
        <f t="shared" si="50"/>
        <v>3000</v>
      </c>
      <c r="S190" t="str">
        <f t="shared" si="51"/>
        <v>Small</v>
      </c>
      <c r="T190" t="str">
        <f t="shared" si="52"/>
        <v>High EV Adoption Corridor</v>
      </c>
      <c r="U190" s="3">
        <f t="shared" si="53"/>
        <v>7020000</v>
      </c>
      <c r="V190" s="4">
        <f t="shared" si="54"/>
        <v>1584000</v>
      </c>
      <c r="W190" s="3">
        <f t="shared" si="55"/>
        <v>19800000</v>
      </c>
      <c r="X190" s="3">
        <f t="shared" si="56"/>
        <v>14850000</v>
      </c>
      <c r="Y190">
        <f t="shared" si="57"/>
        <v>0.24</v>
      </c>
      <c r="Z190">
        <f t="shared" si="58"/>
        <v>0.77435897435897438</v>
      </c>
      <c r="AA190" t="str">
        <f t="shared" si="59"/>
        <v>Tier 1 - Priority Fleet</v>
      </c>
      <c r="AB190" s="3">
        <f t="shared" si="60"/>
        <v>132000</v>
      </c>
      <c r="AC190" s="3">
        <f t="shared" si="61"/>
        <v>1650000</v>
      </c>
      <c r="AD190" s="3">
        <f t="shared" si="62"/>
        <v>585000</v>
      </c>
      <c r="AE190" s="5">
        <f t="shared" si="63"/>
        <v>3.6423841059602649</v>
      </c>
      <c r="AF190" s="10">
        <f t="shared" si="64"/>
        <v>982080</v>
      </c>
      <c r="AG190" s="10">
        <f t="shared" si="65"/>
        <v>316800</v>
      </c>
      <c r="AH190" s="10">
        <f t="shared" si="66"/>
        <v>158400</v>
      </c>
      <c r="AI190" s="10">
        <f t="shared" si="67"/>
        <v>79200</v>
      </c>
      <c r="AJ190" s="10">
        <f t="shared" si="68"/>
        <v>47520</v>
      </c>
    </row>
    <row r="191" spans="1:36" x14ac:dyDescent="0.3">
      <c r="A191" t="s">
        <v>802</v>
      </c>
      <c r="B191" t="s">
        <v>803</v>
      </c>
      <c r="C191" t="s">
        <v>166</v>
      </c>
      <c r="D191" t="s">
        <v>184</v>
      </c>
      <c r="E191">
        <v>43228</v>
      </c>
      <c r="F191" t="s">
        <v>15</v>
      </c>
      <c r="G191">
        <v>12</v>
      </c>
      <c r="H191">
        <v>250</v>
      </c>
      <c r="I191" t="str" cm="1">
        <f t="array" ref="I191">_xlfn.IFS(H191&lt;=120,"V1",H191&lt;=150,"V2",H191&lt;=250,"V3", H191&lt;=350, "V4")</f>
        <v>V3</v>
      </c>
      <c r="J191" t="s">
        <v>804</v>
      </c>
      <c r="K191" t="str">
        <f t="shared" si="46"/>
        <v>39.9831</v>
      </c>
      <c r="L191" t="str">
        <f t="shared" si="47"/>
        <v>-83.1529</v>
      </c>
      <c r="M191">
        <v>285</v>
      </c>
      <c r="N191" s="1">
        <v>45058</v>
      </c>
      <c r="O191" s="1">
        <v>46099</v>
      </c>
      <c r="P191" s="2">
        <f t="shared" si="48"/>
        <v>2.8501026694045173</v>
      </c>
      <c r="Q191" s="2" t="str">
        <f t="shared" si="49"/>
        <v>New</v>
      </c>
      <c r="R191">
        <f t="shared" si="50"/>
        <v>3000</v>
      </c>
      <c r="S191" t="str">
        <f t="shared" si="51"/>
        <v>Small</v>
      </c>
      <c r="T191" t="str">
        <f t="shared" si="52"/>
        <v>Lower EV Adoption Corridor</v>
      </c>
      <c r="U191" s="3">
        <f t="shared" si="53"/>
        <v>5400000</v>
      </c>
      <c r="V191" s="4">
        <f t="shared" si="54"/>
        <v>1320000</v>
      </c>
      <c r="W191" s="3">
        <f t="shared" si="55"/>
        <v>18000000</v>
      </c>
      <c r="X191" s="3">
        <f t="shared" si="56"/>
        <v>9900000</v>
      </c>
      <c r="Y191">
        <f t="shared" si="57"/>
        <v>0.31515151515151513</v>
      </c>
      <c r="Z191">
        <f t="shared" si="58"/>
        <v>0.75555555555555554</v>
      </c>
      <c r="AA191" t="str">
        <f t="shared" si="59"/>
        <v>Tier 2 - Growth Markets</v>
      </c>
      <c r="AB191" s="3">
        <f t="shared" si="60"/>
        <v>110000</v>
      </c>
      <c r="AC191" s="3">
        <f t="shared" si="61"/>
        <v>1500000</v>
      </c>
      <c r="AD191" s="3">
        <f t="shared" si="62"/>
        <v>450000</v>
      </c>
      <c r="AE191" s="5">
        <f t="shared" si="63"/>
        <v>4.4117647058823533</v>
      </c>
      <c r="AF191" s="10">
        <f t="shared" si="64"/>
        <v>818400</v>
      </c>
      <c r="AG191" s="10">
        <f t="shared" si="65"/>
        <v>264000</v>
      </c>
      <c r="AH191" s="10">
        <f t="shared" si="66"/>
        <v>132000</v>
      </c>
      <c r="AI191" s="10">
        <f t="shared" si="67"/>
        <v>66000</v>
      </c>
      <c r="AJ191" s="10">
        <f t="shared" si="68"/>
        <v>39600</v>
      </c>
    </row>
    <row r="192" spans="1:36" x14ac:dyDescent="0.3">
      <c r="A192" t="s">
        <v>805</v>
      </c>
      <c r="B192" t="s">
        <v>806</v>
      </c>
      <c r="C192" t="s">
        <v>807</v>
      </c>
      <c r="D192" t="s">
        <v>59</v>
      </c>
      <c r="E192">
        <v>61354</v>
      </c>
      <c r="F192" t="s">
        <v>15</v>
      </c>
      <c r="G192">
        <v>20</v>
      </c>
      <c r="H192">
        <v>250</v>
      </c>
      <c r="I192" t="str" cm="1">
        <f t="array" ref="I192">_xlfn.IFS(H192&lt;=120,"V1",H192&lt;=150,"V2",H192&lt;=250,"V3", H192&lt;=350, "V4")</f>
        <v>V3</v>
      </c>
      <c r="J192" t="s">
        <v>808</v>
      </c>
      <c r="K192" t="str">
        <f t="shared" si="46"/>
        <v>41.348503</v>
      </c>
      <c r="L192" t="str">
        <f t="shared" si="47"/>
        <v>-89.126115</v>
      </c>
      <c r="M192">
        <v>195</v>
      </c>
      <c r="N192" s="1">
        <v>42543</v>
      </c>
      <c r="O192" s="1">
        <v>46099</v>
      </c>
      <c r="P192" s="2">
        <f t="shared" si="48"/>
        <v>9.7357973990417523</v>
      </c>
      <c r="Q192" s="2" t="str">
        <f t="shared" si="49"/>
        <v>Old</v>
      </c>
      <c r="R192">
        <f t="shared" si="50"/>
        <v>5000</v>
      </c>
      <c r="S192" t="str">
        <f t="shared" si="51"/>
        <v>Small</v>
      </c>
      <c r="T192" t="str">
        <f t="shared" si="52"/>
        <v>Lower EV Adoption Corridor</v>
      </c>
      <c r="U192" s="3">
        <f t="shared" si="53"/>
        <v>9000000</v>
      </c>
      <c r="V192" s="4">
        <f t="shared" si="54"/>
        <v>2200000</v>
      </c>
      <c r="W192" s="3">
        <f t="shared" si="55"/>
        <v>30000000</v>
      </c>
      <c r="X192" s="3">
        <f t="shared" si="56"/>
        <v>16500000.000000002</v>
      </c>
      <c r="Y192">
        <f t="shared" si="57"/>
        <v>0.31515151515151513</v>
      </c>
      <c r="Z192">
        <f t="shared" si="58"/>
        <v>0.75555555555555554</v>
      </c>
      <c r="AA192" t="str">
        <f t="shared" si="59"/>
        <v>Tier 2 - Growth Markets</v>
      </c>
      <c r="AB192" s="3">
        <f t="shared" si="60"/>
        <v>110000</v>
      </c>
      <c r="AC192" s="3">
        <f t="shared" si="61"/>
        <v>1500000</v>
      </c>
      <c r="AD192" s="3">
        <f t="shared" si="62"/>
        <v>450000</v>
      </c>
      <c r="AE192" s="5">
        <f t="shared" si="63"/>
        <v>4.4117647058823533</v>
      </c>
      <c r="AF192" s="10">
        <f t="shared" si="64"/>
        <v>1364000</v>
      </c>
      <c r="AG192" s="10">
        <f t="shared" si="65"/>
        <v>440000</v>
      </c>
      <c r="AH192" s="10">
        <f t="shared" si="66"/>
        <v>220000</v>
      </c>
      <c r="AI192" s="10">
        <f t="shared" si="67"/>
        <v>110000</v>
      </c>
      <c r="AJ192" s="10">
        <f t="shared" si="68"/>
        <v>66000</v>
      </c>
    </row>
    <row r="193" spans="1:36" x14ac:dyDescent="0.3">
      <c r="A193" t="s">
        <v>809</v>
      </c>
      <c r="B193" t="s">
        <v>810</v>
      </c>
      <c r="C193" t="s">
        <v>811</v>
      </c>
      <c r="D193" t="s">
        <v>130</v>
      </c>
      <c r="E193">
        <v>47803</v>
      </c>
      <c r="F193" t="s">
        <v>15</v>
      </c>
      <c r="G193">
        <v>8</v>
      </c>
      <c r="H193">
        <v>150</v>
      </c>
      <c r="I193" t="str" cm="1">
        <f t="array" ref="I193">_xlfn.IFS(H193&lt;=120,"V1",H193&lt;=150,"V2",H193&lt;=250,"V3", H193&lt;=350, "V4")</f>
        <v>V2</v>
      </c>
      <c r="J193" t="s">
        <v>812</v>
      </c>
      <c r="K193" t="str">
        <f t="shared" si="46"/>
        <v>39.443345</v>
      </c>
      <c r="L193" t="str">
        <f t="shared" si="47"/>
        <v>-87.331737</v>
      </c>
      <c r="M193">
        <v>171</v>
      </c>
      <c r="N193" s="1">
        <v>42459</v>
      </c>
      <c r="O193" s="1">
        <v>46099</v>
      </c>
      <c r="P193" s="2">
        <f t="shared" si="48"/>
        <v>9.9657768651608496</v>
      </c>
      <c r="Q193" s="2" t="str">
        <f t="shared" si="49"/>
        <v>Old</v>
      </c>
      <c r="R193">
        <f t="shared" si="50"/>
        <v>1200</v>
      </c>
      <c r="S193" t="str">
        <f t="shared" si="51"/>
        <v>Small</v>
      </c>
      <c r="T193" t="str">
        <f t="shared" si="52"/>
        <v>Lower EV Adoption Corridor</v>
      </c>
      <c r="U193" s="3">
        <f t="shared" si="53"/>
        <v>1980000.0000000002</v>
      </c>
      <c r="V193" s="4">
        <f t="shared" si="54"/>
        <v>480000</v>
      </c>
      <c r="W193" s="3">
        <f t="shared" si="55"/>
        <v>6000000</v>
      </c>
      <c r="X193" s="3">
        <f t="shared" si="56"/>
        <v>3600000</v>
      </c>
      <c r="Y193">
        <f t="shared" si="57"/>
        <v>0.3</v>
      </c>
      <c r="Z193">
        <f t="shared" si="58"/>
        <v>0.75757575757575757</v>
      </c>
      <c r="AA193" t="str">
        <f t="shared" si="59"/>
        <v>Tier 4 - Stable Network</v>
      </c>
      <c r="AB193" s="3">
        <f t="shared" si="60"/>
        <v>60000</v>
      </c>
      <c r="AC193" s="3">
        <f t="shared" si="61"/>
        <v>750000</v>
      </c>
      <c r="AD193" s="3">
        <f t="shared" si="62"/>
        <v>247500.00000000003</v>
      </c>
      <c r="AE193" s="5">
        <f t="shared" si="63"/>
        <v>3.9999999999999996</v>
      </c>
      <c r="AF193" s="10">
        <f t="shared" si="64"/>
        <v>297600</v>
      </c>
      <c r="AG193" s="10">
        <f t="shared" si="65"/>
        <v>96000</v>
      </c>
      <c r="AH193" s="10">
        <f t="shared" si="66"/>
        <v>48000</v>
      </c>
      <c r="AI193" s="10">
        <f t="shared" si="67"/>
        <v>24000</v>
      </c>
      <c r="AJ193" s="10">
        <f t="shared" si="68"/>
        <v>14400</v>
      </c>
    </row>
    <row r="194" spans="1:36" x14ac:dyDescent="0.3">
      <c r="A194" t="s">
        <v>813</v>
      </c>
      <c r="B194" t="s">
        <v>814</v>
      </c>
      <c r="C194" t="s">
        <v>815</v>
      </c>
      <c r="D194" t="s">
        <v>281</v>
      </c>
      <c r="E194">
        <v>59758</v>
      </c>
      <c r="F194" t="s">
        <v>15</v>
      </c>
      <c r="G194">
        <v>8</v>
      </c>
      <c r="H194">
        <v>150</v>
      </c>
      <c r="I194" t="str" cm="1">
        <f t="array" ref="I194">_xlfn.IFS(H194&lt;=120,"V1",H194&lt;=150,"V2",H194&lt;=250,"V3", H194&lt;=350, "V4")</f>
        <v>V2</v>
      </c>
      <c r="J194" t="s">
        <v>816</v>
      </c>
      <c r="K194" t="str">
        <f t="shared" si="46"/>
        <v>44.656089</v>
      </c>
      <c r="L194" t="str">
        <f t="shared" si="47"/>
        <v>-111.099022</v>
      </c>
      <c r="M194">
        <v>2034</v>
      </c>
      <c r="N194" s="1">
        <v>42515</v>
      </c>
      <c r="O194" s="1">
        <v>46099</v>
      </c>
      <c r="P194" s="2">
        <f t="shared" si="48"/>
        <v>9.8124572210814502</v>
      </c>
      <c r="Q194" s="2" t="str">
        <f t="shared" si="49"/>
        <v>Old</v>
      </c>
      <c r="R194">
        <f t="shared" si="50"/>
        <v>1200</v>
      </c>
      <c r="S194" t="str">
        <f t="shared" si="51"/>
        <v>Small</v>
      </c>
      <c r="T194" t="str">
        <f t="shared" si="52"/>
        <v>Lower EV Adoption Corridor</v>
      </c>
      <c r="U194" s="3">
        <f t="shared" si="53"/>
        <v>1980000.0000000002</v>
      </c>
      <c r="V194" s="4">
        <f t="shared" si="54"/>
        <v>480000</v>
      </c>
      <c r="W194" s="3">
        <f t="shared" si="55"/>
        <v>6000000</v>
      </c>
      <c r="X194" s="3">
        <f t="shared" si="56"/>
        <v>3600000</v>
      </c>
      <c r="Y194">
        <f t="shared" si="57"/>
        <v>0.3</v>
      </c>
      <c r="Z194">
        <f t="shared" si="58"/>
        <v>0.75757575757575757</v>
      </c>
      <c r="AA194" t="str">
        <f t="shared" si="59"/>
        <v>Tier 4 - Stable Network</v>
      </c>
      <c r="AB194" s="3">
        <f t="shared" si="60"/>
        <v>60000</v>
      </c>
      <c r="AC194" s="3">
        <f t="shared" si="61"/>
        <v>750000</v>
      </c>
      <c r="AD194" s="3">
        <f t="shared" si="62"/>
        <v>247500.00000000003</v>
      </c>
      <c r="AE194" s="5">
        <f t="shared" si="63"/>
        <v>3.9999999999999996</v>
      </c>
      <c r="AF194" s="10">
        <f t="shared" si="64"/>
        <v>297600</v>
      </c>
      <c r="AG194" s="10">
        <f t="shared" si="65"/>
        <v>96000</v>
      </c>
      <c r="AH194" s="10">
        <f t="shared" si="66"/>
        <v>48000</v>
      </c>
      <c r="AI194" s="10">
        <f t="shared" si="67"/>
        <v>24000</v>
      </c>
      <c r="AJ194" s="10">
        <f t="shared" si="68"/>
        <v>14400</v>
      </c>
    </row>
    <row r="195" spans="1:36" x14ac:dyDescent="0.3">
      <c r="A195" t="s">
        <v>817</v>
      </c>
      <c r="B195" t="s">
        <v>818</v>
      </c>
      <c r="C195" t="s">
        <v>819</v>
      </c>
      <c r="D195" t="s">
        <v>50</v>
      </c>
      <c r="E195">
        <v>75771</v>
      </c>
      <c r="F195" t="s">
        <v>15</v>
      </c>
      <c r="G195">
        <v>8</v>
      </c>
      <c r="H195">
        <v>150</v>
      </c>
      <c r="I195" t="str" cm="1">
        <f t="array" ref="I195">_xlfn.IFS(H195&lt;=120,"V1",H195&lt;=150,"V2",H195&lt;=250,"V3", H195&lt;=350, "V4")</f>
        <v>V2</v>
      </c>
      <c r="J195" t="s">
        <v>820</v>
      </c>
      <c r="K195" t="str">
        <f t="shared" ref="K195:K258" si="69">TRIM(LEFT(J195, FIND(",", J195) - 1))</f>
        <v>32.470885</v>
      </c>
      <c r="L195" t="str">
        <f t="shared" ref="L195:L258" si="70">TRIM(MID(J195, FIND(",", J195) + 1, LEN(J195)))</f>
        <v>-95.450473</v>
      </c>
      <c r="M195">
        <v>167</v>
      </c>
      <c r="N195" s="1">
        <v>42529</v>
      </c>
      <c r="O195" s="1">
        <v>46099</v>
      </c>
      <c r="P195" s="2">
        <f t="shared" ref="P195:P258" si="71">(O195-N195)/365.25</f>
        <v>9.7741273100616013</v>
      </c>
      <c r="Q195" s="2" t="str">
        <f t="shared" ref="Q195:Q258" si="72">IF(P195&lt;3,"New",IF(P195&lt;=8,"Mid","Old"))</f>
        <v>Old</v>
      </c>
      <c r="R195">
        <f t="shared" ref="R195:R258" si="73">G195*H195</f>
        <v>1200</v>
      </c>
      <c r="S195" t="str">
        <f t="shared" ref="S195:S258" si="74">IF(G195&lt;=30,"Small",IF(G195&lt;=60,"Medium","Large"))</f>
        <v>Small</v>
      </c>
      <c r="T195" t="str">
        <f t="shared" ref="T195:T258" si="75">IF(OR(D195="CA",D195="FL",D195="WA",D195="CO",D195="TX",D195="NJ"),"High EV Adoption Corridor","Lower EV Adoption Corridor")</f>
        <v>High EV Adoption Corridor</v>
      </c>
      <c r="U195" s="3">
        <f t="shared" ref="U195:U258" si="76" xml:space="preserve"> R195 * 1500 *
  IF(I195="V1",1,
     IF(I195="V2",1.1,1.2)) *
  IF(T195="High EV Adoption Corridor",1.3,1)</f>
        <v>2574000.0000000005</v>
      </c>
      <c r="V195" s="4">
        <f t="shared" ref="V195:V258" si="77" xml:space="preserve"> R195 * 400 *
  IF(I195="V1",0.9,
     IF(I195="V2",1,1.1)) *
  IF(T195="High EV Adoption Corridor",1.2,1)</f>
        <v>576000</v>
      </c>
      <c r="W195" s="3">
        <f t="shared" ref="W195:W258" si="78" xml:space="preserve"> R195 * 5000 *
  IF(I195="V1",0.8,
     IF(I195="V2",1,1.2)) *
  IF(T195="High EV Adoption Corridor",1.1,1)</f>
        <v>6600000.0000000009</v>
      </c>
      <c r="X195" s="3">
        <f t="shared" ref="X195:X258" si="79" xml:space="preserve"> R195 * 3000 *
  IF(I195="V1",0.9,
     IF(I195="V2",1,1.1)) *
  IF(T195="High EV Adoption Corridor",1.5,1)</f>
        <v>5400000</v>
      </c>
      <c r="Y195">
        <f t="shared" ref="Y195:Y258" si="80" xml:space="preserve"> ((W195/10) + V195) / X195</f>
        <v>0.22888888888888889</v>
      </c>
      <c r="Z195">
        <f t="shared" ref="Z195:Z258" si="81">(U195-V195)/U195</f>
        <v>0.77622377622377625</v>
      </c>
      <c r="AA195" t="str">
        <f t="shared" ref="AA195:AA258" si="82">IF(AND(I195="V3",T195="High EV Adoption Corridor"),
"Tier 1 - Priority Fleet",
IF(AND(I195="V3",T195="Lower EV Adoption Corridor"),
"Tier 2 - Growth Markets",
IF(AND(OR(I195="V1",I195="V2"),T195="High EV Adoption Corridor"),
"Tier 3 - Upgrade Pipeline",
IF(AND(I195="V2",T195="Lower EV Adoption Corridor"),
"Tier 4 - Stable Network",
"Tier 5 - Retirement Pipeline"))))</f>
        <v>Tier 3 - Upgrade Pipeline</v>
      </c>
      <c r="AB195" s="3">
        <f t="shared" ref="AB195:AB258" si="83">V195/G195</f>
        <v>72000</v>
      </c>
      <c r="AC195" s="3">
        <f t="shared" ref="AC195:AC258" si="84">W195/G195</f>
        <v>825000.00000000012</v>
      </c>
      <c r="AD195" s="3">
        <f t="shared" ref="AD195:AD258" si="85">U195/G195</f>
        <v>321750.00000000006</v>
      </c>
      <c r="AE195" s="5">
        <f t="shared" ref="AE195:AE258" si="86">W195/(U195-V195)</f>
        <v>3.303303303303303</v>
      </c>
      <c r="AF195" s="10">
        <f t="shared" ref="AF195:AF258" si="87">V195*0.62</f>
        <v>357120</v>
      </c>
      <c r="AG195" s="10">
        <f t="shared" ref="AG195:AG258" si="88">V195*0.2</f>
        <v>115200</v>
      </c>
      <c r="AH195" s="10">
        <f t="shared" ref="AH195:AH258" si="89">V195*0.1</f>
        <v>57600</v>
      </c>
      <c r="AI195" s="10">
        <f t="shared" ref="AI195:AI258" si="90">V195*0.05</f>
        <v>28800</v>
      </c>
      <c r="AJ195" s="10">
        <f t="shared" ref="AJ195:AJ258" si="91">V195*0.03</f>
        <v>17280</v>
      </c>
    </row>
    <row r="196" spans="1:36" x14ac:dyDescent="0.3">
      <c r="A196" t="s">
        <v>821</v>
      </c>
      <c r="B196" t="s">
        <v>822</v>
      </c>
      <c r="C196" t="s">
        <v>823</v>
      </c>
      <c r="D196" t="s">
        <v>433</v>
      </c>
      <c r="E196">
        <v>89509</v>
      </c>
      <c r="F196" t="s">
        <v>15</v>
      </c>
      <c r="G196">
        <v>6</v>
      </c>
      <c r="H196">
        <v>150</v>
      </c>
      <c r="I196" t="str" cm="1">
        <f t="array" ref="I196">_xlfn.IFS(H196&lt;=120,"V1",H196&lt;=150,"V2",H196&lt;=250,"V3", H196&lt;=350, "V4")</f>
        <v>V2</v>
      </c>
      <c r="J196" t="s">
        <v>824</v>
      </c>
      <c r="K196" t="str">
        <f t="shared" si="69"/>
        <v>39.489732</v>
      </c>
      <c r="L196" t="str">
        <f t="shared" si="70"/>
        <v>-119.794179</v>
      </c>
      <c r="M196">
        <v>1356</v>
      </c>
      <c r="N196" s="1">
        <v>42495</v>
      </c>
      <c r="O196" s="1">
        <v>46099</v>
      </c>
      <c r="P196" s="2">
        <f t="shared" si="71"/>
        <v>9.8672142368240934</v>
      </c>
      <c r="Q196" s="2" t="str">
        <f t="shared" si="72"/>
        <v>Old</v>
      </c>
      <c r="R196">
        <f t="shared" si="73"/>
        <v>900</v>
      </c>
      <c r="S196" t="str">
        <f t="shared" si="74"/>
        <v>Small</v>
      </c>
      <c r="T196" t="str">
        <f t="shared" si="75"/>
        <v>Lower EV Adoption Corridor</v>
      </c>
      <c r="U196" s="3">
        <f t="shared" si="76"/>
        <v>1485000.0000000002</v>
      </c>
      <c r="V196" s="4">
        <f t="shared" si="77"/>
        <v>360000</v>
      </c>
      <c r="W196" s="3">
        <f t="shared" si="78"/>
        <v>4500000</v>
      </c>
      <c r="X196" s="3">
        <f t="shared" si="79"/>
        <v>2700000</v>
      </c>
      <c r="Y196">
        <f t="shared" si="80"/>
        <v>0.3</v>
      </c>
      <c r="Z196">
        <f t="shared" si="81"/>
        <v>0.75757575757575757</v>
      </c>
      <c r="AA196" t="str">
        <f t="shared" si="82"/>
        <v>Tier 4 - Stable Network</v>
      </c>
      <c r="AB196" s="3">
        <f t="shared" si="83"/>
        <v>60000</v>
      </c>
      <c r="AC196" s="3">
        <f t="shared" si="84"/>
        <v>750000</v>
      </c>
      <c r="AD196" s="3">
        <f t="shared" si="85"/>
        <v>247500.00000000003</v>
      </c>
      <c r="AE196" s="5">
        <f t="shared" si="86"/>
        <v>3.9999999999999991</v>
      </c>
      <c r="AF196" s="10">
        <f t="shared" si="87"/>
        <v>223200</v>
      </c>
      <c r="AG196" s="10">
        <f t="shared" si="88"/>
        <v>72000</v>
      </c>
      <c r="AH196" s="10">
        <f t="shared" si="89"/>
        <v>36000</v>
      </c>
      <c r="AI196" s="10">
        <f t="shared" si="90"/>
        <v>18000</v>
      </c>
      <c r="AJ196" s="10">
        <f t="shared" si="91"/>
        <v>10800</v>
      </c>
    </row>
    <row r="197" spans="1:36" x14ac:dyDescent="0.3">
      <c r="A197" t="s">
        <v>825</v>
      </c>
      <c r="B197" t="s">
        <v>826</v>
      </c>
      <c r="C197" t="s">
        <v>827</v>
      </c>
      <c r="D197" t="s">
        <v>648</v>
      </c>
      <c r="E197">
        <v>83201</v>
      </c>
      <c r="F197" t="s">
        <v>15</v>
      </c>
      <c r="G197">
        <v>8</v>
      </c>
      <c r="H197">
        <v>150</v>
      </c>
      <c r="I197" t="str" cm="1">
        <f t="array" ref="I197">_xlfn.IFS(H197&lt;=120,"V1",H197&lt;=150,"V2",H197&lt;=250,"V3", H197&lt;=350, "V4")</f>
        <v>V2</v>
      </c>
      <c r="J197" t="s">
        <v>828</v>
      </c>
      <c r="K197" t="str">
        <f t="shared" si="69"/>
        <v>42.899615</v>
      </c>
      <c r="L197" t="str">
        <f t="shared" si="70"/>
        <v>-112.435248</v>
      </c>
      <c r="M197">
        <v>1409</v>
      </c>
      <c r="N197" s="1">
        <v>42514</v>
      </c>
      <c r="O197" s="1">
        <v>46099</v>
      </c>
      <c r="P197" s="2">
        <f t="shared" si="71"/>
        <v>9.8151950718685832</v>
      </c>
      <c r="Q197" s="2" t="str">
        <f t="shared" si="72"/>
        <v>Old</v>
      </c>
      <c r="R197">
        <f t="shared" si="73"/>
        <v>1200</v>
      </c>
      <c r="S197" t="str">
        <f t="shared" si="74"/>
        <v>Small</v>
      </c>
      <c r="T197" t="str">
        <f t="shared" si="75"/>
        <v>Lower EV Adoption Corridor</v>
      </c>
      <c r="U197" s="3">
        <f t="shared" si="76"/>
        <v>1980000.0000000002</v>
      </c>
      <c r="V197" s="4">
        <f t="shared" si="77"/>
        <v>480000</v>
      </c>
      <c r="W197" s="3">
        <f t="shared" si="78"/>
        <v>6000000</v>
      </c>
      <c r="X197" s="3">
        <f t="shared" si="79"/>
        <v>3600000</v>
      </c>
      <c r="Y197">
        <f t="shared" si="80"/>
        <v>0.3</v>
      </c>
      <c r="Z197">
        <f t="shared" si="81"/>
        <v>0.75757575757575757</v>
      </c>
      <c r="AA197" t="str">
        <f t="shared" si="82"/>
        <v>Tier 4 - Stable Network</v>
      </c>
      <c r="AB197" s="3">
        <f t="shared" si="83"/>
        <v>60000</v>
      </c>
      <c r="AC197" s="3">
        <f t="shared" si="84"/>
        <v>750000</v>
      </c>
      <c r="AD197" s="3">
        <f t="shared" si="85"/>
        <v>247500.00000000003</v>
      </c>
      <c r="AE197" s="5">
        <f t="shared" si="86"/>
        <v>3.9999999999999996</v>
      </c>
      <c r="AF197" s="10">
        <f t="shared" si="87"/>
        <v>297600</v>
      </c>
      <c r="AG197" s="10">
        <f t="shared" si="88"/>
        <v>96000</v>
      </c>
      <c r="AH197" s="10">
        <f t="shared" si="89"/>
        <v>48000</v>
      </c>
      <c r="AI197" s="10">
        <f t="shared" si="90"/>
        <v>24000</v>
      </c>
      <c r="AJ197" s="10">
        <f t="shared" si="91"/>
        <v>14400</v>
      </c>
    </row>
    <row r="198" spans="1:36" x14ac:dyDescent="0.3">
      <c r="A198" t="s">
        <v>829</v>
      </c>
      <c r="B198" t="s">
        <v>830</v>
      </c>
      <c r="C198" t="s">
        <v>831</v>
      </c>
      <c r="D198" t="s">
        <v>648</v>
      </c>
      <c r="E198">
        <v>83402</v>
      </c>
      <c r="F198" t="s">
        <v>15</v>
      </c>
      <c r="G198">
        <v>8</v>
      </c>
      <c r="H198">
        <v>150</v>
      </c>
      <c r="I198" t="str" cm="1">
        <f t="array" ref="I198">_xlfn.IFS(H198&lt;=120,"V1",H198&lt;=150,"V2",H198&lt;=250,"V3", H198&lt;=350, "V4")</f>
        <v>V2</v>
      </c>
      <c r="J198" t="s">
        <v>832</v>
      </c>
      <c r="K198" t="str">
        <f t="shared" si="69"/>
        <v>43.485152</v>
      </c>
      <c r="L198" t="str">
        <f t="shared" si="70"/>
        <v>-112.05205</v>
      </c>
      <c r="M198">
        <v>1426</v>
      </c>
      <c r="N198" s="1">
        <v>42530</v>
      </c>
      <c r="O198" s="1">
        <v>46099</v>
      </c>
      <c r="P198" s="2">
        <f t="shared" si="71"/>
        <v>9.7713894592744701</v>
      </c>
      <c r="Q198" s="2" t="str">
        <f t="shared" si="72"/>
        <v>Old</v>
      </c>
      <c r="R198">
        <f t="shared" si="73"/>
        <v>1200</v>
      </c>
      <c r="S198" t="str">
        <f t="shared" si="74"/>
        <v>Small</v>
      </c>
      <c r="T198" t="str">
        <f t="shared" si="75"/>
        <v>Lower EV Adoption Corridor</v>
      </c>
      <c r="U198" s="3">
        <f t="shared" si="76"/>
        <v>1980000.0000000002</v>
      </c>
      <c r="V198" s="4">
        <f t="shared" si="77"/>
        <v>480000</v>
      </c>
      <c r="W198" s="3">
        <f t="shared" si="78"/>
        <v>6000000</v>
      </c>
      <c r="X198" s="3">
        <f t="shared" si="79"/>
        <v>3600000</v>
      </c>
      <c r="Y198">
        <f t="shared" si="80"/>
        <v>0.3</v>
      </c>
      <c r="Z198">
        <f t="shared" si="81"/>
        <v>0.75757575757575757</v>
      </c>
      <c r="AA198" t="str">
        <f t="shared" si="82"/>
        <v>Tier 4 - Stable Network</v>
      </c>
      <c r="AB198" s="3">
        <f t="shared" si="83"/>
        <v>60000</v>
      </c>
      <c r="AC198" s="3">
        <f t="shared" si="84"/>
        <v>750000</v>
      </c>
      <c r="AD198" s="3">
        <f t="shared" si="85"/>
        <v>247500.00000000003</v>
      </c>
      <c r="AE198" s="5">
        <f t="shared" si="86"/>
        <v>3.9999999999999996</v>
      </c>
      <c r="AF198" s="10">
        <f t="shared" si="87"/>
        <v>297600</v>
      </c>
      <c r="AG198" s="10">
        <f t="shared" si="88"/>
        <v>96000</v>
      </c>
      <c r="AH198" s="10">
        <f t="shared" si="89"/>
        <v>48000</v>
      </c>
      <c r="AI198" s="10">
        <f t="shared" si="90"/>
        <v>24000</v>
      </c>
      <c r="AJ198" s="10">
        <f t="shared" si="91"/>
        <v>14400</v>
      </c>
    </row>
    <row r="199" spans="1:36" x14ac:dyDescent="0.3">
      <c r="A199" t="s">
        <v>833</v>
      </c>
      <c r="B199" t="s">
        <v>834</v>
      </c>
      <c r="C199" t="s">
        <v>835</v>
      </c>
      <c r="D199" t="s">
        <v>316</v>
      </c>
      <c r="E199">
        <v>97702</v>
      </c>
      <c r="F199" t="s">
        <v>15</v>
      </c>
      <c r="G199">
        <v>8</v>
      </c>
      <c r="H199">
        <v>150</v>
      </c>
      <c r="I199" t="str" cm="1">
        <f t="array" ref="I199">_xlfn.IFS(H199&lt;=120,"V1",H199&lt;=150,"V2",H199&lt;=250,"V3", H199&lt;=350, "V4")</f>
        <v>V2</v>
      </c>
      <c r="J199" t="s">
        <v>836</v>
      </c>
      <c r="K199" t="str">
        <f t="shared" si="69"/>
        <v>44.03563</v>
      </c>
      <c r="L199" t="str">
        <f t="shared" si="70"/>
        <v>-121.308473</v>
      </c>
      <c r="M199">
        <v>1142</v>
      </c>
      <c r="N199" s="1">
        <v>42538</v>
      </c>
      <c r="O199" s="1">
        <v>46099</v>
      </c>
      <c r="P199" s="2">
        <f t="shared" si="71"/>
        <v>9.7494866529774136</v>
      </c>
      <c r="Q199" s="2" t="str">
        <f t="shared" si="72"/>
        <v>Old</v>
      </c>
      <c r="R199">
        <f t="shared" si="73"/>
        <v>1200</v>
      </c>
      <c r="S199" t="str">
        <f t="shared" si="74"/>
        <v>Small</v>
      </c>
      <c r="T199" t="str">
        <f t="shared" si="75"/>
        <v>Lower EV Adoption Corridor</v>
      </c>
      <c r="U199" s="3">
        <f t="shared" si="76"/>
        <v>1980000.0000000002</v>
      </c>
      <c r="V199" s="4">
        <f t="shared" si="77"/>
        <v>480000</v>
      </c>
      <c r="W199" s="3">
        <f t="shared" si="78"/>
        <v>6000000</v>
      </c>
      <c r="X199" s="3">
        <f t="shared" si="79"/>
        <v>3600000</v>
      </c>
      <c r="Y199">
        <f t="shared" si="80"/>
        <v>0.3</v>
      </c>
      <c r="Z199">
        <f t="shared" si="81"/>
        <v>0.75757575757575757</v>
      </c>
      <c r="AA199" t="str">
        <f t="shared" si="82"/>
        <v>Tier 4 - Stable Network</v>
      </c>
      <c r="AB199" s="3">
        <f t="shared" si="83"/>
        <v>60000</v>
      </c>
      <c r="AC199" s="3">
        <f t="shared" si="84"/>
        <v>750000</v>
      </c>
      <c r="AD199" s="3">
        <f t="shared" si="85"/>
        <v>247500.00000000003</v>
      </c>
      <c r="AE199" s="5">
        <f t="shared" si="86"/>
        <v>3.9999999999999996</v>
      </c>
      <c r="AF199" s="10">
        <f t="shared" si="87"/>
        <v>297600</v>
      </c>
      <c r="AG199" s="10">
        <f t="shared" si="88"/>
        <v>96000</v>
      </c>
      <c r="AH199" s="10">
        <f t="shared" si="89"/>
        <v>48000</v>
      </c>
      <c r="AI199" s="10">
        <f t="shared" si="90"/>
        <v>24000</v>
      </c>
      <c r="AJ199" s="10">
        <f t="shared" si="91"/>
        <v>14400</v>
      </c>
    </row>
    <row r="200" spans="1:36" x14ac:dyDescent="0.3">
      <c r="A200" t="s">
        <v>837</v>
      </c>
      <c r="B200" t="s">
        <v>838</v>
      </c>
      <c r="C200" t="s">
        <v>839</v>
      </c>
      <c r="D200" t="s">
        <v>158</v>
      </c>
      <c r="E200">
        <v>11968</v>
      </c>
      <c r="F200" t="s">
        <v>15</v>
      </c>
      <c r="G200">
        <v>8</v>
      </c>
      <c r="H200">
        <v>120</v>
      </c>
      <c r="I200" t="str" cm="1">
        <f t="array" ref="I200">_xlfn.IFS(H200&lt;=120,"V1",H200&lt;=150,"V2",H200&lt;=250,"V3", H200&lt;=350, "V4")</f>
        <v>V1</v>
      </c>
      <c r="J200" t="s">
        <v>840</v>
      </c>
      <c r="K200" t="str">
        <f t="shared" si="69"/>
        <v>40.891909</v>
      </c>
      <c r="L200" t="str">
        <f t="shared" si="70"/>
        <v>-72.426995</v>
      </c>
      <c r="M200">
        <v>14</v>
      </c>
      <c r="N200" s="1">
        <v>42524</v>
      </c>
      <c r="O200" s="1">
        <v>46099</v>
      </c>
      <c r="P200" s="2">
        <f t="shared" si="71"/>
        <v>9.7878165639972625</v>
      </c>
      <c r="Q200" s="2" t="str">
        <f t="shared" si="72"/>
        <v>Old</v>
      </c>
      <c r="R200">
        <f t="shared" si="73"/>
        <v>960</v>
      </c>
      <c r="S200" t="str">
        <f t="shared" si="74"/>
        <v>Small</v>
      </c>
      <c r="T200" t="str">
        <f t="shared" si="75"/>
        <v>Lower EV Adoption Corridor</v>
      </c>
      <c r="U200" s="3">
        <f t="shared" si="76"/>
        <v>1440000</v>
      </c>
      <c r="V200" s="4">
        <f t="shared" si="77"/>
        <v>345600</v>
      </c>
      <c r="W200" s="3">
        <f t="shared" si="78"/>
        <v>3840000</v>
      </c>
      <c r="X200" s="3">
        <f t="shared" si="79"/>
        <v>2592000</v>
      </c>
      <c r="Y200">
        <f t="shared" si="80"/>
        <v>0.2814814814814815</v>
      </c>
      <c r="Z200">
        <f t="shared" si="81"/>
        <v>0.76</v>
      </c>
      <c r="AA200" t="str">
        <f t="shared" si="82"/>
        <v>Tier 5 - Retirement Pipeline</v>
      </c>
      <c r="AB200" s="3">
        <f t="shared" si="83"/>
        <v>43200</v>
      </c>
      <c r="AC200" s="3">
        <f t="shared" si="84"/>
        <v>480000</v>
      </c>
      <c r="AD200" s="3">
        <f t="shared" si="85"/>
        <v>180000</v>
      </c>
      <c r="AE200" s="5">
        <f t="shared" si="86"/>
        <v>3.5087719298245612</v>
      </c>
      <c r="AF200" s="10">
        <f t="shared" si="87"/>
        <v>214272</v>
      </c>
      <c r="AG200" s="10">
        <f t="shared" si="88"/>
        <v>69120</v>
      </c>
      <c r="AH200" s="10">
        <f t="shared" si="89"/>
        <v>34560</v>
      </c>
      <c r="AI200" s="10">
        <f t="shared" si="90"/>
        <v>17280</v>
      </c>
      <c r="AJ200" s="10">
        <f t="shared" si="91"/>
        <v>10368</v>
      </c>
    </row>
    <row r="201" spans="1:36" x14ac:dyDescent="0.3">
      <c r="A201" t="s">
        <v>841</v>
      </c>
      <c r="B201" t="s">
        <v>842</v>
      </c>
      <c r="C201" t="s">
        <v>843</v>
      </c>
      <c r="D201" t="s">
        <v>765</v>
      </c>
      <c r="E201">
        <v>39301</v>
      </c>
      <c r="F201" t="s">
        <v>15</v>
      </c>
      <c r="G201">
        <v>8</v>
      </c>
      <c r="H201">
        <v>150</v>
      </c>
      <c r="I201" t="str" cm="1">
        <f t="array" ref="I201">_xlfn.IFS(H201&lt;=120,"V1",H201&lt;=150,"V2",H201&lt;=250,"V3", H201&lt;=350, "V4")</f>
        <v>V2</v>
      </c>
      <c r="J201" t="s">
        <v>844</v>
      </c>
      <c r="K201" t="str">
        <f t="shared" si="69"/>
        <v>32.35778</v>
      </c>
      <c r="L201" t="str">
        <f t="shared" si="70"/>
        <v>-88.671246</v>
      </c>
      <c r="M201">
        <v>123</v>
      </c>
      <c r="N201" s="1">
        <v>42650</v>
      </c>
      <c r="O201" s="1">
        <v>46099</v>
      </c>
      <c r="P201" s="2">
        <f t="shared" si="71"/>
        <v>9.4428473648186166</v>
      </c>
      <c r="Q201" s="2" t="str">
        <f t="shared" si="72"/>
        <v>Old</v>
      </c>
      <c r="R201">
        <f t="shared" si="73"/>
        <v>1200</v>
      </c>
      <c r="S201" t="str">
        <f t="shared" si="74"/>
        <v>Small</v>
      </c>
      <c r="T201" t="str">
        <f t="shared" si="75"/>
        <v>Lower EV Adoption Corridor</v>
      </c>
      <c r="U201" s="3">
        <f t="shared" si="76"/>
        <v>1980000.0000000002</v>
      </c>
      <c r="V201" s="4">
        <f t="shared" si="77"/>
        <v>480000</v>
      </c>
      <c r="W201" s="3">
        <f t="shared" si="78"/>
        <v>6000000</v>
      </c>
      <c r="X201" s="3">
        <f t="shared" si="79"/>
        <v>3600000</v>
      </c>
      <c r="Y201">
        <f t="shared" si="80"/>
        <v>0.3</v>
      </c>
      <c r="Z201">
        <f t="shared" si="81"/>
        <v>0.75757575757575757</v>
      </c>
      <c r="AA201" t="str">
        <f t="shared" si="82"/>
        <v>Tier 4 - Stable Network</v>
      </c>
      <c r="AB201" s="3">
        <f t="shared" si="83"/>
        <v>60000</v>
      </c>
      <c r="AC201" s="3">
        <f t="shared" si="84"/>
        <v>750000</v>
      </c>
      <c r="AD201" s="3">
        <f t="shared" si="85"/>
        <v>247500.00000000003</v>
      </c>
      <c r="AE201" s="5">
        <f t="shared" si="86"/>
        <v>3.9999999999999996</v>
      </c>
      <c r="AF201" s="10">
        <f t="shared" si="87"/>
        <v>297600</v>
      </c>
      <c r="AG201" s="10">
        <f t="shared" si="88"/>
        <v>96000</v>
      </c>
      <c r="AH201" s="10">
        <f t="shared" si="89"/>
        <v>48000</v>
      </c>
      <c r="AI201" s="10">
        <f t="shared" si="90"/>
        <v>24000</v>
      </c>
      <c r="AJ201" s="10">
        <f t="shared" si="91"/>
        <v>14400</v>
      </c>
    </row>
    <row r="202" spans="1:36" x14ac:dyDescent="0.3">
      <c r="A202" t="s">
        <v>845</v>
      </c>
      <c r="B202" t="s">
        <v>846</v>
      </c>
      <c r="C202" t="s">
        <v>847</v>
      </c>
      <c r="D202" t="s">
        <v>158</v>
      </c>
      <c r="E202">
        <v>12901</v>
      </c>
      <c r="F202" t="s">
        <v>15</v>
      </c>
      <c r="G202">
        <v>8</v>
      </c>
      <c r="H202">
        <v>120</v>
      </c>
      <c r="I202" t="str" cm="1">
        <f t="array" ref="I202">_xlfn.IFS(H202&lt;=120,"V1",H202&lt;=150,"V2",H202&lt;=250,"V3", H202&lt;=350, "V4")</f>
        <v>V1</v>
      </c>
      <c r="J202" t="s">
        <v>848</v>
      </c>
      <c r="K202" t="str">
        <f t="shared" si="69"/>
        <v>44.704537</v>
      </c>
      <c r="L202" t="str">
        <f t="shared" si="70"/>
        <v>-73.491829</v>
      </c>
      <c r="M202">
        <v>94</v>
      </c>
      <c r="N202" s="1">
        <v>42530</v>
      </c>
      <c r="O202" s="1">
        <v>46099</v>
      </c>
      <c r="P202" s="2">
        <f t="shared" si="71"/>
        <v>9.7713894592744701</v>
      </c>
      <c r="Q202" s="2" t="str">
        <f t="shared" si="72"/>
        <v>Old</v>
      </c>
      <c r="R202">
        <f t="shared" si="73"/>
        <v>960</v>
      </c>
      <c r="S202" t="str">
        <f t="shared" si="74"/>
        <v>Small</v>
      </c>
      <c r="T202" t="str">
        <f t="shared" si="75"/>
        <v>Lower EV Adoption Corridor</v>
      </c>
      <c r="U202" s="3">
        <f t="shared" si="76"/>
        <v>1440000</v>
      </c>
      <c r="V202" s="4">
        <f t="shared" si="77"/>
        <v>345600</v>
      </c>
      <c r="W202" s="3">
        <f t="shared" si="78"/>
        <v>3840000</v>
      </c>
      <c r="X202" s="3">
        <f t="shared" si="79"/>
        <v>2592000</v>
      </c>
      <c r="Y202">
        <f t="shared" si="80"/>
        <v>0.2814814814814815</v>
      </c>
      <c r="Z202">
        <f t="shared" si="81"/>
        <v>0.76</v>
      </c>
      <c r="AA202" t="str">
        <f t="shared" si="82"/>
        <v>Tier 5 - Retirement Pipeline</v>
      </c>
      <c r="AB202" s="3">
        <f t="shared" si="83"/>
        <v>43200</v>
      </c>
      <c r="AC202" s="3">
        <f t="shared" si="84"/>
        <v>480000</v>
      </c>
      <c r="AD202" s="3">
        <f t="shared" si="85"/>
        <v>180000</v>
      </c>
      <c r="AE202" s="5">
        <f t="shared" si="86"/>
        <v>3.5087719298245612</v>
      </c>
      <c r="AF202" s="10">
        <f t="shared" si="87"/>
        <v>214272</v>
      </c>
      <c r="AG202" s="10">
        <f t="shared" si="88"/>
        <v>69120</v>
      </c>
      <c r="AH202" s="10">
        <f t="shared" si="89"/>
        <v>34560</v>
      </c>
      <c r="AI202" s="10">
        <f t="shared" si="90"/>
        <v>17280</v>
      </c>
      <c r="AJ202" s="10">
        <f t="shared" si="91"/>
        <v>10368</v>
      </c>
    </row>
    <row r="203" spans="1:36" x14ac:dyDescent="0.3">
      <c r="A203" t="s">
        <v>849</v>
      </c>
      <c r="B203" t="s">
        <v>850</v>
      </c>
      <c r="C203" t="s">
        <v>851</v>
      </c>
      <c r="D203" t="s">
        <v>852</v>
      </c>
      <c r="E203">
        <v>8234</v>
      </c>
      <c r="F203" t="s">
        <v>15</v>
      </c>
      <c r="G203">
        <v>8</v>
      </c>
      <c r="H203">
        <v>120</v>
      </c>
      <c r="I203" t="str" cm="1">
        <f t="array" ref="I203">_xlfn.IFS(H203&lt;=120,"V1",H203&lt;=150,"V2",H203&lt;=250,"V3", H203&lt;=350, "V4")</f>
        <v>V1</v>
      </c>
      <c r="J203" t="s">
        <v>853</v>
      </c>
      <c r="K203" t="str">
        <f t="shared" si="69"/>
        <v>39.393663</v>
      </c>
      <c r="L203" t="str">
        <f t="shared" si="70"/>
        <v>-74.562619</v>
      </c>
      <c r="M203">
        <v>9</v>
      </c>
      <c r="N203" s="1">
        <v>42544</v>
      </c>
      <c r="O203" s="1">
        <v>46099</v>
      </c>
      <c r="P203" s="2">
        <f t="shared" si="71"/>
        <v>9.7330595482546194</v>
      </c>
      <c r="Q203" s="2" t="str">
        <f t="shared" si="72"/>
        <v>Old</v>
      </c>
      <c r="R203">
        <f t="shared" si="73"/>
        <v>960</v>
      </c>
      <c r="S203" t="str">
        <f t="shared" si="74"/>
        <v>Small</v>
      </c>
      <c r="T203" t="str">
        <f t="shared" si="75"/>
        <v>High EV Adoption Corridor</v>
      </c>
      <c r="U203" s="3">
        <f t="shared" si="76"/>
        <v>1872000</v>
      </c>
      <c r="V203" s="4">
        <f t="shared" si="77"/>
        <v>414720</v>
      </c>
      <c r="W203" s="3">
        <f t="shared" si="78"/>
        <v>4224000</v>
      </c>
      <c r="X203" s="3">
        <f t="shared" si="79"/>
        <v>3888000</v>
      </c>
      <c r="Y203">
        <f t="shared" si="80"/>
        <v>0.21530864197530863</v>
      </c>
      <c r="Z203">
        <f t="shared" si="81"/>
        <v>0.77846153846153843</v>
      </c>
      <c r="AA203" t="str">
        <f t="shared" si="82"/>
        <v>Tier 3 - Upgrade Pipeline</v>
      </c>
      <c r="AB203" s="3">
        <f t="shared" si="83"/>
        <v>51840</v>
      </c>
      <c r="AC203" s="3">
        <f t="shared" si="84"/>
        <v>528000</v>
      </c>
      <c r="AD203" s="3">
        <f t="shared" si="85"/>
        <v>234000</v>
      </c>
      <c r="AE203" s="5">
        <f t="shared" si="86"/>
        <v>2.8985507246376812</v>
      </c>
      <c r="AF203" s="10">
        <f t="shared" si="87"/>
        <v>257126.39999999999</v>
      </c>
      <c r="AG203" s="10">
        <f t="shared" si="88"/>
        <v>82944</v>
      </c>
      <c r="AH203" s="10">
        <f t="shared" si="89"/>
        <v>41472</v>
      </c>
      <c r="AI203" s="10">
        <f t="shared" si="90"/>
        <v>20736</v>
      </c>
      <c r="AJ203" s="10">
        <f t="shared" si="91"/>
        <v>12441.6</v>
      </c>
    </row>
    <row r="204" spans="1:36" x14ac:dyDescent="0.3">
      <c r="A204" t="s">
        <v>854</v>
      </c>
      <c r="B204" t="s">
        <v>855</v>
      </c>
      <c r="C204" t="s">
        <v>856</v>
      </c>
      <c r="D204" t="s">
        <v>522</v>
      </c>
      <c r="E204">
        <v>65803</v>
      </c>
      <c r="F204" t="s">
        <v>15</v>
      </c>
      <c r="G204">
        <v>8</v>
      </c>
      <c r="H204">
        <v>150</v>
      </c>
      <c r="I204" t="str" cm="1">
        <f t="array" ref="I204">_xlfn.IFS(H204&lt;=120,"V1",H204&lt;=150,"V2",H204&lt;=250,"V3", H204&lt;=350, "V4")</f>
        <v>V2</v>
      </c>
      <c r="J204" t="s">
        <v>857</v>
      </c>
      <c r="K204" t="str">
        <f t="shared" si="69"/>
        <v>37.251836</v>
      </c>
      <c r="L204" t="str">
        <f t="shared" si="70"/>
        <v>-93.265534</v>
      </c>
      <c r="M204">
        <v>398</v>
      </c>
      <c r="N204" s="1">
        <v>42690</v>
      </c>
      <c r="O204" s="1">
        <v>46099</v>
      </c>
      <c r="P204" s="2">
        <f t="shared" si="71"/>
        <v>9.3333333333333339</v>
      </c>
      <c r="Q204" s="2" t="str">
        <f t="shared" si="72"/>
        <v>Old</v>
      </c>
      <c r="R204">
        <f t="shared" si="73"/>
        <v>1200</v>
      </c>
      <c r="S204" t="str">
        <f t="shared" si="74"/>
        <v>Small</v>
      </c>
      <c r="T204" t="str">
        <f t="shared" si="75"/>
        <v>Lower EV Adoption Corridor</v>
      </c>
      <c r="U204" s="3">
        <f t="shared" si="76"/>
        <v>1980000.0000000002</v>
      </c>
      <c r="V204" s="4">
        <f t="shared" si="77"/>
        <v>480000</v>
      </c>
      <c r="W204" s="3">
        <f t="shared" si="78"/>
        <v>6000000</v>
      </c>
      <c r="X204" s="3">
        <f t="shared" si="79"/>
        <v>3600000</v>
      </c>
      <c r="Y204">
        <f t="shared" si="80"/>
        <v>0.3</v>
      </c>
      <c r="Z204">
        <f t="shared" si="81"/>
        <v>0.75757575757575757</v>
      </c>
      <c r="AA204" t="str">
        <f t="shared" si="82"/>
        <v>Tier 4 - Stable Network</v>
      </c>
      <c r="AB204" s="3">
        <f t="shared" si="83"/>
        <v>60000</v>
      </c>
      <c r="AC204" s="3">
        <f t="shared" si="84"/>
        <v>750000</v>
      </c>
      <c r="AD204" s="3">
        <f t="shared" si="85"/>
        <v>247500.00000000003</v>
      </c>
      <c r="AE204" s="5">
        <f t="shared" si="86"/>
        <v>3.9999999999999996</v>
      </c>
      <c r="AF204" s="10">
        <f t="shared" si="87"/>
        <v>297600</v>
      </c>
      <c r="AG204" s="10">
        <f t="shared" si="88"/>
        <v>96000</v>
      </c>
      <c r="AH204" s="10">
        <f t="shared" si="89"/>
        <v>48000</v>
      </c>
      <c r="AI204" s="10">
        <f t="shared" si="90"/>
        <v>24000</v>
      </c>
      <c r="AJ204" s="10">
        <f t="shared" si="91"/>
        <v>14400</v>
      </c>
    </row>
    <row r="205" spans="1:36" x14ac:dyDescent="0.3">
      <c r="A205" t="s">
        <v>858</v>
      </c>
      <c r="B205" t="s">
        <v>859</v>
      </c>
      <c r="C205" t="s">
        <v>860</v>
      </c>
      <c r="D205" t="s">
        <v>522</v>
      </c>
      <c r="E205">
        <v>63801</v>
      </c>
      <c r="F205" t="s">
        <v>15</v>
      </c>
      <c r="G205">
        <v>8</v>
      </c>
      <c r="H205">
        <v>150</v>
      </c>
      <c r="I205" t="str" cm="1">
        <f t="array" ref="I205">_xlfn.IFS(H205&lt;=120,"V1",H205&lt;=150,"V2",H205&lt;=250,"V3", H205&lt;=350, "V4")</f>
        <v>V2</v>
      </c>
      <c r="J205" t="s">
        <v>861</v>
      </c>
      <c r="K205" t="str">
        <f t="shared" si="69"/>
        <v>36.893583</v>
      </c>
      <c r="L205" t="str">
        <f t="shared" si="70"/>
        <v>-89.533986</v>
      </c>
      <c r="M205">
        <v>94</v>
      </c>
      <c r="N205" s="1">
        <v>42522</v>
      </c>
      <c r="O205" s="1">
        <v>46099</v>
      </c>
      <c r="P205" s="2">
        <f t="shared" si="71"/>
        <v>9.7932922655715267</v>
      </c>
      <c r="Q205" s="2" t="str">
        <f t="shared" si="72"/>
        <v>Old</v>
      </c>
      <c r="R205">
        <f t="shared" si="73"/>
        <v>1200</v>
      </c>
      <c r="S205" t="str">
        <f t="shared" si="74"/>
        <v>Small</v>
      </c>
      <c r="T205" t="str">
        <f t="shared" si="75"/>
        <v>Lower EV Adoption Corridor</v>
      </c>
      <c r="U205" s="3">
        <f t="shared" si="76"/>
        <v>1980000.0000000002</v>
      </c>
      <c r="V205" s="4">
        <f t="shared" si="77"/>
        <v>480000</v>
      </c>
      <c r="W205" s="3">
        <f t="shared" si="78"/>
        <v>6000000</v>
      </c>
      <c r="X205" s="3">
        <f t="shared" si="79"/>
        <v>3600000</v>
      </c>
      <c r="Y205">
        <f t="shared" si="80"/>
        <v>0.3</v>
      </c>
      <c r="Z205">
        <f t="shared" si="81"/>
        <v>0.75757575757575757</v>
      </c>
      <c r="AA205" t="str">
        <f t="shared" si="82"/>
        <v>Tier 4 - Stable Network</v>
      </c>
      <c r="AB205" s="3">
        <f t="shared" si="83"/>
        <v>60000</v>
      </c>
      <c r="AC205" s="3">
        <f t="shared" si="84"/>
        <v>750000</v>
      </c>
      <c r="AD205" s="3">
        <f t="shared" si="85"/>
        <v>247500.00000000003</v>
      </c>
      <c r="AE205" s="5">
        <f t="shared" si="86"/>
        <v>3.9999999999999996</v>
      </c>
      <c r="AF205" s="10">
        <f t="shared" si="87"/>
        <v>297600</v>
      </c>
      <c r="AG205" s="10">
        <f t="shared" si="88"/>
        <v>96000</v>
      </c>
      <c r="AH205" s="10">
        <f t="shared" si="89"/>
        <v>48000</v>
      </c>
      <c r="AI205" s="10">
        <f t="shared" si="90"/>
        <v>24000</v>
      </c>
      <c r="AJ205" s="10">
        <f t="shared" si="91"/>
        <v>14400</v>
      </c>
    </row>
    <row r="206" spans="1:36" x14ac:dyDescent="0.3">
      <c r="A206" t="s">
        <v>862</v>
      </c>
      <c r="B206" t="s">
        <v>863</v>
      </c>
      <c r="C206" t="s">
        <v>864</v>
      </c>
      <c r="D206" t="s">
        <v>111</v>
      </c>
      <c r="E206">
        <v>55128</v>
      </c>
      <c r="F206" t="s">
        <v>15</v>
      </c>
      <c r="G206">
        <v>8</v>
      </c>
      <c r="H206">
        <v>150</v>
      </c>
      <c r="I206" t="str" cm="1">
        <f t="array" ref="I206">_xlfn.IFS(H206&lt;=120,"V1",H206&lt;=150,"V2",H206&lt;=250,"V3", H206&lt;=350, "V4")</f>
        <v>V2</v>
      </c>
      <c r="J206" t="s">
        <v>865</v>
      </c>
      <c r="K206" t="str">
        <f t="shared" si="69"/>
        <v>44.96499</v>
      </c>
      <c r="L206" t="str">
        <f t="shared" si="70"/>
        <v>-92.96129</v>
      </c>
      <c r="M206">
        <v>329</v>
      </c>
      <c r="N206" s="1">
        <v>42599</v>
      </c>
      <c r="O206" s="1">
        <v>46099</v>
      </c>
      <c r="P206" s="2">
        <f t="shared" si="71"/>
        <v>9.5824777549623548</v>
      </c>
      <c r="Q206" s="2" t="str">
        <f t="shared" si="72"/>
        <v>Old</v>
      </c>
      <c r="R206">
        <f t="shared" si="73"/>
        <v>1200</v>
      </c>
      <c r="S206" t="str">
        <f t="shared" si="74"/>
        <v>Small</v>
      </c>
      <c r="T206" t="str">
        <f t="shared" si="75"/>
        <v>Lower EV Adoption Corridor</v>
      </c>
      <c r="U206" s="3">
        <f t="shared" si="76"/>
        <v>1980000.0000000002</v>
      </c>
      <c r="V206" s="4">
        <f t="shared" si="77"/>
        <v>480000</v>
      </c>
      <c r="W206" s="3">
        <f t="shared" si="78"/>
        <v>6000000</v>
      </c>
      <c r="X206" s="3">
        <f t="shared" si="79"/>
        <v>3600000</v>
      </c>
      <c r="Y206">
        <f t="shared" si="80"/>
        <v>0.3</v>
      </c>
      <c r="Z206">
        <f t="shared" si="81"/>
        <v>0.75757575757575757</v>
      </c>
      <c r="AA206" t="str">
        <f t="shared" si="82"/>
        <v>Tier 4 - Stable Network</v>
      </c>
      <c r="AB206" s="3">
        <f t="shared" si="83"/>
        <v>60000</v>
      </c>
      <c r="AC206" s="3">
        <f t="shared" si="84"/>
        <v>750000</v>
      </c>
      <c r="AD206" s="3">
        <f t="shared" si="85"/>
        <v>247500.00000000003</v>
      </c>
      <c r="AE206" s="5">
        <f t="shared" si="86"/>
        <v>3.9999999999999996</v>
      </c>
      <c r="AF206" s="10">
        <f t="shared" si="87"/>
        <v>297600</v>
      </c>
      <c r="AG206" s="10">
        <f t="shared" si="88"/>
        <v>96000</v>
      </c>
      <c r="AH206" s="10">
        <f t="shared" si="89"/>
        <v>48000</v>
      </c>
      <c r="AI206" s="10">
        <f t="shared" si="90"/>
        <v>24000</v>
      </c>
      <c r="AJ206" s="10">
        <f t="shared" si="91"/>
        <v>14400</v>
      </c>
    </row>
    <row r="207" spans="1:36" x14ac:dyDescent="0.3">
      <c r="A207" t="s">
        <v>866</v>
      </c>
      <c r="B207" t="s">
        <v>867</v>
      </c>
      <c r="C207" t="s">
        <v>868</v>
      </c>
      <c r="D207" t="s">
        <v>350</v>
      </c>
      <c r="E207">
        <v>71104</v>
      </c>
      <c r="F207" t="s">
        <v>15</v>
      </c>
      <c r="G207">
        <v>8</v>
      </c>
      <c r="H207">
        <v>150</v>
      </c>
      <c r="I207" t="str" cm="1">
        <f t="array" ref="I207">_xlfn.IFS(H207&lt;=120,"V1",H207&lt;=150,"V2",H207&lt;=250,"V3", H207&lt;=350, "V4")</f>
        <v>V2</v>
      </c>
      <c r="J207" t="s">
        <v>869</v>
      </c>
      <c r="K207" t="str">
        <f t="shared" si="69"/>
        <v>32.478594</v>
      </c>
      <c r="L207" t="str">
        <f t="shared" si="70"/>
        <v>-93.75437</v>
      </c>
      <c r="M207">
        <v>59</v>
      </c>
      <c r="N207" s="1">
        <v>42502</v>
      </c>
      <c r="O207" s="1">
        <v>46099</v>
      </c>
      <c r="P207" s="2">
        <f t="shared" si="71"/>
        <v>9.848049281314168</v>
      </c>
      <c r="Q207" s="2" t="str">
        <f t="shared" si="72"/>
        <v>Old</v>
      </c>
      <c r="R207">
        <f t="shared" si="73"/>
        <v>1200</v>
      </c>
      <c r="S207" t="str">
        <f t="shared" si="74"/>
        <v>Small</v>
      </c>
      <c r="T207" t="str">
        <f t="shared" si="75"/>
        <v>Lower EV Adoption Corridor</v>
      </c>
      <c r="U207" s="3">
        <f t="shared" si="76"/>
        <v>1980000.0000000002</v>
      </c>
      <c r="V207" s="4">
        <f t="shared" si="77"/>
        <v>480000</v>
      </c>
      <c r="W207" s="3">
        <f t="shared" si="78"/>
        <v>6000000</v>
      </c>
      <c r="X207" s="3">
        <f t="shared" si="79"/>
        <v>3600000</v>
      </c>
      <c r="Y207">
        <f t="shared" si="80"/>
        <v>0.3</v>
      </c>
      <c r="Z207">
        <f t="shared" si="81"/>
        <v>0.75757575757575757</v>
      </c>
      <c r="AA207" t="str">
        <f t="shared" si="82"/>
        <v>Tier 4 - Stable Network</v>
      </c>
      <c r="AB207" s="3">
        <f t="shared" si="83"/>
        <v>60000</v>
      </c>
      <c r="AC207" s="3">
        <f t="shared" si="84"/>
        <v>750000</v>
      </c>
      <c r="AD207" s="3">
        <f t="shared" si="85"/>
        <v>247500.00000000003</v>
      </c>
      <c r="AE207" s="5">
        <f t="shared" si="86"/>
        <v>3.9999999999999996</v>
      </c>
      <c r="AF207" s="10">
        <f t="shared" si="87"/>
        <v>297600</v>
      </c>
      <c r="AG207" s="10">
        <f t="shared" si="88"/>
        <v>96000</v>
      </c>
      <c r="AH207" s="10">
        <f t="shared" si="89"/>
        <v>48000</v>
      </c>
      <c r="AI207" s="10">
        <f t="shared" si="90"/>
        <v>24000</v>
      </c>
      <c r="AJ207" s="10">
        <f t="shared" si="91"/>
        <v>14400</v>
      </c>
    </row>
    <row r="208" spans="1:36" x14ac:dyDescent="0.3">
      <c r="A208" t="s">
        <v>870</v>
      </c>
      <c r="B208" t="s">
        <v>871</v>
      </c>
      <c r="C208" t="s">
        <v>872</v>
      </c>
      <c r="D208" t="s">
        <v>415</v>
      </c>
      <c r="E208">
        <v>50266</v>
      </c>
      <c r="F208" t="s">
        <v>15</v>
      </c>
      <c r="G208">
        <v>8</v>
      </c>
      <c r="H208">
        <v>150</v>
      </c>
      <c r="I208" t="str" cm="1">
        <f t="array" ref="I208">_xlfn.IFS(H208&lt;=120,"V1",H208&lt;=150,"V2",H208&lt;=250,"V3", H208&lt;=350, "V4")</f>
        <v>V2</v>
      </c>
      <c r="J208" t="s">
        <v>873</v>
      </c>
      <c r="K208" t="str">
        <f t="shared" si="69"/>
        <v>41.599019</v>
      </c>
      <c r="L208" t="str">
        <f t="shared" si="70"/>
        <v>-93.806336</v>
      </c>
      <c r="M208">
        <v>300</v>
      </c>
      <c r="N208" s="1">
        <v>42664</v>
      </c>
      <c r="O208" s="1">
        <v>46099</v>
      </c>
      <c r="P208" s="2">
        <f t="shared" si="71"/>
        <v>9.4045174537987677</v>
      </c>
      <c r="Q208" s="2" t="str">
        <f t="shared" si="72"/>
        <v>Old</v>
      </c>
      <c r="R208">
        <f t="shared" si="73"/>
        <v>1200</v>
      </c>
      <c r="S208" t="str">
        <f t="shared" si="74"/>
        <v>Small</v>
      </c>
      <c r="T208" t="str">
        <f t="shared" si="75"/>
        <v>Lower EV Adoption Corridor</v>
      </c>
      <c r="U208" s="3">
        <f t="shared" si="76"/>
        <v>1980000.0000000002</v>
      </c>
      <c r="V208" s="4">
        <f t="shared" si="77"/>
        <v>480000</v>
      </c>
      <c r="W208" s="3">
        <f t="shared" si="78"/>
        <v>6000000</v>
      </c>
      <c r="X208" s="3">
        <f t="shared" si="79"/>
        <v>3600000</v>
      </c>
      <c r="Y208">
        <f t="shared" si="80"/>
        <v>0.3</v>
      </c>
      <c r="Z208">
        <f t="shared" si="81"/>
        <v>0.75757575757575757</v>
      </c>
      <c r="AA208" t="str">
        <f t="shared" si="82"/>
        <v>Tier 4 - Stable Network</v>
      </c>
      <c r="AB208" s="3">
        <f t="shared" si="83"/>
        <v>60000</v>
      </c>
      <c r="AC208" s="3">
        <f t="shared" si="84"/>
        <v>750000</v>
      </c>
      <c r="AD208" s="3">
        <f t="shared" si="85"/>
        <v>247500.00000000003</v>
      </c>
      <c r="AE208" s="5">
        <f t="shared" si="86"/>
        <v>3.9999999999999996</v>
      </c>
      <c r="AF208" s="10">
        <f t="shared" si="87"/>
        <v>297600</v>
      </c>
      <c r="AG208" s="10">
        <f t="shared" si="88"/>
        <v>96000</v>
      </c>
      <c r="AH208" s="10">
        <f t="shared" si="89"/>
        <v>48000</v>
      </c>
      <c r="AI208" s="10">
        <f t="shared" si="90"/>
        <v>24000</v>
      </c>
      <c r="AJ208" s="10">
        <f t="shared" si="91"/>
        <v>14400</v>
      </c>
    </row>
    <row r="209" spans="1:36" x14ac:dyDescent="0.3">
      <c r="A209" t="s">
        <v>874</v>
      </c>
      <c r="B209" t="s">
        <v>875</v>
      </c>
      <c r="C209" t="s">
        <v>876</v>
      </c>
      <c r="D209" t="s">
        <v>294</v>
      </c>
      <c r="E209">
        <v>38119</v>
      </c>
      <c r="F209" t="s">
        <v>15</v>
      </c>
      <c r="G209">
        <v>8</v>
      </c>
      <c r="H209">
        <v>150</v>
      </c>
      <c r="I209" t="str" cm="1">
        <f t="array" ref="I209">_xlfn.IFS(H209&lt;=120,"V1",H209&lt;=150,"V2",H209&lt;=250,"V3", H209&lt;=350, "V4")</f>
        <v>V2</v>
      </c>
      <c r="J209" t="s">
        <v>877</v>
      </c>
      <c r="K209" t="str">
        <f t="shared" si="69"/>
        <v>35.097801</v>
      </c>
      <c r="L209" t="str">
        <f t="shared" si="70"/>
        <v>-89.858957</v>
      </c>
      <c r="M209">
        <v>95</v>
      </c>
      <c r="N209" s="1">
        <v>42705</v>
      </c>
      <c r="O209" s="1">
        <v>46099</v>
      </c>
      <c r="P209" s="2">
        <f t="shared" si="71"/>
        <v>9.292265571526352</v>
      </c>
      <c r="Q209" s="2" t="str">
        <f t="shared" si="72"/>
        <v>Old</v>
      </c>
      <c r="R209">
        <f t="shared" si="73"/>
        <v>1200</v>
      </c>
      <c r="S209" t="str">
        <f t="shared" si="74"/>
        <v>Small</v>
      </c>
      <c r="T209" t="str">
        <f t="shared" si="75"/>
        <v>Lower EV Adoption Corridor</v>
      </c>
      <c r="U209" s="3">
        <f t="shared" si="76"/>
        <v>1980000.0000000002</v>
      </c>
      <c r="V209" s="4">
        <f t="shared" si="77"/>
        <v>480000</v>
      </c>
      <c r="W209" s="3">
        <f t="shared" si="78"/>
        <v>6000000</v>
      </c>
      <c r="X209" s="3">
        <f t="shared" si="79"/>
        <v>3600000</v>
      </c>
      <c r="Y209">
        <f t="shared" si="80"/>
        <v>0.3</v>
      </c>
      <c r="Z209">
        <f t="shared" si="81"/>
        <v>0.75757575757575757</v>
      </c>
      <c r="AA209" t="str">
        <f t="shared" si="82"/>
        <v>Tier 4 - Stable Network</v>
      </c>
      <c r="AB209" s="3">
        <f t="shared" si="83"/>
        <v>60000</v>
      </c>
      <c r="AC209" s="3">
        <f t="shared" si="84"/>
        <v>750000</v>
      </c>
      <c r="AD209" s="3">
        <f t="shared" si="85"/>
        <v>247500.00000000003</v>
      </c>
      <c r="AE209" s="5">
        <f t="shared" si="86"/>
        <v>3.9999999999999996</v>
      </c>
      <c r="AF209" s="10">
        <f t="shared" si="87"/>
        <v>297600</v>
      </c>
      <c r="AG209" s="10">
        <f t="shared" si="88"/>
        <v>96000</v>
      </c>
      <c r="AH209" s="10">
        <f t="shared" si="89"/>
        <v>48000</v>
      </c>
      <c r="AI209" s="10">
        <f t="shared" si="90"/>
        <v>24000</v>
      </c>
      <c r="AJ209" s="10">
        <f t="shared" si="91"/>
        <v>14400</v>
      </c>
    </row>
    <row r="210" spans="1:36" x14ac:dyDescent="0.3">
      <c r="A210" t="s">
        <v>878</v>
      </c>
      <c r="B210" t="s">
        <v>879</v>
      </c>
      <c r="C210" t="s">
        <v>880</v>
      </c>
      <c r="D210" t="s">
        <v>14</v>
      </c>
      <c r="E210">
        <v>93105</v>
      </c>
      <c r="F210" t="s">
        <v>15</v>
      </c>
      <c r="G210">
        <v>16</v>
      </c>
      <c r="H210">
        <v>250</v>
      </c>
      <c r="I210" t="str" cm="1">
        <f t="array" ref="I210">_xlfn.IFS(H210&lt;=120,"V1",H210&lt;=150,"V2",H210&lt;=250,"V3", H210&lt;=350, "V4")</f>
        <v>V3</v>
      </c>
      <c r="J210" t="s">
        <v>881</v>
      </c>
      <c r="K210" t="str">
        <f t="shared" si="69"/>
        <v>34.440227</v>
      </c>
      <c r="L210" t="str">
        <f t="shared" si="70"/>
        <v>-119.753359</v>
      </c>
      <c r="M210">
        <v>61</v>
      </c>
      <c r="N210" s="1">
        <v>44473</v>
      </c>
      <c r="O210" s="1">
        <v>46099</v>
      </c>
      <c r="P210" s="2">
        <f t="shared" si="71"/>
        <v>4.4517453798767965</v>
      </c>
      <c r="Q210" s="2" t="str">
        <f t="shared" si="72"/>
        <v>Mid</v>
      </c>
      <c r="R210">
        <f t="shared" si="73"/>
        <v>4000</v>
      </c>
      <c r="S210" t="str">
        <f t="shared" si="74"/>
        <v>Small</v>
      </c>
      <c r="T210" t="str">
        <f t="shared" si="75"/>
        <v>High EV Adoption Corridor</v>
      </c>
      <c r="U210" s="3">
        <f t="shared" si="76"/>
        <v>9360000</v>
      </c>
      <c r="V210" s="4">
        <f t="shared" si="77"/>
        <v>2112000</v>
      </c>
      <c r="W210" s="3">
        <f t="shared" si="78"/>
        <v>26400000.000000004</v>
      </c>
      <c r="X210" s="3">
        <f t="shared" si="79"/>
        <v>19800000.000000004</v>
      </c>
      <c r="Y210">
        <f t="shared" si="80"/>
        <v>0.23999999999999996</v>
      </c>
      <c r="Z210">
        <f t="shared" si="81"/>
        <v>0.77435897435897438</v>
      </c>
      <c r="AA210" t="str">
        <f t="shared" si="82"/>
        <v>Tier 1 - Priority Fleet</v>
      </c>
      <c r="AB210" s="3">
        <f t="shared" si="83"/>
        <v>132000</v>
      </c>
      <c r="AC210" s="3">
        <f t="shared" si="84"/>
        <v>1650000.0000000002</v>
      </c>
      <c r="AD210" s="3">
        <f t="shared" si="85"/>
        <v>585000</v>
      </c>
      <c r="AE210" s="5">
        <f t="shared" si="86"/>
        <v>3.6423841059602653</v>
      </c>
      <c r="AF210" s="10">
        <f t="shared" si="87"/>
        <v>1309440</v>
      </c>
      <c r="AG210" s="10">
        <f t="shared" si="88"/>
        <v>422400</v>
      </c>
      <c r="AH210" s="10">
        <f t="shared" si="89"/>
        <v>211200</v>
      </c>
      <c r="AI210" s="10">
        <f t="shared" si="90"/>
        <v>105600</v>
      </c>
      <c r="AJ210" s="10">
        <f t="shared" si="91"/>
        <v>63360</v>
      </c>
    </row>
    <row r="211" spans="1:36" x14ac:dyDescent="0.3">
      <c r="A211" t="s">
        <v>882</v>
      </c>
      <c r="B211" t="s">
        <v>883</v>
      </c>
      <c r="C211" t="s">
        <v>884</v>
      </c>
      <c r="D211" t="s">
        <v>505</v>
      </c>
      <c r="E211">
        <v>74015</v>
      </c>
      <c r="F211" t="s">
        <v>15</v>
      </c>
      <c r="G211">
        <v>8</v>
      </c>
      <c r="H211">
        <v>150</v>
      </c>
      <c r="I211" t="str" cm="1">
        <f t="array" ref="I211">_xlfn.IFS(H211&lt;=120,"V1",H211&lt;=150,"V2",H211&lt;=250,"V3", H211&lt;=350, "V4")</f>
        <v>V2</v>
      </c>
      <c r="J211" t="s">
        <v>885</v>
      </c>
      <c r="K211" t="str">
        <f t="shared" si="69"/>
        <v>36.167631</v>
      </c>
      <c r="L211" t="str">
        <f t="shared" si="70"/>
        <v>-95.766044</v>
      </c>
      <c r="M211">
        <v>209</v>
      </c>
      <c r="N211" s="1">
        <v>42567</v>
      </c>
      <c r="O211" s="1">
        <v>46099</v>
      </c>
      <c r="P211" s="2">
        <f t="shared" si="71"/>
        <v>9.6700889801505809</v>
      </c>
      <c r="Q211" s="2" t="str">
        <f t="shared" si="72"/>
        <v>Old</v>
      </c>
      <c r="R211">
        <f t="shared" si="73"/>
        <v>1200</v>
      </c>
      <c r="S211" t="str">
        <f t="shared" si="74"/>
        <v>Small</v>
      </c>
      <c r="T211" t="str">
        <f t="shared" si="75"/>
        <v>Lower EV Adoption Corridor</v>
      </c>
      <c r="U211" s="3">
        <f t="shared" si="76"/>
        <v>1980000.0000000002</v>
      </c>
      <c r="V211" s="4">
        <f t="shared" si="77"/>
        <v>480000</v>
      </c>
      <c r="W211" s="3">
        <f t="shared" si="78"/>
        <v>6000000</v>
      </c>
      <c r="X211" s="3">
        <f t="shared" si="79"/>
        <v>3600000</v>
      </c>
      <c r="Y211">
        <f t="shared" si="80"/>
        <v>0.3</v>
      </c>
      <c r="Z211">
        <f t="shared" si="81"/>
        <v>0.75757575757575757</v>
      </c>
      <c r="AA211" t="str">
        <f t="shared" si="82"/>
        <v>Tier 4 - Stable Network</v>
      </c>
      <c r="AB211" s="3">
        <f t="shared" si="83"/>
        <v>60000</v>
      </c>
      <c r="AC211" s="3">
        <f t="shared" si="84"/>
        <v>750000</v>
      </c>
      <c r="AD211" s="3">
        <f t="shared" si="85"/>
        <v>247500.00000000003</v>
      </c>
      <c r="AE211" s="5">
        <f t="shared" si="86"/>
        <v>3.9999999999999996</v>
      </c>
      <c r="AF211" s="10">
        <f t="shared" si="87"/>
        <v>297600</v>
      </c>
      <c r="AG211" s="10">
        <f t="shared" si="88"/>
        <v>96000</v>
      </c>
      <c r="AH211" s="10">
        <f t="shared" si="89"/>
        <v>48000</v>
      </c>
      <c r="AI211" s="10">
        <f t="shared" si="90"/>
        <v>24000</v>
      </c>
      <c r="AJ211" s="10">
        <f t="shared" si="91"/>
        <v>14400</v>
      </c>
    </row>
    <row r="212" spans="1:36" x14ac:dyDescent="0.3">
      <c r="A212" t="s">
        <v>886</v>
      </c>
      <c r="B212" t="s">
        <v>887</v>
      </c>
      <c r="C212" t="s">
        <v>888</v>
      </c>
      <c r="D212" t="s">
        <v>546</v>
      </c>
      <c r="E212">
        <v>42104</v>
      </c>
      <c r="F212" t="s">
        <v>15</v>
      </c>
      <c r="G212">
        <v>8</v>
      </c>
      <c r="H212">
        <v>150</v>
      </c>
      <c r="I212" t="str" cm="1">
        <f t="array" ref="I212">_xlfn.IFS(H212&lt;=120,"V1",H212&lt;=150,"V2",H212&lt;=250,"V3", H212&lt;=350, "V4")</f>
        <v>V2</v>
      </c>
      <c r="J212" t="s">
        <v>889</v>
      </c>
      <c r="K212" t="str">
        <f t="shared" si="69"/>
        <v>36.955196</v>
      </c>
      <c r="L212" t="str">
        <f t="shared" si="70"/>
        <v>-86.438854</v>
      </c>
      <c r="M212">
        <v>162</v>
      </c>
      <c r="N212" s="1">
        <v>42545</v>
      </c>
      <c r="O212" s="1">
        <v>46099</v>
      </c>
      <c r="P212" s="2">
        <f t="shared" si="71"/>
        <v>9.7303216974674882</v>
      </c>
      <c r="Q212" s="2" t="str">
        <f t="shared" si="72"/>
        <v>Old</v>
      </c>
      <c r="R212">
        <f t="shared" si="73"/>
        <v>1200</v>
      </c>
      <c r="S212" t="str">
        <f t="shared" si="74"/>
        <v>Small</v>
      </c>
      <c r="T212" t="str">
        <f t="shared" si="75"/>
        <v>Lower EV Adoption Corridor</v>
      </c>
      <c r="U212" s="3">
        <f t="shared" si="76"/>
        <v>1980000.0000000002</v>
      </c>
      <c r="V212" s="4">
        <f t="shared" si="77"/>
        <v>480000</v>
      </c>
      <c r="W212" s="3">
        <f t="shared" si="78"/>
        <v>6000000</v>
      </c>
      <c r="X212" s="3">
        <f t="shared" si="79"/>
        <v>3600000</v>
      </c>
      <c r="Y212">
        <f t="shared" si="80"/>
        <v>0.3</v>
      </c>
      <c r="Z212">
        <f t="shared" si="81"/>
        <v>0.75757575757575757</v>
      </c>
      <c r="AA212" t="str">
        <f t="shared" si="82"/>
        <v>Tier 4 - Stable Network</v>
      </c>
      <c r="AB212" s="3">
        <f t="shared" si="83"/>
        <v>60000</v>
      </c>
      <c r="AC212" s="3">
        <f t="shared" si="84"/>
        <v>750000</v>
      </c>
      <c r="AD212" s="3">
        <f t="shared" si="85"/>
        <v>247500.00000000003</v>
      </c>
      <c r="AE212" s="5">
        <f t="shared" si="86"/>
        <v>3.9999999999999996</v>
      </c>
      <c r="AF212" s="10">
        <f t="shared" si="87"/>
        <v>297600</v>
      </c>
      <c r="AG212" s="10">
        <f t="shared" si="88"/>
        <v>96000</v>
      </c>
      <c r="AH212" s="10">
        <f t="shared" si="89"/>
        <v>48000</v>
      </c>
      <c r="AI212" s="10">
        <f t="shared" si="90"/>
        <v>24000</v>
      </c>
      <c r="AJ212" s="10">
        <f t="shared" si="91"/>
        <v>14400</v>
      </c>
    </row>
    <row r="213" spans="1:36" x14ac:dyDescent="0.3">
      <c r="A213" t="s">
        <v>890</v>
      </c>
      <c r="B213" t="s">
        <v>891</v>
      </c>
      <c r="C213" t="s">
        <v>892</v>
      </c>
      <c r="D213" t="s">
        <v>316</v>
      </c>
      <c r="E213">
        <v>97138</v>
      </c>
      <c r="F213" t="s">
        <v>15</v>
      </c>
      <c r="G213">
        <v>8</v>
      </c>
      <c r="H213">
        <v>150</v>
      </c>
      <c r="I213" t="str" cm="1">
        <f t="array" ref="I213">_xlfn.IFS(H213&lt;=120,"V1",H213&lt;=150,"V2",H213&lt;=250,"V3", H213&lt;=350, "V4")</f>
        <v>V2</v>
      </c>
      <c r="J213" t="s">
        <v>893</v>
      </c>
      <c r="K213" t="str">
        <f t="shared" si="69"/>
        <v>44.957751</v>
      </c>
      <c r="L213" t="str">
        <f t="shared" si="70"/>
        <v>-124.010966</v>
      </c>
      <c r="M213">
        <v>24</v>
      </c>
      <c r="N213" s="1">
        <v>42601</v>
      </c>
      <c r="O213" s="1">
        <v>46099</v>
      </c>
      <c r="P213" s="2">
        <f t="shared" si="71"/>
        <v>9.5770020533880906</v>
      </c>
      <c r="Q213" s="2" t="str">
        <f t="shared" si="72"/>
        <v>Old</v>
      </c>
      <c r="R213">
        <f t="shared" si="73"/>
        <v>1200</v>
      </c>
      <c r="S213" t="str">
        <f t="shared" si="74"/>
        <v>Small</v>
      </c>
      <c r="T213" t="str">
        <f t="shared" si="75"/>
        <v>Lower EV Adoption Corridor</v>
      </c>
      <c r="U213" s="3">
        <f t="shared" si="76"/>
        <v>1980000.0000000002</v>
      </c>
      <c r="V213" s="4">
        <f t="shared" si="77"/>
        <v>480000</v>
      </c>
      <c r="W213" s="3">
        <f t="shared" si="78"/>
        <v>6000000</v>
      </c>
      <c r="X213" s="3">
        <f t="shared" si="79"/>
        <v>3600000</v>
      </c>
      <c r="Y213">
        <f t="shared" si="80"/>
        <v>0.3</v>
      </c>
      <c r="Z213">
        <f t="shared" si="81"/>
        <v>0.75757575757575757</v>
      </c>
      <c r="AA213" t="str">
        <f t="shared" si="82"/>
        <v>Tier 4 - Stable Network</v>
      </c>
      <c r="AB213" s="3">
        <f t="shared" si="83"/>
        <v>60000</v>
      </c>
      <c r="AC213" s="3">
        <f t="shared" si="84"/>
        <v>750000</v>
      </c>
      <c r="AD213" s="3">
        <f t="shared" si="85"/>
        <v>247500.00000000003</v>
      </c>
      <c r="AE213" s="5">
        <f t="shared" si="86"/>
        <v>3.9999999999999996</v>
      </c>
      <c r="AF213" s="10">
        <f t="shared" si="87"/>
        <v>297600</v>
      </c>
      <c r="AG213" s="10">
        <f t="shared" si="88"/>
        <v>96000</v>
      </c>
      <c r="AH213" s="10">
        <f t="shared" si="89"/>
        <v>48000</v>
      </c>
      <c r="AI213" s="10">
        <f t="shared" si="90"/>
        <v>24000</v>
      </c>
      <c r="AJ213" s="10">
        <f t="shared" si="91"/>
        <v>14400</v>
      </c>
    </row>
    <row r="214" spans="1:36" x14ac:dyDescent="0.3">
      <c r="A214" t="s">
        <v>894</v>
      </c>
      <c r="B214" t="s">
        <v>895</v>
      </c>
      <c r="C214" t="s">
        <v>896</v>
      </c>
      <c r="D214" t="s">
        <v>350</v>
      </c>
      <c r="E214">
        <v>71301</v>
      </c>
      <c r="F214" t="s">
        <v>15</v>
      </c>
      <c r="G214">
        <v>8</v>
      </c>
      <c r="H214">
        <v>150</v>
      </c>
      <c r="I214" t="str" cm="1">
        <f t="array" ref="I214">_xlfn.IFS(H214&lt;=120,"V1",H214&lt;=150,"V2",H214&lt;=250,"V3", H214&lt;=350, "V4")</f>
        <v>V2</v>
      </c>
      <c r="J214" t="s">
        <v>897</v>
      </c>
      <c r="K214" t="str">
        <f t="shared" si="69"/>
        <v>31.312424</v>
      </c>
      <c r="L214" t="str">
        <f t="shared" si="70"/>
        <v>-92.446436</v>
      </c>
      <c r="M214">
        <v>23</v>
      </c>
      <c r="N214" s="1">
        <v>42528</v>
      </c>
      <c r="O214" s="1">
        <v>46099</v>
      </c>
      <c r="P214" s="2">
        <f t="shared" si="71"/>
        <v>9.7768651608487342</v>
      </c>
      <c r="Q214" s="2" t="str">
        <f t="shared" si="72"/>
        <v>Old</v>
      </c>
      <c r="R214">
        <f t="shared" si="73"/>
        <v>1200</v>
      </c>
      <c r="S214" t="str">
        <f t="shared" si="74"/>
        <v>Small</v>
      </c>
      <c r="T214" t="str">
        <f t="shared" si="75"/>
        <v>Lower EV Adoption Corridor</v>
      </c>
      <c r="U214" s="3">
        <f t="shared" si="76"/>
        <v>1980000.0000000002</v>
      </c>
      <c r="V214" s="4">
        <f t="shared" si="77"/>
        <v>480000</v>
      </c>
      <c r="W214" s="3">
        <f t="shared" si="78"/>
        <v>6000000</v>
      </c>
      <c r="X214" s="3">
        <f t="shared" si="79"/>
        <v>3600000</v>
      </c>
      <c r="Y214">
        <f t="shared" si="80"/>
        <v>0.3</v>
      </c>
      <c r="Z214">
        <f t="shared" si="81"/>
        <v>0.75757575757575757</v>
      </c>
      <c r="AA214" t="str">
        <f t="shared" si="82"/>
        <v>Tier 4 - Stable Network</v>
      </c>
      <c r="AB214" s="3">
        <f t="shared" si="83"/>
        <v>60000</v>
      </c>
      <c r="AC214" s="3">
        <f t="shared" si="84"/>
        <v>750000</v>
      </c>
      <c r="AD214" s="3">
        <f t="shared" si="85"/>
        <v>247500.00000000003</v>
      </c>
      <c r="AE214" s="5">
        <f t="shared" si="86"/>
        <v>3.9999999999999996</v>
      </c>
      <c r="AF214" s="10">
        <f t="shared" si="87"/>
        <v>297600</v>
      </c>
      <c r="AG214" s="10">
        <f t="shared" si="88"/>
        <v>96000</v>
      </c>
      <c r="AH214" s="10">
        <f t="shared" si="89"/>
        <v>48000</v>
      </c>
      <c r="AI214" s="10">
        <f t="shared" si="90"/>
        <v>24000</v>
      </c>
      <c r="AJ214" s="10">
        <f t="shared" si="91"/>
        <v>14400</v>
      </c>
    </row>
    <row r="215" spans="1:36" x14ac:dyDescent="0.3">
      <c r="A215" t="s">
        <v>898</v>
      </c>
      <c r="B215" t="s">
        <v>899</v>
      </c>
      <c r="C215" t="s">
        <v>900</v>
      </c>
      <c r="D215" t="s">
        <v>14</v>
      </c>
      <c r="E215">
        <v>95630</v>
      </c>
      <c r="F215" t="s">
        <v>15</v>
      </c>
      <c r="G215">
        <v>30</v>
      </c>
      <c r="H215">
        <v>250</v>
      </c>
      <c r="I215" t="str" cm="1">
        <f t="array" ref="I215">_xlfn.IFS(H215&lt;=120,"V1",H215&lt;=150,"V2",H215&lt;=250,"V3", H215&lt;=350, "V4")</f>
        <v>V3</v>
      </c>
      <c r="J215" t="s">
        <v>901</v>
      </c>
      <c r="K215" t="str">
        <f t="shared" si="69"/>
        <v>38.647199</v>
      </c>
      <c r="L215" t="str">
        <f t="shared" si="70"/>
        <v>-121.118344</v>
      </c>
      <c r="M215">
        <v>116</v>
      </c>
      <c r="N215" s="1">
        <v>42595</v>
      </c>
      <c r="O215" s="1">
        <v>46099</v>
      </c>
      <c r="P215" s="2">
        <f t="shared" si="71"/>
        <v>9.593429158110883</v>
      </c>
      <c r="Q215" s="2" t="str">
        <f t="shared" si="72"/>
        <v>Old</v>
      </c>
      <c r="R215">
        <f t="shared" si="73"/>
        <v>7500</v>
      </c>
      <c r="S215" t="str">
        <f t="shared" si="74"/>
        <v>Small</v>
      </c>
      <c r="T215" t="str">
        <f t="shared" si="75"/>
        <v>High EV Adoption Corridor</v>
      </c>
      <c r="U215" s="3">
        <f t="shared" si="76"/>
        <v>17550000</v>
      </c>
      <c r="V215" s="4">
        <f t="shared" si="77"/>
        <v>3960000.0000000005</v>
      </c>
      <c r="W215" s="3">
        <f t="shared" si="78"/>
        <v>49500000.000000007</v>
      </c>
      <c r="X215" s="3">
        <f t="shared" si="79"/>
        <v>37125000.000000007</v>
      </c>
      <c r="Y215">
        <f t="shared" si="80"/>
        <v>0.24</v>
      </c>
      <c r="Z215">
        <f t="shared" si="81"/>
        <v>0.77435897435897438</v>
      </c>
      <c r="AA215" t="str">
        <f t="shared" si="82"/>
        <v>Tier 1 - Priority Fleet</v>
      </c>
      <c r="AB215" s="3">
        <f t="shared" si="83"/>
        <v>132000.00000000003</v>
      </c>
      <c r="AC215" s="3">
        <f t="shared" si="84"/>
        <v>1650000.0000000002</v>
      </c>
      <c r="AD215" s="3">
        <f t="shared" si="85"/>
        <v>585000</v>
      </c>
      <c r="AE215" s="5">
        <f t="shared" si="86"/>
        <v>3.6423841059602653</v>
      </c>
      <c r="AF215" s="10">
        <f t="shared" si="87"/>
        <v>2455200.0000000005</v>
      </c>
      <c r="AG215" s="10">
        <f t="shared" si="88"/>
        <v>792000.00000000012</v>
      </c>
      <c r="AH215" s="10">
        <f t="shared" si="89"/>
        <v>396000.00000000006</v>
      </c>
      <c r="AI215" s="10">
        <f t="shared" si="90"/>
        <v>198000.00000000003</v>
      </c>
      <c r="AJ215" s="10">
        <f t="shared" si="91"/>
        <v>118800.00000000001</v>
      </c>
    </row>
    <row r="216" spans="1:36" x14ac:dyDescent="0.3">
      <c r="A216" t="s">
        <v>902</v>
      </c>
      <c r="B216" t="s">
        <v>903</v>
      </c>
      <c r="C216" t="s">
        <v>904</v>
      </c>
      <c r="D216" t="s">
        <v>50</v>
      </c>
      <c r="E216">
        <v>77484</v>
      </c>
      <c r="F216" t="s">
        <v>15</v>
      </c>
      <c r="G216">
        <v>16</v>
      </c>
      <c r="H216">
        <v>250</v>
      </c>
      <c r="I216" t="str" cm="1">
        <f t="array" ref="I216">_xlfn.IFS(H216&lt;=120,"V1",H216&lt;=150,"V2",H216&lt;=250,"V3", H216&lt;=350, "V4")</f>
        <v>V3</v>
      </c>
      <c r="J216" t="s">
        <v>905</v>
      </c>
      <c r="K216" t="str">
        <f t="shared" si="69"/>
        <v>30.070698</v>
      </c>
      <c r="L216" t="str">
        <f t="shared" si="70"/>
        <v>-95.930431</v>
      </c>
      <c r="M216">
        <v>80</v>
      </c>
      <c r="N216" s="1">
        <v>44707</v>
      </c>
      <c r="O216" s="1">
        <v>46099</v>
      </c>
      <c r="P216" s="2">
        <f t="shared" si="71"/>
        <v>3.8110882956878851</v>
      </c>
      <c r="Q216" s="2" t="str">
        <f t="shared" si="72"/>
        <v>Mid</v>
      </c>
      <c r="R216">
        <f t="shared" si="73"/>
        <v>4000</v>
      </c>
      <c r="S216" t="str">
        <f t="shared" si="74"/>
        <v>Small</v>
      </c>
      <c r="T216" t="str">
        <f t="shared" si="75"/>
        <v>High EV Adoption Corridor</v>
      </c>
      <c r="U216" s="3">
        <f t="shared" si="76"/>
        <v>9360000</v>
      </c>
      <c r="V216" s="4">
        <f t="shared" si="77"/>
        <v>2112000</v>
      </c>
      <c r="W216" s="3">
        <f t="shared" si="78"/>
        <v>26400000.000000004</v>
      </c>
      <c r="X216" s="3">
        <f t="shared" si="79"/>
        <v>19800000.000000004</v>
      </c>
      <c r="Y216">
        <f t="shared" si="80"/>
        <v>0.23999999999999996</v>
      </c>
      <c r="Z216">
        <f t="shared" si="81"/>
        <v>0.77435897435897438</v>
      </c>
      <c r="AA216" t="str">
        <f t="shared" si="82"/>
        <v>Tier 1 - Priority Fleet</v>
      </c>
      <c r="AB216" s="3">
        <f t="shared" si="83"/>
        <v>132000</v>
      </c>
      <c r="AC216" s="3">
        <f t="shared" si="84"/>
        <v>1650000.0000000002</v>
      </c>
      <c r="AD216" s="3">
        <f t="shared" si="85"/>
        <v>585000</v>
      </c>
      <c r="AE216" s="5">
        <f t="shared" si="86"/>
        <v>3.6423841059602653</v>
      </c>
      <c r="AF216" s="10">
        <f t="shared" si="87"/>
        <v>1309440</v>
      </c>
      <c r="AG216" s="10">
        <f t="shared" si="88"/>
        <v>422400</v>
      </c>
      <c r="AH216" s="10">
        <f t="shared" si="89"/>
        <v>211200</v>
      </c>
      <c r="AI216" s="10">
        <f t="shared" si="90"/>
        <v>105600</v>
      </c>
      <c r="AJ216" s="10">
        <f t="shared" si="91"/>
        <v>63360</v>
      </c>
    </row>
    <row r="217" spans="1:36" x14ac:dyDescent="0.3">
      <c r="A217" t="s">
        <v>906</v>
      </c>
      <c r="B217" t="s">
        <v>907</v>
      </c>
      <c r="C217" t="s">
        <v>908</v>
      </c>
      <c r="D217" t="s">
        <v>14</v>
      </c>
      <c r="E217">
        <v>93117</v>
      </c>
      <c r="F217" t="s">
        <v>15</v>
      </c>
      <c r="G217">
        <v>12</v>
      </c>
      <c r="H217">
        <v>250</v>
      </c>
      <c r="I217" t="str" cm="1">
        <f t="array" ref="I217">_xlfn.IFS(H217&lt;=120,"V1",H217&lt;=150,"V2",H217&lt;=250,"V3", H217&lt;=350, "V4")</f>
        <v>V3</v>
      </c>
      <c r="J217" t="s">
        <v>909</v>
      </c>
      <c r="K217" t="str">
        <f t="shared" si="69"/>
        <v>34.427015</v>
      </c>
      <c r="L217" t="str">
        <f t="shared" si="70"/>
        <v>-119.871768</v>
      </c>
      <c r="M217">
        <v>9</v>
      </c>
      <c r="N217" s="1">
        <v>43957</v>
      </c>
      <c r="O217" s="1">
        <v>46099</v>
      </c>
      <c r="P217" s="2">
        <f t="shared" si="71"/>
        <v>5.8644763860369613</v>
      </c>
      <c r="Q217" s="2" t="str">
        <f t="shared" si="72"/>
        <v>Mid</v>
      </c>
      <c r="R217">
        <f t="shared" si="73"/>
        <v>3000</v>
      </c>
      <c r="S217" t="str">
        <f t="shared" si="74"/>
        <v>Small</v>
      </c>
      <c r="T217" t="str">
        <f t="shared" si="75"/>
        <v>High EV Adoption Corridor</v>
      </c>
      <c r="U217" s="3">
        <f t="shared" si="76"/>
        <v>7020000</v>
      </c>
      <c r="V217" s="4">
        <f t="shared" si="77"/>
        <v>1584000</v>
      </c>
      <c r="W217" s="3">
        <f t="shared" si="78"/>
        <v>19800000</v>
      </c>
      <c r="X217" s="3">
        <f t="shared" si="79"/>
        <v>14850000</v>
      </c>
      <c r="Y217">
        <f t="shared" si="80"/>
        <v>0.24</v>
      </c>
      <c r="Z217">
        <f t="shared" si="81"/>
        <v>0.77435897435897438</v>
      </c>
      <c r="AA217" t="str">
        <f t="shared" si="82"/>
        <v>Tier 1 - Priority Fleet</v>
      </c>
      <c r="AB217" s="3">
        <f t="shared" si="83"/>
        <v>132000</v>
      </c>
      <c r="AC217" s="3">
        <f t="shared" si="84"/>
        <v>1650000</v>
      </c>
      <c r="AD217" s="3">
        <f t="shared" si="85"/>
        <v>585000</v>
      </c>
      <c r="AE217" s="5">
        <f t="shared" si="86"/>
        <v>3.6423841059602649</v>
      </c>
      <c r="AF217" s="10">
        <f t="shared" si="87"/>
        <v>982080</v>
      </c>
      <c r="AG217" s="10">
        <f t="shared" si="88"/>
        <v>316800</v>
      </c>
      <c r="AH217" s="10">
        <f t="shared" si="89"/>
        <v>158400</v>
      </c>
      <c r="AI217" s="10">
        <f t="shared" si="90"/>
        <v>79200</v>
      </c>
      <c r="AJ217" s="10">
        <f t="shared" si="91"/>
        <v>47520</v>
      </c>
    </row>
    <row r="218" spans="1:36" x14ac:dyDescent="0.3">
      <c r="A218" t="s">
        <v>910</v>
      </c>
      <c r="B218" t="s">
        <v>911</v>
      </c>
      <c r="C218" t="s">
        <v>912</v>
      </c>
      <c r="D218" t="s">
        <v>913</v>
      </c>
      <c r="E218">
        <v>21001</v>
      </c>
      <c r="F218" t="s">
        <v>15</v>
      </c>
      <c r="G218">
        <v>8</v>
      </c>
      <c r="H218">
        <v>150</v>
      </c>
      <c r="I218" t="str" cm="1">
        <f t="array" ref="I218">_xlfn.IFS(H218&lt;=120,"V1",H218&lt;=150,"V2",H218&lt;=250,"V3", H218&lt;=350, "V4")</f>
        <v>V2</v>
      </c>
      <c r="J218" t="s">
        <v>914</v>
      </c>
      <c r="K218" t="str">
        <f t="shared" si="69"/>
        <v>39.498017</v>
      </c>
      <c r="L218" t="str">
        <f t="shared" si="70"/>
        <v>-76.231196</v>
      </c>
      <c r="M218">
        <v>76</v>
      </c>
      <c r="N218" s="1">
        <v>42979</v>
      </c>
      <c r="O218" s="1">
        <v>46099</v>
      </c>
      <c r="P218" s="2">
        <f t="shared" si="71"/>
        <v>8.5420944558521565</v>
      </c>
      <c r="Q218" s="2" t="str">
        <f t="shared" si="72"/>
        <v>Old</v>
      </c>
      <c r="R218">
        <f t="shared" si="73"/>
        <v>1200</v>
      </c>
      <c r="S218" t="str">
        <f t="shared" si="74"/>
        <v>Small</v>
      </c>
      <c r="T218" t="str">
        <f t="shared" si="75"/>
        <v>Lower EV Adoption Corridor</v>
      </c>
      <c r="U218" s="3">
        <f t="shared" si="76"/>
        <v>1980000.0000000002</v>
      </c>
      <c r="V218" s="4">
        <f t="shared" si="77"/>
        <v>480000</v>
      </c>
      <c r="W218" s="3">
        <f t="shared" si="78"/>
        <v>6000000</v>
      </c>
      <c r="X218" s="3">
        <f t="shared" si="79"/>
        <v>3600000</v>
      </c>
      <c r="Y218">
        <f t="shared" si="80"/>
        <v>0.3</v>
      </c>
      <c r="Z218">
        <f t="shared" si="81"/>
        <v>0.75757575757575757</v>
      </c>
      <c r="AA218" t="str">
        <f t="shared" si="82"/>
        <v>Tier 4 - Stable Network</v>
      </c>
      <c r="AB218" s="3">
        <f t="shared" si="83"/>
        <v>60000</v>
      </c>
      <c r="AC218" s="3">
        <f t="shared" si="84"/>
        <v>750000</v>
      </c>
      <c r="AD218" s="3">
        <f t="shared" si="85"/>
        <v>247500.00000000003</v>
      </c>
      <c r="AE218" s="5">
        <f t="shared" si="86"/>
        <v>3.9999999999999996</v>
      </c>
      <c r="AF218" s="10">
        <f t="shared" si="87"/>
        <v>297600</v>
      </c>
      <c r="AG218" s="10">
        <f t="shared" si="88"/>
        <v>96000</v>
      </c>
      <c r="AH218" s="10">
        <f t="shared" si="89"/>
        <v>48000</v>
      </c>
      <c r="AI218" s="10">
        <f t="shared" si="90"/>
        <v>24000</v>
      </c>
      <c r="AJ218" s="10">
        <f t="shared" si="91"/>
        <v>14400</v>
      </c>
    </row>
    <row r="219" spans="1:36" x14ac:dyDescent="0.3">
      <c r="A219" t="s">
        <v>915</v>
      </c>
      <c r="B219" t="s">
        <v>916</v>
      </c>
      <c r="C219" t="s">
        <v>917</v>
      </c>
      <c r="D219" t="s">
        <v>630</v>
      </c>
      <c r="E219">
        <v>48060</v>
      </c>
      <c r="F219" t="s">
        <v>15</v>
      </c>
      <c r="G219">
        <v>8</v>
      </c>
      <c r="H219">
        <v>150</v>
      </c>
      <c r="I219" t="str" cm="1">
        <f t="array" ref="I219">_xlfn.IFS(H219&lt;=120,"V1",H219&lt;=150,"V2",H219&lt;=250,"V3", H219&lt;=350, "V4")</f>
        <v>V2</v>
      </c>
      <c r="J219" t="s">
        <v>918</v>
      </c>
      <c r="K219" t="str">
        <f t="shared" si="69"/>
        <v>42.998817</v>
      </c>
      <c r="L219" t="str">
        <f t="shared" si="70"/>
        <v>-82.428935</v>
      </c>
      <c r="M219">
        <v>182</v>
      </c>
      <c r="N219" s="1">
        <v>42600</v>
      </c>
      <c r="O219" s="1">
        <v>46099</v>
      </c>
      <c r="P219" s="2">
        <f t="shared" si="71"/>
        <v>9.5797399041752218</v>
      </c>
      <c r="Q219" s="2" t="str">
        <f t="shared" si="72"/>
        <v>Old</v>
      </c>
      <c r="R219">
        <f t="shared" si="73"/>
        <v>1200</v>
      </c>
      <c r="S219" t="str">
        <f t="shared" si="74"/>
        <v>Small</v>
      </c>
      <c r="T219" t="str">
        <f t="shared" si="75"/>
        <v>Lower EV Adoption Corridor</v>
      </c>
      <c r="U219" s="3">
        <f t="shared" si="76"/>
        <v>1980000.0000000002</v>
      </c>
      <c r="V219" s="4">
        <f t="shared" si="77"/>
        <v>480000</v>
      </c>
      <c r="W219" s="3">
        <f t="shared" si="78"/>
        <v>6000000</v>
      </c>
      <c r="X219" s="3">
        <f t="shared" si="79"/>
        <v>3600000</v>
      </c>
      <c r="Y219">
        <f t="shared" si="80"/>
        <v>0.3</v>
      </c>
      <c r="Z219">
        <f t="shared" si="81"/>
        <v>0.75757575757575757</v>
      </c>
      <c r="AA219" t="str">
        <f t="shared" si="82"/>
        <v>Tier 4 - Stable Network</v>
      </c>
      <c r="AB219" s="3">
        <f t="shared" si="83"/>
        <v>60000</v>
      </c>
      <c r="AC219" s="3">
        <f t="shared" si="84"/>
        <v>750000</v>
      </c>
      <c r="AD219" s="3">
        <f t="shared" si="85"/>
        <v>247500.00000000003</v>
      </c>
      <c r="AE219" s="5">
        <f t="shared" si="86"/>
        <v>3.9999999999999996</v>
      </c>
      <c r="AF219" s="10">
        <f t="shared" si="87"/>
        <v>297600</v>
      </c>
      <c r="AG219" s="10">
        <f t="shared" si="88"/>
        <v>96000</v>
      </c>
      <c r="AH219" s="10">
        <f t="shared" si="89"/>
        <v>48000</v>
      </c>
      <c r="AI219" s="10">
        <f t="shared" si="90"/>
        <v>24000</v>
      </c>
      <c r="AJ219" s="10">
        <f t="shared" si="91"/>
        <v>14400</v>
      </c>
    </row>
    <row r="220" spans="1:36" x14ac:dyDescent="0.3">
      <c r="A220" t="s">
        <v>919</v>
      </c>
      <c r="B220" t="s">
        <v>920</v>
      </c>
      <c r="C220" t="s">
        <v>921</v>
      </c>
      <c r="D220" t="s">
        <v>350</v>
      </c>
      <c r="E220">
        <v>71203</v>
      </c>
      <c r="F220" t="s">
        <v>15</v>
      </c>
      <c r="G220">
        <v>8</v>
      </c>
      <c r="H220">
        <v>150</v>
      </c>
      <c r="I220" t="str" cm="1">
        <f t="array" ref="I220">_xlfn.IFS(H220&lt;=120,"V1",H220&lt;=150,"V2",H220&lt;=250,"V3", H220&lt;=350, "V4")</f>
        <v>V2</v>
      </c>
      <c r="J220" t="s">
        <v>922</v>
      </c>
      <c r="K220" t="str">
        <f t="shared" si="69"/>
        <v>32.496554</v>
      </c>
      <c r="L220" t="str">
        <f t="shared" si="70"/>
        <v>-92.055091</v>
      </c>
      <c r="M220">
        <v>21</v>
      </c>
      <c r="N220" s="1">
        <v>42629</v>
      </c>
      <c r="O220" s="1">
        <v>46099</v>
      </c>
      <c r="P220" s="2">
        <f t="shared" si="71"/>
        <v>9.500342231348391</v>
      </c>
      <c r="Q220" s="2" t="str">
        <f t="shared" si="72"/>
        <v>Old</v>
      </c>
      <c r="R220">
        <f t="shared" si="73"/>
        <v>1200</v>
      </c>
      <c r="S220" t="str">
        <f t="shared" si="74"/>
        <v>Small</v>
      </c>
      <c r="T220" t="str">
        <f t="shared" si="75"/>
        <v>Lower EV Adoption Corridor</v>
      </c>
      <c r="U220" s="3">
        <f t="shared" si="76"/>
        <v>1980000.0000000002</v>
      </c>
      <c r="V220" s="4">
        <f t="shared" si="77"/>
        <v>480000</v>
      </c>
      <c r="W220" s="3">
        <f t="shared" si="78"/>
        <v>6000000</v>
      </c>
      <c r="X220" s="3">
        <f t="shared" si="79"/>
        <v>3600000</v>
      </c>
      <c r="Y220">
        <f t="shared" si="80"/>
        <v>0.3</v>
      </c>
      <c r="Z220">
        <f t="shared" si="81"/>
        <v>0.75757575757575757</v>
      </c>
      <c r="AA220" t="str">
        <f t="shared" si="82"/>
        <v>Tier 4 - Stable Network</v>
      </c>
      <c r="AB220" s="3">
        <f t="shared" si="83"/>
        <v>60000</v>
      </c>
      <c r="AC220" s="3">
        <f t="shared" si="84"/>
        <v>750000</v>
      </c>
      <c r="AD220" s="3">
        <f t="shared" si="85"/>
        <v>247500.00000000003</v>
      </c>
      <c r="AE220" s="5">
        <f t="shared" si="86"/>
        <v>3.9999999999999996</v>
      </c>
      <c r="AF220" s="10">
        <f t="shared" si="87"/>
        <v>297600</v>
      </c>
      <c r="AG220" s="10">
        <f t="shared" si="88"/>
        <v>96000</v>
      </c>
      <c r="AH220" s="10">
        <f t="shared" si="89"/>
        <v>48000</v>
      </c>
      <c r="AI220" s="10">
        <f t="shared" si="90"/>
        <v>24000</v>
      </c>
      <c r="AJ220" s="10">
        <f t="shared" si="91"/>
        <v>14400</v>
      </c>
    </row>
    <row r="221" spans="1:36" x14ac:dyDescent="0.3">
      <c r="A221" t="s">
        <v>923</v>
      </c>
      <c r="B221" t="s">
        <v>924</v>
      </c>
      <c r="C221" t="s">
        <v>925</v>
      </c>
      <c r="D221" t="s">
        <v>50</v>
      </c>
      <c r="E221">
        <v>78071</v>
      </c>
      <c r="F221" t="s">
        <v>15</v>
      </c>
      <c r="G221">
        <v>8</v>
      </c>
      <c r="H221">
        <v>150</v>
      </c>
      <c r="I221" t="str" cm="1">
        <f t="array" ref="I221">_xlfn.IFS(H221&lt;=120,"V1",H221&lt;=150,"V2",H221&lt;=250,"V3", H221&lt;=350, "V4")</f>
        <v>V2</v>
      </c>
      <c r="J221" t="s">
        <v>926</v>
      </c>
      <c r="K221" t="str">
        <f t="shared" si="69"/>
        <v>28.521614</v>
      </c>
      <c r="L221" t="str">
        <f t="shared" si="70"/>
        <v>-98.185829</v>
      </c>
      <c r="M221">
        <v>51</v>
      </c>
      <c r="N221" s="1">
        <v>42643</v>
      </c>
      <c r="O221" s="1">
        <v>46099</v>
      </c>
      <c r="P221" s="2">
        <f t="shared" si="71"/>
        <v>9.462012320328542</v>
      </c>
      <c r="Q221" s="2" t="str">
        <f t="shared" si="72"/>
        <v>Old</v>
      </c>
      <c r="R221">
        <f t="shared" si="73"/>
        <v>1200</v>
      </c>
      <c r="S221" t="str">
        <f t="shared" si="74"/>
        <v>Small</v>
      </c>
      <c r="T221" t="str">
        <f t="shared" si="75"/>
        <v>High EV Adoption Corridor</v>
      </c>
      <c r="U221" s="3">
        <f t="shared" si="76"/>
        <v>2574000.0000000005</v>
      </c>
      <c r="V221" s="4">
        <f t="shared" si="77"/>
        <v>576000</v>
      </c>
      <c r="W221" s="3">
        <f t="shared" si="78"/>
        <v>6600000.0000000009</v>
      </c>
      <c r="X221" s="3">
        <f t="shared" si="79"/>
        <v>5400000</v>
      </c>
      <c r="Y221">
        <f t="shared" si="80"/>
        <v>0.22888888888888889</v>
      </c>
      <c r="Z221">
        <f t="shared" si="81"/>
        <v>0.77622377622377625</v>
      </c>
      <c r="AA221" t="str">
        <f t="shared" si="82"/>
        <v>Tier 3 - Upgrade Pipeline</v>
      </c>
      <c r="AB221" s="3">
        <f t="shared" si="83"/>
        <v>72000</v>
      </c>
      <c r="AC221" s="3">
        <f t="shared" si="84"/>
        <v>825000.00000000012</v>
      </c>
      <c r="AD221" s="3">
        <f t="shared" si="85"/>
        <v>321750.00000000006</v>
      </c>
      <c r="AE221" s="5">
        <f t="shared" si="86"/>
        <v>3.303303303303303</v>
      </c>
      <c r="AF221" s="10">
        <f t="shared" si="87"/>
        <v>357120</v>
      </c>
      <c r="AG221" s="10">
        <f t="shared" si="88"/>
        <v>115200</v>
      </c>
      <c r="AH221" s="10">
        <f t="shared" si="89"/>
        <v>57600</v>
      </c>
      <c r="AI221" s="10">
        <f t="shared" si="90"/>
        <v>28800</v>
      </c>
      <c r="AJ221" s="10">
        <f t="shared" si="91"/>
        <v>17280</v>
      </c>
    </row>
    <row r="222" spans="1:36" x14ac:dyDescent="0.3">
      <c r="A222" t="s">
        <v>927</v>
      </c>
      <c r="B222" t="s">
        <v>928</v>
      </c>
      <c r="C222" t="s">
        <v>929</v>
      </c>
      <c r="D222" t="s">
        <v>415</v>
      </c>
      <c r="E222">
        <v>52807</v>
      </c>
      <c r="F222" t="s">
        <v>15</v>
      </c>
      <c r="G222">
        <v>8</v>
      </c>
      <c r="H222">
        <v>150</v>
      </c>
      <c r="I222" t="str" cm="1">
        <f t="array" ref="I222">_xlfn.IFS(H222&lt;=120,"V1",H222&lt;=150,"V2",H222&lt;=250,"V3", H222&lt;=350, "V4")</f>
        <v>V2</v>
      </c>
      <c r="J222" t="s">
        <v>930</v>
      </c>
      <c r="K222" t="str">
        <f t="shared" si="69"/>
        <v>41.575888</v>
      </c>
      <c r="L222" t="str">
        <f t="shared" si="70"/>
        <v>-90.513526</v>
      </c>
      <c r="M222">
        <v>219</v>
      </c>
      <c r="N222" s="1">
        <v>42664</v>
      </c>
      <c r="O222" s="1">
        <v>46099</v>
      </c>
      <c r="P222" s="2">
        <f t="shared" si="71"/>
        <v>9.4045174537987677</v>
      </c>
      <c r="Q222" s="2" t="str">
        <f t="shared" si="72"/>
        <v>Old</v>
      </c>
      <c r="R222">
        <f t="shared" si="73"/>
        <v>1200</v>
      </c>
      <c r="S222" t="str">
        <f t="shared" si="74"/>
        <v>Small</v>
      </c>
      <c r="T222" t="str">
        <f t="shared" si="75"/>
        <v>Lower EV Adoption Corridor</v>
      </c>
      <c r="U222" s="3">
        <f t="shared" si="76"/>
        <v>1980000.0000000002</v>
      </c>
      <c r="V222" s="4">
        <f t="shared" si="77"/>
        <v>480000</v>
      </c>
      <c r="W222" s="3">
        <f t="shared" si="78"/>
        <v>6000000</v>
      </c>
      <c r="X222" s="3">
        <f t="shared" si="79"/>
        <v>3600000</v>
      </c>
      <c r="Y222">
        <f t="shared" si="80"/>
        <v>0.3</v>
      </c>
      <c r="Z222">
        <f t="shared" si="81"/>
        <v>0.75757575757575757</v>
      </c>
      <c r="AA222" t="str">
        <f t="shared" si="82"/>
        <v>Tier 4 - Stable Network</v>
      </c>
      <c r="AB222" s="3">
        <f t="shared" si="83"/>
        <v>60000</v>
      </c>
      <c r="AC222" s="3">
        <f t="shared" si="84"/>
        <v>750000</v>
      </c>
      <c r="AD222" s="3">
        <f t="shared" si="85"/>
        <v>247500.00000000003</v>
      </c>
      <c r="AE222" s="5">
        <f t="shared" si="86"/>
        <v>3.9999999999999996</v>
      </c>
      <c r="AF222" s="10">
        <f t="shared" si="87"/>
        <v>297600</v>
      </c>
      <c r="AG222" s="10">
        <f t="shared" si="88"/>
        <v>96000</v>
      </c>
      <c r="AH222" s="10">
        <f t="shared" si="89"/>
        <v>48000</v>
      </c>
      <c r="AI222" s="10">
        <f t="shared" si="90"/>
        <v>24000</v>
      </c>
      <c r="AJ222" s="10">
        <f t="shared" si="91"/>
        <v>14400</v>
      </c>
    </row>
    <row r="223" spans="1:36" x14ac:dyDescent="0.3">
      <c r="A223" t="s">
        <v>931</v>
      </c>
      <c r="B223" t="s">
        <v>932</v>
      </c>
      <c r="C223" t="s">
        <v>166</v>
      </c>
      <c r="D223" t="s">
        <v>184</v>
      </c>
      <c r="E223">
        <v>43215</v>
      </c>
      <c r="F223" t="s">
        <v>15</v>
      </c>
      <c r="G223">
        <v>10</v>
      </c>
      <c r="H223">
        <v>72</v>
      </c>
      <c r="I223" t="str" cm="1">
        <f t="array" ref="I223">_xlfn.IFS(H223&lt;=120,"V1",H223&lt;=150,"V2",H223&lt;=250,"V3", H223&lt;=350, "V4")</f>
        <v>V1</v>
      </c>
      <c r="J223" t="s">
        <v>933</v>
      </c>
      <c r="K223" t="str">
        <f t="shared" si="69"/>
        <v>39.974472</v>
      </c>
      <c r="L223" t="str">
        <f t="shared" si="70"/>
        <v>-83.00092</v>
      </c>
      <c r="M223">
        <v>230</v>
      </c>
      <c r="N223" s="1">
        <v>43511</v>
      </c>
      <c r="O223" s="1">
        <v>46099</v>
      </c>
      <c r="P223" s="2">
        <f t="shared" si="71"/>
        <v>7.0855578370978778</v>
      </c>
      <c r="Q223" s="2" t="str">
        <f t="shared" si="72"/>
        <v>Mid</v>
      </c>
      <c r="R223">
        <f t="shared" si="73"/>
        <v>720</v>
      </c>
      <c r="S223" t="str">
        <f t="shared" si="74"/>
        <v>Small</v>
      </c>
      <c r="T223" t="str">
        <f t="shared" si="75"/>
        <v>Lower EV Adoption Corridor</v>
      </c>
      <c r="U223" s="3">
        <f t="shared" si="76"/>
        <v>1080000</v>
      </c>
      <c r="V223" s="4">
        <f t="shared" si="77"/>
        <v>259200</v>
      </c>
      <c r="W223" s="3">
        <f t="shared" si="78"/>
        <v>2880000</v>
      </c>
      <c r="X223" s="3">
        <f t="shared" si="79"/>
        <v>1944000</v>
      </c>
      <c r="Y223">
        <f t="shared" si="80"/>
        <v>0.2814814814814815</v>
      </c>
      <c r="Z223">
        <f t="shared" si="81"/>
        <v>0.76</v>
      </c>
      <c r="AA223" t="str">
        <f t="shared" si="82"/>
        <v>Tier 5 - Retirement Pipeline</v>
      </c>
      <c r="AB223" s="3">
        <f t="shared" si="83"/>
        <v>25920</v>
      </c>
      <c r="AC223" s="3">
        <f t="shared" si="84"/>
        <v>288000</v>
      </c>
      <c r="AD223" s="3">
        <f t="shared" si="85"/>
        <v>108000</v>
      </c>
      <c r="AE223" s="5">
        <f t="shared" si="86"/>
        <v>3.5087719298245612</v>
      </c>
      <c r="AF223" s="10">
        <f t="shared" si="87"/>
        <v>160704</v>
      </c>
      <c r="AG223" s="10">
        <f t="shared" si="88"/>
        <v>51840</v>
      </c>
      <c r="AH223" s="10">
        <f t="shared" si="89"/>
        <v>25920</v>
      </c>
      <c r="AI223" s="10">
        <f t="shared" si="90"/>
        <v>12960</v>
      </c>
      <c r="AJ223" s="10">
        <f t="shared" si="91"/>
        <v>7776</v>
      </c>
    </row>
    <row r="224" spans="1:36" x14ac:dyDescent="0.3">
      <c r="A224" t="s">
        <v>934</v>
      </c>
      <c r="B224" t="s">
        <v>935</v>
      </c>
      <c r="C224" t="s">
        <v>936</v>
      </c>
      <c r="D224" t="s">
        <v>913</v>
      </c>
      <c r="E224">
        <v>20745</v>
      </c>
      <c r="F224" t="s">
        <v>15</v>
      </c>
      <c r="G224">
        <v>12</v>
      </c>
      <c r="H224">
        <v>72</v>
      </c>
      <c r="I224" t="str" cm="1">
        <f t="array" ref="I224">_xlfn.IFS(H224&lt;=120,"V1",H224&lt;=150,"V2",H224&lt;=250,"V3", H224&lt;=350, "V4")</f>
        <v>V1</v>
      </c>
      <c r="J224" t="s">
        <v>937</v>
      </c>
      <c r="K224" t="str">
        <f t="shared" si="69"/>
        <v>38.785335</v>
      </c>
      <c r="L224" t="str">
        <f t="shared" si="70"/>
        <v>-77.014771</v>
      </c>
      <c r="M224">
        <v>11</v>
      </c>
      <c r="N224" s="1">
        <v>43512</v>
      </c>
      <c r="O224" s="1">
        <v>46099</v>
      </c>
      <c r="P224" s="2">
        <f t="shared" si="71"/>
        <v>7.0828199863107457</v>
      </c>
      <c r="Q224" s="2" t="str">
        <f t="shared" si="72"/>
        <v>Mid</v>
      </c>
      <c r="R224">
        <f t="shared" si="73"/>
        <v>864</v>
      </c>
      <c r="S224" t="str">
        <f t="shared" si="74"/>
        <v>Small</v>
      </c>
      <c r="T224" t="str">
        <f t="shared" si="75"/>
        <v>Lower EV Adoption Corridor</v>
      </c>
      <c r="U224" s="3">
        <f t="shared" si="76"/>
        <v>1296000</v>
      </c>
      <c r="V224" s="4">
        <f t="shared" si="77"/>
        <v>311040</v>
      </c>
      <c r="W224" s="3">
        <f t="shared" si="78"/>
        <v>3456000</v>
      </c>
      <c r="X224" s="3">
        <f t="shared" si="79"/>
        <v>2332800</v>
      </c>
      <c r="Y224">
        <f t="shared" si="80"/>
        <v>0.2814814814814815</v>
      </c>
      <c r="Z224">
        <f t="shared" si="81"/>
        <v>0.76</v>
      </c>
      <c r="AA224" t="str">
        <f t="shared" si="82"/>
        <v>Tier 5 - Retirement Pipeline</v>
      </c>
      <c r="AB224" s="3">
        <f t="shared" si="83"/>
        <v>25920</v>
      </c>
      <c r="AC224" s="3">
        <f t="shared" si="84"/>
        <v>288000</v>
      </c>
      <c r="AD224" s="3">
        <f t="shared" si="85"/>
        <v>108000</v>
      </c>
      <c r="AE224" s="5">
        <f t="shared" si="86"/>
        <v>3.5087719298245612</v>
      </c>
      <c r="AF224" s="10">
        <f t="shared" si="87"/>
        <v>192844.79999999999</v>
      </c>
      <c r="AG224" s="10">
        <f t="shared" si="88"/>
        <v>62208</v>
      </c>
      <c r="AH224" s="10">
        <f t="shared" si="89"/>
        <v>31104</v>
      </c>
      <c r="AI224" s="10">
        <f t="shared" si="90"/>
        <v>15552</v>
      </c>
      <c r="AJ224" s="10">
        <f t="shared" si="91"/>
        <v>9331.1999999999989</v>
      </c>
    </row>
    <row r="225" spans="1:36" x14ac:dyDescent="0.3">
      <c r="A225" t="s">
        <v>938</v>
      </c>
      <c r="B225" t="s">
        <v>939</v>
      </c>
      <c r="C225" t="s">
        <v>940</v>
      </c>
      <c r="D225" t="s">
        <v>321</v>
      </c>
      <c r="E225">
        <v>1238</v>
      </c>
      <c r="F225" t="s">
        <v>15</v>
      </c>
      <c r="G225">
        <v>8</v>
      </c>
      <c r="H225">
        <v>150</v>
      </c>
      <c r="I225" t="str" cm="1">
        <f t="array" ref="I225">_xlfn.IFS(H225&lt;=120,"V1",H225&lt;=150,"V2",H225&lt;=250,"V3", H225&lt;=350, "V4")</f>
        <v>V2</v>
      </c>
      <c r="J225" t="s">
        <v>941</v>
      </c>
      <c r="K225" t="str">
        <f t="shared" si="69"/>
        <v>42.29571</v>
      </c>
      <c r="L225" t="str">
        <f t="shared" si="70"/>
        <v>-73.239245</v>
      </c>
      <c r="M225">
        <v>267</v>
      </c>
      <c r="N225" s="1">
        <v>42602</v>
      </c>
      <c r="O225" s="1">
        <v>46099</v>
      </c>
      <c r="P225" s="2">
        <f t="shared" si="71"/>
        <v>9.5742642026009577</v>
      </c>
      <c r="Q225" s="2" t="str">
        <f t="shared" si="72"/>
        <v>Old</v>
      </c>
      <c r="R225">
        <f t="shared" si="73"/>
        <v>1200</v>
      </c>
      <c r="S225" t="str">
        <f t="shared" si="74"/>
        <v>Small</v>
      </c>
      <c r="T225" t="str">
        <f t="shared" si="75"/>
        <v>Lower EV Adoption Corridor</v>
      </c>
      <c r="U225" s="3">
        <f t="shared" si="76"/>
        <v>1980000.0000000002</v>
      </c>
      <c r="V225" s="4">
        <f t="shared" si="77"/>
        <v>480000</v>
      </c>
      <c r="W225" s="3">
        <f t="shared" si="78"/>
        <v>6000000</v>
      </c>
      <c r="X225" s="3">
        <f t="shared" si="79"/>
        <v>3600000</v>
      </c>
      <c r="Y225">
        <f t="shared" si="80"/>
        <v>0.3</v>
      </c>
      <c r="Z225">
        <f t="shared" si="81"/>
        <v>0.75757575757575757</v>
      </c>
      <c r="AA225" t="str">
        <f t="shared" si="82"/>
        <v>Tier 4 - Stable Network</v>
      </c>
      <c r="AB225" s="3">
        <f t="shared" si="83"/>
        <v>60000</v>
      </c>
      <c r="AC225" s="3">
        <f t="shared" si="84"/>
        <v>750000</v>
      </c>
      <c r="AD225" s="3">
        <f t="shared" si="85"/>
        <v>247500.00000000003</v>
      </c>
      <c r="AE225" s="5">
        <f t="shared" si="86"/>
        <v>3.9999999999999996</v>
      </c>
      <c r="AF225" s="10">
        <f t="shared" si="87"/>
        <v>297600</v>
      </c>
      <c r="AG225" s="10">
        <f t="shared" si="88"/>
        <v>96000</v>
      </c>
      <c r="AH225" s="10">
        <f t="shared" si="89"/>
        <v>48000</v>
      </c>
      <c r="AI225" s="10">
        <f t="shared" si="90"/>
        <v>24000</v>
      </c>
      <c r="AJ225" s="10">
        <f t="shared" si="91"/>
        <v>14400</v>
      </c>
    </row>
    <row r="226" spans="1:36" x14ac:dyDescent="0.3">
      <c r="A226" t="s">
        <v>942</v>
      </c>
      <c r="B226" t="s">
        <v>943</v>
      </c>
      <c r="C226" t="s">
        <v>944</v>
      </c>
      <c r="D226" t="s">
        <v>72</v>
      </c>
      <c r="E226">
        <v>86040</v>
      </c>
      <c r="F226" t="s">
        <v>15</v>
      </c>
      <c r="G226">
        <v>8</v>
      </c>
      <c r="H226">
        <v>150</v>
      </c>
      <c r="I226" t="str" cm="1">
        <f t="array" ref="I226">_xlfn.IFS(H226&lt;=120,"V1",H226&lt;=150,"V2",H226&lt;=250,"V3", H226&lt;=350, "V4")</f>
        <v>V2</v>
      </c>
      <c r="J226" t="s">
        <v>945</v>
      </c>
      <c r="K226" t="str">
        <f t="shared" si="69"/>
        <v>36.924902</v>
      </c>
      <c r="L226" t="str">
        <f t="shared" si="70"/>
        <v>-111.468041</v>
      </c>
      <c r="M226">
        <v>1239</v>
      </c>
      <c r="N226" s="1">
        <v>42623</v>
      </c>
      <c r="O226" s="1">
        <v>46099</v>
      </c>
      <c r="P226" s="2">
        <f t="shared" si="71"/>
        <v>9.5167693360711834</v>
      </c>
      <c r="Q226" s="2" t="str">
        <f t="shared" si="72"/>
        <v>Old</v>
      </c>
      <c r="R226">
        <f t="shared" si="73"/>
        <v>1200</v>
      </c>
      <c r="S226" t="str">
        <f t="shared" si="74"/>
        <v>Small</v>
      </c>
      <c r="T226" t="str">
        <f t="shared" si="75"/>
        <v>Lower EV Adoption Corridor</v>
      </c>
      <c r="U226" s="3">
        <f t="shared" si="76"/>
        <v>1980000.0000000002</v>
      </c>
      <c r="V226" s="4">
        <f t="shared" si="77"/>
        <v>480000</v>
      </c>
      <c r="W226" s="3">
        <f t="shared" si="78"/>
        <v>6000000</v>
      </c>
      <c r="X226" s="3">
        <f t="shared" si="79"/>
        <v>3600000</v>
      </c>
      <c r="Y226">
        <f t="shared" si="80"/>
        <v>0.3</v>
      </c>
      <c r="Z226">
        <f t="shared" si="81"/>
        <v>0.75757575757575757</v>
      </c>
      <c r="AA226" t="str">
        <f t="shared" si="82"/>
        <v>Tier 4 - Stable Network</v>
      </c>
      <c r="AB226" s="3">
        <f t="shared" si="83"/>
        <v>60000</v>
      </c>
      <c r="AC226" s="3">
        <f t="shared" si="84"/>
        <v>750000</v>
      </c>
      <c r="AD226" s="3">
        <f t="shared" si="85"/>
        <v>247500.00000000003</v>
      </c>
      <c r="AE226" s="5">
        <f t="shared" si="86"/>
        <v>3.9999999999999996</v>
      </c>
      <c r="AF226" s="10">
        <f t="shared" si="87"/>
        <v>297600</v>
      </c>
      <c r="AG226" s="10">
        <f t="shared" si="88"/>
        <v>96000</v>
      </c>
      <c r="AH226" s="10">
        <f t="shared" si="89"/>
        <v>48000</v>
      </c>
      <c r="AI226" s="10">
        <f t="shared" si="90"/>
        <v>24000</v>
      </c>
      <c r="AJ226" s="10">
        <f t="shared" si="91"/>
        <v>14400</v>
      </c>
    </row>
    <row r="227" spans="1:36" x14ac:dyDescent="0.3">
      <c r="A227" t="s">
        <v>946</v>
      </c>
      <c r="B227" t="s">
        <v>947</v>
      </c>
      <c r="C227" t="s">
        <v>948</v>
      </c>
      <c r="D227" t="s">
        <v>949</v>
      </c>
      <c r="E227">
        <v>68521</v>
      </c>
      <c r="F227" t="s">
        <v>15</v>
      </c>
      <c r="G227">
        <v>8</v>
      </c>
      <c r="H227">
        <v>150</v>
      </c>
      <c r="I227" t="str" cm="1">
        <f t="array" ref="I227">_xlfn.IFS(H227&lt;=120,"V1",H227&lt;=150,"V2",H227&lt;=250,"V3", H227&lt;=350, "V4")</f>
        <v>V2</v>
      </c>
      <c r="J227" t="s">
        <v>950</v>
      </c>
      <c r="K227" t="str">
        <f t="shared" si="69"/>
        <v>40.860817</v>
      </c>
      <c r="L227" t="str">
        <f t="shared" si="70"/>
        <v>-96.679723</v>
      </c>
      <c r="M227">
        <v>368</v>
      </c>
      <c r="N227" s="1">
        <v>42740</v>
      </c>
      <c r="O227" s="1">
        <v>46099</v>
      </c>
      <c r="P227" s="2">
        <f t="shared" si="71"/>
        <v>9.1964407939767288</v>
      </c>
      <c r="Q227" s="2" t="str">
        <f t="shared" si="72"/>
        <v>Old</v>
      </c>
      <c r="R227">
        <f t="shared" si="73"/>
        <v>1200</v>
      </c>
      <c r="S227" t="str">
        <f t="shared" si="74"/>
        <v>Small</v>
      </c>
      <c r="T227" t="str">
        <f t="shared" si="75"/>
        <v>Lower EV Adoption Corridor</v>
      </c>
      <c r="U227" s="3">
        <f t="shared" si="76"/>
        <v>1980000.0000000002</v>
      </c>
      <c r="V227" s="4">
        <f t="shared" si="77"/>
        <v>480000</v>
      </c>
      <c r="W227" s="3">
        <f t="shared" si="78"/>
        <v>6000000</v>
      </c>
      <c r="X227" s="3">
        <f t="shared" si="79"/>
        <v>3600000</v>
      </c>
      <c r="Y227">
        <f t="shared" si="80"/>
        <v>0.3</v>
      </c>
      <c r="Z227">
        <f t="shared" si="81"/>
        <v>0.75757575757575757</v>
      </c>
      <c r="AA227" t="str">
        <f t="shared" si="82"/>
        <v>Tier 4 - Stable Network</v>
      </c>
      <c r="AB227" s="3">
        <f t="shared" si="83"/>
        <v>60000</v>
      </c>
      <c r="AC227" s="3">
        <f t="shared" si="84"/>
        <v>750000</v>
      </c>
      <c r="AD227" s="3">
        <f t="shared" si="85"/>
        <v>247500.00000000003</v>
      </c>
      <c r="AE227" s="5">
        <f t="shared" si="86"/>
        <v>3.9999999999999996</v>
      </c>
      <c r="AF227" s="10">
        <f t="shared" si="87"/>
        <v>297600</v>
      </c>
      <c r="AG227" s="10">
        <f t="shared" si="88"/>
        <v>96000</v>
      </c>
      <c r="AH227" s="10">
        <f t="shared" si="89"/>
        <v>48000</v>
      </c>
      <c r="AI227" s="10">
        <f t="shared" si="90"/>
        <v>24000</v>
      </c>
      <c r="AJ227" s="10">
        <f t="shared" si="91"/>
        <v>14400</v>
      </c>
    </row>
    <row r="228" spans="1:36" x14ac:dyDescent="0.3">
      <c r="A228" t="s">
        <v>951</v>
      </c>
      <c r="B228" t="s">
        <v>952</v>
      </c>
      <c r="C228" t="s">
        <v>953</v>
      </c>
      <c r="D228" t="s">
        <v>50</v>
      </c>
      <c r="E228">
        <v>78363</v>
      </c>
      <c r="F228" t="s">
        <v>15</v>
      </c>
      <c r="G228">
        <v>8</v>
      </c>
      <c r="H228">
        <v>150</v>
      </c>
      <c r="I228" t="str" cm="1">
        <f t="array" ref="I228">_xlfn.IFS(H228&lt;=120,"V1",H228&lt;=150,"V2",H228&lt;=250,"V3", H228&lt;=350, "V4")</f>
        <v>V2</v>
      </c>
      <c r="J228" t="s">
        <v>954</v>
      </c>
      <c r="K228" t="str">
        <f t="shared" si="69"/>
        <v>27.493808</v>
      </c>
      <c r="L228" t="str">
        <f t="shared" si="70"/>
        <v>-97.844399</v>
      </c>
      <c r="M228">
        <v>17</v>
      </c>
      <c r="N228" s="1">
        <v>42689</v>
      </c>
      <c r="O228" s="1">
        <v>46099</v>
      </c>
      <c r="P228" s="2">
        <f t="shared" si="71"/>
        <v>9.3360711841204651</v>
      </c>
      <c r="Q228" s="2" t="str">
        <f t="shared" si="72"/>
        <v>Old</v>
      </c>
      <c r="R228">
        <f t="shared" si="73"/>
        <v>1200</v>
      </c>
      <c r="S228" t="str">
        <f t="shared" si="74"/>
        <v>Small</v>
      </c>
      <c r="T228" t="str">
        <f t="shared" si="75"/>
        <v>High EV Adoption Corridor</v>
      </c>
      <c r="U228" s="3">
        <f t="shared" si="76"/>
        <v>2574000.0000000005</v>
      </c>
      <c r="V228" s="4">
        <f t="shared" si="77"/>
        <v>576000</v>
      </c>
      <c r="W228" s="3">
        <f t="shared" si="78"/>
        <v>6600000.0000000009</v>
      </c>
      <c r="X228" s="3">
        <f t="shared" si="79"/>
        <v>5400000</v>
      </c>
      <c r="Y228">
        <f t="shared" si="80"/>
        <v>0.22888888888888889</v>
      </c>
      <c r="Z228">
        <f t="shared" si="81"/>
        <v>0.77622377622377625</v>
      </c>
      <c r="AA228" t="str">
        <f t="shared" si="82"/>
        <v>Tier 3 - Upgrade Pipeline</v>
      </c>
      <c r="AB228" s="3">
        <f t="shared" si="83"/>
        <v>72000</v>
      </c>
      <c r="AC228" s="3">
        <f t="shared" si="84"/>
        <v>825000.00000000012</v>
      </c>
      <c r="AD228" s="3">
        <f t="shared" si="85"/>
        <v>321750.00000000006</v>
      </c>
      <c r="AE228" s="5">
        <f t="shared" si="86"/>
        <v>3.303303303303303</v>
      </c>
      <c r="AF228" s="10">
        <f t="shared" si="87"/>
        <v>357120</v>
      </c>
      <c r="AG228" s="10">
        <f t="shared" si="88"/>
        <v>115200</v>
      </c>
      <c r="AH228" s="10">
        <f t="shared" si="89"/>
        <v>57600</v>
      </c>
      <c r="AI228" s="10">
        <f t="shared" si="90"/>
        <v>28800</v>
      </c>
      <c r="AJ228" s="10">
        <f t="shared" si="91"/>
        <v>17280</v>
      </c>
    </row>
    <row r="229" spans="1:36" x14ac:dyDescent="0.3">
      <c r="A229" t="s">
        <v>955</v>
      </c>
      <c r="B229" t="s">
        <v>956</v>
      </c>
      <c r="C229" t="s">
        <v>957</v>
      </c>
      <c r="D229" t="s">
        <v>958</v>
      </c>
      <c r="E229">
        <v>4412</v>
      </c>
      <c r="F229" t="s">
        <v>15</v>
      </c>
      <c r="G229">
        <v>8</v>
      </c>
      <c r="H229">
        <v>150</v>
      </c>
      <c r="I229" t="str" cm="1">
        <f t="array" ref="I229">_xlfn.IFS(H229&lt;=120,"V1",H229&lt;=150,"V2",H229&lt;=250,"V3", H229&lt;=350, "V4")</f>
        <v>V2</v>
      </c>
      <c r="J229" t="s">
        <v>959</v>
      </c>
      <c r="K229" t="str">
        <f t="shared" si="69"/>
        <v>44.775909</v>
      </c>
      <c r="L229" t="str">
        <f t="shared" si="70"/>
        <v>-68.73432</v>
      </c>
      <c r="M229">
        <v>43</v>
      </c>
      <c r="N229" s="1">
        <v>42615</v>
      </c>
      <c r="O229" s="1">
        <v>46099</v>
      </c>
      <c r="P229" s="2">
        <f t="shared" si="71"/>
        <v>9.5386721423682417</v>
      </c>
      <c r="Q229" s="2" t="str">
        <f t="shared" si="72"/>
        <v>Old</v>
      </c>
      <c r="R229">
        <f t="shared" si="73"/>
        <v>1200</v>
      </c>
      <c r="S229" t="str">
        <f t="shared" si="74"/>
        <v>Small</v>
      </c>
      <c r="T229" t="str">
        <f t="shared" si="75"/>
        <v>Lower EV Adoption Corridor</v>
      </c>
      <c r="U229" s="3">
        <f t="shared" si="76"/>
        <v>1980000.0000000002</v>
      </c>
      <c r="V229" s="4">
        <f t="shared" si="77"/>
        <v>480000</v>
      </c>
      <c r="W229" s="3">
        <f t="shared" si="78"/>
        <v>6000000</v>
      </c>
      <c r="X229" s="3">
        <f t="shared" si="79"/>
        <v>3600000</v>
      </c>
      <c r="Y229">
        <f t="shared" si="80"/>
        <v>0.3</v>
      </c>
      <c r="Z229">
        <f t="shared" si="81"/>
        <v>0.75757575757575757</v>
      </c>
      <c r="AA229" t="str">
        <f t="shared" si="82"/>
        <v>Tier 4 - Stable Network</v>
      </c>
      <c r="AB229" s="3">
        <f t="shared" si="83"/>
        <v>60000</v>
      </c>
      <c r="AC229" s="3">
        <f t="shared" si="84"/>
        <v>750000</v>
      </c>
      <c r="AD229" s="3">
        <f t="shared" si="85"/>
        <v>247500.00000000003</v>
      </c>
      <c r="AE229" s="5">
        <f t="shared" si="86"/>
        <v>3.9999999999999996</v>
      </c>
      <c r="AF229" s="10">
        <f t="shared" si="87"/>
        <v>297600</v>
      </c>
      <c r="AG229" s="10">
        <f t="shared" si="88"/>
        <v>96000</v>
      </c>
      <c r="AH229" s="10">
        <f t="shared" si="89"/>
        <v>48000</v>
      </c>
      <c r="AI229" s="10">
        <f t="shared" si="90"/>
        <v>24000</v>
      </c>
      <c r="AJ229" s="10">
        <f t="shared" si="91"/>
        <v>14400</v>
      </c>
    </row>
    <row r="230" spans="1:36" x14ac:dyDescent="0.3">
      <c r="A230" t="s">
        <v>960</v>
      </c>
      <c r="B230" t="s">
        <v>961</v>
      </c>
      <c r="C230" t="s">
        <v>962</v>
      </c>
      <c r="D230" t="s">
        <v>153</v>
      </c>
      <c r="E230">
        <v>17815</v>
      </c>
      <c r="F230" t="s">
        <v>15</v>
      </c>
      <c r="G230">
        <v>8</v>
      </c>
      <c r="H230">
        <v>150</v>
      </c>
      <c r="I230" t="str" cm="1">
        <f t="array" ref="I230">_xlfn.IFS(H230&lt;=120,"V1",H230&lt;=150,"V2",H230&lt;=250,"V3", H230&lt;=350, "V4")</f>
        <v>V2</v>
      </c>
      <c r="J230" t="s">
        <v>963</v>
      </c>
      <c r="K230" t="str">
        <f t="shared" si="69"/>
        <v>41.016143</v>
      </c>
      <c r="L230" t="str">
        <f t="shared" si="70"/>
        <v>-76.492616</v>
      </c>
      <c r="M230">
        <v>197</v>
      </c>
      <c r="N230" s="1">
        <v>42657</v>
      </c>
      <c r="O230" s="1">
        <v>46099</v>
      </c>
      <c r="P230" s="2">
        <f t="shared" si="71"/>
        <v>9.4236824093086931</v>
      </c>
      <c r="Q230" s="2" t="str">
        <f t="shared" si="72"/>
        <v>Old</v>
      </c>
      <c r="R230">
        <f t="shared" si="73"/>
        <v>1200</v>
      </c>
      <c r="S230" t="str">
        <f t="shared" si="74"/>
        <v>Small</v>
      </c>
      <c r="T230" t="str">
        <f t="shared" si="75"/>
        <v>Lower EV Adoption Corridor</v>
      </c>
      <c r="U230" s="3">
        <f t="shared" si="76"/>
        <v>1980000.0000000002</v>
      </c>
      <c r="V230" s="4">
        <f t="shared" si="77"/>
        <v>480000</v>
      </c>
      <c r="W230" s="3">
        <f t="shared" si="78"/>
        <v>6000000</v>
      </c>
      <c r="X230" s="3">
        <f t="shared" si="79"/>
        <v>3600000</v>
      </c>
      <c r="Y230">
        <f t="shared" si="80"/>
        <v>0.3</v>
      </c>
      <c r="Z230">
        <f t="shared" si="81"/>
        <v>0.75757575757575757</v>
      </c>
      <c r="AA230" t="str">
        <f t="shared" si="82"/>
        <v>Tier 4 - Stable Network</v>
      </c>
      <c r="AB230" s="3">
        <f t="shared" si="83"/>
        <v>60000</v>
      </c>
      <c r="AC230" s="3">
        <f t="shared" si="84"/>
        <v>750000</v>
      </c>
      <c r="AD230" s="3">
        <f t="shared" si="85"/>
        <v>247500.00000000003</v>
      </c>
      <c r="AE230" s="5">
        <f t="shared" si="86"/>
        <v>3.9999999999999996</v>
      </c>
      <c r="AF230" s="10">
        <f t="shared" si="87"/>
        <v>297600</v>
      </c>
      <c r="AG230" s="10">
        <f t="shared" si="88"/>
        <v>96000</v>
      </c>
      <c r="AH230" s="10">
        <f t="shared" si="89"/>
        <v>48000</v>
      </c>
      <c r="AI230" s="10">
        <f t="shared" si="90"/>
        <v>24000</v>
      </c>
      <c r="AJ230" s="10">
        <f t="shared" si="91"/>
        <v>14400</v>
      </c>
    </row>
    <row r="231" spans="1:36" x14ac:dyDescent="0.3">
      <c r="A231" t="s">
        <v>964</v>
      </c>
      <c r="B231" t="s">
        <v>965</v>
      </c>
      <c r="C231" t="s">
        <v>966</v>
      </c>
      <c r="D231" t="s">
        <v>643</v>
      </c>
      <c r="E231">
        <v>5602</v>
      </c>
      <c r="F231" t="s">
        <v>15</v>
      </c>
      <c r="G231">
        <v>8</v>
      </c>
      <c r="H231">
        <v>150</v>
      </c>
      <c r="I231" t="str" cm="1">
        <f t="array" ref="I231">_xlfn.IFS(H231&lt;=120,"V1",H231&lt;=150,"V2",H231&lt;=250,"V3", H231&lt;=350, "V4")</f>
        <v>V2</v>
      </c>
      <c r="J231" t="s">
        <v>967</v>
      </c>
      <c r="K231" t="str">
        <f t="shared" si="69"/>
        <v>44.212532</v>
      </c>
      <c r="L231" t="str">
        <f t="shared" si="70"/>
        <v>-72.576462</v>
      </c>
      <c r="M231">
        <v>299</v>
      </c>
      <c r="N231" s="1">
        <v>42646</v>
      </c>
      <c r="O231" s="1">
        <v>46099</v>
      </c>
      <c r="P231" s="2">
        <f t="shared" si="71"/>
        <v>9.4537987679671449</v>
      </c>
      <c r="Q231" s="2" t="str">
        <f t="shared" si="72"/>
        <v>Old</v>
      </c>
      <c r="R231">
        <f t="shared" si="73"/>
        <v>1200</v>
      </c>
      <c r="S231" t="str">
        <f t="shared" si="74"/>
        <v>Small</v>
      </c>
      <c r="T231" t="str">
        <f t="shared" si="75"/>
        <v>Lower EV Adoption Corridor</v>
      </c>
      <c r="U231" s="3">
        <f t="shared" si="76"/>
        <v>1980000.0000000002</v>
      </c>
      <c r="V231" s="4">
        <f t="shared" si="77"/>
        <v>480000</v>
      </c>
      <c r="W231" s="3">
        <f t="shared" si="78"/>
        <v>6000000</v>
      </c>
      <c r="X231" s="3">
        <f t="shared" si="79"/>
        <v>3600000</v>
      </c>
      <c r="Y231">
        <f t="shared" si="80"/>
        <v>0.3</v>
      </c>
      <c r="Z231">
        <f t="shared" si="81"/>
        <v>0.75757575757575757</v>
      </c>
      <c r="AA231" t="str">
        <f t="shared" si="82"/>
        <v>Tier 4 - Stable Network</v>
      </c>
      <c r="AB231" s="3">
        <f t="shared" si="83"/>
        <v>60000</v>
      </c>
      <c r="AC231" s="3">
        <f t="shared" si="84"/>
        <v>750000</v>
      </c>
      <c r="AD231" s="3">
        <f t="shared" si="85"/>
        <v>247500.00000000003</v>
      </c>
      <c r="AE231" s="5">
        <f t="shared" si="86"/>
        <v>3.9999999999999996</v>
      </c>
      <c r="AF231" s="10">
        <f t="shared" si="87"/>
        <v>297600</v>
      </c>
      <c r="AG231" s="10">
        <f t="shared" si="88"/>
        <v>96000</v>
      </c>
      <c r="AH231" s="10">
        <f t="shared" si="89"/>
        <v>48000</v>
      </c>
      <c r="AI231" s="10">
        <f t="shared" si="90"/>
        <v>24000</v>
      </c>
      <c r="AJ231" s="10">
        <f t="shared" si="91"/>
        <v>14400</v>
      </c>
    </row>
    <row r="232" spans="1:36" x14ac:dyDescent="0.3">
      <c r="A232" t="s">
        <v>968</v>
      </c>
      <c r="B232" t="s">
        <v>969</v>
      </c>
      <c r="C232" t="s">
        <v>970</v>
      </c>
      <c r="D232" t="s">
        <v>158</v>
      </c>
      <c r="E232">
        <v>13601</v>
      </c>
      <c r="F232" t="s">
        <v>15</v>
      </c>
      <c r="G232">
        <v>8</v>
      </c>
      <c r="H232">
        <v>120</v>
      </c>
      <c r="I232" t="str" cm="1">
        <f t="array" ref="I232">_xlfn.IFS(H232&lt;=120,"V1",H232&lt;=150,"V2",H232&lt;=250,"V3", H232&lt;=350, "V4")</f>
        <v>V1</v>
      </c>
      <c r="J232" t="s">
        <v>971</v>
      </c>
      <c r="K232" t="str">
        <f t="shared" si="69"/>
        <v>43.979585</v>
      </c>
      <c r="L232" t="str">
        <f t="shared" si="70"/>
        <v>-75.954114</v>
      </c>
      <c r="M232">
        <v>156</v>
      </c>
      <c r="N232" s="1">
        <v>42545</v>
      </c>
      <c r="O232" s="1">
        <v>46099</v>
      </c>
      <c r="P232" s="2">
        <f t="shared" si="71"/>
        <v>9.7303216974674882</v>
      </c>
      <c r="Q232" s="2" t="str">
        <f t="shared" si="72"/>
        <v>Old</v>
      </c>
      <c r="R232">
        <f t="shared" si="73"/>
        <v>960</v>
      </c>
      <c r="S232" t="str">
        <f t="shared" si="74"/>
        <v>Small</v>
      </c>
      <c r="T232" t="str">
        <f t="shared" si="75"/>
        <v>Lower EV Adoption Corridor</v>
      </c>
      <c r="U232" s="3">
        <f t="shared" si="76"/>
        <v>1440000</v>
      </c>
      <c r="V232" s="4">
        <f t="shared" si="77"/>
        <v>345600</v>
      </c>
      <c r="W232" s="3">
        <f t="shared" si="78"/>
        <v>3840000</v>
      </c>
      <c r="X232" s="3">
        <f t="shared" si="79"/>
        <v>2592000</v>
      </c>
      <c r="Y232">
        <f t="shared" si="80"/>
        <v>0.2814814814814815</v>
      </c>
      <c r="Z232">
        <f t="shared" si="81"/>
        <v>0.76</v>
      </c>
      <c r="AA232" t="str">
        <f t="shared" si="82"/>
        <v>Tier 5 - Retirement Pipeline</v>
      </c>
      <c r="AB232" s="3">
        <f t="shared" si="83"/>
        <v>43200</v>
      </c>
      <c r="AC232" s="3">
        <f t="shared" si="84"/>
        <v>480000</v>
      </c>
      <c r="AD232" s="3">
        <f t="shared" si="85"/>
        <v>180000</v>
      </c>
      <c r="AE232" s="5">
        <f t="shared" si="86"/>
        <v>3.5087719298245612</v>
      </c>
      <c r="AF232" s="10">
        <f t="shared" si="87"/>
        <v>214272</v>
      </c>
      <c r="AG232" s="10">
        <f t="shared" si="88"/>
        <v>69120</v>
      </c>
      <c r="AH232" s="10">
        <f t="shared" si="89"/>
        <v>34560</v>
      </c>
      <c r="AI232" s="10">
        <f t="shared" si="90"/>
        <v>17280</v>
      </c>
      <c r="AJ232" s="10">
        <f t="shared" si="91"/>
        <v>10368</v>
      </c>
    </row>
    <row r="233" spans="1:36" x14ac:dyDescent="0.3">
      <c r="A233" t="s">
        <v>972</v>
      </c>
      <c r="B233" t="s">
        <v>973</v>
      </c>
      <c r="C233" t="s">
        <v>974</v>
      </c>
      <c r="D233" t="s">
        <v>158</v>
      </c>
      <c r="E233">
        <v>12804</v>
      </c>
      <c r="F233" t="s">
        <v>15</v>
      </c>
      <c r="G233">
        <v>8</v>
      </c>
      <c r="H233">
        <v>120</v>
      </c>
      <c r="I233" t="str" cm="1">
        <f t="array" ref="I233">_xlfn.IFS(H233&lt;=120,"V1",H233&lt;=150,"V2",H233&lt;=250,"V3", H233&lt;=350, "V4")</f>
        <v>V1</v>
      </c>
      <c r="J233" t="s">
        <v>975</v>
      </c>
      <c r="K233" t="str">
        <f t="shared" si="69"/>
        <v>43.328388</v>
      </c>
      <c r="L233" t="str">
        <f t="shared" si="70"/>
        <v>-73.679992</v>
      </c>
      <c r="M233">
        <v>130</v>
      </c>
      <c r="N233" s="1">
        <v>42566</v>
      </c>
      <c r="O233" s="1">
        <v>46099</v>
      </c>
      <c r="P233" s="2">
        <f t="shared" si="71"/>
        <v>9.6728268309377139</v>
      </c>
      <c r="Q233" s="2" t="str">
        <f t="shared" si="72"/>
        <v>Old</v>
      </c>
      <c r="R233">
        <f t="shared" si="73"/>
        <v>960</v>
      </c>
      <c r="S233" t="str">
        <f t="shared" si="74"/>
        <v>Small</v>
      </c>
      <c r="T233" t="str">
        <f t="shared" si="75"/>
        <v>Lower EV Adoption Corridor</v>
      </c>
      <c r="U233" s="3">
        <f t="shared" si="76"/>
        <v>1440000</v>
      </c>
      <c r="V233" s="4">
        <f t="shared" si="77"/>
        <v>345600</v>
      </c>
      <c r="W233" s="3">
        <f t="shared" si="78"/>
        <v>3840000</v>
      </c>
      <c r="X233" s="3">
        <f t="shared" si="79"/>
        <v>2592000</v>
      </c>
      <c r="Y233">
        <f t="shared" si="80"/>
        <v>0.2814814814814815</v>
      </c>
      <c r="Z233">
        <f t="shared" si="81"/>
        <v>0.76</v>
      </c>
      <c r="AA233" t="str">
        <f t="shared" si="82"/>
        <v>Tier 5 - Retirement Pipeline</v>
      </c>
      <c r="AB233" s="3">
        <f t="shared" si="83"/>
        <v>43200</v>
      </c>
      <c r="AC233" s="3">
        <f t="shared" si="84"/>
        <v>480000</v>
      </c>
      <c r="AD233" s="3">
        <f t="shared" si="85"/>
        <v>180000</v>
      </c>
      <c r="AE233" s="5">
        <f t="shared" si="86"/>
        <v>3.5087719298245612</v>
      </c>
      <c r="AF233" s="10">
        <f t="shared" si="87"/>
        <v>214272</v>
      </c>
      <c r="AG233" s="10">
        <f t="shared" si="88"/>
        <v>69120</v>
      </c>
      <c r="AH233" s="10">
        <f t="shared" si="89"/>
        <v>34560</v>
      </c>
      <c r="AI233" s="10">
        <f t="shared" si="90"/>
        <v>17280</v>
      </c>
      <c r="AJ233" s="10">
        <f t="shared" si="91"/>
        <v>10368</v>
      </c>
    </row>
    <row r="234" spans="1:36" x14ac:dyDescent="0.3">
      <c r="A234" t="s">
        <v>976</v>
      </c>
      <c r="B234" t="s">
        <v>977</v>
      </c>
      <c r="C234" t="s">
        <v>978</v>
      </c>
      <c r="D234" t="s">
        <v>14</v>
      </c>
      <c r="E234">
        <v>90292</v>
      </c>
      <c r="F234" t="s">
        <v>15</v>
      </c>
      <c r="G234">
        <v>8</v>
      </c>
      <c r="H234">
        <v>250</v>
      </c>
      <c r="I234" t="str" cm="1">
        <f t="array" ref="I234">_xlfn.IFS(H234&lt;=120,"V1",H234&lt;=150,"V2",H234&lt;=250,"V3", H234&lt;=350, "V4")</f>
        <v>V3</v>
      </c>
      <c r="J234" t="s">
        <v>979</v>
      </c>
      <c r="K234" t="str">
        <f t="shared" si="69"/>
        <v>33.980394</v>
      </c>
      <c r="L234" t="str">
        <f t="shared" si="70"/>
        <v>-118.445237</v>
      </c>
      <c r="M234">
        <v>4</v>
      </c>
      <c r="N234" s="1">
        <v>44770</v>
      </c>
      <c r="O234" s="1">
        <v>46099</v>
      </c>
      <c r="P234" s="2">
        <f t="shared" si="71"/>
        <v>3.6386036960985626</v>
      </c>
      <c r="Q234" s="2" t="str">
        <f t="shared" si="72"/>
        <v>Mid</v>
      </c>
      <c r="R234">
        <f t="shared" si="73"/>
        <v>2000</v>
      </c>
      <c r="S234" t="str">
        <f t="shared" si="74"/>
        <v>Small</v>
      </c>
      <c r="T234" t="str">
        <f t="shared" si="75"/>
        <v>High EV Adoption Corridor</v>
      </c>
      <c r="U234" s="3">
        <f t="shared" si="76"/>
        <v>4680000</v>
      </c>
      <c r="V234" s="4">
        <f t="shared" si="77"/>
        <v>1056000</v>
      </c>
      <c r="W234" s="3">
        <f t="shared" si="78"/>
        <v>13200000.000000002</v>
      </c>
      <c r="X234" s="3">
        <f t="shared" si="79"/>
        <v>9900000.0000000019</v>
      </c>
      <c r="Y234">
        <f t="shared" si="80"/>
        <v>0.23999999999999996</v>
      </c>
      <c r="Z234">
        <f t="shared" si="81"/>
        <v>0.77435897435897438</v>
      </c>
      <c r="AA234" t="str">
        <f t="shared" si="82"/>
        <v>Tier 1 - Priority Fleet</v>
      </c>
      <c r="AB234" s="3">
        <f t="shared" si="83"/>
        <v>132000</v>
      </c>
      <c r="AC234" s="3">
        <f t="shared" si="84"/>
        <v>1650000.0000000002</v>
      </c>
      <c r="AD234" s="3">
        <f t="shared" si="85"/>
        <v>585000</v>
      </c>
      <c r="AE234" s="5">
        <f t="shared" si="86"/>
        <v>3.6423841059602653</v>
      </c>
      <c r="AF234" s="10">
        <f t="shared" si="87"/>
        <v>654720</v>
      </c>
      <c r="AG234" s="10">
        <f t="shared" si="88"/>
        <v>211200</v>
      </c>
      <c r="AH234" s="10">
        <f t="shared" si="89"/>
        <v>105600</v>
      </c>
      <c r="AI234" s="10">
        <f t="shared" si="90"/>
        <v>52800</v>
      </c>
      <c r="AJ234" s="10">
        <f t="shared" si="91"/>
        <v>31680</v>
      </c>
    </row>
    <row r="235" spans="1:36" x14ac:dyDescent="0.3">
      <c r="A235" t="s">
        <v>980</v>
      </c>
      <c r="B235" t="s">
        <v>981</v>
      </c>
      <c r="C235" t="s">
        <v>982</v>
      </c>
      <c r="D235" t="s">
        <v>14</v>
      </c>
      <c r="E235">
        <v>95322</v>
      </c>
      <c r="F235" t="s">
        <v>15</v>
      </c>
      <c r="G235">
        <v>12</v>
      </c>
      <c r="H235">
        <v>150</v>
      </c>
      <c r="I235" t="str" cm="1">
        <f t="array" ref="I235">_xlfn.IFS(H235&lt;=120,"V1",H235&lt;=150,"V2",H235&lt;=250,"V3", H235&lt;=350, "V4")</f>
        <v>V2</v>
      </c>
      <c r="J235" t="s">
        <v>983</v>
      </c>
      <c r="K235" t="str">
        <f t="shared" si="69"/>
        <v>37.109305</v>
      </c>
      <c r="L235" t="str">
        <f t="shared" si="70"/>
        <v>-121.017565</v>
      </c>
      <c r="M235">
        <v>47</v>
      </c>
      <c r="N235" s="1">
        <v>42690</v>
      </c>
      <c r="O235" s="1">
        <v>46099</v>
      </c>
      <c r="P235" s="2">
        <f t="shared" si="71"/>
        <v>9.3333333333333339</v>
      </c>
      <c r="Q235" s="2" t="str">
        <f t="shared" si="72"/>
        <v>Old</v>
      </c>
      <c r="R235">
        <f t="shared" si="73"/>
        <v>1800</v>
      </c>
      <c r="S235" t="str">
        <f t="shared" si="74"/>
        <v>Small</v>
      </c>
      <c r="T235" t="str">
        <f t="shared" si="75"/>
        <v>High EV Adoption Corridor</v>
      </c>
      <c r="U235" s="3">
        <f t="shared" si="76"/>
        <v>3861000.0000000009</v>
      </c>
      <c r="V235" s="4">
        <f t="shared" si="77"/>
        <v>864000</v>
      </c>
      <c r="W235" s="3">
        <f t="shared" si="78"/>
        <v>9900000</v>
      </c>
      <c r="X235" s="3">
        <f t="shared" si="79"/>
        <v>8100000</v>
      </c>
      <c r="Y235">
        <f t="shared" si="80"/>
        <v>0.22888888888888889</v>
      </c>
      <c r="Z235">
        <f t="shared" si="81"/>
        <v>0.77622377622377625</v>
      </c>
      <c r="AA235" t="str">
        <f t="shared" si="82"/>
        <v>Tier 3 - Upgrade Pipeline</v>
      </c>
      <c r="AB235" s="3">
        <f t="shared" si="83"/>
        <v>72000</v>
      </c>
      <c r="AC235" s="3">
        <f t="shared" si="84"/>
        <v>825000</v>
      </c>
      <c r="AD235" s="3">
        <f t="shared" si="85"/>
        <v>321750.00000000006</v>
      </c>
      <c r="AE235" s="5">
        <f t="shared" si="86"/>
        <v>3.3033033033033021</v>
      </c>
      <c r="AF235" s="10">
        <f t="shared" si="87"/>
        <v>535680</v>
      </c>
      <c r="AG235" s="10">
        <f t="shared" si="88"/>
        <v>172800</v>
      </c>
      <c r="AH235" s="10">
        <f t="shared" si="89"/>
        <v>86400</v>
      </c>
      <c r="AI235" s="10">
        <f t="shared" si="90"/>
        <v>43200</v>
      </c>
      <c r="AJ235" s="10">
        <f t="shared" si="91"/>
        <v>25920</v>
      </c>
    </row>
    <row r="236" spans="1:36" x14ac:dyDescent="0.3">
      <c r="A236" t="s">
        <v>984</v>
      </c>
      <c r="B236" t="s">
        <v>985</v>
      </c>
      <c r="C236" t="s">
        <v>986</v>
      </c>
      <c r="D236" t="s">
        <v>14</v>
      </c>
      <c r="E236">
        <v>93314</v>
      </c>
      <c r="F236" t="s">
        <v>15</v>
      </c>
      <c r="G236">
        <v>10</v>
      </c>
      <c r="H236">
        <v>150</v>
      </c>
      <c r="I236" t="str" cm="1">
        <f t="array" ref="I236">_xlfn.IFS(H236&lt;=120,"V1",H236&lt;=150,"V2",H236&lt;=250,"V3", H236&lt;=350, "V4")</f>
        <v>V2</v>
      </c>
      <c r="J236" t="s">
        <v>987</v>
      </c>
      <c r="K236" t="str">
        <f t="shared" si="69"/>
        <v>35.354643</v>
      </c>
      <c r="L236" t="str">
        <f t="shared" si="70"/>
        <v>-119.331607</v>
      </c>
      <c r="M236">
        <v>93</v>
      </c>
      <c r="N236" s="1">
        <v>42642</v>
      </c>
      <c r="O236" s="1">
        <v>46099</v>
      </c>
      <c r="P236" s="2">
        <f t="shared" si="71"/>
        <v>9.464750171115675</v>
      </c>
      <c r="Q236" s="2" t="str">
        <f t="shared" si="72"/>
        <v>Old</v>
      </c>
      <c r="R236">
        <f t="shared" si="73"/>
        <v>1500</v>
      </c>
      <c r="S236" t="str">
        <f t="shared" si="74"/>
        <v>Small</v>
      </c>
      <c r="T236" t="str">
        <f t="shared" si="75"/>
        <v>High EV Adoption Corridor</v>
      </c>
      <c r="U236" s="3">
        <f t="shared" si="76"/>
        <v>3217500</v>
      </c>
      <c r="V236" s="4">
        <f t="shared" si="77"/>
        <v>720000</v>
      </c>
      <c r="W236" s="3">
        <f t="shared" si="78"/>
        <v>8250000.0000000009</v>
      </c>
      <c r="X236" s="3">
        <f t="shared" si="79"/>
        <v>6750000</v>
      </c>
      <c r="Y236">
        <f t="shared" si="80"/>
        <v>0.22888888888888889</v>
      </c>
      <c r="Z236">
        <f t="shared" si="81"/>
        <v>0.77622377622377625</v>
      </c>
      <c r="AA236" t="str">
        <f t="shared" si="82"/>
        <v>Tier 3 - Upgrade Pipeline</v>
      </c>
      <c r="AB236" s="3">
        <f t="shared" si="83"/>
        <v>72000</v>
      </c>
      <c r="AC236" s="3">
        <f t="shared" si="84"/>
        <v>825000.00000000012</v>
      </c>
      <c r="AD236" s="3">
        <f t="shared" si="85"/>
        <v>321750</v>
      </c>
      <c r="AE236" s="5">
        <f t="shared" si="86"/>
        <v>3.3033033033033035</v>
      </c>
      <c r="AF236" s="10">
        <f t="shared" si="87"/>
        <v>446400</v>
      </c>
      <c r="AG236" s="10">
        <f t="shared" si="88"/>
        <v>144000</v>
      </c>
      <c r="AH236" s="10">
        <f t="shared" si="89"/>
        <v>72000</v>
      </c>
      <c r="AI236" s="10">
        <f t="shared" si="90"/>
        <v>36000</v>
      </c>
      <c r="AJ236" s="10">
        <f t="shared" si="91"/>
        <v>21600</v>
      </c>
    </row>
    <row r="237" spans="1:36" x14ac:dyDescent="0.3">
      <c r="A237" t="s">
        <v>988</v>
      </c>
      <c r="B237" t="s">
        <v>989</v>
      </c>
      <c r="C237" t="s">
        <v>990</v>
      </c>
      <c r="D237" t="s">
        <v>50</v>
      </c>
      <c r="E237">
        <v>76943</v>
      </c>
      <c r="F237" t="s">
        <v>15</v>
      </c>
      <c r="G237">
        <v>6</v>
      </c>
      <c r="H237">
        <v>150</v>
      </c>
      <c r="I237" t="str" cm="1">
        <f t="array" ref="I237">_xlfn.IFS(H237&lt;=120,"V1",H237&lt;=150,"V2",H237&lt;=250,"V3", H237&lt;=350, "V4")</f>
        <v>V2</v>
      </c>
      <c r="J237" t="s">
        <v>991</v>
      </c>
      <c r="K237" t="str">
        <f t="shared" si="69"/>
        <v>30.706696</v>
      </c>
      <c r="L237" t="str">
        <f t="shared" si="70"/>
        <v>-101.195962</v>
      </c>
      <c r="M237">
        <v>718</v>
      </c>
      <c r="N237" s="1">
        <v>42754</v>
      </c>
      <c r="O237" s="1">
        <v>46099</v>
      </c>
      <c r="P237" s="2">
        <f t="shared" si="71"/>
        <v>9.158110882956878</v>
      </c>
      <c r="Q237" s="2" t="str">
        <f t="shared" si="72"/>
        <v>Old</v>
      </c>
      <c r="R237">
        <f t="shared" si="73"/>
        <v>900</v>
      </c>
      <c r="S237" t="str">
        <f t="shared" si="74"/>
        <v>Small</v>
      </c>
      <c r="T237" t="str">
        <f t="shared" si="75"/>
        <v>High EV Adoption Corridor</v>
      </c>
      <c r="U237" s="3">
        <f t="shared" si="76"/>
        <v>1930500.0000000005</v>
      </c>
      <c r="V237" s="4">
        <f t="shared" si="77"/>
        <v>432000</v>
      </c>
      <c r="W237" s="3">
        <f t="shared" si="78"/>
        <v>4950000</v>
      </c>
      <c r="X237" s="3">
        <f t="shared" si="79"/>
        <v>4050000</v>
      </c>
      <c r="Y237">
        <f t="shared" si="80"/>
        <v>0.22888888888888889</v>
      </c>
      <c r="Z237">
        <f t="shared" si="81"/>
        <v>0.77622377622377625</v>
      </c>
      <c r="AA237" t="str">
        <f t="shared" si="82"/>
        <v>Tier 3 - Upgrade Pipeline</v>
      </c>
      <c r="AB237" s="3">
        <f t="shared" si="83"/>
        <v>72000</v>
      </c>
      <c r="AC237" s="3">
        <f t="shared" si="84"/>
        <v>825000</v>
      </c>
      <c r="AD237" s="3">
        <f t="shared" si="85"/>
        <v>321750.00000000006</v>
      </c>
      <c r="AE237" s="5">
        <f t="shared" si="86"/>
        <v>3.3033033033033021</v>
      </c>
      <c r="AF237" s="10">
        <f t="shared" si="87"/>
        <v>267840</v>
      </c>
      <c r="AG237" s="10">
        <f t="shared" si="88"/>
        <v>86400</v>
      </c>
      <c r="AH237" s="10">
        <f t="shared" si="89"/>
        <v>43200</v>
      </c>
      <c r="AI237" s="10">
        <f t="shared" si="90"/>
        <v>21600</v>
      </c>
      <c r="AJ237" s="10">
        <f t="shared" si="91"/>
        <v>12960</v>
      </c>
    </row>
    <row r="238" spans="1:36" x14ac:dyDescent="0.3">
      <c r="A238" t="s">
        <v>992</v>
      </c>
      <c r="B238" t="s">
        <v>993</v>
      </c>
      <c r="C238" t="s">
        <v>994</v>
      </c>
      <c r="D238" t="s">
        <v>268</v>
      </c>
      <c r="E238">
        <v>80538</v>
      </c>
      <c r="F238" t="s">
        <v>15</v>
      </c>
      <c r="G238">
        <v>10</v>
      </c>
      <c r="H238">
        <v>150</v>
      </c>
      <c r="I238" t="str" cm="1">
        <f t="array" ref="I238">_xlfn.IFS(H238&lt;=120,"V1",H238&lt;=150,"V2",H238&lt;=250,"V3", H238&lt;=350, "V4")</f>
        <v>V2</v>
      </c>
      <c r="J238" t="s">
        <v>995</v>
      </c>
      <c r="K238" t="str">
        <f t="shared" si="69"/>
        <v>40.44146</v>
      </c>
      <c r="L238" t="str">
        <f t="shared" si="70"/>
        <v>-104.991205</v>
      </c>
      <c r="M238">
        <v>1546</v>
      </c>
      <c r="N238" s="1">
        <v>42733</v>
      </c>
      <c r="O238" s="1">
        <v>46099</v>
      </c>
      <c r="P238" s="2">
        <f t="shared" si="71"/>
        <v>9.2156057494866523</v>
      </c>
      <c r="Q238" s="2" t="str">
        <f t="shared" si="72"/>
        <v>Old</v>
      </c>
      <c r="R238">
        <f t="shared" si="73"/>
        <v>1500</v>
      </c>
      <c r="S238" t="str">
        <f t="shared" si="74"/>
        <v>Small</v>
      </c>
      <c r="T238" t="str">
        <f t="shared" si="75"/>
        <v>High EV Adoption Corridor</v>
      </c>
      <c r="U238" s="3">
        <f t="shared" si="76"/>
        <v>3217500</v>
      </c>
      <c r="V238" s="4">
        <f t="shared" si="77"/>
        <v>720000</v>
      </c>
      <c r="W238" s="3">
        <f t="shared" si="78"/>
        <v>8250000.0000000009</v>
      </c>
      <c r="X238" s="3">
        <f t="shared" si="79"/>
        <v>6750000</v>
      </c>
      <c r="Y238">
        <f t="shared" si="80"/>
        <v>0.22888888888888889</v>
      </c>
      <c r="Z238">
        <f t="shared" si="81"/>
        <v>0.77622377622377625</v>
      </c>
      <c r="AA238" t="str">
        <f t="shared" si="82"/>
        <v>Tier 3 - Upgrade Pipeline</v>
      </c>
      <c r="AB238" s="3">
        <f t="shared" si="83"/>
        <v>72000</v>
      </c>
      <c r="AC238" s="3">
        <f t="shared" si="84"/>
        <v>825000.00000000012</v>
      </c>
      <c r="AD238" s="3">
        <f t="shared" si="85"/>
        <v>321750</v>
      </c>
      <c r="AE238" s="5">
        <f t="shared" si="86"/>
        <v>3.3033033033033035</v>
      </c>
      <c r="AF238" s="10">
        <f t="shared" si="87"/>
        <v>446400</v>
      </c>
      <c r="AG238" s="10">
        <f t="shared" si="88"/>
        <v>144000</v>
      </c>
      <c r="AH238" s="10">
        <f t="shared" si="89"/>
        <v>72000</v>
      </c>
      <c r="AI238" s="10">
        <f t="shared" si="90"/>
        <v>36000</v>
      </c>
      <c r="AJ238" s="10">
        <f t="shared" si="91"/>
        <v>21600</v>
      </c>
    </row>
    <row r="239" spans="1:36" x14ac:dyDescent="0.3">
      <c r="A239" t="s">
        <v>996</v>
      </c>
      <c r="B239" t="s">
        <v>997</v>
      </c>
      <c r="C239" t="s">
        <v>998</v>
      </c>
      <c r="D239" t="s">
        <v>949</v>
      </c>
      <c r="E239">
        <v>69153</v>
      </c>
      <c r="F239" t="s">
        <v>15</v>
      </c>
      <c r="G239">
        <v>8</v>
      </c>
      <c r="H239">
        <v>150</v>
      </c>
      <c r="I239" t="str" cm="1">
        <f t="array" ref="I239">_xlfn.IFS(H239&lt;=120,"V1",H239&lt;=150,"V2",H239&lt;=250,"V3", H239&lt;=350, "V4")</f>
        <v>V2</v>
      </c>
      <c r="J239" t="s">
        <v>999</v>
      </c>
      <c r="K239" t="str">
        <f t="shared" si="69"/>
        <v>41.116493</v>
      </c>
      <c r="L239" t="str">
        <f t="shared" si="70"/>
        <v>-101.709415</v>
      </c>
      <c r="M239">
        <v>977</v>
      </c>
      <c r="N239" s="1">
        <v>42706</v>
      </c>
      <c r="O239" s="1">
        <v>46099</v>
      </c>
      <c r="P239" s="2">
        <f t="shared" si="71"/>
        <v>9.2895277207392191</v>
      </c>
      <c r="Q239" s="2" t="str">
        <f t="shared" si="72"/>
        <v>Old</v>
      </c>
      <c r="R239">
        <f t="shared" si="73"/>
        <v>1200</v>
      </c>
      <c r="S239" t="str">
        <f t="shared" si="74"/>
        <v>Small</v>
      </c>
      <c r="T239" t="str">
        <f t="shared" si="75"/>
        <v>Lower EV Adoption Corridor</v>
      </c>
      <c r="U239" s="3">
        <f t="shared" si="76"/>
        <v>1980000.0000000002</v>
      </c>
      <c r="V239" s="4">
        <f t="shared" si="77"/>
        <v>480000</v>
      </c>
      <c r="W239" s="3">
        <f t="shared" si="78"/>
        <v>6000000</v>
      </c>
      <c r="X239" s="3">
        <f t="shared" si="79"/>
        <v>3600000</v>
      </c>
      <c r="Y239">
        <f t="shared" si="80"/>
        <v>0.3</v>
      </c>
      <c r="Z239">
        <f t="shared" si="81"/>
        <v>0.75757575757575757</v>
      </c>
      <c r="AA239" t="str">
        <f t="shared" si="82"/>
        <v>Tier 4 - Stable Network</v>
      </c>
      <c r="AB239" s="3">
        <f t="shared" si="83"/>
        <v>60000</v>
      </c>
      <c r="AC239" s="3">
        <f t="shared" si="84"/>
        <v>750000</v>
      </c>
      <c r="AD239" s="3">
        <f t="shared" si="85"/>
        <v>247500.00000000003</v>
      </c>
      <c r="AE239" s="5">
        <f t="shared" si="86"/>
        <v>3.9999999999999996</v>
      </c>
      <c r="AF239" s="10">
        <f t="shared" si="87"/>
        <v>297600</v>
      </c>
      <c r="AG239" s="10">
        <f t="shared" si="88"/>
        <v>96000</v>
      </c>
      <c r="AH239" s="10">
        <f t="shared" si="89"/>
        <v>48000</v>
      </c>
      <c r="AI239" s="10">
        <f t="shared" si="90"/>
        <v>24000</v>
      </c>
      <c r="AJ239" s="10">
        <f t="shared" si="91"/>
        <v>14400</v>
      </c>
    </row>
    <row r="240" spans="1:36" x14ac:dyDescent="0.3">
      <c r="A240" t="s">
        <v>1000</v>
      </c>
      <c r="B240" t="s">
        <v>1001</v>
      </c>
      <c r="C240" t="s">
        <v>1002</v>
      </c>
      <c r="D240" t="s">
        <v>949</v>
      </c>
      <c r="E240">
        <v>69138</v>
      </c>
      <c r="F240" t="s">
        <v>15</v>
      </c>
      <c r="G240">
        <v>8</v>
      </c>
      <c r="H240">
        <v>150</v>
      </c>
      <c r="I240" t="str" cm="1">
        <f t="array" ref="I240">_xlfn.IFS(H240&lt;=120,"V1",H240&lt;=150,"V2",H240&lt;=250,"V3", H240&lt;=350, "V4")</f>
        <v>V2</v>
      </c>
      <c r="J240" t="s">
        <v>1003</v>
      </c>
      <c r="K240" t="str">
        <f t="shared" si="69"/>
        <v>40.917317</v>
      </c>
      <c r="L240" t="str">
        <f t="shared" si="70"/>
        <v>-100.169913</v>
      </c>
      <c r="M240">
        <v>780</v>
      </c>
      <c r="N240" s="1">
        <v>42706</v>
      </c>
      <c r="O240" s="1">
        <v>46099</v>
      </c>
      <c r="P240" s="2">
        <f t="shared" si="71"/>
        <v>9.2895277207392191</v>
      </c>
      <c r="Q240" s="2" t="str">
        <f t="shared" si="72"/>
        <v>Old</v>
      </c>
      <c r="R240">
        <f t="shared" si="73"/>
        <v>1200</v>
      </c>
      <c r="S240" t="str">
        <f t="shared" si="74"/>
        <v>Small</v>
      </c>
      <c r="T240" t="str">
        <f t="shared" si="75"/>
        <v>Lower EV Adoption Corridor</v>
      </c>
      <c r="U240" s="3">
        <f t="shared" si="76"/>
        <v>1980000.0000000002</v>
      </c>
      <c r="V240" s="4">
        <f t="shared" si="77"/>
        <v>480000</v>
      </c>
      <c r="W240" s="3">
        <f t="shared" si="78"/>
        <v>6000000</v>
      </c>
      <c r="X240" s="3">
        <f t="shared" si="79"/>
        <v>3600000</v>
      </c>
      <c r="Y240">
        <f t="shared" si="80"/>
        <v>0.3</v>
      </c>
      <c r="Z240">
        <f t="shared" si="81"/>
        <v>0.75757575757575757</v>
      </c>
      <c r="AA240" t="str">
        <f t="shared" si="82"/>
        <v>Tier 4 - Stable Network</v>
      </c>
      <c r="AB240" s="3">
        <f t="shared" si="83"/>
        <v>60000</v>
      </c>
      <c r="AC240" s="3">
        <f t="shared" si="84"/>
        <v>750000</v>
      </c>
      <c r="AD240" s="3">
        <f t="shared" si="85"/>
        <v>247500.00000000003</v>
      </c>
      <c r="AE240" s="5">
        <f t="shared" si="86"/>
        <v>3.9999999999999996</v>
      </c>
      <c r="AF240" s="10">
        <f t="shared" si="87"/>
        <v>297600</v>
      </c>
      <c r="AG240" s="10">
        <f t="shared" si="88"/>
        <v>96000</v>
      </c>
      <c r="AH240" s="10">
        <f t="shared" si="89"/>
        <v>48000</v>
      </c>
      <c r="AI240" s="10">
        <f t="shared" si="90"/>
        <v>24000</v>
      </c>
      <c r="AJ240" s="10">
        <f t="shared" si="91"/>
        <v>14400</v>
      </c>
    </row>
    <row r="241" spans="1:36" x14ac:dyDescent="0.3">
      <c r="A241" t="s">
        <v>1004</v>
      </c>
      <c r="B241" t="s">
        <v>1005</v>
      </c>
      <c r="C241" t="s">
        <v>1006</v>
      </c>
      <c r="D241" t="s">
        <v>50</v>
      </c>
      <c r="E241">
        <v>77530</v>
      </c>
      <c r="F241" t="s">
        <v>15</v>
      </c>
      <c r="G241">
        <v>8</v>
      </c>
      <c r="H241">
        <v>150</v>
      </c>
      <c r="I241" t="str" cm="1">
        <f t="array" ref="I241">_xlfn.IFS(H241&lt;=120,"V1",H241&lt;=150,"V2",H241&lt;=250,"V3", H241&lt;=350, "V4")</f>
        <v>V2</v>
      </c>
      <c r="J241" t="s">
        <v>1007</v>
      </c>
      <c r="K241" t="str">
        <f t="shared" si="69"/>
        <v>29.784665</v>
      </c>
      <c r="L241" t="str">
        <f t="shared" si="70"/>
        <v>-95.110612</v>
      </c>
      <c r="M241">
        <v>7</v>
      </c>
      <c r="N241" s="1">
        <v>42653</v>
      </c>
      <c r="O241" s="1">
        <v>46099</v>
      </c>
      <c r="P241" s="2">
        <f t="shared" si="71"/>
        <v>9.4346338124572213</v>
      </c>
      <c r="Q241" s="2" t="str">
        <f t="shared" si="72"/>
        <v>Old</v>
      </c>
      <c r="R241">
        <f t="shared" si="73"/>
        <v>1200</v>
      </c>
      <c r="S241" t="str">
        <f t="shared" si="74"/>
        <v>Small</v>
      </c>
      <c r="T241" t="str">
        <f t="shared" si="75"/>
        <v>High EV Adoption Corridor</v>
      </c>
      <c r="U241" s="3">
        <f t="shared" si="76"/>
        <v>2574000.0000000005</v>
      </c>
      <c r="V241" s="4">
        <f t="shared" si="77"/>
        <v>576000</v>
      </c>
      <c r="W241" s="3">
        <f t="shared" si="78"/>
        <v>6600000.0000000009</v>
      </c>
      <c r="X241" s="3">
        <f t="shared" si="79"/>
        <v>5400000</v>
      </c>
      <c r="Y241">
        <f t="shared" si="80"/>
        <v>0.22888888888888889</v>
      </c>
      <c r="Z241">
        <f t="shared" si="81"/>
        <v>0.77622377622377625</v>
      </c>
      <c r="AA241" t="str">
        <f t="shared" si="82"/>
        <v>Tier 3 - Upgrade Pipeline</v>
      </c>
      <c r="AB241" s="3">
        <f t="shared" si="83"/>
        <v>72000</v>
      </c>
      <c r="AC241" s="3">
        <f t="shared" si="84"/>
        <v>825000.00000000012</v>
      </c>
      <c r="AD241" s="3">
        <f t="shared" si="85"/>
        <v>321750.00000000006</v>
      </c>
      <c r="AE241" s="5">
        <f t="shared" si="86"/>
        <v>3.303303303303303</v>
      </c>
      <c r="AF241" s="10">
        <f t="shared" si="87"/>
        <v>357120</v>
      </c>
      <c r="AG241" s="10">
        <f t="shared" si="88"/>
        <v>115200</v>
      </c>
      <c r="AH241" s="10">
        <f t="shared" si="89"/>
        <v>57600</v>
      </c>
      <c r="AI241" s="10">
        <f t="shared" si="90"/>
        <v>28800</v>
      </c>
      <c r="AJ241" s="10">
        <f t="shared" si="91"/>
        <v>17280</v>
      </c>
    </row>
    <row r="242" spans="1:36" x14ac:dyDescent="0.3">
      <c r="A242" t="s">
        <v>1008</v>
      </c>
      <c r="B242" t="s">
        <v>1009</v>
      </c>
      <c r="C242" t="s">
        <v>1010</v>
      </c>
      <c r="D242" t="s">
        <v>484</v>
      </c>
      <c r="E242">
        <v>35203</v>
      </c>
      <c r="F242" t="s">
        <v>15</v>
      </c>
      <c r="G242">
        <v>8</v>
      </c>
      <c r="H242">
        <v>150</v>
      </c>
      <c r="I242" t="str" cm="1">
        <f t="array" ref="I242">_xlfn.IFS(H242&lt;=120,"V1",H242&lt;=150,"V2",H242&lt;=250,"V3", H242&lt;=350, "V4")</f>
        <v>V2</v>
      </c>
      <c r="J242" t="s">
        <v>1011</v>
      </c>
      <c r="K242" t="str">
        <f t="shared" si="69"/>
        <v>33.525917</v>
      </c>
      <c r="L242" t="str">
        <f t="shared" si="70"/>
        <v>-86.806875</v>
      </c>
      <c r="M242">
        <v>182</v>
      </c>
      <c r="N242" s="1">
        <v>42690</v>
      </c>
      <c r="O242" s="1">
        <v>46099</v>
      </c>
      <c r="P242" s="2">
        <f t="shared" si="71"/>
        <v>9.3333333333333339</v>
      </c>
      <c r="Q242" s="2" t="str">
        <f t="shared" si="72"/>
        <v>Old</v>
      </c>
      <c r="R242">
        <f t="shared" si="73"/>
        <v>1200</v>
      </c>
      <c r="S242" t="str">
        <f t="shared" si="74"/>
        <v>Small</v>
      </c>
      <c r="T242" t="str">
        <f t="shared" si="75"/>
        <v>Lower EV Adoption Corridor</v>
      </c>
      <c r="U242" s="3">
        <f t="shared" si="76"/>
        <v>1980000.0000000002</v>
      </c>
      <c r="V242" s="4">
        <f t="shared" si="77"/>
        <v>480000</v>
      </c>
      <c r="W242" s="3">
        <f t="shared" si="78"/>
        <v>6000000</v>
      </c>
      <c r="X242" s="3">
        <f t="shared" si="79"/>
        <v>3600000</v>
      </c>
      <c r="Y242">
        <f t="shared" si="80"/>
        <v>0.3</v>
      </c>
      <c r="Z242">
        <f t="shared" si="81"/>
        <v>0.75757575757575757</v>
      </c>
      <c r="AA242" t="str">
        <f t="shared" si="82"/>
        <v>Tier 4 - Stable Network</v>
      </c>
      <c r="AB242" s="3">
        <f t="shared" si="83"/>
        <v>60000</v>
      </c>
      <c r="AC242" s="3">
        <f t="shared" si="84"/>
        <v>750000</v>
      </c>
      <c r="AD242" s="3">
        <f t="shared" si="85"/>
        <v>247500.00000000003</v>
      </c>
      <c r="AE242" s="5">
        <f t="shared" si="86"/>
        <v>3.9999999999999996</v>
      </c>
      <c r="AF242" s="10">
        <f t="shared" si="87"/>
        <v>297600</v>
      </c>
      <c r="AG242" s="10">
        <f t="shared" si="88"/>
        <v>96000</v>
      </c>
      <c r="AH242" s="10">
        <f t="shared" si="89"/>
        <v>48000</v>
      </c>
      <c r="AI242" s="10">
        <f t="shared" si="90"/>
        <v>24000</v>
      </c>
      <c r="AJ242" s="10">
        <f t="shared" si="91"/>
        <v>14400</v>
      </c>
    </row>
    <row r="243" spans="1:36" x14ac:dyDescent="0.3">
      <c r="A243" t="s">
        <v>1012</v>
      </c>
      <c r="B243" t="s">
        <v>1013</v>
      </c>
      <c r="C243" t="s">
        <v>1014</v>
      </c>
      <c r="D243" t="s">
        <v>59</v>
      </c>
      <c r="E243">
        <v>60542</v>
      </c>
      <c r="F243" t="s">
        <v>15</v>
      </c>
      <c r="G243">
        <v>16</v>
      </c>
      <c r="H243">
        <v>250</v>
      </c>
      <c r="I243" t="str" cm="1">
        <f t="array" ref="I243">_xlfn.IFS(H243&lt;=120,"V1",H243&lt;=150,"V2",H243&lt;=250,"V3", H243&lt;=350, "V4")</f>
        <v>V3</v>
      </c>
      <c r="J243" t="s">
        <v>1015</v>
      </c>
      <c r="K243" t="str">
        <f t="shared" si="69"/>
        <v>41.802949</v>
      </c>
      <c r="L243" t="str">
        <f t="shared" si="70"/>
        <v>-88.370249</v>
      </c>
      <c r="M243">
        <v>212</v>
      </c>
      <c r="N243" s="1">
        <v>42648</v>
      </c>
      <c r="O243" s="1">
        <v>46099</v>
      </c>
      <c r="P243" s="2">
        <f t="shared" si="71"/>
        <v>9.4483230663928808</v>
      </c>
      <c r="Q243" s="2" t="str">
        <f t="shared" si="72"/>
        <v>Old</v>
      </c>
      <c r="R243">
        <f t="shared" si="73"/>
        <v>4000</v>
      </c>
      <c r="S243" t="str">
        <f t="shared" si="74"/>
        <v>Small</v>
      </c>
      <c r="T243" t="str">
        <f t="shared" si="75"/>
        <v>Lower EV Adoption Corridor</v>
      </c>
      <c r="U243" s="3">
        <f t="shared" si="76"/>
        <v>7200000</v>
      </c>
      <c r="V243" s="4">
        <f t="shared" si="77"/>
        <v>1760000.0000000002</v>
      </c>
      <c r="W243" s="3">
        <f t="shared" si="78"/>
        <v>24000000</v>
      </c>
      <c r="X243" s="3">
        <f t="shared" si="79"/>
        <v>13200000.000000002</v>
      </c>
      <c r="Y243">
        <f t="shared" si="80"/>
        <v>0.31515151515151513</v>
      </c>
      <c r="Z243">
        <f t="shared" si="81"/>
        <v>0.75555555555555554</v>
      </c>
      <c r="AA243" t="str">
        <f t="shared" si="82"/>
        <v>Tier 2 - Growth Markets</v>
      </c>
      <c r="AB243" s="3">
        <f t="shared" si="83"/>
        <v>110000.00000000001</v>
      </c>
      <c r="AC243" s="3">
        <f t="shared" si="84"/>
        <v>1500000</v>
      </c>
      <c r="AD243" s="3">
        <f t="shared" si="85"/>
        <v>450000</v>
      </c>
      <c r="AE243" s="5">
        <f t="shared" si="86"/>
        <v>4.4117647058823533</v>
      </c>
      <c r="AF243" s="10">
        <f t="shared" si="87"/>
        <v>1091200.0000000002</v>
      </c>
      <c r="AG243" s="10">
        <f t="shared" si="88"/>
        <v>352000.00000000006</v>
      </c>
      <c r="AH243" s="10">
        <f t="shared" si="89"/>
        <v>176000.00000000003</v>
      </c>
      <c r="AI243" s="10">
        <f t="shared" si="90"/>
        <v>88000.000000000015</v>
      </c>
      <c r="AJ243" s="10">
        <f t="shared" si="91"/>
        <v>52800.000000000007</v>
      </c>
    </row>
    <row r="244" spans="1:36" x14ac:dyDescent="0.3">
      <c r="A244" t="s">
        <v>1016</v>
      </c>
      <c r="B244" t="s">
        <v>1017</v>
      </c>
      <c r="C244" t="s">
        <v>1018</v>
      </c>
      <c r="D244" t="s">
        <v>50</v>
      </c>
      <c r="E244">
        <v>79201</v>
      </c>
      <c r="F244" t="s">
        <v>15</v>
      </c>
      <c r="G244">
        <v>8</v>
      </c>
      <c r="H244">
        <v>150</v>
      </c>
      <c r="I244" t="str" cm="1">
        <f t="array" ref="I244">_xlfn.IFS(H244&lt;=120,"V1",H244&lt;=150,"V2",H244&lt;=250,"V3", H244&lt;=350, "V4")</f>
        <v>V2</v>
      </c>
      <c r="J244" t="s">
        <v>1019</v>
      </c>
      <c r="K244" t="str">
        <f t="shared" si="69"/>
        <v>34.432426</v>
      </c>
      <c r="L244" t="str">
        <f t="shared" si="70"/>
        <v>-100.218676</v>
      </c>
      <c r="M244">
        <v>580</v>
      </c>
      <c r="N244" s="1">
        <v>42662</v>
      </c>
      <c r="O244" s="1">
        <v>46099</v>
      </c>
      <c r="P244" s="2">
        <f t="shared" si="71"/>
        <v>9.4099931553730318</v>
      </c>
      <c r="Q244" s="2" t="str">
        <f t="shared" si="72"/>
        <v>Old</v>
      </c>
      <c r="R244">
        <f t="shared" si="73"/>
        <v>1200</v>
      </c>
      <c r="S244" t="str">
        <f t="shared" si="74"/>
        <v>Small</v>
      </c>
      <c r="T244" t="str">
        <f t="shared" si="75"/>
        <v>High EV Adoption Corridor</v>
      </c>
      <c r="U244" s="3">
        <f t="shared" si="76"/>
        <v>2574000.0000000005</v>
      </c>
      <c r="V244" s="4">
        <f t="shared" si="77"/>
        <v>576000</v>
      </c>
      <c r="W244" s="3">
        <f t="shared" si="78"/>
        <v>6600000.0000000009</v>
      </c>
      <c r="X244" s="3">
        <f t="shared" si="79"/>
        <v>5400000</v>
      </c>
      <c r="Y244">
        <f t="shared" si="80"/>
        <v>0.22888888888888889</v>
      </c>
      <c r="Z244">
        <f t="shared" si="81"/>
        <v>0.77622377622377625</v>
      </c>
      <c r="AA244" t="str">
        <f t="shared" si="82"/>
        <v>Tier 3 - Upgrade Pipeline</v>
      </c>
      <c r="AB244" s="3">
        <f t="shared" si="83"/>
        <v>72000</v>
      </c>
      <c r="AC244" s="3">
        <f t="shared" si="84"/>
        <v>825000.00000000012</v>
      </c>
      <c r="AD244" s="3">
        <f t="shared" si="85"/>
        <v>321750.00000000006</v>
      </c>
      <c r="AE244" s="5">
        <f t="shared" si="86"/>
        <v>3.303303303303303</v>
      </c>
      <c r="AF244" s="10">
        <f t="shared" si="87"/>
        <v>357120</v>
      </c>
      <c r="AG244" s="10">
        <f t="shared" si="88"/>
        <v>115200</v>
      </c>
      <c r="AH244" s="10">
        <f t="shared" si="89"/>
        <v>57600</v>
      </c>
      <c r="AI244" s="10">
        <f t="shared" si="90"/>
        <v>28800</v>
      </c>
      <c r="AJ244" s="10">
        <f t="shared" si="91"/>
        <v>17280</v>
      </c>
    </row>
    <row r="245" spans="1:36" x14ac:dyDescent="0.3">
      <c r="A245" t="s">
        <v>1020</v>
      </c>
      <c r="B245" t="s">
        <v>1021</v>
      </c>
      <c r="C245" t="s">
        <v>1022</v>
      </c>
      <c r="D245" t="s">
        <v>14</v>
      </c>
      <c r="E245">
        <v>92277</v>
      </c>
      <c r="F245" t="s">
        <v>15</v>
      </c>
      <c r="G245">
        <v>8</v>
      </c>
      <c r="H245">
        <v>150</v>
      </c>
      <c r="I245" t="str" cm="1">
        <f t="array" ref="I245">_xlfn.IFS(H245&lt;=120,"V1",H245&lt;=150,"V2",H245&lt;=250,"V3", H245&lt;=350, "V4")</f>
        <v>V2</v>
      </c>
      <c r="J245" t="s">
        <v>1023</v>
      </c>
      <c r="K245" t="str">
        <f t="shared" si="69"/>
        <v>34.12046</v>
      </c>
      <c r="L245" t="str">
        <f t="shared" si="70"/>
        <v>-116.050953</v>
      </c>
      <c r="M245">
        <v>631</v>
      </c>
      <c r="N245" s="1">
        <v>42713</v>
      </c>
      <c r="O245" s="1">
        <v>46099</v>
      </c>
      <c r="P245" s="2">
        <f t="shared" si="71"/>
        <v>9.2703627652292955</v>
      </c>
      <c r="Q245" s="2" t="str">
        <f t="shared" si="72"/>
        <v>Old</v>
      </c>
      <c r="R245">
        <f t="shared" si="73"/>
        <v>1200</v>
      </c>
      <c r="S245" t="str">
        <f t="shared" si="74"/>
        <v>Small</v>
      </c>
      <c r="T245" t="str">
        <f t="shared" si="75"/>
        <v>High EV Adoption Corridor</v>
      </c>
      <c r="U245" s="3">
        <f t="shared" si="76"/>
        <v>2574000.0000000005</v>
      </c>
      <c r="V245" s="4">
        <f t="shared" si="77"/>
        <v>576000</v>
      </c>
      <c r="W245" s="3">
        <f t="shared" si="78"/>
        <v>6600000.0000000009</v>
      </c>
      <c r="X245" s="3">
        <f t="shared" si="79"/>
        <v>5400000</v>
      </c>
      <c r="Y245">
        <f t="shared" si="80"/>
        <v>0.22888888888888889</v>
      </c>
      <c r="Z245">
        <f t="shared" si="81"/>
        <v>0.77622377622377625</v>
      </c>
      <c r="AA245" t="str">
        <f t="shared" si="82"/>
        <v>Tier 3 - Upgrade Pipeline</v>
      </c>
      <c r="AB245" s="3">
        <f t="shared" si="83"/>
        <v>72000</v>
      </c>
      <c r="AC245" s="3">
        <f t="shared" si="84"/>
        <v>825000.00000000012</v>
      </c>
      <c r="AD245" s="3">
        <f t="shared" si="85"/>
        <v>321750.00000000006</v>
      </c>
      <c r="AE245" s="5">
        <f t="shared" si="86"/>
        <v>3.303303303303303</v>
      </c>
      <c r="AF245" s="10">
        <f t="shared" si="87"/>
        <v>357120</v>
      </c>
      <c r="AG245" s="10">
        <f t="shared" si="88"/>
        <v>115200</v>
      </c>
      <c r="AH245" s="10">
        <f t="shared" si="89"/>
        <v>57600</v>
      </c>
      <c r="AI245" s="10">
        <f t="shared" si="90"/>
        <v>28800</v>
      </c>
      <c r="AJ245" s="10">
        <f t="shared" si="91"/>
        <v>17280</v>
      </c>
    </row>
    <row r="246" spans="1:36" x14ac:dyDescent="0.3">
      <c r="A246" t="s">
        <v>1024</v>
      </c>
      <c r="B246" t="s">
        <v>1025</v>
      </c>
      <c r="C246" t="s">
        <v>1026</v>
      </c>
      <c r="D246" t="s">
        <v>268</v>
      </c>
      <c r="E246">
        <v>80723</v>
      </c>
      <c r="F246" t="s">
        <v>15</v>
      </c>
      <c r="G246">
        <v>8</v>
      </c>
      <c r="H246">
        <v>150</v>
      </c>
      <c r="I246" t="str" cm="1">
        <f t="array" ref="I246">_xlfn.IFS(H246&lt;=120,"V1",H246&lt;=150,"V2",H246&lt;=250,"V3", H246&lt;=350, "V4")</f>
        <v>V2</v>
      </c>
      <c r="J246" t="s">
        <v>1027</v>
      </c>
      <c r="K246" t="str">
        <f t="shared" si="69"/>
        <v>40.270895</v>
      </c>
      <c r="L246" t="str">
        <f t="shared" si="70"/>
        <v>-103.62223</v>
      </c>
      <c r="M246">
        <v>1289</v>
      </c>
      <c r="N246" s="1">
        <v>42735</v>
      </c>
      <c r="O246" s="1">
        <v>46099</v>
      </c>
      <c r="P246" s="2">
        <f t="shared" si="71"/>
        <v>9.2101300479123882</v>
      </c>
      <c r="Q246" s="2" t="str">
        <f t="shared" si="72"/>
        <v>Old</v>
      </c>
      <c r="R246">
        <f t="shared" si="73"/>
        <v>1200</v>
      </c>
      <c r="S246" t="str">
        <f t="shared" si="74"/>
        <v>Small</v>
      </c>
      <c r="T246" t="str">
        <f t="shared" si="75"/>
        <v>High EV Adoption Corridor</v>
      </c>
      <c r="U246" s="3">
        <f t="shared" si="76"/>
        <v>2574000.0000000005</v>
      </c>
      <c r="V246" s="4">
        <f t="shared" si="77"/>
        <v>576000</v>
      </c>
      <c r="W246" s="3">
        <f t="shared" si="78"/>
        <v>6600000.0000000009</v>
      </c>
      <c r="X246" s="3">
        <f t="shared" si="79"/>
        <v>5400000</v>
      </c>
      <c r="Y246">
        <f t="shared" si="80"/>
        <v>0.22888888888888889</v>
      </c>
      <c r="Z246">
        <f t="shared" si="81"/>
        <v>0.77622377622377625</v>
      </c>
      <c r="AA246" t="str">
        <f t="shared" si="82"/>
        <v>Tier 3 - Upgrade Pipeline</v>
      </c>
      <c r="AB246" s="3">
        <f t="shared" si="83"/>
        <v>72000</v>
      </c>
      <c r="AC246" s="3">
        <f t="shared" si="84"/>
        <v>825000.00000000012</v>
      </c>
      <c r="AD246" s="3">
        <f t="shared" si="85"/>
        <v>321750.00000000006</v>
      </c>
      <c r="AE246" s="5">
        <f t="shared" si="86"/>
        <v>3.303303303303303</v>
      </c>
      <c r="AF246" s="10">
        <f t="shared" si="87"/>
        <v>357120</v>
      </c>
      <c r="AG246" s="10">
        <f t="shared" si="88"/>
        <v>115200</v>
      </c>
      <c r="AH246" s="10">
        <f t="shared" si="89"/>
        <v>57600</v>
      </c>
      <c r="AI246" s="10">
        <f t="shared" si="90"/>
        <v>28800</v>
      </c>
      <c r="AJ246" s="10">
        <f t="shared" si="91"/>
        <v>17280</v>
      </c>
    </row>
    <row r="247" spans="1:36" x14ac:dyDescent="0.3">
      <c r="A247" t="s">
        <v>1028</v>
      </c>
      <c r="B247" t="s">
        <v>1029</v>
      </c>
      <c r="C247" t="s">
        <v>1030</v>
      </c>
      <c r="D247" t="s">
        <v>59</v>
      </c>
      <c r="E247">
        <v>60543</v>
      </c>
      <c r="F247" t="s">
        <v>15</v>
      </c>
      <c r="G247">
        <v>12</v>
      </c>
      <c r="H247">
        <v>250</v>
      </c>
      <c r="I247" t="str" cm="1">
        <f t="array" ref="I247">_xlfn.IFS(H247&lt;=120,"V1",H247&lt;=150,"V2",H247&lt;=250,"V3", H247&lt;=350, "V4")</f>
        <v>V3</v>
      </c>
      <c r="J247" t="s">
        <v>1031</v>
      </c>
      <c r="K247" t="str">
        <f t="shared" si="69"/>
        <v>41.699456</v>
      </c>
      <c r="L247" t="str">
        <f t="shared" si="70"/>
        <v>-88.3123</v>
      </c>
      <c r="M247">
        <v>202</v>
      </c>
      <c r="N247" s="1">
        <v>44709</v>
      </c>
      <c r="O247" s="1">
        <v>46099</v>
      </c>
      <c r="P247" s="2">
        <f t="shared" si="71"/>
        <v>3.805612594113621</v>
      </c>
      <c r="Q247" s="2" t="str">
        <f t="shared" si="72"/>
        <v>Mid</v>
      </c>
      <c r="R247">
        <f t="shared" si="73"/>
        <v>3000</v>
      </c>
      <c r="S247" t="str">
        <f t="shared" si="74"/>
        <v>Small</v>
      </c>
      <c r="T247" t="str">
        <f t="shared" si="75"/>
        <v>Lower EV Adoption Corridor</v>
      </c>
      <c r="U247" s="3">
        <f t="shared" si="76"/>
        <v>5400000</v>
      </c>
      <c r="V247" s="4">
        <f t="shared" si="77"/>
        <v>1320000</v>
      </c>
      <c r="W247" s="3">
        <f t="shared" si="78"/>
        <v>18000000</v>
      </c>
      <c r="X247" s="3">
        <f t="shared" si="79"/>
        <v>9900000</v>
      </c>
      <c r="Y247">
        <f t="shared" si="80"/>
        <v>0.31515151515151513</v>
      </c>
      <c r="Z247">
        <f t="shared" si="81"/>
        <v>0.75555555555555554</v>
      </c>
      <c r="AA247" t="str">
        <f t="shared" si="82"/>
        <v>Tier 2 - Growth Markets</v>
      </c>
      <c r="AB247" s="3">
        <f t="shared" si="83"/>
        <v>110000</v>
      </c>
      <c r="AC247" s="3">
        <f t="shared" si="84"/>
        <v>1500000</v>
      </c>
      <c r="AD247" s="3">
        <f t="shared" si="85"/>
        <v>450000</v>
      </c>
      <c r="AE247" s="5">
        <f t="shared" si="86"/>
        <v>4.4117647058823533</v>
      </c>
      <c r="AF247" s="10">
        <f t="shared" si="87"/>
        <v>818400</v>
      </c>
      <c r="AG247" s="10">
        <f t="shared" si="88"/>
        <v>264000</v>
      </c>
      <c r="AH247" s="10">
        <f t="shared" si="89"/>
        <v>132000</v>
      </c>
      <c r="AI247" s="10">
        <f t="shared" si="90"/>
        <v>66000</v>
      </c>
      <c r="AJ247" s="10">
        <f t="shared" si="91"/>
        <v>39600</v>
      </c>
    </row>
    <row r="248" spans="1:36" x14ac:dyDescent="0.3">
      <c r="A248" t="s">
        <v>1032</v>
      </c>
      <c r="B248" t="s">
        <v>1033</v>
      </c>
      <c r="C248" t="s">
        <v>1034</v>
      </c>
      <c r="D248" t="s">
        <v>294</v>
      </c>
      <c r="E248">
        <v>38305</v>
      </c>
      <c r="F248" t="s">
        <v>15</v>
      </c>
      <c r="G248">
        <v>8</v>
      </c>
      <c r="H248">
        <v>150</v>
      </c>
      <c r="I248" t="str" cm="1">
        <f t="array" ref="I248">_xlfn.IFS(H248&lt;=120,"V1",H248&lt;=150,"V2",H248&lt;=250,"V3", H248&lt;=350, "V4")</f>
        <v>V2</v>
      </c>
      <c r="J248" t="s">
        <v>1035</v>
      </c>
      <c r="K248" t="str">
        <f t="shared" si="69"/>
        <v>35.660349</v>
      </c>
      <c r="L248" t="str">
        <f t="shared" si="70"/>
        <v>-88.855771</v>
      </c>
      <c r="M248">
        <v>100</v>
      </c>
      <c r="N248" s="1">
        <v>42704</v>
      </c>
      <c r="O248" s="1">
        <v>46099</v>
      </c>
      <c r="P248" s="2">
        <f t="shared" si="71"/>
        <v>9.2950034223134832</v>
      </c>
      <c r="Q248" s="2" t="str">
        <f t="shared" si="72"/>
        <v>Old</v>
      </c>
      <c r="R248">
        <f t="shared" si="73"/>
        <v>1200</v>
      </c>
      <c r="S248" t="str">
        <f t="shared" si="74"/>
        <v>Small</v>
      </c>
      <c r="T248" t="str">
        <f t="shared" si="75"/>
        <v>Lower EV Adoption Corridor</v>
      </c>
      <c r="U248" s="3">
        <f t="shared" si="76"/>
        <v>1980000.0000000002</v>
      </c>
      <c r="V248" s="4">
        <f t="shared" si="77"/>
        <v>480000</v>
      </c>
      <c r="W248" s="3">
        <f t="shared" si="78"/>
        <v>6000000</v>
      </c>
      <c r="X248" s="3">
        <f t="shared" si="79"/>
        <v>3600000</v>
      </c>
      <c r="Y248">
        <f t="shared" si="80"/>
        <v>0.3</v>
      </c>
      <c r="Z248">
        <f t="shared" si="81"/>
        <v>0.75757575757575757</v>
      </c>
      <c r="AA248" t="str">
        <f t="shared" si="82"/>
        <v>Tier 4 - Stable Network</v>
      </c>
      <c r="AB248" s="3">
        <f t="shared" si="83"/>
        <v>60000</v>
      </c>
      <c r="AC248" s="3">
        <f t="shared" si="84"/>
        <v>750000</v>
      </c>
      <c r="AD248" s="3">
        <f t="shared" si="85"/>
        <v>247500.00000000003</v>
      </c>
      <c r="AE248" s="5">
        <f t="shared" si="86"/>
        <v>3.9999999999999996</v>
      </c>
      <c r="AF248" s="10">
        <f t="shared" si="87"/>
        <v>297600</v>
      </c>
      <c r="AG248" s="10">
        <f t="shared" si="88"/>
        <v>96000</v>
      </c>
      <c r="AH248" s="10">
        <f t="shared" si="89"/>
        <v>48000</v>
      </c>
      <c r="AI248" s="10">
        <f t="shared" si="90"/>
        <v>24000</v>
      </c>
      <c r="AJ248" s="10">
        <f t="shared" si="91"/>
        <v>14400</v>
      </c>
    </row>
    <row r="249" spans="1:36" x14ac:dyDescent="0.3">
      <c r="A249" t="s">
        <v>1036</v>
      </c>
      <c r="B249" t="s">
        <v>1037</v>
      </c>
      <c r="C249" t="s">
        <v>1034</v>
      </c>
      <c r="D249" t="s">
        <v>259</v>
      </c>
      <c r="E249">
        <v>83001</v>
      </c>
      <c r="F249" t="s">
        <v>15</v>
      </c>
      <c r="G249">
        <v>8</v>
      </c>
      <c r="H249">
        <v>150</v>
      </c>
      <c r="I249" t="str" cm="1">
        <f t="array" ref="I249">_xlfn.IFS(H249&lt;=120,"V1",H249&lt;=150,"V2",H249&lt;=250,"V3", H249&lt;=350, "V4")</f>
        <v>V2</v>
      </c>
      <c r="J249" t="s">
        <v>1038</v>
      </c>
      <c r="K249" t="str">
        <f t="shared" si="69"/>
        <v>43.463995</v>
      </c>
      <c r="L249" t="str">
        <f t="shared" si="70"/>
        <v>-110.794875</v>
      </c>
      <c r="M249">
        <v>1868</v>
      </c>
      <c r="N249" s="1">
        <v>42662</v>
      </c>
      <c r="O249" s="1">
        <v>46099</v>
      </c>
      <c r="P249" s="2">
        <f t="shared" si="71"/>
        <v>9.4099931553730318</v>
      </c>
      <c r="Q249" s="2" t="str">
        <f t="shared" si="72"/>
        <v>Old</v>
      </c>
      <c r="R249">
        <f t="shared" si="73"/>
        <v>1200</v>
      </c>
      <c r="S249" t="str">
        <f t="shared" si="74"/>
        <v>Small</v>
      </c>
      <c r="T249" t="str">
        <f t="shared" si="75"/>
        <v>Lower EV Adoption Corridor</v>
      </c>
      <c r="U249" s="3">
        <f t="shared" si="76"/>
        <v>1980000.0000000002</v>
      </c>
      <c r="V249" s="4">
        <f t="shared" si="77"/>
        <v>480000</v>
      </c>
      <c r="W249" s="3">
        <f t="shared" si="78"/>
        <v>6000000</v>
      </c>
      <c r="X249" s="3">
        <f t="shared" si="79"/>
        <v>3600000</v>
      </c>
      <c r="Y249">
        <f t="shared" si="80"/>
        <v>0.3</v>
      </c>
      <c r="Z249">
        <f t="shared" si="81"/>
        <v>0.75757575757575757</v>
      </c>
      <c r="AA249" t="str">
        <f t="shared" si="82"/>
        <v>Tier 4 - Stable Network</v>
      </c>
      <c r="AB249" s="3">
        <f t="shared" si="83"/>
        <v>60000</v>
      </c>
      <c r="AC249" s="3">
        <f t="shared" si="84"/>
        <v>750000</v>
      </c>
      <c r="AD249" s="3">
        <f t="shared" si="85"/>
        <v>247500.00000000003</v>
      </c>
      <c r="AE249" s="5">
        <f t="shared" si="86"/>
        <v>3.9999999999999996</v>
      </c>
      <c r="AF249" s="10">
        <f t="shared" si="87"/>
        <v>297600</v>
      </c>
      <c r="AG249" s="10">
        <f t="shared" si="88"/>
        <v>96000</v>
      </c>
      <c r="AH249" s="10">
        <f t="shared" si="89"/>
        <v>48000</v>
      </c>
      <c r="AI249" s="10">
        <f t="shared" si="90"/>
        <v>24000</v>
      </c>
      <c r="AJ249" s="10">
        <f t="shared" si="91"/>
        <v>14400</v>
      </c>
    </row>
    <row r="250" spans="1:36" x14ac:dyDescent="0.3">
      <c r="A250" t="s">
        <v>1039</v>
      </c>
      <c r="B250" t="s">
        <v>1040</v>
      </c>
      <c r="C250" t="s">
        <v>1041</v>
      </c>
      <c r="D250" t="s">
        <v>158</v>
      </c>
      <c r="E250">
        <v>10591</v>
      </c>
      <c r="F250" t="s">
        <v>15</v>
      </c>
      <c r="G250">
        <v>12</v>
      </c>
      <c r="H250">
        <v>120</v>
      </c>
      <c r="I250" t="str" cm="1">
        <f t="array" ref="I250">_xlfn.IFS(H250&lt;=120,"V1",H250&lt;=150,"V2",H250&lt;=250,"V3", H250&lt;=350, "V4")</f>
        <v>V1</v>
      </c>
      <c r="J250" t="s">
        <v>1042</v>
      </c>
      <c r="K250" t="str">
        <f t="shared" si="69"/>
        <v>41.061499</v>
      </c>
      <c r="L250" t="str">
        <f t="shared" si="70"/>
        <v>-73.836411</v>
      </c>
      <c r="M250">
        <v>51</v>
      </c>
      <c r="N250" s="1">
        <v>42706</v>
      </c>
      <c r="O250" s="1">
        <v>46099</v>
      </c>
      <c r="P250" s="2">
        <f t="shared" si="71"/>
        <v>9.2895277207392191</v>
      </c>
      <c r="Q250" s="2" t="str">
        <f t="shared" si="72"/>
        <v>Old</v>
      </c>
      <c r="R250">
        <f t="shared" si="73"/>
        <v>1440</v>
      </c>
      <c r="S250" t="str">
        <f t="shared" si="74"/>
        <v>Small</v>
      </c>
      <c r="T250" t="str">
        <f t="shared" si="75"/>
        <v>Lower EV Adoption Corridor</v>
      </c>
      <c r="U250" s="3">
        <f t="shared" si="76"/>
        <v>2160000</v>
      </c>
      <c r="V250" s="4">
        <f t="shared" si="77"/>
        <v>518400</v>
      </c>
      <c r="W250" s="3">
        <f t="shared" si="78"/>
        <v>5760000</v>
      </c>
      <c r="X250" s="3">
        <f t="shared" si="79"/>
        <v>3888000</v>
      </c>
      <c r="Y250">
        <f t="shared" si="80"/>
        <v>0.2814814814814815</v>
      </c>
      <c r="Z250">
        <f t="shared" si="81"/>
        <v>0.76</v>
      </c>
      <c r="AA250" t="str">
        <f t="shared" si="82"/>
        <v>Tier 5 - Retirement Pipeline</v>
      </c>
      <c r="AB250" s="3">
        <f t="shared" si="83"/>
        <v>43200</v>
      </c>
      <c r="AC250" s="3">
        <f t="shared" si="84"/>
        <v>480000</v>
      </c>
      <c r="AD250" s="3">
        <f t="shared" si="85"/>
        <v>180000</v>
      </c>
      <c r="AE250" s="5">
        <f t="shared" si="86"/>
        <v>3.5087719298245612</v>
      </c>
      <c r="AF250" s="10">
        <f t="shared" si="87"/>
        <v>321408</v>
      </c>
      <c r="AG250" s="10">
        <f t="shared" si="88"/>
        <v>103680</v>
      </c>
      <c r="AH250" s="10">
        <f t="shared" si="89"/>
        <v>51840</v>
      </c>
      <c r="AI250" s="10">
        <f t="shared" si="90"/>
        <v>25920</v>
      </c>
      <c r="AJ250" s="10">
        <f t="shared" si="91"/>
        <v>15552</v>
      </c>
    </row>
    <row r="251" spans="1:36" x14ac:dyDescent="0.3">
      <c r="A251" t="s">
        <v>1043</v>
      </c>
      <c r="B251" t="s">
        <v>1044</v>
      </c>
      <c r="C251" t="s">
        <v>557</v>
      </c>
      <c r="D251" t="s">
        <v>433</v>
      </c>
      <c r="E251">
        <v>89119</v>
      </c>
      <c r="F251" t="s">
        <v>15</v>
      </c>
      <c r="G251">
        <v>10</v>
      </c>
      <c r="H251">
        <v>150</v>
      </c>
      <c r="I251" t="str" cm="1">
        <f t="array" ref="I251">_xlfn.IFS(H251&lt;=120,"V1",H251&lt;=150,"V2",H251&lt;=250,"V3", H251&lt;=350, "V4")</f>
        <v>V2</v>
      </c>
      <c r="J251" t="s">
        <v>1045</v>
      </c>
      <c r="K251" t="str">
        <f t="shared" si="69"/>
        <v>36.070633</v>
      </c>
      <c r="L251" t="str">
        <f t="shared" si="70"/>
        <v>-115.17295</v>
      </c>
      <c r="M251">
        <v>673</v>
      </c>
      <c r="N251" s="1">
        <v>42802</v>
      </c>
      <c r="O251" s="1">
        <v>46099</v>
      </c>
      <c r="P251" s="2">
        <f t="shared" si="71"/>
        <v>9.0266940451745388</v>
      </c>
      <c r="Q251" s="2" t="str">
        <f t="shared" si="72"/>
        <v>Old</v>
      </c>
      <c r="R251">
        <f t="shared" si="73"/>
        <v>1500</v>
      </c>
      <c r="S251" t="str">
        <f t="shared" si="74"/>
        <v>Small</v>
      </c>
      <c r="T251" t="str">
        <f t="shared" si="75"/>
        <v>Lower EV Adoption Corridor</v>
      </c>
      <c r="U251" s="3">
        <f t="shared" si="76"/>
        <v>2475000</v>
      </c>
      <c r="V251" s="4">
        <f t="shared" si="77"/>
        <v>600000</v>
      </c>
      <c r="W251" s="3">
        <f t="shared" si="78"/>
        <v>7500000</v>
      </c>
      <c r="X251" s="3">
        <f t="shared" si="79"/>
        <v>4500000</v>
      </c>
      <c r="Y251">
        <f t="shared" si="80"/>
        <v>0.3</v>
      </c>
      <c r="Z251">
        <f t="shared" si="81"/>
        <v>0.75757575757575757</v>
      </c>
      <c r="AA251" t="str">
        <f t="shared" si="82"/>
        <v>Tier 4 - Stable Network</v>
      </c>
      <c r="AB251" s="3">
        <f t="shared" si="83"/>
        <v>60000</v>
      </c>
      <c r="AC251" s="3">
        <f t="shared" si="84"/>
        <v>750000</v>
      </c>
      <c r="AD251" s="3">
        <f t="shared" si="85"/>
        <v>247500</v>
      </c>
      <c r="AE251" s="5">
        <f t="shared" si="86"/>
        <v>4</v>
      </c>
      <c r="AF251" s="10">
        <f t="shared" si="87"/>
        <v>372000</v>
      </c>
      <c r="AG251" s="10">
        <f t="shared" si="88"/>
        <v>120000</v>
      </c>
      <c r="AH251" s="10">
        <f t="shared" si="89"/>
        <v>60000</v>
      </c>
      <c r="AI251" s="10">
        <f t="shared" si="90"/>
        <v>30000</v>
      </c>
      <c r="AJ251" s="10">
        <f t="shared" si="91"/>
        <v>18000</v>
      </c>
    </row>
    <row r="252" spans="1:36" x14ac:dyDescent="0.3">
      <c r="A252" t="s">
        <v>1046</v>
      </c>
      <c r="B252" t="s">
        <v>1047</v>
      </c>
      <c r="C252" t="s">
        <v>1048</v>
      </c>
      <c r="D252" t="s">
        <v>225</v>
      </c>
      <c r="E252">
        <v>84648</v>
      </c>
      <c r="F252" t="s">
        <v>15</v>
      </c>
      <c r="G252">
        <v>8</v>
      </c>
      <c r="H252">
        <v>250</v>
      </c>
      <c r="I252" t="str" cm="1">
        <f t="array" ref="I252">_xlfn.IFS(H252&lt;=120,"V1",H252&lt;=150,"V2",H252&lt;=250,"V3", H252&lt;=350, "V4")</f>
        <v>V3</v>
      </c>
      <c r="J252" t="s">
        <v>1049</v>
      </c>
      <c r="K252" t="str">
        <f t="shared" si="69"/>
        <v>39.677755</v>
      </c>
      <c r="L252" t="str">
        <f t="shared" si="70"/>
        <v>-111.841252</v>
      </c>
      <c r="M252">
        <v>1555</v>
      </c>
      <c r="N252" s="1">
        <v>45074</v>
      </c>
      <c r="O252" s="1">
        <v>46099</v>
      </c>
      <c r="P252" s="2">
        <f t="shared" si="71"/>
        <v>2.8062970568104038</v>
      </c>
      <c r="Q252" s="2" t="str">
        <f t="shared" si="72"/>
        <v>New</v>
      </c>
      <c r="R252">
        <f t="shared" si="73"/>
        <v>2000</v>
      </c>
      <c r="S252" t="str">
        <f t="shared" si="74"/>
        <v>Small</v>
      </c>
      <c r="T252" t="str">
        <f t="shared" si="75"/>
        <v>Lower EV Adoption Corridor</v>
      </c>
      <c r="U252" s="3">
        <f t="shared" si="76"/>
        <v>3600000</v>
      </c>
      <c r="V252" s="4">
        <f t="shared" si="77"/>
        <v>880000.00000000012</v>
      </c>
      <c r="W252" s="3">
        <f t="shared" si="78"/>
        <v>12000000</v>
      </c>
      <c r="X252" s="3">
        <f t="shared" si="79"/>
        <v>6600000.0000000009</v>
      </c>
      <c r="Y252">
        <f t="shared" si="80"/>
        <v>0.31515151515151513</v>
      </c>
      <c r="Z252">
        <f t="shared" si="81"/>
        <v>0.75555555555555554</v>
      </c>
      <c r="AA252" t="str">
        <f t="shared" si="82"/>
        <v>Tier 2 - Growth Markets</v>
      </c>
      <c r="AB252" s="3">
        <f t="shared" si="83"/>
        <v>110000.00000000001</v>
      </c>
      <c r="AC252" s="3">
        <f t="shared" si="84"/>
        <v>1500000</v>
      </c>
      <c r="AD252" s="3">
        <f t="shared" si="85"/>
        <v>450000</v>
      </c>
      <c r="AE252" s="5">
        <f t="shared" si="86"/>
        <v>4.4117647058823533</v>
      </c>
      <c r="AF252" s="10">
        <f t="shared" si="87"/>
        <v>545600.00000000012</v>
      </c>
      <c r="AG252" s="10">
        <f t="shared" si="88"/>
        <v>176000.00000000003</v>
      </c>
      <c r="AH252" s="10">
        <f t="shared" si="89"/>
        <v>88000.000000000015</v>
      </c>
      <c r="AI252" s="10">
        <f t="shared" si="90"/>
        <v>44000.000000000007</v>
      </c>
      <c r="AJ252" s="10">
        <f t="shared" si="91"/>
        <v>26400.000000000004</v>
      </c>
    </row>
    <row r="253" spans="1:36" x14ac:dyDescent="0.3">
      <c r="A253" t="s">
        <v>1050</v>
      </c>
      <c r="B253" t="s">
        <v>1051</v>
      </c>
      <c r="C253" t="s">
        <v>1052</v>
      </c>
      <c r="D253" t="s">
        <v>50</v>
      </c>
      <c r="E253">
        <v>79735</v>
      </c>
      <c r="F253" t="s">
        <v>15</v>
      </c>
      <c r="G253">
        <v>8</v>
      </c>
      <c r="H253">
        <v>150</v>
      </c>
      <c r="I253" t="str" cm="1">
        <f t="array" ref="I253">_xlfn.IFS(H253&lt;=120,"V1",H253&lt;=150,"V2",H253&lt;=250,"V3", H253&lt;=350, "V4")</f>
        <v>V2</v>
      </c>
      <c r="J253" t="s">
        <v>1053</v>
      </c>
      <c r="K253" t="str">
        <f t="shared" si="69"/>
        <v>30.905492</v>
      </c>
      <c r="L253" t="str">
        <f t="shared" si="70"/>
        <v>-102.88453</v>
      </c>
      <c r="M253">
        <v>901</v>
      </c>
      <c r="N253" s="1">
        <v>43388</v>
      </c>
      <c r="O253" s="1">
        <v>46099</v>
      </c>
      <c r="P253" s="2">
        <f t="shared" si="71"/>
        <v>7.4223134839151266</v>
      </c>
      <c r="Q253" s="2" t="str">
        <f t="shared" si="72"/>
        <v>Mid</v>
      </c>
      <c r="R253">
        <f t="shared" si="73"/>
        <v>1200</v>
      </c>
      <c r="S253" t="str">
        <f t="shared" si="74"/>
        <v>Small</v>
      </c>
      <c r="T253" t="str">
        <f t="shared" si="75"/>
        <v>High EV Adoption Corridor</v>
      </c>
      <c r="U253" s="3">
        <f t="shared" si="76"/>
        <v>2574000.0000000005</v>
      </c>
      <c r="V253" s="4">
        <f t="shared" si="77"/>
        <v>576000</v>
      </c>
      <c r="W253" s="3">
        <f t="shared" si="78"/>
        <v>6600000.0000000009</v>
      </c>
      <c r="X253" s="3">
        <f t="shared" si="79"/>
        <v>5400000</v>
      </c>
      <c r="Y253">
        <f t="shared" si="80"/>
        <v>0.22888888888888889</v>
      </c>
      <c r="Z253">
        <f t="shared" si="81"/>
        <v>0.77622377622377625</v>
      </c>
      <c r="AA253" t="str">
        <f t="shared" si="82"/>
        <v>Tier 3 - Upgrade Pipeline</v>
      </c>
      <c r="AB253" s="3">
        <f t="shared" si="83"/>
        <v>72000</v>
      </c>
      <c r="AC253" s="3">
        <f t="shared" si="84"/>
        <v>825000.00000000012</v>
      </c>
      <c r="AD253" s="3">
        <f t="shared" si="85"/>
        <v>321750.00000000006</v>
      </c>
      <c r="AE253" s="5">
        <f t="shared" si="86"/>
        <v>3.303303303303303</v>
      </c>
      <c r="AF253" s="10">
        <f t="shared" si="87"/>
        <v>357120</v>
      </c>
      <c r="AG253" s="10">
        <f t="shared" si="88"/>
        <v>115200</v>
      </c>
      <c r="AH253" s="10">
        <f t="shared" si="89"/>
        <v>57600</v>
      </c>
      <c r="AI253" s="10">
        <f t="shared" si="90"/>
        <v>28800</v>
      </c>
      <c r="AJ253" s="10">
        <f t="shared" si="91"/>
        <v>17280</v>
      </c>
    </row>
    <row r="254" spans="1:36" x14ac:dyDescent="0.3">
      <c r="A254" t="s">
        <v>1054</v>
      </c>
      <c r="B254" t="s">
        <v>1055</v>
      </c>
      <c r="C254" t="s">
        <v>1056</v>
      </c>
      <c r="D254" t="s">
        <v>294</v>
      </c>
      <c r="E254">
        <v>37934</v>
      </c>
      <c r="F254" t="s">
        <v>15</v>
      </c>
      <c r="G254">
        <v>8</v>
      </c>
      <c r="H254">
        <v>150</v>
      </c>
      <c r="I254" t="str" cm="1">
        <f t="array" ref="I254">_xlfn.IFS(H254&lt;=120,"V1",H254&lt;=150,"V2",H254&lt;=250,"V3", H254&lt;=350, "V4")</f>
        <v>V2</v>
      </c>
      <c r="J254" t="s">
        <v>1057</v>
      </c>
      <c r="K254" t="str">
        <f t="shared" si="69"/>
        <v>35.901319</v>
      </c>
      <c r="L254" t="str">
        <f t="shared" si="70"/>
        <v>-84.149634</v>
      </c>
      <c r="M254">
        <v>286</v>
      </c>
      <c r="N254" s="1">
        <v>42151</v>
      </c>
      <c r="O254" s="1">
        <v>46099</v>
      </c>
      <c r="P254" s="2">
        <f t="shared" si="71"/>
        <v>10.809034907597535</v>
      </c>
      <c r="Q254" s="2" t="str">
        <f t="shared" si="72"/>
        <v>Old</v>
      </c>
      <c r="R254">
        <f t="shared" si="73"/>
        <v>1200</v>
      </c>
      <c r="S254" t="str">
        <f t="shared" si="74"/>
        <v>Small</v>
      </c>
      <c r="T254" t="str">
        <f t="shared" si="75"/>
        <v>Lower EV Adoption Corridor</v>
      </c>
      <c r="U254" s="3">
        <f t="shared" si="76"/>
        <v>1980000.0000000002</v>
      </c>
      <c r="V254" s="4">
        <f t="shared" si="77"/>
        <v>480000</v>
      </c>
      <c r="W254" s="3">
        <f t="shared" si="78"/>
        <v>6000000</v>
      </c>
      <c r="X254" s="3">
        <f t="shared" si="79"/>
        <v>3600000</v>
      </c>
      <c r="Y254">
        <f t="shared" si="80"/>
        <v>0.3</v>
      </c>
      <c r="Z254">
        <f t="shared" si="81"/>
        <v>0.75757575757575757</v>
      </c>
      <c r="AA254" t="str">
        <f t="shared" si="82"/>
        <v>Tier 4 - Stable Network</v>
      </c>
      <c r="AB254" s="3">
        <f t="shared" si="83"/>
        <v>60000</v>
      </c>
      <c r="AC254" s="3">
        <f t="shared" si="84"/>
        <v>750000</v>
      </c>
      <c r="AD254" s="3">
        <f t="shared" si="85"/>
        <v>247500.00000000003</v>
      </c>
      <c r="AE254" s="5">
        <f t="shared" si="86"/>
        <v>3.9999999999999996</v>
      </c>
      <c r="AF254" s="10">
        <f t="shared" si="87"/>
        <v>297600</v>
      </c>
      <c r="AG254" s="10">
        <f t="shared" si="88"/>
        <v>96000</v>
      </c>
      <c r="AH254" s="10">
        <f t="shared" si="89"/>
        <v>48000</v>
      </c>
      <c r="AI254" s="10">
        <f t="shared" si="90"/>
        <v>24000</v>
      </c>
      <c r="AJ254" s="10">
        <f t="shared" si="91"/>
        <v>14400</v>
      </c>
    </row>
    <row r="255" spans="1:36" x14ac:dyDescent="0.3">
      <c r="A255" t="s">
        <v>1058</v>
      </c>
      <c r="B255" t="s">
        <v>1059</v>
      </c>
      <c r="C255" t="s">
        <v>1060</v>
      </c>
      <c r="D255" t="s">
        <v>14</v>
      </c>
      <c r="E255">
        <v>95321</v>
      </c>
      <c r="F255" t="s">
        <v>15</v>
      </c>
      <c r="G255">
        <v>7</v>
      </c>
      <c r="H255">
        <v>150</v>
      </c>
      <c r="I255" t="str" cm="1">
        <f t="array" ref="I255">_xlfn.IFS(H255&lt;=120,"V1",H255&lt;=150,"V2",H255&lt;=250,"V3", H255&lt;=350, "V4")</f>
        <v>V2</v>
      </c>
      <c r="J255" t="s">
        <v>1061</v>
      </c>
      <c r="K255" t="str">
        <f t="shared" si="69"/>
        <v>37.838679</v>
      </c>
      <c r="L255" t="str">
        <f t="shared" si="70"/>
        <v>-120.23199</v>
      </c>
      <c r="M255">
        <v>865</v>
      </c>
      <c r="N255" s="1">
        <v>42720</v>
      </c>
      <c r="O255" s="1">
        <v>46099</v>
      </c>
      <c r="P255" s="2">
        <f t="shared" si="71"/>
        <v>9.2511978097193701</v>
      </c>
      <c r="Q255" s="2" t="str">
        <f t="shared" si="72"/>
        <v>Old</v>
      </c>
      <c r="R255">
        <f t="shared" si="73"/>
        <v>1050</v>
      </c>
      <c r="S255" t="str">
        <f t="shared" si="74"/>
        <v>Small</v>
      </c>
      <c r="T255" t="str">
        <f t="shared" si="75"/>
        <v>High EV Adoption Corridor</v>
      </c>
      <c r="U255" s="3">
        <f t="shared" si="76"/>
        <v>2252250.0000000005</v>
      </c>
      <c r="V255" s="4">
        <f t="shared" si="77"/>
        <v>504000</v>
      </c>
      <c r="W255" s="3">
        <f t="shared" si="78"/>
        <v>5775000.0000000009</v>
      </c>
      <c r="X255" s="3">
        <f t="shared" si="79"/>
        <v>4725000</v>
      </c>
      <c r="Y255">
        <f t="shared" si="80"/>
        <v>0.22888888888888889</v>
      </c>
      <c r="Z255">
        <f t="shared" si="81"/>
        <v>0.77622377622377625</v>
      </c>
      <c r="AA255" t="str">
        <f t="shared" si="82"/>
        <v>Tier 3 - Upgrade Pipeline</v>
      </c>
      <c r="AB255" s="3">
        <f t="shared" si="83"/>
        <v>72000</v>
      </c>
      <c r="AC255" s="3">
        <f t="shared" si="84"/>
        <v>825000.00000000012</v>
      </c>
      <c r="AD255" s="3">
        <f t="shared" si="85"/>
        <v>321750.00000000006</v>
      </c>
      <c r="AE255" s="5">
        <f t="shared" si="86"/>
        <v>3.303303303303303</v>
      </c>
      <c r="AF255" s="10">
        <f t="shared" si="87"/>
        <v>312480</v>
      </c>
      <c r="AG255" s="10">
        <f t="shared" si="88"/>
        <v>100800</v>
      </c>
      <c r="AH255" s="10">
        <f t="shared" si="89"/>
        <v>50400</v>
      </c>
      <c r="AI255" s="10">
        <f t="shared" si="90"/>
        <v>25200</v>
      </c>
      <c r="AJ255" s="10">
        <f t="shared" si="91"/>
        <v>15120</v>
      </c>
    </row>
    <row r="256" spans="1:36" x14ac:dyDescent="0.3">
      <c r="A256" t="s">
        <v>1062</v>
      </c>
      <c r="B256" t="s">
        <v>1063</v>
      </c>
      <c r="C256" t="s">
        <v>1064</v>
      </c>
      <c r="D256" t="s">
        <v>50</v>
      </c>
      <c r="E256">
        <v>79703</v>
      </c>
      <c r="F256" t="s">
        <v>15</v>
      </c>
      <c r="G256">
        <v>8</v>
      </c>
      <c r="H256">
        <v>150</v>
      </c>
      <c r="I256" t="str" cm="1">
        <f t="array" ref="I256">_xlfn.IFS(H256&lt;=120,"V1",H256&lt;=150,"V2",H256&lt;=250,"V3", H256&lt;=350, "V4")</f>
        <v>V2</v>
      </c>
      <c r="J256" t="s">
        <v>1065</v>
      </c>
      <c r="K256" t="str">
        <f t="shared" si="69"/>
        <v>31.947361</v>
      </c>
      <c r="L256" t="str">
        <f t="shared" si="70"/>
        <v>-102.141289</v>
      </c>
      <c r="M256">
        <v>863</v>
      </c>
      <c r="N256" s="1">
        <v>42728</v>
      </c>
      <c r="O256" s="1">
        <v>46099</v>
      </c>
      <c r="P256" s="2">
        <f t="shared" si="71"/>
        <v>9.2292950034223136</v>
      </c>
      <c r="Q256" s="2" t="str">
        <f t="shared" si="72"/>
        <v>Old</v>
      </c>
      <c r="R256">
        <f t="shared" si="73"/>
        <v>1200</v>
      </c>
      <c r="S256" t="str">
        <f t="shared" si="74"/>
        <v>Small</v>
      </c>
      <c r="T256" t="str">
        <f t="shared" si="75"/>
        <v>High EV Adoption Corridor</v>
      </c>
      <c r="U256" s="3">
        <f t="shared" si="76"/>
        <v>2574000.0000000005</v>
      </c>
      <c r="V256" s="4">
        <f t="shared" si="77"/>
        <v>576000</v>
      </c>
      <c r="W256" s="3">
        <f t="shared" si="78"/>
        <v>6600000.0000000009</v>
      </c>
      <c r="X256" s="3">
        <f t="shared" si="79"/>
        <v>5400000</v>
      </c>
      <c r="Y256">
        <f t="shared" si="80"/>
        <v>0.22888888888888889</v>
      </c>
      <c r="Z256">
        <f t="shared" si="81"/>
        <v>0.77622377622377625</v>
      </c>
      <c r="AA256" t="str">
        <f t="shared" si="82"/>
        <v>Tier 3 - Upgrade Pipeline</v>
      </c>
      <c r="AB256" s="3">
        <f t="shared" si="83"/>
        <v>72000</v>
      </c>
      <c r="AC256" s="3">
        <f t="shared" si="84"/>
        <v>825000.00000000012</v>
      </c>
      <c r="AD256" s="3">
        <f t="shared" si="85"/>
        <v>321750.00000000006</v>
      </c>
      <c r="AE256" s="5">
        <f t="shared" si="86"/>
        <v>3.303303303303303</v>
      </c>
      <c r="AF256" s="10">
        <f t="shared" si="87"/>
        <v>357120</v>
      </c>
      <c r="AG256" s="10">
        <f t="shared" si="88"/>
        <v>115200</v>
      </c>
      <c r="AH256" s="10">
        <f t="shared" si="89"/>
        <v>57600</v>
      </c>
      <c r="AI256" s="10">
        <f t="shared" si="90"/>
        <v>28800</v>
      </c>
      <c r="AJ256" s="10">
        <f t="shared" si="91"/>
        <v>17280</v>
      </c>
    </row>
    <row r="257" spans="1:36" x14ac:dyDescent="0.3">
      <c r="A257" t="s">
        <v>1066</v>
      </c>
      <c r="B257" t="s">
        <v>1067</v>
      </c>
      <c r="C257" t="s">
        <v>1068</v>
      </c>
      <c r="D257" t="s">
        <v>50</v>
      </c>
      <c r="E257">
        <v>76849</v>
      </c>
      <c r="F257" t="s">
        <v>15</v>
      </c>
      <c r="G257">
        <v>8</v>
      </c>
      <c r="H257">
        <v>150</v>
      </c>
      <c r="I257" t="str" cm="1">
        <f t="array" ref="I257">_xlfn.IFS(H257&lt;=120,"V1",H257&lt;=150,"V2",H257&lt;=250,"V3", H257&lt;=350, "V4")</f>
        <v>V2</v>
      </c>
      <c r="J257" t="s">
        <v>1069</v>
      </c>
      <c r="K257" t="str">
        <f t="shared" si="69"/>
        <v>30.509233</v>
      </c>
      <c r="L257" t="str">
        <f t="shared" si="70"/>
        <v>-99.77456</v>
      </c>
      <c r="M257">
        <v>519</v>
      </c>
      <c r="N257" s="1">
        <v>42739</v>
      </c>
      <c r="O257" s="1">
        <v>46099</v>
      </c>
      <c r="P257" s="2">
        <f t="shared" si="71"/>
        <v>9.1991786447638599</v>
      </c>
      <c r="Q257" s="2" t="str">
        <f t="shared" si="72"/>
        <v>Old</v>
      </c>
      <c r="R257">
        <f t="shared" si="73"/>
        <v>1200</v>
      </c>
      <c r="S257" t="str">
        <f t="shared" si="74"/>
        <v>Small</v>
      </c>
      <c r="T257" t="str">
        <f t="shared" si="75"/>
        <v>High EV Adoption Corridor</v>
      </c>
      <c r="U257" s="3">
        <f t="shared" si="76"/>
        <v>2574000.0000000005</v>
      </c>
      <c r="V257" s="4">
        <f t="shared" si="77"/>
        <v>576000</v>
      </c>
      <c r="W257" s="3">
        <f t="shared" si="78"/>
        <v>6600000.0000000009</v>
      </c>
      <c r="X257" s="3">
        <f t="shared" si="79"/>
        <v>5400000</v>
      </c>
      <c r="Y257">
        <f t="shared" si="80"/>
        <v>0.22888888888888889</v>
      </c>
      <c r="Z257">
        <f t="shared" si="81"/>
        <v>0.77622377622377625</v>
      </c>
      <c r="AA257" t="str">
        <f t="shared" si="82"/>
        <v>Tier 3 - Upgrade Pipeline</v>
      </c>
      <c r="AB257" s="3">
        <f t="shared" si="83"/>
        <v>72000</v>
      </c>
      <c r="AC257" s="3">
        <f t="shared" si="84"/>
        <v>825000.00000000012</v>
      </c>
      <c r="AD257" s="3">
        <f t="shared" si="85"/>
        <v>321750.00000000006</v>
      </c>
      <c r="AE257" s="5">
        <f t="shared" si="86"/>
        <v>3.303303303303303</v>
      </c>
      <c r="AF257" s="10">
        <f t="shared" si="87"/>
        <v>357120</v>
      </c>
      <c r="AG257" s="10">
        <f t="shared" si="88"/>
        <v>115200</v>
      </c>
      <c r="AH257" s="10">
        <f t="shared" si="89"/>
        <v>57600</v>
      </c>
      <c r="AI257" s="10">
        <f t="shared" si="90"/>
        <v>28800</v>
      </c>
      <c r="AJ257" s="10">
        <f t="shared" si="91"/>
        <v>17280</v>
      </c>
    </row>
    <row r="258" spans="1:36" x14ac:dyDescent="0.3">
      <c r="A258" t="s">
        <v>1070</v>
      </c>
      <c r="B258" t="s">
        <v>1071</v>
      </c>
      <c r="C258" t="s">
        <v>1072</v>
      </c>
      <c r="D258" t="s">
        <v>14</v>
      </c>
      <c r="E258">
        <v>93623</v>
      </c>
      <c r="F258" t="s">
        <v>15</v>
      </c>
      <c r="G258">
        <v>8</v>
      </c>
      <c r="H258">
        <v>150</v>
      </c>
      <c r="I258" t="str" cm="1">
        <f t="array" ref="I258">_xlfn.IFS(H258&lt;=120,"V1",H258&lt;=150,"V2",H258&lt;=250,"V3", H258&lt;=350, "V4")</f>
        <v>V2</v>
      </c>
      <c r="J258" t="s">
        <v>1073</v>
      </c>
      <c r="K258" t="str">
        <f t="shared" si="69"/>
        <v>37.473828</v>
      </c>
      <c r="L258" t="str">
        <f t="shared" si="70"/>
        <v>-119.635893</v>
      </c>
      <c r="M258">
        <v>1557</v>
      </c>
      <c r="N258" s="1">
        <v>42719</v>
      </c>
      <c r="O258" s="1">
        <v>46099</v>
      </c>
      <c r="P258" s="2">
        <f t="shared" si="71"/>
        <v>9.2539356605065031</v>
      </c>
      <c r="Q258" s="2" t="str">
        <f t="shared" si="72"/>
        <v>Old</v>
      </c>
      <c r="R258">
        <f t="shared" si="73"/>
        <v>1200</v>
      </c>
      <c r="S258" t="str">
        <f t="shared" si="74"/>
        <v>Small</v>
      </c>
      <c r="T258" t="str">
        <f t="shared" si="75"/>
        <v>High EV Adoption Corridor</v>
      </c>
      <c r="U258" s="3">
        <f t="shared" si="76"/>
        <v>2574000.0000000005</v>
      </c>
      <c r="V258" s="4">
        <f t="shared" si="77"/>
        <v>576000</v>
      </c>
      <c r="W258" s="3">
        <f t="shared" si="78"/>
        <v>6600000.0000000009</v>
      </c>
      <c r="X258" s="3">
        <f t="shared" si="79"/>
        <v>5400000</v>
      </c>
      <c r="Y258">
        <f t="shared" si="80"/>
        <v>0.22888888888888889</v>
      </c>
      <c r="Z258">
        <f t="shared" si="81"/>
        <v>0.77622377622377625</v>
      </c>
      <c r="AA258" t="str">
        <f t="shared" si="82"/>
        <v>Tier 3 - Upgrade Pipeline</v>
      </c>
      <c r="AB258" s="3">
        <f t="shared" si="83"/>
        <v>72000</v>
      </c>
      <c r="AC258" s="3">
        <f t="shared" si="84"/>
        <v>825000.00000000012</v>
      </c>
      <c r="AD258" s="3">
        <f t="shared" si="85"/>
        <v>321750.00000000006</v>
      </c>
      <c r="AE258" s="5">
        <f t="shared" si="86"/>
        <v>3.303303303303303</v>
      </c>
      <c r="AF258" s="10">
        <f t="shared" si="87"/>
        <v>357120</v>
      </c>
      <c r="AG258" s="10">
        <f t="shared" si="88"/>
        <v>115200</v>
      </c>
      <c r="AH258" s="10">
        <f t="shared" si="89"/>
        <v>57600</v>
      </c>
      <c r="AI258" s="10">
        <f t="shared" si="90"/>
        <v>28800</v>
      </c>
      <c r="AJ258" s="10">
        <f t="shared" si="91"/>
        <v>17280</v>
      </c>
    </row>
    <row r="259" spans="1:36" x14ac:dyDescent="0.3">
      <c r="A259" t="s">
        <v>1074</v>
      </c>
      <c r="B259" t="s">
        <v>1075</v>
      </c>
      <c r="C259" t="s">
        <v>1076</v>
      </c>
      <c r="D259" t="s">
        <v>949</v>
      </c>
      <c r="E259">
        <v>68803</v>
      </c>
      <c r="F259" t="s">
        <v>15</v>
      </c>
      <c r="G259">
        <v>8</v>
      </c>
      <c r="H259">
        <v>150</v>
      </c>
      <c r="I259" t="str" cm="1">
        <f t="array" ref="I259">_xlfn.IFS(H259&lt;=120,"V1",H259&lt;=150,"V2",H259&lt;=250,"V3", H259&lt;=350, "V4")</f>
        <v>V2</v>
      </c>
      <c r="J259" t="s">
        <v>1077</v>
      </c>
      <c r="K259" t="str">
        <f t="shared" ref="K259:K322" si="92">TRIM(LEFT(J259, FIND(",", J259) - 1))</f>
        <v>40.829973</v>
      </c>
      <c r="L259" t="str">
        <f t="shared" ref="L259:L322" si="93">TRIM(MID(J259, FIND(",", J259) + 1, LEN(J259)))</f>
        <v>-98.379822</v>
      </c>
      <c r="M259">
        <v>574</v>
      </c>
      <c r="N259" s="1">
        <v>42741</v>
      </c>
      <c r="O259" s="1">
        <v>46099</v>
      </c>
      <c r="P259" s="2">
        <f t="shared" ref="P259:P322" si="94">(O259-N259)/365.25</f>
        <v>9.1937029431895958</v>
      </c>
      <c r="Q259" s="2" t="str">
        <f t="shared" ref="Q259:Q322" si="95">IF(P259&lt;3,"New",IF(P259&lt;=8,"Mid","Old"))</f>
        <v>Old</v>
      </c>
      <c r="R259">
        <f t="shared" ref="R259:R322" si="96">G259*H259</f>
        <v>1200</v>
      </c>
      <c r="S259" t="str">
        <f t="shared" ref="S259:S322" si="97">IF(G259&lt;=30,"Small",IF(G259&lt;=60,"Medium","Large"))</f>
        <v>Small</v>
      </c>
      <c r="T259" t="str">
        <f t="shared" ref="T259:T322" si="98">IF(OR(D259="CA",D259="FL",D259="WA",D259="CO",D259="TX",D259="NJ"),"High EV Adoption Corridor","Lower EV Adoption Corridor")</f>
        <v>Lower EV Adoption Corridor</v>
      </c>
      <c r="U259" s="3">
        <f t="shared" ref="U259:U322" si="99" xml:space="preserve"> R259 * 1500 *
  IF(I259="V1",1,
     IF(I259="V2",1.1,1.2)) *
  IF(T259="High EV Adoption Corridor",1.3,1)</f>
        <v>1980000.0000000002</v>
      </c>
      <c r="V259" s="4">
        <f t="shared" ref="V259:V322" si="100" xml:space="preserve"> R259 * 400 *
  IF(I259="V1",0.9,
     IF(I259="V2",1,1.1)) *
  IF(T259="High EV Adoption Corridor",1.2,1)</f>
        <v>480000</v>
      </c>
      <c r="W259" s="3">
        <f t="shared" ref="W259:W322" si="101" xml:space="preserve"> R259 * 5000 *
  IF(I259="V1",0.8,
     IF(I259="V2",1,1.2)) *
  IF(T259="High EV Adoption Corridor",1.1,1)</f>
        <v>6000000</v>
      </c>
      <c r="X259" s="3">
        <f t="shared" ref="X259:X322" si="102" xml:space="preserve"> R259 * 3000 *
  IF(I259="V1",0.9,
     IF(I259="V2",1,1.1)) *
  IF(T259="High EV Adoption Corridor",1.5,1)</f>
        <v>3600000</v>
      </c>
      <c r="Y259">
        <f t="shared" ref="Y259:Y322" si="103" xml:space="preserve"> ((W259/10) + V259) / X259</f>
        <v>0.3</v>
      </c>
      <c r="Z259">
        <f t="shared" ref="Z259:Z322" si="104">(U259-V259)/U259</f>
        <v>0.75757575757575757</v>
      </c>
      <c r="AA259" t="str">
        <f t="shared" ref="AA259:AA322" si="105">IF(AND(I259="V3",T259="High EV Adoption Corridor"),
"Tier 1 - Priority Fleet",
IF(AND(I259="V3",T259="Lower EV Adoption Corridor"),
"Tier 2 - Growth Markets",
IF(AND(OR(I259="V1",I259="V2"),T259="High EV Adoption Corridor"),
"Tier 3 - Upgrade Pipeline",
IF(AND(I259="V2",T259="Lower EV Adoption Corridor"),
"Tier 4 - Stable Network",
"Tier 5 - Retirement Pipeline"))))</f>
        <v>Tier 4 - Stable Network</v>
      </c>
      <c r="AB259" s="3">
        <f t="shared" ref="AB259:AB322" si="106">V259/G259</f>
        <v>60000</v>
      </c>
      <c r="AC259" s="3">
        <f t="shared" ref="AC259:AC322" si="107">W259/G259</f>
        <v>750000</v>
      </c>
      <c r="AD259" s="3">
        <f t="shared" ref="AD259:AD322" si="108">U259/G259</f>
        <v>247500.00000000003</v>
      </c>
      <c r="AE259" s="5">
        <f t="shared" ref="AE259:AE322" si="109">W259/(U259-V259)</f>
        <v>3.9999999999999996</v>
      </c>
      <c r="AF259" s="10">
        <f t="shared" ref="AF259:AF322" si="110">V259*0.62</f>
        <v>297600</v>
      </c>
      <c r="AG259" s="10">
        <f t="shared" ref="AG259:AG322" si="111">V259*0.2</f>
        <v>96000</v>
      </c>
      <c r="AH259" s="10">
        <f t="shared" ref="AH259:AH322" si="112">V259*0.1</f>
        <v>48000</v>
      </c>
      <c r="AI259" s="10">
        <f t="shared" ref="AI259:AI322" si="113">V259*0.05</f>
        <v>24000</v>
      </c>
      <c r="AJ259" s="10">
        <f t="shared" ref="AJ259:AJ322" si="114">V259*0.03</f>
        <v>14400</v>
      </c>
    </row>
    <row r="260" spans="1:36" x14ac:dyDescent="0.3">
      <c r="A260" t="s">
        <v>1078</v>
      </c>
      <c r="B260" t="s">
        <v>1079</v>
      </c>
      <c r="C260" t="s">
        <v>1080</v>
      </c>
      <c r="D260" t="s">
        <v>111</v>
      </c>
      <c r="E260">
        <v>55320</v>
      </c>
      <c r="F260" t="s">
        <v>15</v>
      </c>
      <c r="G260">
        <v>8</v>
      </c>
      <c r="H260">
        <v>150</v>
      </c>
      <c r="I260" t="str" cm="1">
        <f t="array" ref="I260">_xlfn.IFS(H260&lt;=120,"V1",H260&lt;=150,"V2",H260&lt;=250,"V3", H260&lt;=350, "V4")</f>
        <v>V2</v>
      </c>
      <c r="J260" t="s">
        <v>1081</v>
      </c>
      <c r="K260" t="str">
        <f t="shared" si="92"/>
        <v>45.411899</v>
      </c>
      <c r="L260" t="str">
        <f t="shared" si="93"/>
        <v>-94.054852</v>
      </c>
      <c r="M260">
        <v>304</v>
      </c>
      <c r="N260" s="1">
        <v>42726</v>
      </c>
      <c r="O260" s="1">
        <v>46099</v>
      </c>
      <c r="P260" s="2">
        <f t="shared" si="94"/>
        <v>9.2347707049965777</v>
      </c>
      <c r="Q260" s="2" t="str">
        <f t="shared" si="95"/>
        <v>Old</v>
      </c>
      <c r="R260">
        <f t="shared" si="96"/>
        <v>1200</v>
      </c>
      <c r="S260" t="str">
        <f t="shared" si="97"/>
        <v>Small</v>
      </c>
      <c r="T260" t="str">
        <f t="shared" si="98"/>
        <v>Lower EV Adoption Corridor</v>
      </c>
      <c r="U260" s="3">
        <f t="shared" si="99"/>
        <v>1980000.0000000002</v>
      </c>
      <c r="V260" s="4">
        <f t="shared" si="100"/>
        <v>480000</v>
      </c>
      <c r="W260" s="3">
        <f t="shared" si="101"/>
        <v>6000000</v>
      </c>
      <c r="X260" s="3">
        <f t="shared" si="102"/>
        <v>3600000</v>
      </c>
      <c r="Y260">
        <f t="shared" si="103"/>
        <v>0.3</v>
      </c>
      <c r="Z260">
        <f t="shared" si="104"/>
        <v>0.75757575757575757</v>
      </c>
      <c r="AA260" t="str">
        <f t="shared" si="105"/>
        <v>Tier 4 - Stable Network</v>
      </c>
      <c r="AB260" s="3">
        <f t="shared" si="106"/>
        <v>60000</v>
      </c>
      <c r="AC260" s="3">
        <f t="shared" si="107"/>
        <v>750000</v>
      </c>
      <c r="AD260" s="3">
        <f t="shared" si="108"/>
        <v>247500.00000000003</v>
      </c>
      <c r="AE260" s="5">
        <f t="shared" si="109"/>
        <v>3.9999999999999996</v>
      </c>
      <c r="AF260" s="10">
        <f t="shared" si="110"/>
        <v>297600</v>
      </c>
      <c r="AG260" s="10">
        <f t="shared" si="111"/>
        <v>96000</v>
      </c>
      <c r="AH260" s="10">
        <f t="shared" si="112"/>
        <v>48000</v>
      </c>
      <c r="AI260" s="10">
        <f t="shared" si="113"/>
        <v>24000</v>
      </c>
      <c r="AJ260" s="10">
        <f t="shared" si="114"/>
        <v>14400</v>
      </c>
    </row>
    <row r="261" spans="1:36" x14ac:dyDescent="0.3">
      <c r="A261" t="s">
        <v>1082</v>
      </c>
      <c r="B261" t="s">
        <v>1083</v>
      </c>
      <c r="C261" t="s">
        <v>1084</v>
      </c>
      <c r="D261" t="s">
        <v>50</v>
      </c>
      <c r="E261">
        <v>75503</v>
      </c>
      <c r="F261" t="s">
        <v>15</v>
      </c>
      <c r="G261">
        <v>8</v>
      </c>
      <c r="H261">
        <v>150</v>
      </c>
      <c r="I261" t="str" cm="1">
        <f t="array" ref="I261">_xlfn.IFS(H261&lt;=120,"V1",H261&lt;=150,"V2",H261&lt;=250,"V3", H261&lt;=350, "V4")</f>
        <v>V2</v>
      </c>
      <c r="J261" t="s">
        <v>1085</v>
      </c>
      <c r="K261" t="str">
        <f t="shared" si="92"/>
        <v>33.459926</v>
      </c>
      <c r="L261" t="str">
        <f t="shared" si="93"/>
        <v>-94.077179</v>
      </c>
      <c r="M261">
        <v>100</v>
      </c>
      <c r="N261" s="1">
        <v>42725</v>
      </c>
      <c r="O261" s="1">
        <v>46099</v>
      </c>
      <c r="P261" s="2">
        <f t="shared" si="94"/>
        <v>9.2375085557837107</v>
      </c>
      <c r="Q261" s="2" t="str">
        <f t="shared" si="95"/>
        <v>Old</v>
      </c>
      <c r="R261">
        <f t="shared" si="96"/>
        <v>1200</v>
      </c>
      <c r="S261" t="str">
        <f t="shared" si="97"/>
        <v>Small</v>
      </c>
      <c r="T261" t="str">
        <f t="shared" si="98"/>
        <v>High EV Adoption Corridor</v>
      </c>
      <c r="U261" s="3">
        <f t="shared" si="99"/>
        <v>2574000.0000000005</v>
      </c>
      <c r="V261" s="4">
        <f t="shared" si="100"/>
        <v>576000</v>
      </c>
      <c r="W261" s="3">
        <f t="shared" si="101"/>
        <v>6600000.0000000009</v>
      </c>
      <c r="X261" s="3">
        <f t="shared" si="102"/>
        <v>5400000</v>
      </c>
      <c r="Y261">
        <f t="shared" si="103"/>
        <v>0.22888888888888889</v>
      </c>
      <c r="Z261">
        <f t="shared" si="104"/>
        <v>0.77622377622377625</v>
      </c>
      <c r="AA261" t="str">
        <f t="shared" si="105"/>
        <v>Tier 3 - Upgrade Pipeline</v>
      </c>
      <c r="AB261" s="3">
        <f t="shared" si="106"/>
        <v>72000</v>
      </c>
      <c r="AC261" s="3">
        <f t="shared" si="107"/>
        <v>825000.00000000012</v>
      </c>
      <c r="AD261" s="3">
        <f t="shared" si="108"/>
        <v>321750.00000000006</v>
      </c>
      <c r="AE261" s="5">
        <f t="shared" si="109"/>
        <v>3.303303303303303</v>
      </c>
      <c r="AF261" s="10">
        <f t="shared" si="110"/>
        <v>357120</v>
      </c>
      <c r="AG261" s="10">
        <f t="shared" si="111"/>
        <v>115200</v>
      </c>
      <c r="AH261" s="10">
        <f t="shared" si="112"/>
        <v>57600</v>
      </c>
      <c r="AI261" s="10">
        <f t="shared" si="113"/>
        <v>28800</v>
      </c>
      <c r="AJ261" s="10">
        <f t="shared" si="114"/>
        <v>17280</v>
      </c>
    </row>
    <row r="262" spans="1:36" x14ac:dyDescent="0.3">
      <c r="A262" t="s">
        <v>1086</v>
      </c>
      <c r="B262" t="s">
        <v>1087</v>
      </c>
      <c r="C262" t="s">
        <v>1088</v>
      </c>
      <c r="D262" t="s">
        <v>184</v>
      </c>
      <c r="E262" t="s">
        <v>1089</v>
      </c>
      <c r="F262" t="s">
        <v>15</v>
      </c>
      <c r="G262">
        <v>8</v>
      </c>
      <c r="H262">
        <v>150</v>
      </c>
      <c r="I262" t="str" cm="1">
        <f t="array" ref="I262">_xlfn.IFS(H262&lt;=120,"V1",H262&lt;=150,"V2",H262&lt;=250,"V3", H262&lt;=350, "V4")</f>
        <v>V2</v>
      </c>
      <c r="J262" t="s">
        <v>1090</v>
      </c>
      <c r="K262" t="str">
        <f t="shared" si="92"/>
        <v>40.494024</v>
      </c>
      <c r="L262" t="str">
        <f t="shared" si="93"/>
        <v>-82.712896</v>
      </c>
      <c r="M262">
        <v>354</v>
      </c>
      <c r="N262" s="1">
        <v>42720</v>
      </c>
      <c r="O262" s="1">
        <v>46099</v>
      </c>
      <c r="P262" s="2">
        <f t="shared" si="94"/>
        <v>9.2511978097193701</v>
      </c>
      <c r="Q262" s="2" t="str">
        <f t="shared" si="95"/>
        <v>Old</v>
      </c>
      <c r="R262">
        <f t="shared" si="96"/>
        <v>1200</v>
      </c>
      <c r="S262" t="str">
        <f t="shared" si="97"/>
        <v>Small</v>
      </c>
      <c r="T262" t="str">
        <f t="shared" si="98"/>
        <v>Lower EV Adoption Corridor</v>
      </c>
      <c r="U262" s="3">
        <f t="shared" si="99"/>
        <v>1980000.0000000002</v>
      </c>
      <c r="V262" s="4">
        <f t="shared" si="100"/>
        <v>480000</v>
      </c>
      <c r="W262" s="3">
        <f t="shared" si="101"/>
        <v>6000000</v>
      </c>
      <c r="X262" s="3">
        <f t="shared" si="102"/>
        <v>3600000</v>
      </c>
      <c r="Y262">
        <f t="shared" si="103"/>
        <v>0.3</v>
      </c>
      <c r="Z262">
        <f t="shared" si="104"/>
        <v>0.75757575757575757</v>
      </c>
      <c r="AA262" t="str">
        <f t="shared" si="105"/>
        <v>Tier 4 - Stable Network</v>
      </c>
      <c r="AB262" s="3">
        <f t="shared" si="106"/>
        <v>60000</v>
      </c>
      <c r="AC262" s="3">
        <f t="shared" si="107"/>
        <v>750000</v>
      </c>
      <c r="AD262" s="3">
        <f t="shared" si="108"/>
        <v>247500.00000000003</v>
      </c>
      <c r="AE262" s="5">
        <f t="shared" si="109"/>
        <v>3.9999999999999996</v>
      </c>
      <c r="AF262" s="10">
        <f t="shared" si="110"/>
        <v>297600</v>
      </c>
      <c r="AG262" s="10">
        <f t="shared" si="111"/>
        <v>96000</v>
      </c>
      <c r="AH262" s="10">
        <f t="shared" si="112"/>
        <v>48000</v>
      </c>
      <c r="AI262" s="10">
        <f t="shared" si="113"/>
        <v>24000</v>
      </c>
      <c r="AJ262" s="10">
        <f t="shared" si="114"/>
        <v>14400</v>
      </c>
    </row>
    <row r="263" spans="1:36" x14ac:dyDescent="0.3">
      <c r="A263" t="s">
        <v>1091</v>
      </c>
      <c r="B263" t="s">
        <v>1092</v>
      </c>
      <c r="C263" t="s">
        <v>1093</v>
      </c>
      <c r="D263" t="s">
        <v>259</v>
      </c>
      <c r="E263">
        <v>82930</v>
      </c>
      <c r="F263" t="s">
        <v>15</v>
      </c>
      <c r="G263">
        <v>8</v>
      </c>
      <c r="H263">
        <v>150</v>
      </c>
      <c r="I263" t="str" cm="1">
        <f t="array" ref="I263">_xlfn.IFS(H263&lt;=120,"V1",H263&lt;=150,"V2",H263&lt;=250,"V3", H263&lt;=350, "V4")</f>
        <v>V2</v>
      </c>
      <c r="J263" t="s">
        <v>1094</v>
      </c>
      <c r="K263" t="str">
        <f t="shared" si="92"/>
        <v>41.263157</v>
      </c>
      <c r="L263" t="str">
        <f t="shared" si="93"/>
        <v>-110.985309</v>
      </c>
      <c r="M263">
        <v>2080</v>
      </c>
      <c r="N263" s="1">
        <v>42934</v>
      </c>
      <c r="O263" s="1">
        <v>46099</v>
      </c>
      <c r="P263" s="2">
        <f t="shared" si="94"/>
        <v>8.6652977412731005</v>
      </c>
      <c r="Q263" s="2" t="str">
        <f t="shared" si="95"/>
        <v>Old</v>
      </c>
      <c r="R263">
        <f t="shared" si="96"/>
        <v>1200</v>
      </c>
      <c r="S263" t="str">
        <f t="shared" si="97"/>
        <v>Small</v>
      </c>
      <c r="T263" t="str">
        <f t="shared" si="98"/>
        <v>Lower EV Adoption Corridor</v>
      </c>
      <c r="U263" s="3">
        <f t="shared" si="99"/>
        <v>1980000.0000000002</v>
      </c>
      <c r="V263" s="4">
        <f t="shared" si="100"/>
        <v>480000</v>
      </c>
      <c r="W263" s="3">
        <f t="shared" si="101"/>
        <v>6000000</v>
      </c>
      <c r="X263" s="3">
        <f t="shared" si="102"/>
        <v>3600000</v>
      </c>
      <c r="Y263">
        <f t="shared" si="103"/>
        <v>0.3</v>
      </c>
      <c r="Z263">
        <f t="shared" si="104"/>
        <v>0.75757575757575757</v>
      </c>
      <c r="AA263" t="str">
        <f t="shared" si="105"/>
        <v>Tier 4 - Stable Network</v>
      </c>
      <c r="AB263" s="3">
        <f t="shared" si="106"/>
        <v>60000</v>
      </c>
      <c r="AC263" s="3">
        <f t="shared" si="107"/>
        <v>750000</v>
      </c>
      <c r="AD263" s="3">
        <f t="shared" si="108"/>
        <v>247500.00000000003</v>
      </c>
      <c r="AE263" s="5">
        <f t="shared" si="109"/>
        <v>3.9999999999999996</v>
      </c>
      <c r="AF263" s="10">
        <f t="shared" si="110"/>
        <v>297600</v>
      </c>
      <c r="AG263" s="10">
        <f t="shared" si="111"/>
        <v>96000</v>
      </c>
      <c r="AH263" s="10">
        <f t="shared" si="112"/>
        <v>48000</v>
      </c>
      <c r="AI263" s="10">
        <f t="shared" si="113"/>
        <v>24000</v>
      </c>
      <c r="AJ263" s="10">
        <f t="shared" si="114"/>
        <v>14400</v>
      </c>
    </row>
    <row r="264" spans="1:36" x14ac:dyDescent="0.3">
      <c r="A264" t="s">
        <v>1095</v>
      </c>
      <c r="B264" t="s">
        <v>1096</v>
      </c>
      <c r="C264" t="s">
        <v>1097</v>
      </c>
      <c r="D264" t="s">
        <v>50</v>
      </c>
      <c r="E264">
        <v>76011</v>
      </c>
      <c r="F264" t="s">
        <v>15</v>
      </c>
      <c r="G264">
        <v>10</v>
      </c>
      <c r="H264">
        <v>150</v>
      </c>
      <c r="I264" t="str" cm="1">
        <f t="array" ref="I264">_xlfn.IFS(H264&lt;=120,"V1",H264&lt;=150,"V2",H264&lt;=250,"V3", H264&lt;=350, "V4")</f>
        <v>V2</v>
      </c>
      <c r="J264" t="s">
        <v>1098</v>
      </c>
      <c r="K264" t="str">
        <f t="shared" si="92"/>
        <v>32.754659</v>
      </c>
      <c r="L264" t="str">
        <f t="shared" si="93"/>
        <v>-97.082823</v>
      </c>
      <c r="M264">
        <v>164</v>
      </c>
      <c r="N264" s="1">
        <v>42847</v>
      </c>
      <c r="O264" s="1">
        <v>46099</v>
      </c>
      <c r="P264" s="2">
        <f t="shared" si="94"/>
        <v>8.9034907597535931</v>
      </c>
      <c r="Q264" s="2" t="str">
        <f t="shared" si="95"/>
        <v>Old</v>
      </c>
      <c r="R264">
        <f t="shared" si="96"/>
        <v>1500</v>
      </c>
      <c r="S264" t="str">
        <f t="shared" si="97"/>
        <v>Small</v>
      </c>
      <c r="T264" t="str">
        <f t="shared" si="98"/>
        <v>High EV Adoption Corridor</v>
      </c>
      <c r="U264" s="3">
        <f t="shared" si="99"/>
        <v>3217500</v>
      </c>
      <c r="V264" s="4">
        <f t="shared" si="100"/>
        <v>720000</v>
      </c>
      <c r="W264" s="3">
        <f t="shared" si="101"/>
        <v>8250000.0000000009</v>
      </c>
      <c r="X264" s="3">
        <f t="shared" si="102"/>
        <v>6750000</v>
      </c>
      <c r="Y264">
        <f t="shared" si="103"/>
        <v>0.22888888888888889</v>
      </c>
      <c r="Z264">
        <f t="shared" si="104"/>
        <v>0.77622377622377625</v>
      </c>
      <c r="AA264" t="str">
        <f t="shared" si="105"/>
        <v>Tier 3 - Upgrade Pipeline</v>
      </c>
      <c r="AB264" s="3">
        <f t="shared" si="106"/>
        <v>72000</v>
      </c>
      <c r="AC264" s="3">
        <f t="shared" si="107"/>
        <v>825000.00000000012</v>
      </c>
      <c r="AD264" s="3">
        <f t="shared" si="108"/>
        <v>321750</v>
      </c>
      <c r="AE264" s="5">
        <f t="shared" si="109"/>
        <v>3.3033033033033035</v>
      </c>
      <c r="AF264" s="10">
        <f t="shared" si="110"/>
        <v>446400</v>
      </c>
      <c r="AG264" s="10">
        <f t="shared" si="111"/>
        <v>144000</v>
      </c>
      <c r="AH264" s="10">
        <f t="shared" si="112"/>
        <v>72000</v>
      </c>
      <c r="AI264" s="10">
        <f t="shared" si="113"/>
        <v>36000</v>
      </c>
      <c r="AJ264" s="10">
        <f t="shared" si="114"/>
        <v>21600</v>
      </c>
    </row>
    <row r="265" spans="1:36" x14ac:dyDescent="0.3">
      <c r="A265" t="s">
        <v>1099</v>
      </c>
      <c r="B265" t="s">
        <v>1100</v>
      </c>
      <c r="C265" t="s">
        <v>1101</v>
      </c>
      <c r="D265" t="s">
        <v>50</v>
      </c>
      <c r="E265">
        <v>78941</v>
      </c>
      <c r="F265" t="s">
        <v>15</v>
      </c>
      <c r="G265">
        <v>8</v>
      </c>
      <c r="H265">
        <v>150</v>
      </c>
      <c r="I265" t="str" cm="1">
        <f t="array" ref="I265">_xlfn.IFS(H265&lt;=120,"V1",H265&lt;=150,"V2",H265&lt;=250,"V3", H265&lt;=350, "V4")</f>
        <v>V2</v>
      </c>
      <c r="J265" t="s">
        <v>1102</v>
      </c>
      <c r="K265" t="str">
        <f t="shared" si="92"/>
        <v>29.697904</v>
      </c>
      <c r="L265" t="str">
        <f t="shared" si="93"/>
        <v>-97.099993</v>
      </c>
      <c r="M265">
        <v>128</v>
      </c>
      <c r="N265" s="1">
        <v>42869</v>
      </c>
      <c r="O265" s="1">
        <v>46099</v>
      </c>
      <c r="P265" s="2">
        <f t="shared" si="94"/>
        <v>8.8432580424366876</v>
      </c>
      <c r="Q265" s="2" t="str">
        <f t="shared" si="95"/>
        <v>Old</v>
      </c>
      <c r="R265">
        <f t="shared" si="96"/>
        <v>1200</v>
      </c>
      <c r="S265" t="str">
        <f t="shared" si="97"/>
        <v>Small</v>
      </c>
      <c r="T265" t="str">
        <f t="shared" si="98"/>
        <v>High EV Adoption Corridor</v>
      </c>
      <c r="U265" s="3">
        <f t="shared" si="99"/>
        <v>2574000.0000000005</v>
      </c>
      <c r="V265" s="4">
        <f t="shared" si="100"/>
        <v>576000</v>
      </c>
      <c r="W265" s="3">
        <f t="shared" si="101"/>
        <v>6600000.0000000009</v>
      </c>
      <c r="X265" s="3">
        <f t="shared" si="102"/>
        <v>5400000</v>
      </c>
      <c r="Y265">
        <f t="shared" si="103"/>
        <v>0.22888888888888889</v>
      </c>
      <c r="Z265">
        <f t="shared" si="104"/>
        <v>0.77622377622377625</v>
      </c>
      <c r="AA265" t="str">
        <f t="shared" si="105"/>
        <v>Tier 3 - Upgrade Pipeline</v>
      </c>
      <c r="AB265" s="3">
        <f t="shared" si="106"/>
        <v>72000</v>
      </c>
      <c r="AC265" s="3">
        <f t="shared" si="107"/>
        <v>825000.00000000012</v>
      </c>
      <c r="AD265" s="3">
        <f t="shared" si="108"/>
        <v>321750.00000000006</v>
      </c>
      <c r="AE265" s="5">
        <f t="shared" si="109"/>
        <v>3.303303303303303</v>
      </c>
      <c r="AF265" s="10">
        <f t="shared" si="110"/>
        <v>357120</v>
      </c>
      <c r="AG265" s="10">
        <f t="shared" si="111"/>
        <v>115200</v>
      </c>
      <c r="AH265" s="10">
        <f t="shared" si="112"/>
        <v>57600</v>
      </c>
      <c r="AI265" s="10">
        <f t="shared" si="113"/>
        <v>28800</v>
      </c>
      <c r="AJ265" s="10">
        <f t="shared" si="114"/>
        <v>17280</v>
      </c>
    </row>
    <row r="266" spans="1:36" x14ac:dyDescent="0.3">
      <c r="A266" t="s">
        <v>1103</v>
      </c>
      <c r="B266" t="s">
        <v>1104</v>
      </c>
      <c r="C266" t="s">
        <v>1105</v>
      </c>
      <c r="D266" t="s">
        <v>189</v>
      </c>
      <c r="E266">
        <v>54303</v>
      </c>
      <c r="F266" t="s">
        <v>15</v>
      </c>
      <c r="G266">
        <v>8</v>
      </c>
      <c r="H266">
        <v>150</v>
      </c>
      <c r="I266" t="str" cm="1">
        <f t="array" ref="I266">_xlfn.IFS(H266&lt;=120,"V1",H266&lt;=150,"V2",H266&lt;=250,"V3", H266&lt;=350, "V4")</f>
        <v>V2</v>
      </c>
      <c r="J266" t="s">
        <v>1106</v>
      </c>
      <c r="K266" t="str">
        <f t="shared" si="92"/>
        <v>44.5354319</v>
      </c>
      <c r="L266" t="str">
        <f t="shared" si="93"/>
        <v>-88.0777788</v>
      </c>
      <c r="M266">
        <v>188</v>
      </c>
      <c r="N266" s="1">
        <v>42986</v>
      </c>
      <c r="O266" s="1">
        <v>46099</v>
      </c>
      <c r="P266" s="2">
        <f t="shared" si="94"/>
        <v>8.5229295003422312</v>
      </c>
      <c r="Q266" s="2" t="str">
        <f t="shared" si="95"/>
        <v>Old</v>
      </c>
      <c r="R266">
        <f t="shared" si="96"/>
        <v>1200</v>
      </c>
      <c r="S266" t="str">
        <f t="shared" si="97"/>
        <v>Small</v>
      </c>
      <c r="T266" t="str">
        <f t="shared" si="98"/>
        <v>Lower EV Adoption Corridor</v>
      </c>
      <c r="U266" s="3">
        <f t="shared" si="99"/>
        <v>1980000.0000000002</v>
      </c>
      <c r="V266" s="4">
        <f t="shared" si="100"/>
        <v>480000</v>
      </c>
      <c r="W266" s="3">
        <f t="shared" si="101"/>
        <v>6000000</v>
      </c>
      <c r="X266" s="3">
        <f t="shared" si="102"/>
        <v>3600000</v>
      </c>
      <c r="Y266">
        <f t="shared" si="103"/>
        <v>0.3</v>
      </c>
      <c r="Z266">
        <f t="shared" si="104"/>
        <v>0.75757575757575757</v>
      </c>
      <c r="AA266" t="str">
        <f t="shared" si="105"/>
        <v>Tier 4 - Stable Network</v>
      </c>
      <c r="AB266" s="3">
        <f t="shared" si="106"/>
        <v>60000</v>
      </c>
      <c r="AC266" s="3">
        <f t="shared" si="107"/>
        <v>750000</v>
      </c>
      <c r="AD266" s="3">
        <f t="shared" si="108"/>
        <v>247500.00000000003</v>
      </c>
      <c r="AE266" s="5">
        <f t="shared" si="109"/>
        <v>3.9999999999999996</v>
      </c>
      <c r="AF266" s="10">
        <f t="shared" si="110"/>
        <v>297600</v>
      </c>
      <c r="AG266" s="10">
        <f t="shared" si="111"/>
        <v>96000</v>
      </c>
      <c r="AH266" s="10">
        <f t="shared" si="112"/>
        <v>48000</v>
      </c>
      <c r="AI266" s="10">
        <f t="shared" si="113"/>
        <v>24000</v>
      </c>
      <c r="AJ266" s="10">
        <f t="shared" si="114"/>
        <v>14400</v>
      </c>
    </row>
    <row r="267" spans="1:36" x14ac:dyDescent="0.3">
      <c r="A267" t="s">
        <v>1107</v>
      </c>
      <c r="B267" t="s">
        <v>1108</v>
      </c>
      <c r="C267" t="s">
        <v>1109</v>
      </c>
      <c r="D267" t="s">
        <v>1110</v>
      </c>
      <c r="E267">
        <v>72209</v>
      </c>
      <c r="F267" t="s">
        <v>15</v>
      </c>
      <c r="G267">
        <v>10</v>
      </c>
      <c r="H267">
        <v>150</v>
      </c>
      <c r="I267" t="str" cm="1">
        <f t="array" ref="I267">_xlfn.IFS(H267&lt;=120,"V1",H267&lt;=150,"V2",H267&lt;=250,"V3", H267&lt;=350, "V4")</f>
        <v>V2</v>
      </c>
      <c r="J267" t="s">
        <v>1111</v>
      </c>
      <c r="K267" t="str">
        <f t="shared" si="92"/>
        <v>34.6614</v>
      </c>
      <c r="L267" t="str">
        <f t="shared" si="93"/>
        <v>-92.41031</v>
      </c>
      <c r="M267">
        <v>95</v>
      </c>
      <c r="N267" s="1">
        <v>42875</v>
      </c>
      <c r="O267" s="1">
        <v>46099</v>
      </c>
      <c r="P267" s="2">
        <f t="shared" si="94"/>
        <v>8.8268309377138952</v>
      </c>
      <c r="Q267" s="2" t="str">
        <f t="shared" si="95"/>
        <v>Old</v>
      </c>
      <c r="R267">
        <f t="shared" si="96"/>
        <v>1500</v>
      </c>
      <c r="S267" t="str">
        <f t="shared" si="97"/>
        <v>Small</v>
      </c>
      <c r="T267" t="str">
        <f t="shared" si="98"/>
        <v>Lower EV Adoption Corridor</v>
      </c>
      <c r="U267" s="3">
        <f t="shared" si="99"/>
        <v>2475000</v>
      </c>
      <c r="V267" s="4">
        <f t="shared" si="100"/>
        <v>600000</v>
      </c>
      <c r="W267" s="3">
        <f t="shared" si="101"/>
        <v>7500000</v>
      </c>
      <c r="X267" s="3">
        <f t="shared" si="102"/>
        <v>4500000</v>
      </c>
      <c r="Y267">
        <f t="shared" si="103"/>
        <v>0.3</v>
      </c>
      <c r="Z267">
        <f t="shared" si="104"/>
        <v>0.75757575757575757</v>
      </c>
      <c r="AA267" t="str">
        <f t="shared" si="105"/>
        <v>Tier 4 - Stable Network</v>
      </c>
      <c r="AB267" s="3">
        <f t="shared" si="106"/>
        <v>60000</v>
      </c>
      <c r="AC267" s="3">
        <f t="shared" si="107"/>
        <v>750000</v>
      </c>
      <c r="AD267" s="3">
        <f t="shared" si="108"/>
        <v>247500</v>
      </c>
      <c r="AE267" s="5">
        <f t="shared" si="109"/>
        <v>4</v>
      </c>
      <c r="AF267" s="10">
        <f t="shared" si="110"/>
        <v>372000</v>
      </c>
      <c r="AG267" s="10">
        <f t="shared" si="111"/>
        <v>120000</v>
      </c>
      <c r="AH267" s="10">
        <f t="shared" si="112"/>
        <v>60000</v>
      </c>
      <c r="AI267" s="10">
        <f t="shared" si="113"/>
        <v>30000</v>
      </c>
      <c r="AJ267" s="10">
        <f t="shared" si="114"/>
        <v>18000</v>
      </c>
    </row>
    <row r="268" spans="1:36" x14ac:dyDescent="0.3">
      <c r="A268" t="s">
        <v>1112</v>
      </c>
      <c r="B268" t="s">
        <v>1113</v>
      </c>
      <c r="C268" t="s">
        <v>1114</v>
      </c>
      <c r="D268" t="s">
        <v>294</v>
      </c>
      <c r="E268">
        <v>37620</v>
      </c>
      <c r="F268" t="s">
        <v>15</v>
      </c>
      <c r="G268">
        <v>8</v>
      </c>
      <c r="H268">
        <v>150</v>
      </c>
      <c r="I268" t="str" cm="1">
        <f t="array" ref="I268">_xlfn.IFS(H268&lt;=120,"V1",H268&lt;=150,"V2",H268&lt;=250,"V3", H268&lt;=350, "V4")</f>
        <v>V2</v>
      </c>
      <c r="J268" t="s">
        <v>1115</v>
      </c>
      <c r="K268" t="str">
        <f t="shared" si="92"/>
        <v>36.591697</v>
      </c>
      <c r="L268" t="str">
        <f t="shared" si="93"/>
        <v>-82.261339</v>
      </c>
      <c r="M268">
        <v>549</v>
      </c>
      <c r="N268" s="1">
        <v>42903</v>
      </c>
      <c r="O268" s="1">
        <v>46099</v>
      </c>
      <c r="P268" s="2">
        <f t="shared" si="94"/>
        <v>8.7501711156741955</v>
      </c>
      <c r="Q268" s="2" t="str">
        <f t="shared" si="95"/>
        <v>Old</v>
      </c>
      <c r="R268">
        <f t="shared" si="96"/>
        <v>1200</v>
      </c>
      <c r="S268" t="str">
        <f t="shared" si="97"/>
        <v>Small</v>
      </c>
      <c r="T268" t="str">
        <f t="shared" si="98"/>
        <v>Lower EV Adoption Corridor</v>
      </c>
      <c r="U268" s="3">
        <f t="shared" si="99"/>
        <v>1980000.0000000002</v>
      </c>
      <c r="V268" s="4">
        <f t="shared" si="100"/>
        <v>480000</v>
      </c>
      <c r="W268" s="3">
        <f t="shared" si="101"/>
        <v>6000000</v>
      </c>
      <c r="X268" s="3">
        <f t="shared" si="102"/>
        <v>3600000</v>
      </c>
      <c r="Y268">
        <f t="shared" si="103"/>
        <v>0.3</v>
      </c>
      <c r="Z268">
        <f t="shared" si="104"/>
        <v>0.75757575757575757</v>
      </c>
      <c r="AA268" t="str">
        <f t="shared" si="105"/>
        <v>Tier 4 - Stable Network</v>
      </c>
      <c r="AB268" s="3">
        <f t="shared" si="106"/>
        <v>60000</v>
      </c>
      <c r="AC268" s="3">
        <f t="shared" si="107"/>
        <v>750000</v>
      </c>
      <c r="AD268" s="3">
        <f t="shared" si="108"/>
        <v>247500.00000000003</v>
      </c>
      <c r="AE268" s="5">
        <f t="shared" si="109"/>
        <v>3.9999999999999996</v>
      </c>
      <c r="AF268" s="10">
        <f t="shared" si="110"/>
        <v>297600</v>
      </c>
      <c r="AG268" s="10">
        <f t="shared" si="111"/>
        <v>96000</v>
      </c>
      <c r="AH268" s="10">
        <f t="shared" si="112"/>
        <v>48000</v>
      </c>
      <c r="AI268" s="10">
        <f t="shared" si="113"/>
        <v>24000</v>
      </c>
      <c r="AJ268" s="10">
        <f t="shared" si="114"/>
        <v>14400</v>
      </c>
    </row>
    <row r="269" spans="1:36" x14ac:dyDescent="0.3">
      <c r="A269" t="s">
        <v>1116</v>
      </c>
      <c r="B269" t="s">
        <v>1117</v>
      </c>
      <c r="C269" t="s">
        <v>307</v>
      </c>
      <c r="D269" t="s">
        <v>14</v>
      </c>
      <c r="E269">
        <v>95121</v>
      </c>
      <c r="F269" t="s">
        <v>15</v>
      </c>
      <c r="G269">
        <v>20</v>
      </c>
      <c r="H269">
        <v>250</v>
      </c>
      <c r="I269" t="str" cm="1">
        <f t="array" ref="I269">_xlfn.IFS(H269&lt;=120,"V1",H269&lt;=150,"V2",H269&lt;=250,"V3", H269&lt;=350, "V4")</f>
        <v>V3</v>
      </c>
      <c r="J269" t="s">
        <v>1118</v>
      </c>
      <c r="K269" t="str">
        <f t="shared" si="92"/>
        <v>37.300551</v>
      </c>
      <c r="L269" t="str">
        <f t="shared" si="93"/>
        <v>-121.825198</v>
      </c>
      <c r="M269">
        <v>48</v>
      </c>
      <c r="N269" s="1">
        <v>44072</v>
      </c>
      <c r="O269" s="1">
        <v>46099</v>
      </c>
      <c r="P269" s="2">
        <f t="shared" si="94"/>
        <v>5.5496235455167691</v>
      </c>
      <c r="Q269" s="2" t="str">
        <f t="shared" si="95"/>
        <v>Mid</v>
      </c>
      <c r="R269">
        <f t="shared" si="96"/>
        <v>5000</v>
      </c>
      <c r="S269" t="str">
        <f t="shared" si="97"/>
        <v>Small</v>
      </c>
      <c r="T269" t="str">
        <f t="shared" si="98"/>
        <v>High EV Adoption Corridor</v>
      </c>
      <c r="U269" s="3">
        <f t="shared" si="99"/>
        <v>11700000</v>
      </c>
      <c r="V269" s="4">
        <f t="shared" si="100"/>
        <v>2640000</v>
      </c>
      <c r="W269" s="3">
        <f t="shared" si="101"/>
        <v>33000000.000000004</v>
      </c>
      <c r="X269" s="3">
        <f t="shared" si="102"/>
        <v>24750000.000000004</v>
      </c>
      <c r="Y269">
        <f t="shared" si="103"/>
        <v>0.23999999999999996</v>
      </c>
      <c r="Z269">
        <f t="shared" si="104"/>
        <v>0.77435897435897438</v>
      </c>
      <c r="AA269" t="str">
        <f t="shared" si="105"/>
        <v>Tier 1 - Priority Fleet</v>
      </c>
      <c r="AB269" s="3">
        <f t="shared" si="106"/>
        <v>132000</v>
      </c>
      <c r="AC269" s="3">
        <f t="shared" si="107"/>
        <v>1650000.0000000002</v>
      </c>
      <c r="AD269" s="3">
        <f t="shared" si="108"/>
        <v>585000</v>
      </c>
      <c r="AE269" s="5">
        <f t="shared" si="109"/>
        <v>3.6423841059602653</v>
      </c>
      <c r="AF269" s="10">
        <f t="shared" si="110"/>
        <v>1636800</v>
      </c>
      <c r="AG269" s="10">
        <f t="shared" si="111"/>
        <v>528000</v>
      </c>
      <c r="AH269" s="10">
        <f t="shared" si="112"/>
        <v>264000</v>
      </c>
      <c r="AI269" s="10">
        <f t="shared" si="113"/>
        <v>132000</v>
      </c>
      <c r="AJ269" s="10">
        <f t="shared" si="114"/>
        <v>79200</v>
      </c>
    </row>
    <row r="270" spans="1:36" x14ac:dyDescent="0.3">
      <c r="A270" t="s">
        <v>1119</v>
      </c>
      <c r="B270" t="s">
        <v>1120</v>
      </c>
      <c r="C270" t="s">
        <v>1121</v>
      </c>
      <c r="D270" t="s">
        <v>14</v>
      </c>
      <c r="E270">
        <v>93446</v>
      </c>
      <c r="F270" t="s">
        <v>15</v>
      </c>
      <c r="G270">
        <v>28</v>
      </c>
      <c r="H270">
        <v>250</v>
      </c>
      <c r="I270" t="str" cm="1">
        <f t="array" ref="I270">_xlfn.IFS(H270&lt;=120,"V1",H270&lt;=150,"V2",H270&lt;=250,"V3", H270&lt;=350, "V4")</f>
        <v>V3</v>
      </c>
      <c r="J270" t="s">
        <v>1122</v>
      </c>
      <c r="K270" t="str">
        <f t="shared" si="92"/>
        <v>35.645482</v>
      </c>
      <c r="L270" t="str">
        <f t="shared" si="93"/>
        <v>-120.660047</v>
      </c>
      <c r="M270">
        <v>243</v>
      </c>
      <c r="N270" s="1">
        <v>44078</v>
      </c>
      <c r="O270" s="1">
        <v>46099</v>
      </c>
      <c r="P270" s="2">
        <f t="shared" si="94"/>
        <v>5.5331964407939767</v>
      </c>
      <c r="Q270" s="2" t="str">
        <f t="shared" si="95"/>
        <v>Mid</v>
      </c>
      <c r="R270">
        <f t="shared" si="96"/>
        <v>7000</v>
      </c>
      <c r="S270" t="str">
        <f t="shared" si="97"/>
        <v>Small</v>
      </c>
      <c r="T270" t="str">
        <f t="shared" si="98"/>
        <v>High EV Adoption Corridor</v>
      </c>
      <c r="U270" s="3">
        <f t="shared" si="99"/>
        <v>16380000</v>
      </c>
      <c r="V270" s="4">
        <f t="shared" si="100"/>
        <v>3696000.0000000005</v>
      </c>
      <c r="W270" s="3">
        <f t="shared" si="101"/>
        <v>46200000.000000007</v>
      </c>
      <c r="X270" s="3">
        <f t="shared" si="102"/>
        <v>34650000.000000007</v>
      </c>
      <c r="Y270">
        <f t="shared" si="103"/>
        <v>0.24</v>
      </c>
      <c r="Z270">
        <f t="shared" si="104"/>
        <v>0.77435897435897438</v>
      </c>
      <c r="AA270" t="str">
        <f t="shared" si="105"/>
        <v>Tier 1 - Priority Fleet</v>
      </c>
      <c r="AB270" s="3">
        <f t="shared" si="106"/>
        <v>132000.00000000003</v>
      </c>
      <c r="AC270" s="3">
        <f t="shared" si="107"/>
        <v>1650000.0000000002</v>
      </c>
      <c r="AD270" s="3">
        <f t="shared" si="108"/>
        <v>585000</v>
      </c>
      <c r="AE270" s="5">
        <f t="shared" si="109"/>
        <v>3.6423841059602653</v>
      </c>
      <c r="AF270" s="10">
        <f t="shared" si="110"/>
        <v>2291520.0000000005</v>
      </c>
      <c r="AG270" s="10">
        <f t="shared" si="111"/>
        <v>739200.00000000012</v>
      </c>
      <c r="AH270" s="10">
        <f t="shared" si="112"/>
        <v>369600.00000000006</v>
      </c>
      <c r="AI270" s="10">
        <f t="shared" si="113"/>
        <v>184800.00000000003</v>
      </c>
      <c r="AJ270" s="10">
        <f t="shared" si="114"/>
        <v>110880.00000000001</v>
      </c>
    </row>
    <row r="271" spans="1:36" x14ac:dyDescent="0.3">
      <c r="A271" t="s">
        <v>1123</v>
      </c>
      <c r="B271" t="s">
        <v>1124</v>
      </c>
      <c r="C271" t="s">
        <v>1125</v>
      </c>
      <c r="D271" t="s">
        <v>630</v>
      </c>
      <c r="E271">
        <v>49684</v>
      </c>
      <c r="F271" t="s">
        <v>15</v>
      </c>
      <c r="G271">
        <v>10</v>
      </c>
      <c r="H271">
        <v>150</v>
      </c>
      <c r="I271" t="str" cm="1">
        <f t="array" ref="I271">_xlfn.IFS(H271&lt;=120,"V1",H271&lt;=150,"V2",H271&lt;=250,"V3", H271&lt;=350, "V4")</f>
        <v>V2</v>
      </c>
      <c r="J271" t="s">
        <v>1126</v>
      </c>
      <c r="K271" t="str">
        <f t="shared" si="92"/>
        <v>44.744729</v>
      </c>
      <c r="L271" t="str">
        <f t="shared" si="93"/>
        <v>-85.644019</v>
      </c>
      <c r="M271">
        <v>191</v>
      </c>
      <c r="N271" s="1">
        <v>42988</v>
      </c>
      <c r="O271" s="1">
        <v>46099</v>
      </c>
      <c r="P271" s="2">
        <f t="shared" si="94"/>
        <v>8.517453798767967</v>
      </c>
      <c r="Q271" s="2" t="str">
        <f t="shared" si="95"/>
        <v>Old</v>
      </c>
      <c r="R271">
        <f t="shared" si="96"/>
        <v>1500</v>
      </c>
      <c r="S271" t="str">
        <f t="shared" si="97"/>
        <v>Small</v>
      </c>
      <c r="T271" t="str">
        <f t="shared" si="98"/>
        <v>Lower EV Adoption Corridor</v>
      </c>
      <c r="U271" s="3">
        <f t="shared" si="99"/>
        <v>2475000</v>
      </c>
      <c r="V271" s="4">
        <f t="shared" si="100"/>
        <v>600000</v>
      </c>
      <c r="W271" s="3">
        <f t="shared" si="101"/>
        <v>7500000</v>
      </c>
      <c r="X271" s="3">
        <f t="shared" si="102"/>
        <v>4500000</v>
      </c>
      <c r="Y271">
        <f t="shared" si="103"/>
        <v>0.3</v>
      </c>
      <c r="Z271">
        <f t="shared" si="104"/>
        <v>0.75757575757575757</v>
      </c>
      <c r="AA271" t="str">
        <f t="shared" si="105"/>
        <v>Tier 4 - Stable Network</v>
      </c>
      <c r="AB271" s="3">
        <f t="shared" si="106"/>
        <v>60000</v>
      </c>
      <c r="AC271" s="3">
        <f t="shared" si="107"/>
        <v>750000</v>
      </c>
      <c r="AD271" s="3">
        <f t="shared" si="108"/>
        <v>247500</v>
      </c>
      <c r="AE271" s="5">
        <f t="shared" si="109"/>
        <v>4</v>
      </c>
      <c r="AF271" s="10">
        <f t="shared" si="110"/>
        <v>372000</v>
      </c>
      <c r="AG271" s="10">
        <f t="shared" si="111"/>
        <v>120000</v>
      </c>
      <c r="AH271" s="10">
        <f t="shared" si="112"/>
        <v>60000</v>
      </c>
      <c r="AI271" s="10">
        <f t="shared" si="113"/>
        <v>30000</v>
      </c>
      <c r="AJ271" s="10">
        <f t="shared" si="114"/>
        <v>18000</v>
      </c>
    </row>
    <row r="272" spans="1:36" x14ac:dyDescent="0.3">
      <c r="A272" t="s">
        <v>1127</v>
      </c>
      <c r="B272" t="s">
        <v>1128</v>
      </c>
      <c r="C272" t="s">
        <v>1129</v>
      </c>
      <c r="D272" t="s">
        <v>125</v>
      </c>
      <c r="E272">
        <v>29577</v>
      </c>
      <c r="F272" t="s">
        <v>15</v>
      </c>
      <c r="G272">
        <v>10</v>
      </c>
      <c r="H272">
        <v>150</v>
      </c>
      <c r="I272" t="str" cm="1">
        <f t="array" ref="I272">_xlfn.IFS(H272&lt;=120,"V1",H272&lt;=150,"V2",H272&lt;=250,"V3", H272&lt;=350, "V4")</f>
        <v>V2</v>
      </c>
      <c r="J272" t="s">
        <v>1130</v>
      </c>
      <c r="K272" t="str">
        <f t="shared" si="92"/>
        <v>33.704388</v>
      </c>
      <c r="L272" t="str">
        <f t="shared" si="93"/>
        <v>-78.925172</v>
      </c>
      <c r="M272">
        <v>6</v>
      </c>
      <c r="N272" s="1">
        <v>42819</v>
      </c>
      <c r="O272" s="1">
        <v>46099</v>
      </c>
      <c r="P272" s="2">
        <f t="shared" si="94"/>
        <v>8.9801505817932927</v>
      </c>
      <c r="Q272" s="2" t="str">
        <f t="shared" si="95"/>
        <v>Old</v>
      </c>
      <c r="R272">
        <f t="shared" si="96"/>
        <v>1500</v>
      </c>
      <c r="S272" t="str">
        <f t="shared" si="97"/>
        <v>Small</v>
      </c>
      <c r="T272" t="str">
        <f t="shared" si="98"/>
        <v>Lower EV Adoption Corridor</v>
      </c>
      <c r="U272" s="3">
        <f t="shared" si="99"/>
        <v>2475000</v>
      </c>
      <c r="V272" s="4">
        <f t="shared" si="100"/>
        <v>600000</v>
      </c>
      <c r="W272" s="3">
        <f t="shared" si="101"/>
        <v>7500000</v>
      </c>
      <c r="X272" s="3">
        <f t="shared" si="102"/>
        <v>4500000</v>
      </c>
      <c r="Y272">
        <f t="shared" si="103"/>
        <v>0.3</v>
      </c>
      <c r="Z272">
        <f t="shared" si="104"/>
        <v>0.75757575757575757</v>
      </c>
      <c r="AA272" t="str">
        <f t="shared" si="105"/>
        <v>Tier 4 - Stable Network</v>
      </c>
      <c r="AB272" s="3">
        <f t="shared" si="106"/>
        <v>60000</v>
      </c>
      <c r="AC272" s="3">
        <f t="shared" si="107"/>
        <v>750000</v>
      </c>
      <c r="AD272" s="3">
        <f t="shared" si="108"/>
        <v>247500</v>
      </c>
      <c r="AE272" s="5">
        <f t="shared" si="109"/>
        <v>4</v>
      </c>
      <c r="AF272" s="10">
        <f t="shared" si="110"/>
        <v>372000</v>
      </c>
      <c r="AG272" s="10">
        <f t="shared" si="111"/>
        <v>120000</v>
      </c>
      <c r="AH272" s="10">
        <f t="shared" si="112"/>
        <v>60000</v>
      </c>
      <c r="AI272" s="10">
        <f t="shared" si="113"/>
        <v>30000</v>
      </c>
      <c r="AJ272" s="10">
        <f t="shared" si="114"/>
        <v>18000</v>
      </c>
    </row>
    <row r="273" spans="1:36" x14ac:dyDescent="0.3">
      <c r="A273" t="s">
        <v>1131</v>
      </c>
      <c r="B273" t="s">
        <v>1132</v>
      </c>
      <c r="C273" t="s">
        <v>102</v>
      </c>
      <c r="D273" t="s">
        <v>98</v>
      </c>
      <c r="E273">
        <v>6460</v>
      </c>
      <c r="F273" t="s">
        <v>15</v>
      </c>
      <c r="G273">
        <v>14</v>
      </c>
      <c r="H273">
        <v>150</v>
      </c>
      <c r="I273" t="str" cm="1">
        <f t="array" ref="I273">_xlfn.IFS(H273&lt;=120,"V1",H273&lt;=150,"V2",H273&lt;=250,"V3", H273&lt;=350, "V4")</f>
        <v>V2</v>
      </c>
      <c r="J273" t="s">
        <v>1133</v>
      </c>
      <c r="K273" t="str">
        <f t="shared" si="92"/>
        <v>41.238035</v>
      </c>
      <c r="L273" t="str">
        <f t="shared" si="93"/>
        <v>-73.036156</v>
      </c>
      <c r="M273">
        <v>6</v>
      </c>
      <c r="N273" s="1">
        <v>42853</v>
      </c>
      <c r="O273" s="1">
        <v>46099</v>
      </c>
      <c r="P273" s="2">
        <f t="shared" si="94"/>
        <v>8.8870636550308006</v>
      </c>
      <c r="Q273" s="2" t="str">
        <f t="shared" si="95"/>
        <v>Old</v>
      </c>
      <c r="R273">
        <f t="shared" si="96"/>
        <v>2100</v>
      </c>
      <c r="S273" t="str">
        <f t="shared" si="97"/>
        <v>Small</v>
      </c>
      <c r="T273" t="str">
        <f t="shared" si="98"/>
        <v>Lower EV Adoption Corridor</v>
      </c>
      <c r="U273" s="3">
        <f t="shared" si="99"/>
        <v>3465000.0000000005</v>
      </c>
      <c r="V273" s="4">
        <f t="shared" si="100"/>
        <v>840000</v>
      </c>
      <c r="W273" s="3">
        <f t="shared" si="101"/>
        <v>10500000</v>
      </c>
      <c r="X273" s="3">
        <f t="shared" si="102"/>
        <v>6300000</v>
      </c>
      <c r="Y273">
        <f t="shared" si="103"/>
        <v>0.3</v>
      </c>
      <c r="Z273">
        <f t="shared" si="104"/>
        <v>0.75757575757575757</v>
      </c>
      <c r="AA273" t="str">
        <f t="shared" si="105"/>
        <v>Tier 4 - Stable Network</v>
      </c>
      <c r="AB273" s="3">
        <f t="shared" si="106"/>
        <v>60000</v>
      </c>
      <c r="AC273" s="3">
        <f t="shared" si="107"/>
        <v>750000</v>
      </c>
      <c r="AD273" s="3">
        <f t="shared" si="108"/>
        <v>247500.00000000003</v>
      </c>
      <c r="AE273" s="5">
        <f t="shared" si="109"/>
        <v>3.9999999999999991</v>
      </c>
      <c r="AF273" s="10">
        <f t="shared" si="110"/>
        <v>520800</v>
      </c>
      <c r="AG273" s="10">
        <f t="shared" si="111"/>
        <v>168000</v>
      </c>
      <c r="AH273" s="10">
        <f t="shared" si="112"/>
        <v>84000</v>
      </c>
      <c r="AI273" s="10">
        <f t="shared" si="113"/>
        <v>42000</v>
      </c>
      <c r="AJ273" s="10">
        <f t="shared" si="114"/>
        <v>25200</v>
      </c>
    </row>
    <row r="274" spans="1:36" x14ac:dyDescent="0.3">
      <c r="A274" t="s">
        <v>1134</v>
      </c>
      <c r="B274" t="s">
        <v>1135</v>
      </c>
      <c r="C274" t="s">
        <v>1136</v>
      </c>
      <c r="D274" t="s">
        <v>505</v>
      </c>
      <c r="E274">
        <v>73401</v>
      </c>
      <c r="F274" t="s">
        <v>15</v>
      </c>
      <c r="G274">
        <v>8</v>
      </c>
      <c r="H274">
        <v>150</v>
      </c>
      <c r="I274" t="str" cm="1">
        <f t="array" ref="I274">_xlfn.IFS(H274&lt;=120,"V1",H274&lt;=150,"V2",H274&lt;=250,"V3", H274&lt;=350, "V4")</f>
        <v>V2</v>
      </c>
      <c r="J274" t="s">
        <v>1137</v>
      </c>
      <c r="K274" t="str">
        <f t="shared" si="92"/>
        <v>34.179106</v>
      </c>
      <c r="L274" t="str">
        <f t="shared" si="93"/>
        <v>-97.165632</v>
      </c>
      <c r="M274">
        <v>259</v>
      </c>
      <c r="N274" s="1">
        <v>42076</v>
      </c>
      <c r="O274" s="1">
        <v>46099</v>
      </c>
      <c r="P274" s="2">
        <f t="shared" si="94"/>
        <v>11.014373716632443</v>
      </c>
      <c r="Q274" s="2" t="str">
        <f t="shared" si="95"/>
        <v>Old</v>
      </c>
      <c r="R274">
        <f t="shared" si="96"/>
        <v>1200</v>
      </c>
      <c r="S274" t="str">
        <f t="shared" si="97"/>
        <v>Small</v>
      </c>
      <c r="T274" t="str">
        <f t="shared" si="98"/>
        <v>Lower EV Adoption Corridor</v>
      </c>
      <c r="U274" s="3">
        <f t="shared" si="99"/>
        <v>1980000.0000000002</v>
      </c>
      <c r="V274" s="4">
        <f t="shared" si="100"/>
        <v>480000</v>
      </c>
      <c r="W274" s="3">
        <f t="shared" si="101"/>
        <v>6000000</v>
      </c>
      <c r="X274" s="3">
        <f t="shared" si="102"/>
        <v>3600000</v>
      </c>
      <c r="Y274">
        <f t="shared" si="103"/>
        <v>0.3</v>
      </c>
      <c r="Z274">
        <f t="shared" si="104"/>
        <v>0.75757575757575757</v>
      </c>
      <c r="AA274" t="str">
        <f t="shared" si="105"/>
        <v>Tier 4 - Stable Network</v>
      </c>
      <c r="AB274" s="3">
        <f t="shared" si="106"/>
        <v>60000</v>
      </c>
      <c r="AC274" s="3">
        <f t="shared" si="107"/>
        <v>750000</v>
      </c>
      <c r="AD274" s="3">
        <f t="shared" si="108"/>
        <v>247500.00000000003</v>
      </c>
      <c r="AE274" s="5">
        <f t="shared" si="109"/>
        <v>3.9999999999999996</v>
      </c>
      <c r="AF274" s="10">
        <f t="shared" si="110"/>
        <v>297600</v>
      </c>
      <c r="AG274" s="10">
        <f t="shared" si="111"/>
        <v>96000</v>
      </c>
      <c r="AH274" s="10">
        <f t="shared" si="112"/>
        <v>48000</v>
      </c>
      <c r="AI274" s="10">
        <f t="shared" si="113"/>
        <v>24000</v>
      </c>
      <c r="AJ274" s="10">
        <f t="shared" si="114"/>
        <v>14400</v>
      </c>
    </row>
    <row r="275" spans="1:36" x14ac:dyDescent="0.3">
      <c r="A275" t="s">
        <v>1138</v>
      </c>
      <c r="B275" t="s">
        <v>1139</v>
      </c>
      <c r="C275" t="s">
        <v>1140</v>
      </c>
      <c r="D275" t="s">
        <v>41</v>
      </c>
      <c r="E275">
        <v>33034</v>
      </c>
      <c r="F275" t="s">
        <v>15</v>
      </c>
      <c r="G275">
        <v>8</v>
      </c>
      <c r="H275">
        <v>150</v>
      </c>
      <c r="I275" t="str" cm="1">
        <f t="array" ref="I275">_xlfn.IFS(H275&lt;=120,"V1",H275&lt;=150,"V2",H275&lt;=250,"V3", H275&lt;=350, "V4")</f>
        <v>V2</v>
      </c>
      <c r="J275" t="s">
        <v>1141</v>
      </c>
      <c r="K275" t="str">
        <f t="shared" si="92"/>
        <v>25.456825</v>
      </c>
      <c r="L275" t="str">
        <f t="shared" si="93"/>
        <v>-80.474341</v>
      </c>
      <c r="M275">
        <v>1</v>
      </c>
      <c r="N275" s="1">
        <v>42888</v>
      </c>
      <c r="O275" s="1">
        <v>46099</v>
      </c>
      <c r="P275" s="2">
        <f t="shared" si="94"/>
        <v>8.7912388774811774</v>
      </c>
      <c r="Q275" s="2" t="str">
        <f t="shared" si="95"/>
        <v>Old</v>
      </c>
      <c r="R275">
        <f t="shared" si="96"/>
        <v>1200</v>
      </c>
      <c r="S275" t="str">
        <f t="shared" si="97"/>
        <v>Small</v>
      </c>
      <c r="T275" t="str">
        <f t="shared" si="98"/>
        <v>High EV Adoption Corridor</v>
      </c>
      <c r="U275" s="3">
        <f t="shared" si="99"/>
        <v>2574000.0000000005</v>
      </c>
      <c r="V275" s="4">
        <f t="shared" si="100"/>
        <v>576000</v>
      </c>
      <c r="W275" s="3">
        <f t="shared" si="101"/>
        <v>6600000.0000000009</v>
      </c>
      <c r="X275" s="3">
        <f t="shared" si="102"/>
        <v>5400000</v>
      </c>
      <c r="Y275">
        <f t="shared" si="103"/>
        <v>0.22888888888888889</v>
      </c>
      <c r="Z275">
        <f t="shared" si="104"/>
        <v>0.77622377622377625</v>
      </c>
      <c r="AA275" t="str">
        <f t="shared" si="105"/>
        <v>Tier 3 - Upgrade Pipeline</v>
      </c>
      <c r="AB275" s="3">
        <f t="shared" si="106"/>
        <v>72000</v>
      </c>
      <c r="AC275" s="3">
        <f t="shared" si="107"/>
        <v>825000.00000000012</v>
      </c>
      <c r="AD275" s="3">
        <f t="shared" si="108"/>
        <v>321750.00000000006</v>
      </c>
      <c r="AE275" s="5">
        <f t="shared" si="109"/>
        <v>3.303303303303303</v>
      </c>
      <c r="AF275" s="10">
        <f t="shared" si="110"/>
        <v>357120</v>
      </c>
      <c r="AG275" s="10">
        <f t="shared" si="111"/>
        <v>115200</v>
      </c>
      <c r="AH275" s="10">
        <f t="shared" si="112"/>
        <v>57600</v>
      </c>
      <c r="AI275" s="10">
        <f t="shared" si="113"/>
        <v>28800</v>
      </c>
      <c r="AJ275" s="10">
        <f t="shared" si="114"/>
        <v>17280</v>
      </c>
    </row>
    <row r="276" spans="1:36" x14ac:dyDescent="0.3">
      <c r="A276" t="s">
        <v>1142</v>
      </c>
      <c r="B276" t="s">
        <v>1143</v>
      </c>
      <c r="C276" t="s">
        <v>1144</v>
      </c>
      <c r="D276" t="s">
        <v>433</v>
      </c>
      <c r="E276">
        <v>89410</v>
      </c>
      <c r="F276" t="s">
        <v>15</v>
      </c>
      <c r="G276">
        <v>6</v>
      </c>
      <c r="H276">
        <v>150</v>
      </c>
      <c r="I276" t="str" cm="1">
        <f t="array" ref="I276">_xlfn.IFS(H276&lt;=120,"V1",H276&lt;=150,"V2",H276&lt;=250,"V3", H276&lt;=350, "V4")</f>
        <v>V2</v>
      </c>
      <c r="J276" t="s">
        <v>1145</v>
      </c>
      <c r="K276" t="str">
        <f t="shared" si="92"/>
        <v>38.696426</v>
      </c>
      <c r="L276" t="str">
        <f t="shared" si="93"/>
        <v>-119.548534</v>
      </c>
      <c r="M276">
        <v>1579</v>
      </c>
      <c r="N276" s="1">
        <v>42299</v>
      </c>
      <c r="O276" s="1">
        <v>46099</v>
      </c>
      <c r="P276" s="2">
        <f t="shared" si="94"/>
        <v>10.403832991101986</v>
      </c>
      <c r="Q276" s="2" t="str">
        <f t="shared" si="95"/>
        <v>Old</v>
      </c>
      <c r="R276">
        <f t="shared" si="96"/>
        <v>900</v>
      </c>
      <c r="S276" t="str">
        <f t="shared" si="97"/>
        <v>Small</v>
      </c>
      <c r="T276" t="str">
        <f t="shared" si="98"/>
        <v>Lower EV Adoption Corridor</v>
      </c>
      <c r="U276" s="3">
        <f t="shared" si="99"/>
        <v>1485000.0000000002</v>
      </c>
      <c r="V276" s="4">
        <f t="shared" si="100"/>
        <v>360000</v>
      </c>
      <c r="W276" s="3">
        <f t="shared" si="101"/>
        <v>4500000</v>
      </c>
      <c r="X276" s="3">
        <f t="shared" si="102"/>
        <v>2700000</v>
      </c>
      <c r="Y276">
        <f t="shared" si="103"/>
        <v>0.3</v>
      </c>
      <c r="Z276">
        <f t="shared" si="104"/>
        <v>0.75757575757575757</v>
      </c>
      <c r="AA276" t="str">
        <f t="shared" si="105"/>
        <v>Tier 4 - Stable Network</v>
      </c>
      <c r="AB276" s="3">
        <f t="shared" si="106"/>
        <v>60000</v>
      </c>
      <c r="AC276" s="3">
        <f t="shared" si="107"/>
        <v>750000</v>
      </c>
      <c r="AD276" s="3">
        <f t="shared" si="108"/>
        <v>247500.00000000003</v>
      </c>
      <c r="AE276" s="5">
        <f t="shared" si="109"/>
        <v>3.9999999999999991</v>
      </c>
      <c r="AF276" s="10">
        <f t="shared" si="110"/>
        <v>223200</v>
      </c>
      <c r="AG276" s="10">
        <f t="shared" si="111"/>
        <v>72000</v>
      </c>
      <c r="AH276" s="10">
        <f t="shared" si="112"/>
        <v>36000</v>
      </c>
      <c r="AI276" s="10">
        <f t="shared" si="113"/>
        <v>18000</v>
      </c>
      <c r="AJ276" s="10">
        <f t="shared" si="114"/>
        <v>10800</v>
      </c>
    </row>
    <row r="277" spans="1:36" x14ac:dyDescent="0.3">
      <c r="A277" t="s">
        <v>1146</v>
      </c>
      <c r="B277" t="s">
        <v>1147</v>
      </c>
      <c r="C277" t="s">
        <v>1148</v>
      </c>
      <c r="D277" t="s">
        <v>50</v>
      </c>
      <c r="E277">
        <v>79855</v>
      </c>
      <c r="F277" t="s">
        <v>15</v>
      </c>
      <c r="G277">
        <v>8</v>
      </c>
      <c r="H277">
        <v>150</v>
      </c>
      <c r="I277" t="str" cm="1">
        <f t="array" ref="I277">_xlfn.IFS(H277&lt;=120,"V1",H277&lt;=150,"V2",H277&lt;=250,"V3", H277&lt;=350, "V4")</f>
        <v>V2</v>
      </c>
      <c r="J277" t="s">
        <v>1149</v>
      </c>
      <c r="K277" t="str">
        <f t="shared" si="92"/>
        <v>31.03448</v>
      </c>
      <c r="L277" t="str">
        <f t="shared" si="93"/>
        <v>-104.861431</v>
      </c>
      <c r="M277">
        <v>1230</v>
      </c>
      <c r="N277" s="1">
        <v>42786</v>
      </c>
      <c r="O277" s="1">
        <v>46099</v>
      </c>
      <c r="P277" s="2">
        <f t="shared" si="94"/>
        <v>9.0704996577686519</v>
      </c>
      <c r="Q277" s="2" t="str">
        <f t="shared" si="95"/>
        <v>Old</v>
      </c>
      <c r="R277">
        <f t="shared" si="96"/>
        <v>1200</v>
      </c>
      <c r="S277" t="str">
        <f t="shared" si="97"/>
        <v>Small</v>
      </c>
      <c r="T277" t="str">
        <f t="shared" si="98"/>
        <v>High EV Adoption Corridor</v>
      </c>
      <c r="U277" s="3">
        <f t="shared" si="99"/>
        <v>2574000.0000000005</v>
      </c>
      <c r="V277" s="4">
        <f t="shared" si="100"/>
        <v>576000</v>
      </c>
      <c r="W277" s="3">
        <f t="shared" si="101"/>
        <v>6600000.0000000009</v>
      </c>
      <c r="X277" s="3">
        <f t="shared" si="102"/>
        <v>5400000</v>
      </c>
      <c r="Y277">
        <f t="shared" si="103"/>
        <v>0.22888888888888889</v>
      </c>
      <c r="Z277">
        <f t="shared" si="104"/>
        <v>0.77622377622377625</v>
      </c>
      <c r="AA277" t="str">
        <f t="shared" si="105"/>
        <v>Tier 3 - Upgrade Pipeline</v>
      </c>
      <c r="AB277" s="3">
        <f t="shared" si="106"/>
        <v>72000</v>
      </c>
      <c r="AC277" s="3">
        <f t="shared" si="107"/>
        <v>825000.00000000012</v>
      </c>
      <c r="AD277" s="3">
        <f t="shared" si="108"/>
        <v>321750.00000000006</v>
      </c>
      <c r="AE277" s="5">
        <f t="shared" si="109"/>
        <v>3.303303303303303</v>
      </c>
      <c r="AF277" s="10">
        <f t="shared" si="110"/>
        <v>357120</v>
      </c>
      <c r="AG277" s="10">
        <f t="shared" si="111"/>
        <v>115200</v>
      </c>
      <c r="AH277" s="10">
        <f t="shared" si="112"/>
        <v>57600</v>
      </c>
      <c r="AI277" s="10">
        <f t="shared" si="113"/>
        <v>28800</v>
      </c>
      <c r="AJ277" s="10">
        <f t="shared" si="114"/>
        <v>17280</v>
      </c>
    </row>
    <row r="278" spans="1:36" x14ac:dyDescent="0.3">
      <c r="A278" t="s">
        <v>1150</v>
      </c>
      <c r="B278" t="s">
        <v>1151</v>
      </c>
      <c r="C278" t="s">
        <v>1152</v>
      </c>
      <c r="D278" t="s">
        <v>259</v>
      </c>
      <c r="E278">
        <v>82901</v>
      </c>
      <c r="F278" t="s">
        <v>15</v>
      </c>
      <c r="G278">
        <v>8</v>
      </c>
      <c r="H278">
        <v>150</v>
      </c>
      <c r="I278" t="str" cm="1">
        <f t="array" ref="I278">_xlfn.IFS(H278&lt;=120,"V1",H278&lt;=150,"V2",H278&lt;=250,"V3", H278&lt;=350, "V4")</f>
        <v>V2</v>
      </c>
      <c r="J278" t="s">
        <v>1153</v>
      </c>
      <c r="K278" t="str">
        <f t="shared" si="92"/>
        <v>41.580815</v>
      </c>
      <c r="L278" t="str">
        <f t="shared" si="93"/>
        <v>-109.262137</v>
      </c>
      <c r="M278">
        <v>1904</v>
      </c>
      <c r="N278" s="1">
        <v>42957</v>
      </c>
      <c r="O278" s="1">
        <v>46099</v>
      </c>
      <c r="P278" s="2">
        <f t="shared" si="94"/>
        <v>8.602327173169062</v>
      </c>
      <c r="Q278" s="2" t="str">
        <f t="shared" si="95"/>
        <v>Old</v>
      </c>
      <c r="R278">
        <f t="shared" si="96"/>
        <v>1200</v>
      </c>
      <c r="S278" t="str">
        <f t="shared" si="97"/>
        <v>Small</v>
      </c>
      <c r="T278" t="str">
        <f t="shared" si="98"/>
        <v>Lower EV Adoption Corridor</v>
      </c>
      <c r="U278" s="3">
        <f t="shared" si="99"/>
        <v>1980000.0000000002</v>
      </c>
      <c r="V278" s="4">
        <f t="shared" si="100"/>
        <v>480000</v>
      </c>
      <c r="W278" s="3">
        <f t="shared" si="101"/>
        <v>6000000</v>
      </c>
      <c r="X278" s="3">
        <f t="shared" si="102"/>
        <v>3600000</v>
      </c>
      <c r="Y278">
        <f t="shared" si="103"/>
        <v>0.3</v>
      </c>
      <c r="Z278">
        <f t="shared" si="104"/>
        <v>0.75757575757575757</v>
      </c>
      <c r="AA278" t="str">
        <f t="shared" si="105"/>
        <v>Tier 4 - Stable Network</v>
      </c>
      <c r="AB278" s="3">
        <f t="shared" si="106"/>
        <v>60000</v>
      </c>
      <c r="AC278" s="3">
        <f t="shared" si="107"/>
        <v>750000</v>
      </c>
      <c r="AD278" s="3">
        <f t="shared" si="108"/>
        <v>247500.00000000003</v>
      </c>
      <c r="AE278" s="5">
        <f t="shared" si="109"/>
        <v>3.9999999999999996</v>
      </c>
      <c r="AF278" s="10">
        <f t="shared" si="110"/>
        <v>297600</v>
      </c>
      <c r="AG278" s="10">
        <f t="shared" si="111"/>
        <v>96000</v>
      </c>
      <c r="AH278" s="10">
        <f t="shared" si="112"/>
        <v>48000</v>
      </c>
      <c r="AI278" s="10">
        <f t="shared" si="113"/>
        <v>24000</v>
      </c>
      <c r="AJ278" s="10">
        <f t="shared" si="114"/>
        <v>14400</v>
      </c>
    </row>
    <row r="279" spans="1:36" x14ac:dyDescent="0.3">
      <c r="A279" t="s">
        <v>1154</v>
      </c>
      <c r="B279" t="s">
        <v>1155</v>
      </c>
      <c r="C279" t="s">
        <v>1156</v>
      </c>
      <c r="D279" t="s">
        <v>316</v>
      </c>
      <c r="E279">
        <v>97603</v>
      </c>
      <c r="F279" t="s">
        <v>15</v>
      </c>
      <c r="G279">
        <v>8</v>
      </c>
      <c r="H279">
        <v>150</v>
      </c>
      <c r="I279" t="str" cm="1">
        <f t="array" ref="I279">_xlfn.IFS(H279&lt;=120,"V1",H279&lt;=150,"V2",H279&lt;=250,"V3", H279&lt;=350, "V4")</f>
        <v>V2</v>
      </c>
      <c r="J279" t="s">
        <v>1157</v>
      </c>
      <c r="K279" t="str">
        <f t="shared" si="92"/>
        <v>42.216906</v>
      </c>
      <c r="L279" t="str">
        <f t="shared" si="93"/>
        <v>-121.756218</v>
      </c>
      <c r="M279">
        <v>1250</v>
      </c>
      <c r="N279" s="1">
        <v>42810</v>
      </c>
      <c r="O279" s="1">
        <v>46099</v>
      </c>
      <c r="P279" s="2">
        <f t="shared" si="94"/>
        <v>9.0047912388774805</v>
      </c>
      <c r="Q279" s="2" t="str">
        <f t="shared" si="95"/>
        <v>Old</v>
      </c>
      <c r="R279">
        <f t="shared" si="96"/>
        <v>1200</v>
      </c>
      <c r="S279" t="str">
        <f t="shared" si="97"/>
        <v>Small</v>
      </c>
      <c r="T279" t="str">
        <f t="shared" si="98"/>
        <v>Lower EV Adoption Corridor</v>
      </c>
      <c r="U279" s="3">
        <f t="shared" si="99"/>
        <v>1980000.0000000002</v>
      </c>
      <c r="V279" s="4">
        <f t="shared" si="100"/>
        <v>480000</v>
      </c>
      <c r="W279" s="3">
        <f t="shared" si="101"/>
        <v>6000000</v>
      </c>
      <c r="X279" s="3">
        <f t="shared" si="102"/>
        <v>3600000</v>
      </c>
      <c r="Y279">
        <f t="shared" si="103"/>
        <v>0.3</v>
      </c>
      <c r="Z279">
        <f t="shared" si="104"/>
        <v>0.75757575757575757</v>
      </c>
      <c r="AA279" t="str">
        <f t="shared" si="105"/>
        <v>Tier 4 - Stable Network</v>
      </c>
      <c r="AB279" s="3">
        <f t="shared" si="106"/>
        <v>60000</v>
      </c>
      <c r="AC279" s="3">
        <f t="shared" si="107"/>
        <v>750000</v>
      </c>
      <c r="AD279" s="3">
        <f t="shared" si="108"/>
        <v>247500.00000000003</v>
      </c>
      <c r="AE279" s="5">
        <f t="shared" si="109"/>
        <v>3.9999999999999996</v>
      </c>
      <c r="AF279" s="10">
        <f t="shared" si="110"/>
        <v>297600</v>
      </c>
      <c r="AG279" s="10">
        <f t="shared" si="111"/>
        <v>96000</v>
      </c>
      <c r="AH279" s="10">
        <f t="shared" si="112"/>
        <v>48000</v>
      </c>
      <c r="AI279" s="10">
        <f t="shared" si="113"/>
        <v>24000</v>
      </c>
      <c r="AJ279" s="10">
        <f t="shared" si="114"/>
        <v>14400</v>
      </c>
    </row>
    <row r="280" spans="1:36" x14ac:dyDescent="0.3">
      <c r="A280" t="s">
        <v>1158</v>
      </c>
      <c r="B280" t="s">
        <v>1159</v>
      </c>
      <c r="C280" t="s">
        <v>1160</v>
      </c>
      <c r="D280" t="s">
        <v>59</v>
      </c>
      <c r="E280">
        <v>60440</v>
      </c>
      <c r="F280" t="s">
        <v>15</v>
      </c>
      <c r="G280">
        <v>16</v>
      </c>
      <c r="H280">
        <v>250</v>
      </c>
      <c r="I280" t="str" cm="1">
        <f t="array" ref="I280">_xlfn.IFS(H280&lt;=120,"V1",H280&lt;=150,"V2",H280&lt;=250,"V3", H280&lt;=350, "V4")</f>
        <v>V3</v>
      </c>
      <c r="J280" t="s">
        <v>1161</v>
      </c>
      <c r="K280" t="str">
        <f t="shared" si="92"/>
        <v>41.722189</v>
      </c>
      <c r="L280" t="str">
        <f t="shared" si="93"/>
        <v>-88.037278</v>
      </c>
      <c r="M280">
        <v>226</v>
      </c>
      <c r="N280" s="1">
        <v>42886</v>
      </c>
      <c r="O280" s="1">
        <v>46099</v>
      </c>
      <c r="P280" s="2">
        <f t="shared" si="94"/>
        <v>8.7967145790554415</v>
      </c>
      <c r="Q280" s="2" t="str">
        <f t="shared" si="95"/>
        <v>Old</v>
      </c>
      <c r="R280">
        <f t="shared" si="96"/>
        <v>4000</v>
      </c>
      <c r="S280" t="str">
        <f t="shared" si="97"/>
        <v>Small</v>
      </c>
      <c r="T280" t="str">
        <f t="shared" si="98"/>
        <v>Lower EV Adoption Corridor</v>
      </c>
      <c r="U280" s="3">
        <f t="shared" si="99"/>
        <v>7200000</v>
      </c>
      <c r="V280" s="4">
        <f t="shared" si="100"/>
        <v>1760000.0000000002</v>
      </c>
      <c r="W280" s="3">
        <f t="shared" si="101"/>
        <v>24000000</v>
      </c>
      <c r="X280" s="3">
        <f t="shared" si="102"/>
        <v>13200000.000000002</v>
      </c>
      <c r="Y280">
        <f t="shared" si="103"/>
        <v>0.31515151515151513</v>
      </c>
      <c r="Z280">
        <f t="shared" si="104"/>
        <v>0.75555555555555554</v>
      </c>
      <c r="AA280" t="str">
        <f t="shared" si="105"/>
        <v>Tier 2 - Growth Markets</v>
      </c>
      <c r="AB280" s="3">
        <f t="shared" si="106"/>
        <v>110000.00000000001</v>
      </c>
      <c r="AC280" s="3">
        <f t="shared" si="107"/>
        <v>1500000</v>
      </c>
      <c r="AD280" s="3">
        <f t="shared" si="108"/>
        <v>450000</v>
      </c>
      <c r="AE280" s="5">
        <f t="shared" si="109"/>
        <v>4.4117647058823533</v>
      </c>
      <c r="AF280" s="10">
        <f t="shared" si="110"/>
        <v>1091200.0000000002</v>
      </c>
      <c r="AG280" s="10">
        <f t="shared" si="111"/>
        <v>352000.00000000006</v>
      </c>
      <c r="AH280" s="10">
        <f t="shared" si="112"/>
        <v>176000.00000000003</v>
      </c>
      <c r="AI280" s="10">
        <f t="shared" si="113"/>
        <v>88000.000000000015</v>
      </c>
      <c r="AJ280" s="10">
        <f t="shared" si="114"/>
        <v>52800.000000000007</v>
      </c>
    </row>
    <row r="281" spans="1:36" x14ac:dyDescent="0.3">
      <c r="A281" t="s">
        <v>1162</v>
      </c>
      <c r="B281" t="s">
        <v>1163</v>
      </c>
      <c r="C281" t="s">
        <v>1164</v>
      </c>
      <c r="D281" t="s">
        <v>158</v>
      </c>
      <c r="E281">
        <v>10801</v>
      </c>
      <c r="F281" t="s">
        <v>15</v>
      </c>
      <c r="G281">
        <v>8</v>
      </c>
      <c r="H281">
        <v>72</v>
      </c>
      <c r="I281" t="str" cm="1">
        <f t="array" ref="I281">_xlfn.IFS(H281&lt;=120,"V1",H281&lt;=150,"V2",H281&lt;=250,"V3", H281&lt;=350, "V4")</f>
        <v>V1</v>
      </c>
      <c r="J281" t="s">
        <v>1165</v>
      </c>
      <c r="K281" t="str">
        <f t="shared" si="92"/>
        <v>40.912298</v>
      </c>
      <c r="L281" t="str">
        <f t="shared" si="93"/>
        <v>-73.780132</v>
      </c>
      <c r="M281">
        <v>36</v>
      </c>
      <c r="N281" s="1">
        <v>43255</v>
      </c>
      <c r="O281" s="1">
        <v>46099</v>
      </c>
      <c r="P281" s="2">
        <f t="shared" si="94"/>
        <v>7.786447638603696</v>
      </c>
      <c r="Q281" s="2" t="str">
        <f t="shared" si="95"/>
        <v>Mid</v>
      </c>
      <c r="R281">
        <f t="shared" si="96"/>
        <v>576</v>
      </c>
      <c r="S281" t="str">
        <f t="shared" si="97"/>
        <v>Small</v>
      </c>
      <c r="T281" t="str">
        <f t="shared" si="98"/>
        <v>Lower EV Adoption Corridor</v>
      </c>
      <c r="U281" s="3">
        <f t="shared" si="99"/>
        <v>864000</v>
      </c>
      <c r="V281" s="4">
        <f t="shared" si="100"/>
        <v>207360</v>
      </c>
      <c r="W281" s="3">
        <f t="shared" si="101"/>
        <v>2304000</v>
      </c>
      <c r="X281" s="3">
        <f t="shared" si="102"/>
        <v>1555200</v>
      </c>
      <c r="Y281">
        <f t="shared" si="103"/>
        <v>0.2814814814814815</v>
      </c>
      <c r="Z281">
        <f t="shared" si="104"/>
        <v>0.76</v>
      </c>
      <c r="AA281" t="str">
        <f t="shared" si="105"/>
        <v>Tier 5 - Retirement Pipeline</v>
      </c>
      <c r="AB281" s="3">
        <f t="shared" si="106"/>
        <v>25920</v>
      </c>
      <c r="AC281" s="3">
        <f t="shared" si="107"/>
        <v>288000</v>
      </c>
      <c r="AD281" s="3">
        <f t="shared" si="108"/>
        <v>108000</v>
      </c>
      <c r="AE281" s="5">
        <f t="shared" si="109"/>
        <v>3.5087719298245612</v>
      </c>
      <c r="AF281" s="10">
        <f t="shared" si="110"/>
        <v>128563.2</v>
      </c>
      <c r="AG281" s="10">
        <f t="shared" si="111"/>
        <v>41472</v>
      </c>
      <c r="AH281" s="10">
        <f t="shared" si="112"/>
        <v>20736</v>
      </c>
      <c r="AI281" s="10">
        <f t="shared" si="113"/>
        <v>10368</v>
      </c>
      <c r="AJ281" s="10">
        <f t="shared" si="114"/>
        <v>6220.8</v>
      </c>
    </row>
    <row r="282" spans="1:36" x14ac:dyDescent="0.3">
      <c r="A282" t="s">
        <v>1166</v>
      </c>
      <c r="B282" t="s">
        <v>1167</v>
      </c>
      <c r="C282" t="s">
        <v>1168</v>
      </c>
      <c r="D282" t="s">
        <v>913</v>
      </c>
      <c r="E282">
        <v>21901</v>
      </c>
      <c r="F282" t="s">
        <v>15</v>
      </c>
      <c r="G282">
        <v>10</v>
      </c>
      <c r="H282">
        <v>150</v>
      </c>
      <c r="I282" t="str" cm="1">
        <f t="array" ref="I282">_xlfn.IFS(H282&lt;=120,"V1",H282&lt;=150,"V2",H282&lt;=250,"V3", H282&lt;=350, "V4")</f>
        <v>V2</v>
      </c>
      <c r="J282" t="s">
        <v>1169</v>
      </c>
      <c r="K282" t="str">
        <f t="shared" si="92"/>
        <v>39.612048</v>
      </c>
      <c r="L282" t="str">
        <f t="shared" si="93"/>
        <v>-76.009908</v>
      </c>
      <c r="M282">
        <v>111</v>
      </c>
      <c r="N282" s="1">
        <v>42988</v>
      </c>
      <c r="O282" s="1">
        <v>46099</v>
      </c>
      <c r="P282" s="2">
        <f t="shared" si="94"/>
        <v>8.517453798767967</v>
      </c>
      <c r="Q282" s="2" t="str">
        <f t="shared" si="95"/>
        <v>Old</v>
      </c>
      <c r="R282">
        <f t="shared" si="96"/>
        <v>1500</v>
      </c>
      <c r="S282" t="str">
        <f t="shared" si="97"/>
        <v>Small</v>
      </c>
      <c r="T282" t="str">
        <f t="shared" si="98"/>
        <v>Lower EV Adoption Corridor</v>
      </c>
      <c r="U282" s="3">
        <f t="shared" si="99"/>
        <v>2475000</v>
      </c>
      <c r="V282" s="4">
        <f t="shared" si="100"/>
        <v>600000</v>
      </c>
      <c r="W282" s="3">
        <f t="shared" si="101"/>
        <v>7500000</v>
      </c>
      <c r="X282" s="3">
        <f t="shared" si="102"/>
        <v>4500000</v>
      </c>
      <c r="Y282">
        <f t="shared" si="103"/>
        <v>0.3</v>
      </c>
      <c r="Z282">
        <f t="shared" si="104"/>
        <v>0.75757575757575757</v>
      </c>
      <c r="AA282" t="str">
        <f t="shared" si="105"/>
        <v>Tier 4 - Stable Network</v>
      </c>
      <c r="AB282" s="3">
        <f t="shared" si="106"/>
        <v>60000</v>
      </c>
      <c r="AC282" s="3">
        <f t="shared" si="107"/>
        <v>750000</v>
      </c>
      <c r="AD282" s="3">
        <f t="shared" si="108"/>
        <v>247500</v>
      </c>
      <c r="AE282" s="5">
        <f t="shared" si="109"/>
        <v>4</v>
      </c>
      <c r="AF282" s="10">
        <f t="shared" si="110"/>
        <v>372000</v>
      </c>
      <c r="AG282" s="10">
        <f t="shared" si="111"/>
        <v>120000</v>
      </c>
      <c r="AH282" s="10">
        <f t="shared" si="112"/>
        <v>60000</v>
      </c>
      <c r="AI282" s="10">
        <f t="shared" si="113"/>
        <v>30000</v>
      </c>
      <c r="AJ282" s="10">
        <f t="shared" si="114"/>
        <v>18000</v>
      </c>
    </row>
    <row r="283" spans="1:36" x14ac:dyDescent="0.3">
      <c r="A283" t="s">
        <v>1170</v>
      </c>
      <c r="B283" t="s">
        <v>1171</v>
      </c>
      <c r="C283" t="s">
        <v>1172</v>
      </c>
      <c r="D283" t="s">
        <v>415</v>
      </c>
      <c r="E283">
        <v>50071</v>
      </c>
      <c r="F283" t="s">
        <v>15</v>
      </c>
      <c r="G283">
        <v>8</v>
      </c>
      <c r="H283">
        <v>150</v>
      </c>
      <c r="I283" t="str" cm="1">
        <f t="array" ref="I283">_xlfn.IFS(H283&lt;=120,"V1",H283&lt;=150,"V2",H283&lt;=250,"V3", H283&lt;=350, "V4")</f>
        <v>V2</v>
      </c>
      <c r="J283" t="s">
        <v>1173</v>
      </c>
      <c r="K283" t="str">
        <f t="shared" si="92"/>
        <v>42.673838</v>
      </c>
      <c r="L283" t="str">
        <f t="shared" si="93"/>
        <v>-93.462294</v>
      </c>
      <c r="M283">
        <v>360</v>
      </c>
      <c r="N283" s="1">
        <v>42916</v>
      </c>
      <c r="O283" s="1">
        <v>46099</v>
      </c>
      <c r="P283" s="2">
        <f t="shared" si="94"/>
        <v>8.7145790554414777</v>
      </c>
      <c r="Q283" s="2" t="str">
        <f t="shared" si="95"/>
        <v>Old</v>
      </c>
      <c r="R283">
        <f t="shared" si="96"/>
        <v>1200</v>
      </c>
      <c r="S283" t="str">
        <f t="shared" si="97"/>
        <v>Small</v>
      </c>
      <c r="T283" t="str">
        <f t="shared" si="98"/>
        <v>Lower EV Adoption Corridor</v>
      </c>
      <c r="U283" s="3">
        <f t="shared" si="99"/>
        <v>1980000.0000000002</v>
      </c>
      <c r="V283" s="4">
        <f t="shared" si="100"/>
        <v>480000</v>
      </c>
      <c r="W283" s="3">
        <f t="shared" si="101"/>
        <v>6000000</v>
      </c>
      <c r="X283" s="3">
        <f t="shared" si="102"/>
        <v>3600000</v>
      </c>
      <c r="Y283">
        <f t="shared" si="103"/>
        <v>0.3</v>
      </c>
      <c r="Z283">
        <f t="shared" si="104"/>
        <v>0.75757575757575757</v>
      </c>
      <c r="AA283" t="str">
        <f t="shared" si="105"/>
        <v>Tier 4 - Stable Network</v>
      </c>
      <c r="AB283" s="3">
        <f t="shared" si="106"/>
        <v>60000</v>
      </c>
      <c r="AC283" s="3">
        <f t="shared" si="107"/>
        <v>750000</v>
      </c>
      <c r="AD283" s="3">
        <f t="shared" si="108"/>
        <v>247500.00000000003</v>
      </c>
      <c r="AE283" s="5">
        <f t="shared" si="109"/>
        <v>3.9999999999999996</v>
      </c>
      <c r="AF283" s="10">
        <f t="shared" si="110"/>
        <v>297600</v>
      </c>
      <c r="AG283" s="10">
        <f t="shared" si="111"/>
        <v>96000</v>
      </c>
      <c r="AH283" s="10">
        <f t="shared" si="112"/>
        <v>48000</v>
      </c>
      <c r="AI283" s="10">
        <f t="shared" si="113"/>
        <v>24000</v>
      </c>
      <c r="AJ283" s="10">
        <f t="shared" si="114"/>
        <v>14400</v>
      </c>
    </row>
    <row r="284" spans="1:36" x14ac:dyDescent="0.3">
      <c r="A284" t="s">
        <v>1174</v>
      </c>
      <c r="B284" t="s">
        <v>1175</v>
      </c>
      <c r="C284" t="s">
        <v>1176</v>
      </c>
      <c r="D284" t="s">
        <v>143</v>
      </c>
      <c r="E284">
        <v>87507</v>
      </c>
      <c r="F284" t="s">
        <v>15</v>
      </c>
      <c r="G284">
        <v>8</v>
      </c>
      <c r="H284">
        <v>150</v>
      </c>
      <c r="I284" t="str" cm="1">
        <f t="array" ref="I284">_xlfn.IFS(H284&lt;=120,"V1",H284&lt;=150,"V2",H284&lt;=250,"V3", H284&lt;=350, "V4")</f>
        <v>V2</v>
      </c>
      <c r="J284" t="s">
        <v>1177</v>
      </c>
      <c r="K284" t="str">
        <f t="shared" si="92"/>
        <v>35.611793</v>
      </c>
      <c r="L284" t="str">
        <f t="shared" si="93"/>
        <v>-106.032196</v>
      </c>
      <c r="M284">
        <v>1961</v>
      </c>
      <c r="N284" s="1">
        <v>42838</v>
      </c>
      <c r="O284" s="1">
        <v>46099</v>
      </c>
      <c r="P284" s="2">
        <f t="shared" si="94"/>
        <v>8.9281314168377826</v>
      </c>
      <c r="Q284" s="2" t="str">
        <f t="shared" si="95"/>
        <v>Old</v>
      </c>
      <c r="R284">
        <f t="shared" si="96"/>
        <v>1200</v>
      </c>
      <c r="S284" t="str">
        <f t="shared" si="97"/>
        <v>Small</v>
      </c>
      <c r="T284" t="str">
        <f t="shared" si="98"/>
        <v>Lower EV Adoption Corridor</v>
      </c>
      <c r="U284" s="3">
        <f t="shared" si="99"/>
        <v>1980000.0000000002</v>
      </c>
      <c r="V284" s="4">
        <f t="shared" si="100"/>
        <v>480000</v>
      </c>
      <c r="W284" s="3">
        <f t="shared" si="101"/>
        <v>6000000</v>
      </c>
      <c r="X284" s="3">
        <f t="shared" si="102"/>
        <v>3600000</v>
      </c>
      <c r="Y284">
        <f t="shared" si="103"/>
        <v>0.3</v>
      </c>
      <c r="Z284">
        <f t="shared" si="104"/>
        <v>0.75757575757575757</v>
      </c>
      <c r="AA284" t="str">
        <f t="shared" si="105"/>
        <v>Tier 4 - Stable Network</v>
      </c>
      <c r="AB284" s="3">
        <f t="shared" si="106"/>
        <v>60000</v>
      </c>
      <c r="AC284" s="3">
        <f t="shared" si="107"/>
        <v>750000</v>
      </c>
      <c r="AD284" s="3">
        <f t="shared" si="108"/>
        <v>247500.00000000003</v>
      </c>
      <c r="AE284" s="5">
        <f t="shared" si="109"/>
        <v>3.9999999999999996</v>
      </c>
      <c r="AF284" s="10">
        <f t="shared" si="110"/>
        <v>297600</v>
      </c>
      <c r="AG284" s="10">
        <f t="shared" si="111"/>
        <v>96000</v>
      </c>
      <c r="AH284" s="10">
        <f t="shared" si="112"/>
        <v>48000</v>
      </c>
      <c r="AI284" s="10">
        <f t="shared" si="113"/>
        <v>24000</v>
      </c>
      <c r="AJ284" s="10">
        <f t="shared" si="114"/>
        <v>14400</v>
      </c>
    </row>
    <row r="285" spans="1:36" x14ac:dyDescent="0.3">
      <c r="A285" t="s">
        <v>1178</v>
      </c>
      <c r="B285" t="s">
        <v>1179</v>
      </c>
      <c r="C285" t="s">
        <v>1180</v>
      </c>
      <c r="D285" t="s">
        <v>125</v>
      </c>
      <c r="E285">
        <v>29148</v>
      </c>
      <c r="F285" t="s">
        <v>15</v>
      </c>
      <c r="G285">
        <v>8</v>
      </c>
      <c r="H285">
        <v>250</v>
      </c>
      <c r="I285" t="str" cm="1">
        <f t="array" ref="I285">_xlfn.IFS(H285&lt;=120,"V1",H285&lt;=150,"V2",H285&lt;=250,"V3", H285&lt;=350, "V4")</f>
        <v>V3</v>
      </c>
      <c r="J285" t="s">
        <v>1181</v>
      </c>
      <c r="K285" t="str">
        <f t="shared" si="92"/>
        <v>33.587091</v>
      </c>
      <c r="L285" t="str">
        <f t="shared" si="93"/>
        <v>-80.357191</v>
      </c>
      <c r="M285">
        <v>35</v>
      </c>
      <c r="N285" s="1">
        <v>44553</v>
      </c>
      <c r="O285" s="1">
        <v>46099</v>
      </c>
      <c r="P285" s="2">
        <f t="shared" si="94"/>
        <v>4.2327173169062284</v>
      </c>
      <c r="Q285" s="2" t="str">
        <f t="shared" si="95"/>
        <v>Mid</v>
      </c>
      <c r="R285">
        <f t="shared" si="96"/>
        <v>2000</v>
      </c>
      <c r="S285" t="str">
        <f t="shared" si="97"/>
        <v>Small</v>
      </c>
      <c r="T285" t="str">
        <f t="shared" si="98"/>
        <v>Lower EV Adoption Corridor</v>
      </c>
      <c r="U285" s="3">
        <f t="shared" si="99"/>
        <v>3600000</v>
      </c>
      <c r="V285" s="4">
        <f t="shared" si="100"/>
        <v>880000.00000000012</v>
      </c>
      <c r="W285" s="3">
        <f t="shared" si="101"/>
        <v>12000000</v>
      </c>
      <c r="X285" s="3">
        <f t="shared" si="102"/>
        <v>6600000.0000000009</v>
      </c>
      <c r="Y285">
        <f t="shared" si="103"/>
        <v>0.31515151515151513</v>
      </c>
      <c r="Z285">
        <f t="shared" si="104"/>
        <v>0.75555555555555554</v>
      </c>
      <c r="AA285" t="str">
        <f t="shared" si="105"/>
        <v>Tier 2 - Growth Markets</v>
      </c>
      <c r="AB285" s="3">
        <f t="shared" si="106"/>
        <v>110000.00000000001</v>
      </c>
      <c r="AC285" s="3">
        <f t="shared" si="107"/>
        <v>1500000</v>
      </c>
      <c r="AD285" s="3">
        <f t="shared" si="108"/>
        <v>450000</v>
      </c>
      <c r="AE285" s="5">
        <f t="shared" si="109"/>
        <v>4.4117647058823533</v>
      </c>
      <c r="AF285" s="10">
        <f t="shared" si="110"/>
        <v>545600.00000000012</v>
      </c>
      <c r="AG285" s="10">
        <f t="shared" si="111"/>
        <v>176000.00000000003</v>
      </c>
      <c r="AH285" s="10">
        <f t="shared" si="112"/>
        <v>88000.000000000015</v>
      </c>
      <c r="AI285" s="10">
        <f t="shared" si="113"/>
        <v>44000.000000000007</v>
      </c>
      <c r="AJ285" s="10">
        <f t="shared" si="114"/>
        <v>26400.000000000004</v>
      </c>
    </row>
    <row r="286" spans="1:36" x14ac:dyDescent="0.3">
      <c r="A286" t="s">
        <v>1182</v>
      </c>
      <c r="B286" t="s">
        <v>1183</v>
      </c>
      <c r="C286" t="s">
        <v>1184</v>
      </c>
      <c r="D286" t="s">
        <v>299</v>
      </c>
      <c r="E286">
        <v>22901</v>
      </c>
      <c r="F286" t="s">
        <v>15</v>
      </c>
      <c r="G286">
        <v>8</v>
      </c>
      <c r="H286">
        <v>150</v>
      </c>
      <c r="I286" t="str" cm="1">
        <f t="array" ref="I286">_xlfn.IFS(H286&lt;=120,"V1",H286&lt;=150,"V2",H286&lt;=250,"V3", H286&lt;=350, "V4")</f>
        <v>V2</v>
      </c>
      <c r="J286" t="s">
        <v>1185</v>
      </c>
      <c r="K286" t="str">
        <f t="shared" si="92"/>
        <v>38.067051</v>
      </c>
      <c r="L286" t="str">
        <f t="shared" si="93"/>
        <v>-78.492702</v>
      </c>
      <c r="M286">
        <v>149</v>
      </c>
      <c r="N286" s="1">
        <v>42986</v>
      </c>
      <c r="O286" s="1">
        <v>46099</v>
      </c>
      <c r="P286" s="2">
        <f t="shared" si="94"/>
        <v>8.5229295003422312</v>
      </c>
      <c r="Q286" s="2" t="str">
        <f t="shared" si="95"/>
        <v>Old</v>
      </c>
      <c r="R286">
        <f t="shared" si="96"/>
        <v>1200</v>
      </c>
      <c r="S286" t="str">
        <f t="shared" si="97"/>
        <v>Small</v>
      </c>
      <c r="T286" t="str">
        <f t="shared" si="98"/>
        <v>Lower EV Adoption Corridor</v>
      </c>
      <c r="U286" s="3">
        <f t="shared" si="99"/>
        <v>1980000.0000000002</v>
      </c>
      <c r="V286" s="4">
        <f t="shared" si="100"/>
        <v>480000</v>
      </c>
      <c r="W286" s="3">
        <f t="shared" si="101"/>
        <v>6000000</v>
      </c>
      <c r="X286" s="3">
        <f t="shared" si="102"/>
        <v>3600000</v>
      </c>
      <c r="Y286">
        <f t="shared" si="103"/>
        <v>0.3</v>
      </c>
      <c r="Z286">
        <f t="shared" si="104"/>
        <v>0.75757575757575757</v>
      </c>
      <c r="AA286" t="str">
        <f t="shared" si="105"/>
        <v>Tier 4 - Stable Network</v>
      </c>
      <c r="AB286" s="3">
        <f t="shared" si="106"/>
        <v>60000</v>
      </c>
      <c r="AC286" s="3">
        <f t="shared" si="107"/>
        <v>750000</v>
      </c>
      <c r="AD286" s="3">
        <f t="shared" si="108"/>
        <v>247500.00000000003</v>
      </c>
      <c r="AE286" s="5">
        <f t="shared" si="109"/>
        <v>3.9999999999999996</v>
      </c>
      <c r="AF286" s="10">
        <f t="shared" si="110"/>
        <v>297600</v>
      </c>
      <c r="AG286" s="10">
        <f t="shared" si="111"/>
        <v>96000</v>
      </c>
      <c r="AH286" s="10">
        <f t="shared" si="112"/>
        <v>48000</v>
      </c>
      <c r="AI286" s="10">
        <f t="shared" si="113"/>
        <v>24000</v>
      </c>
      <c r="AJ286" s="10">
        <f t="shared" si="114"/>
        <v>14400</v>
      </c>
    </row>
    <row r="287" spans="1:36" x14ac:dyDescent="0.3">
      <c r="A287" t="s">
        <v>1186</v>
      </c>
      <c r="B287" t="s">
        <v>1187</v>
      </c>
      <c r="C287" t="s">
        <v>1188</v>
      </c>
      <c r="D287" t="s">
        <v>1189</v>
      </c>
      <c r="E287">
        <v>25301</v>
      </c>
      <c r="F287" t="s">
        <v>15</v>
      </c>
      <c r="G287">
        <v>8</v>
      </c>
      <c r="H287">
        <v>150</v>
      </c>
      <c r="I287" t="str" cm="1">
        <f t="array" ref="I287">_xlfn.IFS(H287&lt;=120,"V1",H287&lt;=150,"V2",H287&lt;=250,"V3", H287&lt;=350, "V4")</f>
        <v>V2</v>
      </c>
      <c r="J287" t="s">
        <v>1190</v>
      </c>
      <c r="K287" t="str">
        <f t="shared" si="92"/>
        <v>38.354712</v>
      </c>
      <c r="L287" t="str">
        <f t="shared" si="93"/>
        <v>-81.642845</v>
      </c>
      <c r="M287">
        <v>181</v>
      </c>
      <c r="N287" s="1">
        <v>42897</v>
      </c>
      <c r="O287" s="1">
        <v>46099</v>
      </c>
      <c r="P287" s="2">
        <f t="shared" si="94"/>
        <v>8.7665982203969879</v>
      </c>
      <c r="Q287" s="2" t="str">
        <f t="shared" si="95"/>
        <v>Old</v>
      </c>
      <c r="R287">
        <f t="shared" si="96"/>
        <v>1200</v>
      </c>
      <c r="S287" t="str">
        <f t="shared" si="97"/>
        <v>Small</v>
      </c>
      <c r="T287" t="str">
        <f t="shared" si="98"/>
        <v>Lower EV Adoption Corridor</v>
      </c>
      <c r="U287" s="3">
        <f t="shared" si="99"/>
        <v>1980000.0000000002</v>
      </c>
      <c r="V287" s="4">
        <f t="shared" si="100"/>
        <v>480000</v>
      </c>
      <c r="W287" s="3">
        <f t="shared" si="101"/>
        <v>6000000</v>
      </c>
      <c r="X287" s="3">
        <f t="shared" si="102"/>
        <v>3600000</v>
      </c>
      <c r="Y287">
        <f t="shared" si="103"/>
        <v>0.3</v>
      </c>
      <c r="Z287">
        <f t="shared" si="104"/>
        <v>0.75757575757575757</v>
      </c>
      <c r="AA287" t="str">
        <f t="shared" si="105"/>
        <v>Tier 4 - Stable Network</v>
      </c>
      <c r="AB287" s="3">
        <f t="shared" si="106"/>
        <v>60000</v>
      </c>
      <c r="AC287" s="3">
        <f t="shared" si="107"/>
        <v>750000</v>
      </c>
      <c r="AD287" s="3">
        <f t="shared" si="108"/>
        <v>247500.00000000003</v>
      </c>
      <c r="AE287" s="5">
        <f t="shared" si="109"/>
        <v>3.9999999999999996</v>
      </c>
      <c r="AF287" s="10">
        <f t="shared" si="110"/>
        <v>297600</v>
      </c>
      <c r="AG287" s="10">
        <f t="shared" si="111"/>
        <v>96000</v>
      </c>
      <c r="AH287" s="10">
        <f t="shared" si="112"/>
        <v>48000</v>
      </c>
      <c r="AI287" s="10">
        <f t="shared" si="113"/>
        <v>24000</v>
      </c>
      <c r="AJ287" s="10">
        <f t="shared" si="114"/>
        <v>14400</v>
      </c>
    </row>
    <row r="288" spans="1:36" x14ac:dyDescent="0.3">
      <c r="A288" t="s">
        <v>1191</v>
      </c>
      <c r="B288" t="s">
        <v>1192</v>
      </c>
      <c r="C288" t="s">
        <v>1193</v>
      </c>
      <c r="D288" t="s">
        <v>130</v>
      </c>
      <c r="E288">
        <v>46237</v>
      </c>
      <c r="F288" t="s">
        <v>15</v>
      </c>
      <c r="G288">
        <v>12</v>
      </c>
      <c r="H288">
        <v>250</v>
      </c>
      <c r="I288" t="str" cm="1">
        <f t="array" ref="I288">_xlfn.IFS(H288&lt;=120,"V1",H288&lt;=150,"V2",H288&lt;=250,"V3", H288&lt;=350, "V4")</f>
        <v>V3</v>
      </c>
      <c r="J288" t="s">
        <v>1194</v>
      </c>
      <c r="K288" t="str">
        <f t="shared" si="92"/>
        <v>39.664746</v>
      </c>
      <c r="L288" t="str">
        <f t="shared" si="93"/>
        <v>-86.076234</v>
      </c>
      <c r="M288">
        <v>252</v>
      </c>
      <c r="N288" s="1">
        <v>44710</v>
      </c>
      <c r="O288" s="1">
        <v>46099</v>
      </c>
      <c r="P288" s="2">
        <f t="shared" si="94"/>
        <v>3.8028747433264889</v>
      </c>
      <c r="Q288" s="2" t="str">
        <f t="shared" si="95"/>
        <v>Mid</v>
      </c>
      <c r="R288">
        <f t="shared" si="96"/>
        <v>3000</v>
      </c>
      <c r="S288" t="str">
        <f t="shared" si="97"/>
        <v>Small</v>
      </c>
      <c r="T288" t="str">
        <f t="shared" si="98"/>
        <v>Lower EV Adoption Corridor</v>
      </c>
      <c r="U288" s="3">
        <f t="shared" si="99"/>
        <v>5400000</v>
      </c>
      <c r="V288" s="4">
        <f t="shared" si="100"/>
        <v>1320000</v>
      </c>
      <c r="W288" s="3">
        <f t="shared" si="101"/>
        <v>18000000</v>
      </c>
      <c r="X288" s="3">
        <f t="shared" si="102"/>
        <v>9900000</v>
      </c>
      <c r="Y288">
        <f t="shared" si="103"/>
        <v>0.31515151515151513</v>
      </c>
      <c r="Z288">
        <f t="shared" si="104"/>
        <v>0.75555555555555554</v>
      </c>
      <c r="AA288" t="str">
        <f t="shared" si="105"/>
        <v>Tier 2 - Growth Markets</v>
      </c>
      <c r="AB288" s="3">
        <f t="shared" si="106"/>
        <v>110000</v>
      </c>
      <c r="AC288" s="3">
        <f t="shared" si="107"/>
        <v>1500000</v>
      </c>
      <c r="AD288" s="3">
        <f t="shared" si="108"/>
        <v>450000</v>
      </c>
      <c r="AE288" s="5">
        <f t="shared" si="109"/>
        <v>4.4117647058823533</v>
      </c>
      <c r="AF288" s="10">
        <f t="shared" si="110"/>
        <v>818400</v>
      </c>
      <c r="AG288" s="10">
        <f t="shared" si="111"/>
        <v>264000</v>
      </c>
      <c r="AH288" s="10">
        <f t="shared" si="112"/>
        <v>132000</v>
      </c>
      <c r="AI288" s="10">
        <f t="shared" si="113"/>
        <v>66000</v>
      </c>
      <c r="AJ288" s="10">
        <f t="shared" si="114"/>
        <v>39600</v>
      </c>
    </row>
    <row r="289" spans="1:36" x14ac:dyDescent="0.3">
      <c r="A289" t="s">
        <v>1195</v>
      </c>
      <c r="B289" t="s">
        <v>1196</v>
      </c>
      <c r="C289" t="s">
        <v>1197</v>
      </c>
      <c r="D289" t="s">
        <v>77</v>
      </c>
      <c r="E289">
        <v>27516</v>
      </c>
      <c r="F289" t="s">
        <v>15</v>
      </c>
      <c r="G289">
        <v>10</v>
      </c>
      <c r="H289">
        <v>250</v>
      </c>
      <c r="I289" t="str" cm="1">
        <f t="array" ref="I289">_xlfn.IFS(H289&lt;=120,"V1",H289&lt;=150,"V2",H289&lt;=250,"V3", H289&lt;=350, "V4")</f>
        <v>V3</v>
      </c>
      <c r="J289" t="s">
        <v>1198</v>
      </c>
      <c r="K289" t="str">
        <f t="shared" si="92"/>
        <v>35.969846</v>
      </c>
      <c r="L289" t="str">
        <f t="shared" si="93"/>
        <v>-79.06356</v>
      </c>
      <c r="M289">
        <v>162</v>
      </c>
      <c r="N289" s="1">
        <v>44769</v>
      </c>
      <c r="O289" s="1">
        <v>46099</v>
      </c>
      <c r="P289" s="2">
        <f t="shared" si="94"/>
        <v>3.6413415468856947</v>
      </c>
      <c r="Q289" s="2" t="str">
        <f t="shared" si="95"/>
        <v>Mid</v>
      </c>
      <c r="R289">
        <f t="shared" si="96"/>
        <v>2500</v>
      </c>
      <c r="S289" t="str">
        <f t="shared" si="97"/>
        <v>Small</v>
      </c>
      <c r="T289" t="str">
        <f t="shared" si="98"/>
        <v>Lower EV Adoption Corridor</v>
      </c>
      <c r="U289" s="3">
        <f t="shared" si="99"/>
        <v>4500000</v>
      </c>
      <c r="V289" s="4">
        <f t="shared" si="100"/>
        <v>1100000</v>
      </c>
      <c r="W289" s="3">
        <f t="shared" si="101"/>
        <v>15000000</v>
      </c>
      <c r="X289" s="3">
        <f t="shared" si="102"/>
        <v>8250000.0000000009</v>
      </c>
      <c r="Y289">
        <f t="shared" si="103"/>
        <v>0.31515151515151513</v>
      </c>
      <c r="Z289">
        <f t="shared" si="104"/>
        <v>0.75555555555555554</v>
      </c>
      <c r="AA289" t="str">
        <f t="shared" si="105"/>
        <v>Tier 2 - Growth Markets</v>
      </c>
      <c r="AB289" s="3">
        <f t="shared" si="106"/>
        <v>110000</v>
      </c>
      <c r="AC289" s="3">
        <f t="shared" si="107"/>
        <v>1500000</v>
      </c>
      <c r="AD289" s="3">
        <f t="shared" si="108"/>
        <v>450000</v>
      </c>
      <c r="AE289" s="5">
        <f t="shared" si="109"/>
        <v>4.4117647058823533</v>
      </c>
      <c r="AF289" s="10">
        <f t="shared" si="110"/>
        <v>682000</v>
      </c>
      <c r="AG289" s="10">
        <f t="shared" si="111"/>
        <v>220000</v>
      </c>
      <c r="AH289" s="10">
        <f t="shared" si="112"/>
        <v>110000</v>
      </c>
      <c r="AI289" s="10">
        <f t="shared" si="113"/>
        <v>55000</v>
      </c>
      <c r="AJ289" s="10">
        <f t="shared" si="114"/>
        <v>33000</v>
      </c>
    </row>
    <row r="290" spans="1:36" x14ac:dyDescent="0.3">
      <c r="A290" t="s">
        <v>1199</v>
      </c>
      <c r="B290" t="s">
        <v>1200</v>
      </c>
      <c r="C290" t="s">
        <v>921</v>
      </c>
      <c r="D290" t="s">
        <v>230</v>
      </c>
      <c r="E290">
        <v>98272</v>
      </c>
      <c r="F290" t="s">
        <v>15</v>
      </c>
      <c r="G290">
        <v>12</v>
      </c>
      <c r="H290">
        <v>150</v>
      </c>
      <c r="I290" t="str" cm="1">
        <f t="array" ref="I290">_xlfn.IFS(H290&lt;=120,"V1",H290&lt;=150,"V2",H290&lt;=250,"V3", H290&lt;=350, "V4")</f>
        <v>V2</v>
      </c>
      <c r="J290" t="s">
        <v>1201</v>
      </c>
      <c r="K290" t="str">
        <f t="shared" si="92"/>
        <v>47.86274</v>
      </c>
      <c r="L290" t="str">
        <f t="shared" si="93"/>
        <v>-121.97672</v>
      </c>
      <c r="M290">
        <v>20</v>
      </c>
      <c r="N290" s="1">
        <v>42850</v>
      </c>
      <c r="O290" s="1">
        <v>46099</v>
      </c>
      <c r="P290" s="2">
        <f t="shared" si="94"/>
        <v>8.8952772073921977</v>
      </c>
      <c r="Q290" s="2" t="str">
        <f t="shared" si="95"/>
        <v>Old</v>
      </c>
      <c r="R290">
        <f t="shared" si="96"/>
        <v>1800</v>
      </c>
      <c r="S290" t="str">
        <f t="shared" si="97"/>
        <v>Small</v>
      </c>
      <c r="T290" t="str">
        <f t="shared" si="98"/>
        <v>High EV Adoption Corridor</v>
      </c>
      <c r="U290" s="3">
        <f t="shared" si="99"/>
        <v>3861000.0000000009</v>
      </c>
      <c r="V290" s="4">
        <f t="shared" si="100"/>
        <v>864000</v>
      </c>
      <c r="W290" s="3">
        <f t="shared" si="101"/>
        <v>9900000</v>
      </c>
      <c r="X290" s="3">
        <f t="shared" si="102"/>
        <v>8100000</v>
      </c>
      <c r="Y290">
        <f t="shared" si="103"/>
        <v>0.22888888888888889</v>
      </c>
      <c r="Z290">
        <f t="shared" si="104"/>
        <v>0.77622377622377625</v>
      </c>
      <c r="AA290" t="str">
        <f t="shared" si="105"/>
        <v>Tier 3 - Upgrade Pipeline</v>
      </c>
      <c r="AB290" s="3">
        <f t="shared" si="106"/>
        <v>72000</v>
      </c>
      <c r="AC290" s="3">
        <f t="shared" si="107"/>
        <v>825000</v>
      </c>
      <c r="AD290" s="3">
        <f t="shared" si="108"/>
        <v>321750.00000000006</v>
      </c>
      <c r="AE290" s="5">
        <f t="shared" si="109"/>
        <v>3.3033033033033021</v>
      </c>
      <c r="AF290" s="10">
        <f t="shared" si="110"/>
        <v>535680</v>
      </c>
      <c r="AG290" s="10">
        <f t="shared" si="111"/>
        <v>172800</v>
      </c>
      <c r="AH290" s="10">
        <f t="shared" si="112"/>
        <v>86400</v>
      </c>
      <c r="AI290" s="10">
        <f t="shared" si="113"/>
        <v>43200</v>
      </c>
      <c r="AJ290" s="10">
        <f t="shared" si="114"/>
        <v>25920</v>
      </c>
    </row>
    <row r="291" spans="1:36" x14ac:dyDescent="0.3">
      <c r="A291" t="s">
        <v>1202</v>
      </c>
      <c r="B291" t="s">
        <v>1203</v>
      </c>
      <c r="C291" t="s">
        <v>1204</v>
      </c>
      <c r="D291" t="s">
        <v>50</v>
      </c>
      <c r="E291">
        <v>75109</v>
      </c>
      <c r="F291" t="s">
        <v>15</v>
      </c>
      <c r="G291">
        <v>10</v>
      </c>
      <c r="H291">
        <v>150</v>
      </c>
      <c r="I291" t="str" cm="1">
        <f t="array" ref="I291">_xlfn.IFS(H291&lt;=120,"V1",H291&lt;=150,"V2",H291&lt;=250,"V3", H291&lt;=350, "V4")</f>
        <v>V2</v>
      </c>
      <c r="J291" t="s">
        <v>1205</v>
      </c>
      <c r="K291" t="str">
        <f t="shared" si="92"/>
        <v>32.068577</v>
      </c>
      <c r="L291" t="str">
        <f t="shared" si="93"/>
        <v>-96.448229</v>
      </c>
      <c r="M291">
        <v>132</v>
      </c>
      <c r="N291" s="1">
        <v>41593</v>
      </c>
      <c r="O291" s="1">
        <v>46099</v>
      </c>
      <c r="P291" s="2">
        <f t="shared" si="94"/>
        <v>12.336755646817249</v>
      </c>
      <c r="Q291" s="2" t="str">
        <f t="shared" si="95"/>
        <v>Old</v>
      </c>
      <c r="R291">
        <f t="shared" si="96"/>
        <v>1500</v>
      </c>
      <c r="S291" t="str">
        <f t="shared" si="97"/>
        <v>Small</v>
      </c>
      <c r="T291" t="str">
        <f t="shared" si="98"/>
        <v>High EV Adoption Corridor</v>
      </c>
      <c r="U291" s="3">
        <f t="shared" si="99"/>
        <v>3217500</v>
      </c>
      <c r="V291" s="4">
        <f t="shared" si="100"/>
        <v>720000</v>
      </c>
      <c r="W291" s="3">
        <f t="shared" si="101"/>
        <v>8250000.0000000009</v>
      </c>
      <c r="X291" s="3">
        <f t="shared" si="102"/>
        <v>6750000</v>
      </c>
      <c r="Y291">
        <f t="shared" si="103"/>
        <v>0.22888888888888889</v>
      </c>
      <c r="Z291">
        <f t="shared" si="104"/>
        <v>0.77622377622377625</v>
      </c>
      <c r="AA291" t="str">
        <f t="shared" si="105"/>
        <v>Tier 3 - Upgrade Pipeline</v>
      </c>
      <c r="AB291" s="3">
        <f t="shared" si="106"/>
        <v>72000</v>
      </c>
      <c r="AC291" s="3">
        <f t="shared" si="107"/>
        <v>825000.00000000012</v>
      </c>
      <c r="AD291" s="3">
        <f t="shared" si="108"/>
        <v>321750</v>
      </c>
      <c r="AE291" s="5">
        <f t="shared" si="109"/>
        <v>3.3033033033033035</v>
      </c>
      <c r="AF291" s="10">
        <f t="shared" si="110"/>
        <v>446400</v>
      </c>
      <c r="AG291" s="10">
        <f t="shared" si="111"/>
        <v>144000</v>
      </c>
      <c r="AH291" s="10">
        <f t="shared" si="112"/>
        <v>72000</v>
      </c>
      <c r="AI291" s="10">
        <f t="shared" si="113"/>
        <v>36000</v>
      </c>
      <c r="AJ291" s="10">
        <f t="shared" si="114"/>
        <v>21600</v>
      </c>
    </row>
    <row r="292" spans="1:36" x14ac:dyDescent="0.3">
      <c r="A292" t="s">
        <v>1206</v>
      </c>
      <c r="B292" t="s">
        <v>1207</v>
      </c>
      <c r="C292" t="s">
        <v>1208</v>
      </c>
      <c r="D292" t="s">
        <v>484</v>
      </c>
      <c r="E292">
        <v>35611</v>
      </c>
      <c r="F292" t="s">
        <v>15</v>
      </c>
      <c r="G292">
        <v>8</v>
      </c>
      <c r="H292">
        <v>150</v>
      </c>
      <c r="I292" t="str" cm="1">
        <f t="array" ref="I292">_xlfn.IFS(H292&lt;=120,"V1",H292&lt;=150,"V2",H292&lt;=250,"V3", H292&lt;=350, "V4")</f>
        <v>V2</v>
      </c>
      <c r="J292" t="s">
        <v>1209</v>
      </c>
      <c r="K292" t="str">
        <f t="shared" si="92"/>
        <v>34.785443</v>
      </c>
      <c r="L292" t="str">
        <f t="shared" si="93"/>
        <v>-86.942964</v>
      </c>
      <c r="M292">
        <v>207</v>
      </c>
      <c r="N292" s="1">
        <v>42886</v>
      </c>
      <c r="O292" s="1">
        <v>46099</v>
      </c>
      <c r="P292" s="2">
        <f t="shared" si="94"/>
        <v>8.7967145790554415</v>
      </c>
      <c r="Q292" s="2" t="str">
        <f t="shared" si="95"/>
        <v>Old</v>
      </c>
      <c r="R292">
        <f t="shared" si="96"/>
        <v>1200</v>
      </c>
      <c r="S292" t="str">
        <f t="shared" si="97"/>
        <v>Small</v>
      </c>
      <c r="T292" t="str">
        <f t="shared" si="98"/>
        <v>Lower EV Adoption Corridor</v>
      </c>
      <c r="U292" s="3">
        <f t="shared" si="99"/>
        <v>1980000.0000000002</v>
      </c>
      <c r="V292" s="4">
        <f t="shared" si="100"/>
        <v>480000</v>
      </c>
      <c r="W292" s="3">
        <f t="shared" si="101"/>
        <v>6000000</v>
      </c>
      <c r="X292" s="3">
        <f t="shared" si="102"/>
        <v>3600000</v>
      </c>
      <c r="Y292">
        <f t="shared" si="103"/>
        <v>0.3</v>
      </c>
      <c r="Z292">
        <f t="shared" si="104"/>
        <v>0.75757575757575757</v>
      </c>
      <c r="AA292" t="str">
        <f t="shared" si="105"/>
        <v>Tier 4 - Stable Network</v>
      </c>
      <c r="AB292" s="3">
        <f t="shared" si="106"/>
        <v>60000</v>
      </c>
      <c r="AC292" s="3">
        <f t="shared" si="107"/>
        <v>750000</v>
      </c>
      <c r="AD292" s="3">
        <f t="shared" si="108"/>
        <v>247500.00000000003</v>
      </c>
      <c r="AE292" s="5">
        <f t="shared" si="109"/>
        <v>3.9999999999999996</v>
      </c>
      <c r="AF292" s="10">
        <f t="shared" si="110"/>
        <v>297600</v>
      </c>
      <c r="AG292" s="10">
        <f t="shared" si="111"/>
        <v>96000</v>
      </c>
      <c r="AH292" s="10">
        <f t="shared" si="112"/>
        <v>48000</v>
      </c>
      <c r="AI292" s="10">
        <f t="shared" si="113"/>
        <v>24000</v>
      </c>
      <c r="AJ292" s="10">
        <f t="shared" si="114"/>
        <v>14400</v>
      </c>
    </row>
    <row r="293" spans="1:36" x14ac:dyDescent="0.3">
      <c r="A293" t="s">
        <v>1210</v>
      </c>
      <c r="B293" t="s">
        <v>1211</v>
      </c>
      <c r="C293" t="s">
        <v>216</v>
      </c>
      <c r="D293" t="s">
        <v>98</v>
      </c>
      <c r="E293">
        <v>6443</v>
      </c>
      <c r="F293" t="s">
        <v>15</v>
      </c>
      <c r="G293">
        <v>10</v>
      </c>
      <c r="H293">
        <v>250</v>
      </c>
      <c r="I293" t="str" cm="1">
        <f t="array" ref="I293">_xlfn.IFS(H293&lt;=120,"V1",H293&lt;=150,"V2",H293&lt;=250,"V3", H293&lt;=350, "V4")</f>
        <v>V3</v>
      </c>
      <c r="J293" t="s">
        <v>1212</v>
      </c>
      <c r="K293" t="str">
        <f t="shared" si="92"/>
        <v>41.2900852</v>
      </c>
      <c r="L293" t="str">
        <f t="shared" si="93"/>
        <v>-72.5803292</v>
      </c>
      <c r="M293">
        <v>13</v>
      </c>
      <c r="N293" s="1">
        <v>43860</v>
      </c>
      <c r="O293" s="1">
        <v>46099</v>
      </c>
      <c r="P293" s="2">
        <f t="shared" si="94"/>
        <v>6.1300479123887746</v>
      </c>
      <c r="Q293" s="2" t="str">
        <f t="shared" si="95"/>
        <v>Mid</v>
      </c>
      <c r="R293">
        <f t="shared" si="96"/>
        <v>2500</v>
      </c>
      <c r="S293" t="str">
        <f t="shared" si="97"/>
        <v>Small</v>
      </c>
      <c r="T293" t="str">
        <f t="shared" si="98"/>
        <v>Lower EV Adoption Corridor</v>
      </c>
      <c r="U293" s="3">
        <f t="shared" si="99"/>
        <v>4500000</v>
      </c>
      <c r="V293" s="4">
        <f t="shared" si="100"/>
        <v>1100000</v>
      </c>
      <c r="W293" s="3">
        <f t="shared" si="101"/>
        <v>15000000</v>
      </c>
      <c r="X293" s="3">
        <f t="shared" si="102"/>
        <v>8250000.0000000009</v>
      </c>
      <c r="Y293">
        <f t="shared" si="103"/>
        <v>0.31515151515151513</v>
      </c>
      <c r="Z293">
        <f t="shared" si="104"/>
        <v>0.75555555555555554</v>
      </c>
      <c r="AA293" t="str">
        <f t="shared" si="105"/>
        <v>Tier 2 - Growth Markets</v>
      </c>
      <c r="AB293" s="3">
        <f t="shared" si="106"/>
        <v>110000</v>
      </c>
      <c r="AC293" s="3">
        <f t="shared" si="107"/>
        <v>1500000</v>
      </c>
      <c r="AD293" s="3">
        <f t="shared" si="108"/>
        <v>450000</v>
      </c>
      <c r="AE293" s="5">
        <f t="shared" si="109"/>
        <v>4.4117647058823533</v>
      </c>
      <c r="AF293" s="10">
        <f t="shared" si="110"/>
        <v>682000</v>
      </c>
      <c r="AG293" s="10">
        <f t="shared" si="111"/>
        <v>220000</v>
      </c>
      <c r="AH293" s="10">
        <f t="shared" si="112"/>
        <v>110000</v>
      </c>
      <c r="AI293" s="10">
        <f t="shared" si="113"/>
        <v>55000</v>
      </c>
      <c r="AJ293" s="10">
        <f t="shared" si="114"/>
        <v>33000</v>
      </c>
    </row>
    <row r="294" spans="1:36" x14ac:dyDescent="0.3">
      <c r="A294" t="s">
        <v>1213</v>
      </c>
      <c r="B294" t="s">
        <v>1214</v>
      </c>
      <c r="C294" t="s">
        <v>216</v>
      </c>
      <c r="D294" t="s">
        <v>98</v>
      </c>
      <c r="E294">
        <v>6443</v>
      </c>
      <c r="F294" t="s">
        <v>15</v>
      </c>
      <c r="G294">
        <v>10</v>
      </c>
      <c r="H294">
        <v>250</v>
      </c>
      <c r="I294" t="str" cm="1">
        <f t="array" ref="I294">_xlfn.IFS(H294&lt;=120,"V1",H294&lt;=150,"V2",H294&lt;=250,"V3", H294&lt;=350, "V4")</f>
        <v>V3</v>
      </c>
      <c r="J294" t="s">
        <v>1215</v>
      </c>
      <c r="K294" t="str">
        <f t="shared" si="92"/>
        <v>41.2915926</v>
      </c>
      <c r="L294" t="str">
        <f t="shared" si="93"/>
        <v>-72.5790793</v>
      </c>
      <c r="M294">
        <v>14</v>
      </c>
      <c r="N294" s="1">
        <v>43860</v>
      </c>
      <c r="O294" s="1">
        <v>46099</v>
      </c>
      <c r="P294" s="2">
        <f t="shared" si="94"/>
        <v>6.1300479123887746</v>
      </c>
      <c r="Q294" s="2" t="str">
        <f t="shared" si="95"/>
        <v>Mid</v>
      </c>
      <c r="R294">
        <f t="shared" si="96"/>
        <v>2500</v>
      </c>
      <c r="S294" t="str">
        <f t="shared" si="97"/>
        <v>Small</v>
      </c>
      <c r="T294" t="str">
        <f t="shared" si="98"/>
        <v>Lower EV Adoption Corridor</v>
      </c>
      <c r="U294" s="3">
        <f t="shared" si="99"/>
        <v>4500000</v>
      </c>
      <c r="V294" s="4">
        <f t="shared" si="100"/>
        <v>1100000</v>
      </c>
      <c r="W294" s="3">
        <f t="shared" si="101"/>
        <v>15000000</v>
      </c>
      <c r="X294" s="3">
        <f t="shared" si="102"/>
        <v>8250000.0000000009</v>
      </c>
      <c r="Y294">
        <f t="shared" si="103"/>
        <v>0.31515151515151513</v>
      </c>
      <c r="Z294">
        <f t="shared" si="104"/>
        <v>0.75555555555555554</v>
      </c>
      <c r="AA294" t="str">
        <f t="shared" si="105"/>
        <v>Tier 2 - Growth Markets</v>
      </c>
      <c r="AB294" s="3">
        <f t="shared" si="106"/>
        <v>110000</v>
      </c>
      <c r="AC294" s="3">
        <f t="shared" si="107"/>
        <v>1500000</v>
      </c>
      <c r="AD294" s="3">
        <f t="shared" si="108"/>
        <v>450000</v>
      </c>
      <c r="AE294" s="5">
        <f t="shared" si="109"/>
        <v>4.4117647058823533</v>
      </c>
      <c r="AF294" s="10">
        <f t="shared" si="110"/>
        <v>682000</v>
      </c>
      <c r="AG294" s="10">
        <f t="shared" si="111"/>
        <v>220000</v>
      </c>
      <c r="AH294" s="10">
        <f t="shared" si="112"/>
        <v>110000</v>
      </c>
      <c r="AI294" s="10">
        <f t="shared" si="113"/>
        <v>55000</v>
      </c>
      <c r="AJ294" s="10">
        <f t="shared" si="114"/>
        <v>33000</v>
      </c>
    </row>
    <row r="295" spans="1:36" x14ac:dyDescent="0.3">
      <c r="A295" t="s">
        <v>1216</v>
      </c>
      <c r="B295" t="s">
        <v>1217</v>
      </c>
      <c r="C295" t="s">
        <v>1218</v>
      </c>
      <c r="D295" t="s">
        <v>230</v>
      </c>
      <c r="E295">
        <v>98837</v>
      </c>
      <c r="F295" t="s">
        <v>15</v>
      </c>
      <c r="G295">
        <v>12</v>
      </c>
      <c r="H295">
        <v>250</v>
      </c>
      <c r="I295" t="str" cm="1">
        <f t="array" ref="I295">_xlfn.IFS(H295&lt;=120,"V1",H295&lt;=150,"V2",H295&lt;=250,"V3", H295&lt;=350, "V4")</f>
        <v>V3</v>
      </c>
      <c r="J295" t="s">
        <v>1219</v>
      </c>
      <c r="K295" t="str">
        <f t="shared" si="92"/>
        <v>47.103505</v>
      </c>
      <c r="L295" t="str">
        <f t="shared" si="93"/>
        <v>-119.310203</v>
      </c>
      <c r="M295">
        <v>329</v>
      </c>
      <c r="N295" s="1">
        <v>43833</v>
      </c>
      <c r="O295" s="1">
        <v>46099</v>
      </c>
      <c r="P295" s="2">
        <f t="shared" si="94"/>
        <v>6.2039698836413413</v>
      </c>
      <c r="Q295" s="2" t="str">
        <f t="shared" si="95"/>
        <v>Mid</v>
      </c>
      <c r="R295">
        <f t="shared" si="96"/>
        <v>3000</v>
      </c>
      <c r="S295" t="str">
        <f t="shared" si="97"/>
        <v>Small</v>
      </c>
      <c r="T295" t="str">
        <f t="shared" si="98"/>
        <v>High EV Adoption Corridor</v>
      </c>
      <c r="U295" s="3">
        <f t="shared" si="99"/>
        <v>7020000</v>
      </c>
      <c r="V295" s="4">
        <f t="shared" si="100"/>
        <v>1584000</v>
      </c>
      <c r="W295" s="3">
        <f t="shared" si="101"/>
        <v>19800000</v>
      </c>
      <c r="X295" s="3">
        <f t="shared" si="102"/>
        <v>14850000</v>
      </c>
      <c r="Y295">
        <f t="shared" si="103"/>
        <v>0.24</v>
      </c>
      <c r="Z295">
        <f t="shared" si="104"/>
        <v>0.77435897435897438</v>
      </c>
      <c r="AA295" t="str">
        <f t="shared" si="105"/>
        <v>Tier 1 - Priority Fleet</v>
      </c>
      <c r="AB295" s="3">
        <f t="shared" si="106"/>
        <v>132000</v>
      </c>
      <c r="AC295" s="3">
        <f t="shared" si="107"/>
        <v>1650000</v>
      </c>
      <c r="AD295" s="3">
        <f t="shared" si="108"/>
        <v>585000</v>
      </c>
      <c r="AE295" s="5">
        <f t="shared" si="109"/>
        <v>3.6423841059602649</v>
      </c>
      <c r="AF295" s="10">
        <f t="shared" si="110"/>
        <v>982080</v>
      </c>
      <c r="AG295" s="10">
        <f t="shared" si="111"/>
        <v>316800</v>
      </c>
      <c r="AH295" s="10">
        <f t="shared" si="112"/>
        <v>158400</v>
      </c>
      <c r="AI295" s="10">
        <f t="shared" si="113"/>
        <v>79200</v>
      </c>
      <c r="AJ295" s="10">
        <f t="shared" si="114"/>
        <v>47520</v>
      </c>
    </row>
    <row r="296" spans="1:36" x14ac:dyDescent="0.3">
      <c r="A296" t="s">
        <v>1220</v>
      </c>
      <c r="B296" t="s">
        <v>1221</v>
      </c>
      <c r="C296" t="s">
        <v>1222</v>
      </c>
      <c r="D296" t="s">
        <v>179</v>
      </c>
      <c r="E296">
        <v>2888</v>
      </c>
      <c r="F296" t="s">
        <v>15</v>
      </c>
      <c r="G296">
        <v>8</v>
      </c>
      <c r="H296">
        <v>250</v>
      </c>
      <c r="I296" t="str" cm="1">
        <f t="array" ref="I296">_xlfn.IFS(H296&lt;=120,"V1",H296&lt;=150,"V2",H296&lt;=250,"V3", H296&lt;=350, "V4")</f>
        <v>V3</v>
      </c>
      <c r="J296" t="s">
        <v>1223</v>
      </c>
      <c r="K296" t="str">
        <f t="shared" si="92"/>
        <v>41.733158</v>
      </c>
      <c r="L296" t="str">
        <f t="shared" si="93"/>
        <v>-71.43585</v>
      </c>
      <c r="M296">
        <v>18</v>
      </c>
      <c r="N296" s="1">
        <v>44624</v>
      </c>
      <c r="O296" s="1">
        <v>46099</v>
      </c>
      <c r="P296" s="2">
        <f t="shared" si="94"/>
        <v>4.0383299110198498</v>
      </c>
      <c r="Q296" s="2" t="str">
        <f t="shared" si="95"/>
        <v>Mid</v>
      </c>
      <c r="R296">
        <f t="shared" si="96"/>
        <v>2000</v>
      </c>
      <c r="S296" t="str">
        <f t="shared" si="97"/>
        <v>Small</v>
      </c>
      <c r="T296" t="str">
        <f t="shared" si="98"/>
        <v>Lower EV Adoption Corridor</v>
      </c>
      <c r="U296" s="3">
        <f t="shared" si="99"/>
        <v>3600000</v>
      </c>
      <c r="V296" s="4">
        <f t="shared" si="100"/>
        <v>880000.00000000012</v>
      </c>
      <c r="W296" s="3">
        <f t="shared" si="101"/>
        <v>12000000</v>
      </c>
      <c r="X296" s="3">
        <f t="shared" si="102"/>
        <v>6600000.0000000009</v>
      </c>
      <c r="Y296">
        <f t="shared" si="103"/>
        <v>0.31515151515151513</v>
      </c>
      <c r="Z296">
        <f t="shared" si="104"/>
        <v>0.75555555555555554</v>
      </c>
      <c r="AA296" t="str">
        <f t="shared" si="105"/>
        <v>Tier 2 - Growth Markets</v>
      </c>
      <c r="AB296" s="3">
        <f t="shared" si="106"/>
        <v>110000.00000000001</v>
      </c>
      <c r="AC296" s="3">
        <f t="shared" si="107"/>
        <v>1500000</v>
      </c>
      <c r="AD296" s="3">
        <f t="shared" si="108"/>
        <v>450000</v>
      </c>
      <c r="AE296" s="5">
        <f t="shared" si="109"/>
        <v>4.4117647058823533</v>
      </c>
      <c r="AF296" s="10">
        <f t="shared" si="110"/>
        <v>545600.00000000012</v>
      </c>
      <c r="AG296" s="10">
        <f t="shared" si="111"/>
        <v>176000.00000000003</v>
      </c>
      <c r="AH296" s="10">
        <f t="shared" si="112"/>
        <v>88000.000000000015</v>
      </c>
      <c r="AI296" s="10">
        <f t="shared" si="113"/>
        <v>44000.000000000007</v>
      </c>
      <c r="AJ296" s="10">
        <f t="shared" si="114"/>
        <v>26400.000000000004</v>
      </c>
    </row>
    <row r="297" spans="1:36" x14ac:dyDescent="0.3">
      <c r="A297" t="s">
        <v>1224</v>
      </c>
      <c r="B297" t="s">
        <v>1225</v>
      </c>
      <c r="C297" t="s">
        <v>1226</v>
      </c>
      <c r="D297" t="s">
        <v>59</v>
      </c>
      <c r="E297">
        <v>60085</v>
      </c>
      <c r="F297" t="s">
        <v>15</v>
      </c>
      <c r="G297">
        <v>20</v>
      </c>
      <c r="H297">
        <v>250</v>
      </c>
      <c r="I297" t="str" cm="1">
        <f t="array" ref="I297">_xlfn.IFS(H297&lt;=120,"V1",H297&lt;=150,"V2",H297&lt;=250,"V3", H297&lt;=350, "V4")</f>
        <v>V3</v>
      </c>
      <c r="J297" t="s">
        <v>1227</v>
      </c>
      <c r="K297" t="str">
        <f t="shared" si="92"/>
        <v>42.343425</v>
      </c>
      <c r="L297" t="str">
        <f t="shared" si="93"/>
        <v>-87.900068</v>
      </c>
      <c r="M297">
        <v>218</v>
      </c>
      <c r="N297" s="1">
        <v>44972</v>
      </c>
      <c r="O297" s="1">
        <v>46099</v>
      </c>
      <c r="P297" s="2">
        <f t="shared" si="94"/>
        <v>3.0855578370978782</v>
      </c>
      <c r="Q297" s="2" t="str">
        <f t="shared" si="95"/>
        <v>Mid</v>
      </c>
      <c r="R297">
        <f t="shared" si="96"/>
        <v>5000</v>
      </c>
      <c r="S297" t="str">
        <f t="shared" si="97"/>
        <v>Small</v>
      </c>
      <c r="T297" t="str">
        <f t="shared" si="98"/>
        <v>Lower EV Adoption Corridor</v>
      </c>
      <c r="U297" s="3">
        <f t="shared" si="99"/>
        <v>9000000</v>
      </c>
      <c r="V297" s="4">
        <f t="shared" si="100"/>
        <v>2200000</v>
      </c>
      <c r="W297" s="3">
        <f t="shared" si="101"/>
        <v>30000000</v>
      </c>
      <c r="X297" s="3">
        <f t="shared" si="102"/>
        <v>16500000.000000002</v>
      </c>
      <c r="Y297">
        <f t="shared" si="103"/>
        <v>0.31515151515151513</v>
      </c>
      <c r="Z297">
        <f t="shared" si="104"/>
        <v>0.75555555555555554</v>
      </c>
      <c r="AA297" t="str">
        <f t="shared" si="105"/>
        <v>Tier 2 - Growth Markets</v>
      </c>
      <c r="AB297" s="3">
        <f t="shared" si="106"/>
        <v>110000</v>
      </c>
      <c r="AC297" s="3">
        <f t="shared" si="107"/>
        <v>1500000</v>
      </c>
      <c r="AD297" s="3">
        <f t="shared" si="108"/>
        <v>450000</v>
      </c>
      <c r="AE297" s="5">
        <f t="shared" si="109"/>
        <v>4.4117647058823533</v>
      </c>
      <c r="AF297" s="10">
        <f t="shared" si="110"/>
        <v>1364000</v>
      </c>
      <c r="AG297" s="10">
        <f t="shared" si="111"/>
        <v>440000</v>
      </c>
      <c r="AH297" s="10">
        <f t="shared" si="112"/>
        <v>220000</v>
      </c>
      <c r="AI297" s="10">
        <f t="shared" si="113"/>
        <v>110000</v>
      </c>
      <c r="AJ297" s="10">
        <f t="shared" si="114"/>
        <v>66000</v>
      </c>
    </row>
    <row r="298" spans="1:36" x14ac:dyDescent="0.3">
      <c r="A298" t="s">
        <v>1228</v>
      </c>
      <c r="B298" t="s">
        <v>1229</v>
      </c>
      <c r="C298" t="s">
        <v>1230</v>
      </c>
      <c r="D298" t="s">
        <v>1189</v>
      </c>
      <c r="E298">
        <v>26452</v>
      </c>
      <c r="F298" t="s">
        <v>15</v>
      </c>
      <c r="G298">
        <v>8</v>
      </c>
      <c r="H298">
        <v>150</v>
      </c>
      <c r="I298" t="str" cm="1">
        <f t="array" ref="I298">_xlfn.IFS(H298&lt;=120,"V1",H298&lt;=150,"V2",H298&lt;=250,"V3", H298&lt;=350, "V4")</f>
        <v>V2</v>
      </c>
      <c r="J298" t="s">
        <v>1231</v>
      </c>
      <c r="K298" t="str">
        <f t="shared" si="92"/>
        <v>39.019353</v>
      </c>
      <c r="L298" t="str">
        <f t="shared" si="93"/>
        <v>-80.416993</v>
      </c>
      <c r="M298">
        <v>317</v>
      </c>
      <c r="N298" s="1">
        <v>43010</v>
      </c>
      <c r="O298" s="1">
        <v>46099</v>
      </c>
      <c r="P298" s="2">
        <f t="shared" si="94"/>
        <v>8.4572210814510616</v>
      </c>
      <c r="Q298" s="2" t="str">
        <f t="shared" si="95"/>
        <v>Old</v>
      </c>
      <c r="R298">
        <f t="shared" si="96"/>
        <v>1200</v>
      </c>
      <c r="S298" t="str">
        <f t="shared" si="97"/>
        <v>Small</v>
      </c>
      <c r="T298" t="str">
        <f t="shared" si="98"/>
        <v>Lower EV Adoption Corridor</v>
      </c>
      <c r="U298" s="3">
        <f t="shared" si="99"/>
        <v>1980000.0000000002</v>
      </c>
      <c r="V298" s="4">
        <f t="shared" si="100"/>
        <v>480000</v>
      </c>
      <c r="W298" s="3">
        <f t="shared" si="101"/>
        <v>6000000</v>
      </c>
      <c r="X298" s="3">
        <f t="shared" si="102"/>
        <v>3600000</v>
      </c>
      <c r="Y298">
        <f t="shared" si="103"/>
        <v>0.3</v>
      </c>
      <c r="Z298">
        <f t="shared" si="104"/>
        <v>0.75757575757575757</v>
      </c>
      <c r="AA298" t="str">
        <f t="shared" si="105"/>
        <v>Tier 4 - Stable Network</v>
      </c>
      <c r="AB298" s="3">
        <f t="shared" si="106"/>
        <v>60000</v>
      </c>
      <c r="AC298" s="3">
        <f t="shared" si="107"/>
        <v>750000</v>
      </c>
      <c r="AD298" s="3">
        <f t="shared" si="108"/>
        <v>247500.00000000003</v>
      </c>
      <c r="AE298" s="5">
        <f t="shared" si="109"/>
        <v>3.9999999999999996</v>
      </c>
      <c r="AF298" s="10">
        <f t="shared" si="110"/>
        <v>297600</v>
      </c>
      <c r="AG298" s="10">
        <f t="shared" si="111"/>
        <v>96000</v>
      </c>
      <c r="AH298" s="10">
        <f t="shared" si="112"/>
        <v>48000</v>
      </c>
      <c r="AI298" s="10">
        <f t="shared" si="113"/>
        <v>24000</v>
      </c>
      <c r="AJ298" s="10">
        <f t="shared" si="114"/>
        <v>14400</v>
      </c>
    </row>
    <row r="299" spans="1:36" x14ac:dyDescent="0.3">
      <c r="A299" t="s">
        <v>1232</v>
      </c>
      <c r="B299" t="s">
        <v>1233</v>
      </c>
      <c r="C299" t="s">
        <v>1234</v>
      </c>
      <c r="D299" t="s">
        <v>14</v>
      </c>
      <c r="E299">
        <v>95687</v>
      </c>
      <c r="F299" t="s">
        <v>15</v>
      </c>
      <c r="G299">
        <v>16</v>
      </c>
      <c r="H299">
        <v>150</v>
      </c>
      <c r="I299" t="str" cm="1">
        <f t="array" ref="I299">_xlfn.IFS(H299&lt;=120,"V1",H299&lt;=150,"V2",H299&lt;=250,"V3", H299&lt;=350, "V4")</f>
        <v>V2</v>
      </c>
      <c r="J299" t="s">
        <v>1235</v>
      </c>
      <c r="K299" t="str">
        <f t="shared" si="92"/>
        <v>38.366645</v>
      </c>
      <c r="L299" t="str">
        <f t="shared" si="93"/>
        <v>-121.958136</v>
      </c>
      <c r="M299">
        <v>34</v>
      </c>
      <c r="N299" s="1">
        <v>41627</v>
      </c>
      <c r="O299" s="1">
        <v>46099</v>
      </c>
      <c r="P299" s="2">
        <f t="shared" si="94"/>
        <v>12.243668720054757</v>
      </c>
      <c r="Q299" s="2" t="str">
        <f t="shared" si="95"/>
        <v>Old</v>
      </c>
      <c r="R299">
        <f t="shared" si="96"/>
        <v>2400</v>
      </c>
      <c r="S299" t="str">
        <f t="shared" si="97"/>
        <v>Small</v>
      </c>
      <c r="T299" t="str">
        <f t="shared" si="98"/>
        <v>High EV Adoption Corridor</v>
      </c>
      <c r="U299" s="3">
        <f t="shared" si="99"/>
        <v>5148000.0000000009</v>
      </c>
      <c r="V299" s="4">
        <f t="shared" si="100"/>
        <v>1152000</v>
      </c>
      <c r="W299" s="3">
        <f t="shared" si="101"/>
        <v>13200000.000000002</v>
      </c>
      <c r="X299" s="3">
        <f t="shared" si="102"/>
        <v>10800000</v>
      </c>
      <c r="Y299">
        <f t="shared" si="103"/>
        <v>0.22888888888888889</v>
      </c>
      <c r="Z299">
        <f t="shared" si="104"/>
        <v>0.77622377622377625</v>
      </c>
      <c r="AA299" t="str">
        <f t="shared" si="105"/>
        <v>Tier 3 - Upgrade Pipeline</v>
      </c>
      <c r="AB299" s="3">
        <f t="shared" si="106"/>
        <v>72000</v>
      </c>
      <c r="AC299" s="3">
        <f t="shared" si="107"/>
        <v>825000.00000000012</v>
      </c>
      <c r="AD299" s="3">
        <f t="shared" si="108"/>
        <v>321750.00000000006</v>
      </c>
      <c r="AE299" s="5">
        <f t="shared" si="109"/>
        <v>3.303303303303303</v>
      </c>
      <c r="AF299" s="10">
        <f t="shared" si="110"/>
        <v>714240</v>
      </c>
      <c r="AG299" s="10">
        <f t="shared" si="111"/>
        <v>230400</v>
      </c>
      <c r="AH299" s="10">
        <f t="shared" si="112"/>
        <v>115200</v>
      </c>
      <c r="AI299" s="10">
        <f t="shared" si="113"/>
        <v>57600</v>
      </c>
      <c r="AJ299" s="10">
        <f t="shared" si="114"/>
        <v>34560</v>
      </c>
    </row>
    <row r="300" spans="1:36" x14ac:dyDescent="0.3">
      <c r="A300" t="s">
        <v>1236</v>
      </c>
      <c r="B300" t="s">
        <v>1237</v>
      </c>
      <c r="C300" t="s">
        <v>1238</v>
      </c>
      <c r="D300" t="s">
        <v>14</v>
      </c>
      <c r="E300">
        <v>95834</v>
      </c>
      <c r="F300" t="s">
        <v>15</v>
      </c>
      <c r="G300">
        <v>10</v>
      </c>
      <c r="H300">
        <v>150</v>
      </c>
      <c r="I300" t="str" cm="1">
        <f t="array" ref="I300">_xlfn.IFS(H300&lt;=120,"V1",H300&lt;=150,"V2",H300&lt;=250,"V3", H300&lt;=350, "V4")</f>
        <v>V2</v>
      </c>
      <c r="J300" t="s">
        <v>1239</v>
      </c>
      <c r="K300" t="str">
        <f t="shared" si="92"/>
        <v>38.637729</v>
      </c>
      <c r="L300" t="str">
        <f t="shared" si="93"/>
        <v>-121.49718</v>
      </c>
      <c r="M300">
        <v>4</v>
      </c>
      <c r="N300" s="1">
        <v>43021</v>
      </c>
      <c r="O300" s="1">
        <v>46099</v>
      </c>
      <c r="P300" s="2">
        <f t="shared" si="94"/>
        <v>8.4271047227926079</v>
      </c>
      <c r="Q300" s="2" t="str">
        <f t="shared" si="95"/>
        <v>Old</v>
      </c>
      <c r="R300">
        <f t="shared" si="96"/>
        <v>1500</v>
      </c>
      <c r="S300" t="str">
        <f t="shared" si="97"/>
        <v>Small</v>
      </c>
      <c r="T300" t="str">
        <f t="shared" si="98"/>
        <v>High EV Adoption Corridor</v>
      </c>
      <c r="U300" s="3">
        <f t="shared" si="99"/>
        <v>3217500</v>
      </c>
      <c r="V300" s="4">
        <f t="shared" si="100"/>
        <v>720000</v>
      </c>
      <c r="W300" s="3">
        <f t="shared" si="101"/>
        <v>8250000.0000000009</v>
      </c>
      <c r="X300" s="3">
        <f t="shared" si="102"/>
        <v>6750000</v>
      </c>
      <c r="Y300">
        <f t="shared" si="103"/>
        <v>0.22888888888888889</v>
      </c>
      <c r="Z300">
        <f t="shared" si="104"/>
        <v>0.77622377622377625</v>
      </c>
      <c r="AA300" t="str">
        <f t="shared" si="105"/>
        <v>Tier 3 - Upgrade Pipeline</v>
      </c>
      <c r="AB300" s="3">
        <f t="shared" si="106"/>
        <v>72000</v>
      </c>
      <c r="AC300" s="3">
        <f t="shared" si="107"/>
        <v>825000.00000000012</v>
      </c>
      <c r="AD300" s="3">
        <f t="shared" si="108"/>
        <v>321750</v>
      </c>
      <c r="AE300" s="5">
        <f t="shared" si="109"/>
        <v>3.3033033033033035</v>
      </c>
      <c r="AF300" s="10">
        <f t="shared" si="110"/>
        <v>446400</v>
      </c>
      <c r="AG300" s="10">
        <f t="shared" si="111"/>
        <v>144000</v>
      </c>
      <c r="AH300" s="10">
        <f t="shared" si="112"/>
        <v>72000</v>
      </c>
      <c r="AI300" s="10">
        <f t="shared" si="113"/>
        <v>36000</v>
      </c>
      <c r="AJ300" s="10">
        <f t="shared" si="114"/>
        <v>21600</v>
      </c>
    </row>
    <row r="301" spans="1:36" x14ac:dyDescent="0.3">
      <c r="A301" t="s">
        <v>1240</v>
      </c>
      <c r="B301" t="s">
        <v>1241</v>
      </c>
      <c r="C301" t="s">
        <v>1097</v>
      </c>
      <c r="D301" t="s">
        <v>230</v>
      </c>
      <c r="E301">
        <v>98223</v>
      </c>
      <c r="F301" t="s">
        <v>15</v>
      </c>
      <c r="G301">
        <v>16</v>
      </c>
      <c r="H301">
        <v>150</v>
      </c>
      <c r="I301" t="str" cm="1">
        <f t="array" ref="I301">_xlfn.IFS(H301&lt;=120,"V1",H301&lt;=150,"V2",H301&lt;=250,"V3", H301&lt;=350, "V4")</f>
        <v>V2</v>
      </c>
      <c r="J301" t="s">
        <v>1242</v>
      </c>
      <c r="K301" t="str">
        <f t="shared" si="92"/>
        <v>48.21237</v>
      </c>
      <c r="L301" t="str">
        <f t="shared" si="93"/>
        <v>-122.183551</v>
      </c>
      <c r="M301">
        <v>94</v>
      </c>
      <c r="N301" s="1">
        <v>42914</v>
      </c>
      <c r="O301" s="1">
        <v>46099</v>
      </c>
      <c r="P301" s="2">
        <f t="shared" si="94"/>
        <v>8.7200547570157418</v>
      </c>
      <c r="Q301" s="2" t="str">
        <f t="shared" si="95"/>
        <v>Old</v>
      </c>
      <c r="R301">
        <f t="shared" si="96"/>
        <v>2400</v>
      </c>
      <c r="S301" t="str">
        <f t="shared" si="97"/>
        <v>Small</v>
      </c>
      <c r="T301" t="str">
        <f t="shared" si="98"/>
        <v>High EV Adoption Corridor</v>
      </c>
      <c r="U301" s="3">
        <f t="shared" si="99"/>
        <v>5148000.0000000009</v>
      </c>
      <c r="V301" s="4">
        <f t="shared" si="100"/>
        <v>1152000</v>
      </c>
      <c r="W301" s="3">
        <f t="shared" si="101"/>
        <v>13200000.000000002</v>
      </c>
      <c r="X301" s="3">
        <f t="shared" si="102"/>
        <v>10800000</v>
      </c>
      <c r="Y301">
        <f t="shared" si="103"/>
        <v>0.22888888888888889</v>
      </c>
      <c r="Z301">
        <f t="shared" si="104"/>
        <v>0.77622377622377625</v>
      </c>
      <c r="AA301" t="str">
        <f t="shared" si="105"/>
        <v>Tier 3 - Upgrade Pipeline</v>
      </c>
      <c r="AB301" s="3">
        <f t="shared" si="106"/>
        <v>72000</v>
      </c>
      <c r="AC301" s="3">
        <f t="shared" si="107"/>
        <v>825000.00000000012</v>
      </c>
      <c r="AD301" s="3">
        <f t="shared" si="108"/>
        <v>321750.00000000006</v>
      </c>
      <c r="AE301" s="5">
        <f t="shared" si="109"/>
        <v>3.303303303303303</v>
      </c>
      <c r="AF301" s="10">
        <f t="shared" si="110"/>
        <v>714240</v>
      </c>
      <c r="AG301" s="10">
        <f t="shared" si="111"/>
        <v>230400</v>
      </c>
      <c r="AH301" s="10">
        <f t="shared" si="112"/>
        <v>115200</v>
      </c>
      <c r="AI301" s="10">
        <f t="shared" si="113"/>
        <v>57600</v>
      </c>
      <c r="AJ301" s="10">
        <f t="shared" si="114"/>
        <v>34560</v>
      </c>
    </row>
    <row r="302" spans="1:36" x14ac:dyDescent="0.3">
      <c r="A302" t="s">
        <v>1243</v>
      </c>
      <c r="B302" t="s">
        <v>1244</v>
      </c>
      <c r="C302" t="s">
        <v>1245</v>
      </c>
      <c r="D302" t="s">
        <v>522</v>
      </c>
      <c r="E302">
        <v>65065</v>
      </c>
      <c r="F302" t="s">
        <v>15</v>
      </c>
      <c r="G302">
        <v>8</v>
      </c>
      <c r="H302">
        <v>150</v>
      </c>
      <c r="I302" t="str" cm="1">
        <f t="array" ref="I302">_xlfn.IFS(H302&lt;=120,"V1",H302&lt;=150,"V2",H302&lt;=250,"V3", H302&lt;=350, "V4")</f>
        <v>V2</v>
      </c>
      <c r="J302" t="s">
        <v>1246</v>
      </c>
      <c r="K302" t="str">
        <f t="shared" si="92"/>
        <v>38.162028</v>
      </c>
      <c r="L302" t="str">
        <f t="shared" si="93"/>
        <v>-92.605238</v>
      </c>
      <c r="M302">
        <v>242</v>
      </c>
      <c r="N302" s="1">
        <v>42901</v>
      </c>
      <c r="O302" s="1">
        <v>46099</v>
      </c>
      <c r="P302" s="2">
        <f t="shared" si="94"/>
        <v>8.7556468172484596</v>
      </c>
      <c r="Q302" s="2" t="str">
        <f t="shared" si="95"/>
        <v>Old</v>
      </c>
      <c r="R302">
        <f t="shared" si="96"/>
        <v>1200</v>
      </c>
      <c r="S302" t="str">
        <f t="shared" si="97"/>
        <v>Small</v>
      </c>
      <c r="T302" t="str">
        <f t="shared" si="98"/>
        <v>Lower EV Adoption Corridor</v>
      </c>
      <c r="U302" s="3">
        <f t="shared" si="99"/>
        <v>1980000.0000000002</v>
      </c>
      <c r="V302" s="4">
        <f t="shared" si="100"/>
        <v>480000</v>
      </c>
      <c r="W302" s="3">
        <f t="shared" si="101"/>
        <v>6000000</v>
      </c>
      <c r="X302" s="3">
        <f t="shared" si="102"/>
        <v>3600000</v>
      </c>
      <c r="Y302">
        <f t="shared" si="103"/>
        <v>0.3</v>
      </c>
      <c r="Z302">
        <f t="shared" si="104"/>
        <v>0.75757575757575757</v>
      </c>
      <c r="AA302" t="str">
        <f t="shared" si="105"/>
        <v>Tier 4 - Stable Network</v>
      </c>
      <c r="AB302" s="3">
        <f t="shared" si="106"/>
        <v>60000</v>
      </c>
      <c r="AC302" s="3">
        <f t="shared" si="107"/>
        <v>750000</v>
      </c>
      <c r="AD302" s="3">
        <f t="shared" si="108"/>
        <v>247500.00000000003</v>
      </c>
      <c r="AE302" s="5">
        <f t="shared" si="109"/>
        <v>3.9999999999999996</v>
      </c>
      <c r="AF302" s="10">
        <f t="shared" si="110"/>
        <v>297600</v>
      </c>
      <c r="AG302" s="10">
        <f t="shared" si="111"/>
        <v>96000</v>
      </c>
      <c r="AH302" s="10">
        <f t="shared" si="112"/>
        <v>48000</v>
      </c>
      <c r="AI302" s="10">
        <f t="shared" si="113"/>
        <v>24000</v>
      </c>
      <c r="AJ302" s="10">
        <f t="shared" si="114"/>
        <v>14400</v>
      </c>
    </row>
    <row r="303" spans="1:36" x14ac:dyDescent="0.3">
      <c r="A303" t="s">
        <v>1247</v>
      </c>
      <c r="B303" t="s">
        <v>1248</v>
      </c>
      <c r="C303" t="s">
        <v>1249</v>
      </c>
      <c r="D303" t="s">
        <v>630</v>
      </c>
      <c r="E303">
        <v>49431</v>
      </c>
      <c r="F303" t="s">
        <v>15</v>
      </c>
      <c r="G303">
        <v>8</v>
      </c>
      <c r="H303">
        <v>150</v>
      </c>
      <c r="I303" t="str" cm="1">
        <f t="array" ref="I303">_xlfn.IFS(H303&lt;=120,"V1",H303&lt;=150,"V2",H303&lt;=250,"V3", H303&lt;=350, "V4")</f>
        <v>V2</v>
      </c>
      <c r="J303" t="s">
        <v>1250</v>
      </c>
      <c r="K303" t="str">
        <f t="shared" si="92"/>
        <v>43.957103</v>
      </c>
      <c r="L303" t="str">
        <f t="shared" si="93"/>
        <v>-86.376093</v>
      </c>
      <c r="M303">
        <v>197</v>
      </c>
      <c r="N303" s="1">
        <v>42909</v>
      </c>
      <c r="O303" s="1">
        <v>46099</v>
      </c>
      <c r="P303" s="2">
        <f t="shared" si="94"/>
        <v>8.7337440109514031</v>
      </c>
      <c r="Q303" s="2" t="str">
        <f t="shared" si="95"/>
        <v>Old</v>
      </c>
      <c r="R303">
        <f t="shared" si="96"/>
        <v>1200</v>
      </c>
      <c r="S303" t="str">
        <f t="shared" si="97"/>
        <v>Small</v>
      </c>
      <c r="T303" t="str">
        <f t="shared" si="98"/>
        <v>Lower EV Adoption Corridor</v>
      </c>
      <c r="U303" s="3">
        <f t="shared" si="99"/>
        <v>1980000.0000000002</v>
      </c>
      <c r="V303" s="4">
        <f t="shared" si="100"/>
        <v>480000</v>
      </c>
      <c r="W303" s="3">
        <f t="shared" si="101"/>
        <v>6000000</v>
      </c>
      <c r="X303" s="3">
        <f t="shared" si="102"/>
        <v>3600000</v>
      </c>
      <c r="Y303">
        <f t="shared" si="103"/>
        <v>0.3</v>
      </c>
      <c r="Z303">
        <f t="shared" si="104"/>
        <v>0.75757575757575757</v>
      </c>
      <c r="AA303" t="str">
        <f t="shared" si="105"/>
        <v>Tier 4 - Stable Network</v>
      </c>
      <c r="AB303" s="3">
        <f t="shared" si="106"/>
        <v>60000</v>
      </c>
      <c r="AC303" s="3">
        <f t="shared" si="107"/>
        <v>750000</v>
      </c>
      <c r="AD303" s="3">
        <f t="shared" si="108"/>
        <v>247500.00000000003</v>
      </c>
      <c r="AE303" s="5">
        <f t="shared" si="109"/>
        <v>3.9999999999999996</v>
      </c>
      <c r="AF303" s="10">
        <f t="shared" si="110"/>
        <v>297600</v>
      </c>
      <c r="AG303" s="10">
        <f t="shared" si="111"/>
        <v>96000</v>
      </c>
      <c r="AH303" s="10">
        <f t="shared" si="112"/>
        <v>48000</v>
      </c>
      <c r="AI303" s="10">
        <f t="shared" si="113"/>
        <v>24000</v>
      </c>
      <c r="AJ303" s="10">
        <f t="shared" si="114"/>
        <v>14400</v>
      </c>
    </row>
    <row r="304" spans="1:36" x14ac:dyDescent="0.3">
      <c r="A304" t="s">
        <v>1251</v>
      </c>
      <c r="B304" t="s">
        <v>1252</v>
      </c>
      <c r="C304" t="s">
        <v>1253</v>
      </c>
      <c r="D304" t="s">
        <v>143</v>
      </c>
      <c r="E304">
        <v>87901</v>
      </c>
      <c r="F304" t="s">
        <v>15</v>
      </c>
      <c r="G304">
        <v>8</v>
      </c>
      <c r="H304">
        <v>150</v>
      </c>
      <c r="I304" t="str" cm="1">
        <f t="array" ref="I304">_xlfn.IFS(H304&lt;=120,"V1",H304&lt;=150,"V2",H304&lt;=250,"V3", H304&lt;=350, "V4")</f>
        <v>V2</v>
      </c>
      <c r="J304" t="s">
        <v>1254</v>
      </c>
      <c r="K304" t="str">
        <f t="shared" si="92"/>
        <v>33.15524</v>
      </c>
      <c r="L304" t="str">
        <f t="shared" si="93"/>
        <v>-107.251642</v>
      </c>
      <c r="M304">
        <v>1353</v>
      </c>
      <c r="N304" s="1">
        <v>42924</v>
      </c>
      <c r="O304" s="1">
        <v>46099</v>
      </c>
      <c r="P304" s="2">
        <f t="shared" si="94"/>
        <v>8.6926762491444212</v>
      </c>
      <c r="Q304" s="2" t="str">
        <f t="shared" si="95"/>
        <v>Old</v>
      </c>
      <c r="R304">
        <f t="shared" si="96"/>
        <v>1200</v>
      </c>
      <c r="S304" t="str">
        <f t="shared" si="97"/>
        <v>Small</v>
      </c>
      <c r="T304" t="str">
        <f t="shared" si="98"/>
        <v>Lower EV Adoption Corridor</v>
      </c>
      <c r="U304" s="3">
        <f t="shared" si="99"/>
        <v>1980000.0000000002</v>
      </c>
      <c r="V304" s="4">
        <f t="shared" si="100"/>
        <v>480000</v>
      </c>
      <c r="W304" s="3">
        <f t="shared" si="101"/>
        <v>6000000</v>
      </c>
      <c r="X304" s="3">
        <f t="shared" si="102"/>
        <v>3600000</v>
      </c>
      <c r="Y304">
        <f t="shared" si="103"/>
        <v>0.3</v>
      </c>
      <c r="Z304">
        <f t="shared" si="104"/>
        <v>0.75757575757575757</v>
      </c>
      <c r="AA304" t="str">
        <f t="shared" si="105"/>
        <v>Tier 4 - Stable Network</v>
      </c>
      <c r="AB304" s="3">
        <f t="shared" si="106"/>
        <v>60000</v>
      </c>
      <c r="AC304" s="3">
        <f t="shared" si="107"/>
        <v>750000</v>
      </c>
      <c r="AD304" s="3">
        <f t="shared" si="108"/>
        <v>247500.00000000003</v>
      </c>
      <c r="AE304" s="5">
        <f t="shared" si="109"/>
        <v>3.9999999999999996</v>
      </c>
      <c r="AF304" s="10">
        <f t="shared" si="110"/>
        <v>297600</v>
      </c>
      <c r="AG304" s="10">
        <f t="shared" si="111"/>
        <v>96000</v>
      </c>
      <c r="AH304" s="10">
        <f t="shared" si="112"/>
        <v>48000</v>
      </c>
      <c r="AI304" s="10">
        <f t="shared" si="113"/>
        <v>24000</v>
      </c>
      <c r="AJ304" s="10">
        <f t="shared" si="114"/>
        <v>14400</v>
      </c>
    </row>
    <row r="305" spans="1:36" x14ac:dyDescent="0.3">
      <c r="A305" t="s">
        <v>1255</v>
      </c>
      <c r="B305" t="s">
        <v>1256</v>
      </c>
      <c r="C305" t="s">
        <v>456</v>
      </c>
      <c r="D305" t="s">
        <v>59</v>
      </c>
      <c r="E305">
        <v>60601</v>
      </c>
      <c r="F305" t="s">
        <v>15</v>
      </c>
      <c r="G305">
        <v>10</v>
      </c>
      <c r="H305">
        <v>72</v>
      </c>
      <c r="I305" t="str" cm="1">
        <f t="array" ref="I305">_xlfn.IFS(H305&lt;=120,"V1",H305&lt;=150,"V2",H305&lt;=250,"V3", H305&lt;=350, "V4")</f>
        <v>V1</v>
      </c>
      <c r="J305" t="s">
        <v>1257</v>
      </c>
      <c r="K305" t="str">
        <f t="shared" si="92"/>
        <v>41.886458</v>
      </c>
      <c r="L305" t="str">
        <f t="shared" si="93"/>
        <v>-87.620262</v>
      </c>
      <c r="M305">
        <v>177</v>
      </c>
      <c r="N305" s="1">
        <v>42989</v>
      </c>
      <c r="O305" s="1">
        <v>46099</v>
      </c>
      <c r="P305" s="2">
        <f t="shared" si="94"/>
        <v>8.5147159479808359</v>
      </c>
      <c r="Q305" s="2" t="str">
        <f t="shared" si="95"/>
        <v>Old</v>
      </c>
      <c r="R305">
        <f t="shared" si="96"/>
        <v>720</v>
      </c>
      <c r="S305" t="str">
        <f t="shared" si="97"/>
        <v>Small</v>
      </c>
      <c r="T305" t="str">
        <f t="shared" si="98"/>
        <v>Lower EV Adoption Corridor</v>
      </c>
      <c r="U305" s="3">
        <f t="shared" si="99"/>
        <v>1080000</v>
      </c>
      <c r="V305" s="4">
        <f t="shared" si="100"/>
        <v>259200</v>
      </c>
      <c r="W305" s="3">
        <f t="shared" si="101"/>
        <v>2880000</v>
      </c>
      <c r="X305" s="3">
        <f t="shared" si="102"/>
        <v>1944000</v>
      </c>
      <c r="Y305">
        <f t="shared" si="103"/>
        <v>0.2814814814814815</v>
      </c>
      <c r="Z305">
        <f t="shared" si="104"/>
        <v>0.76</v>
      </c>
      <c r="AA305" t="str">
        <f t="shared" si="105"/>
        <v>Tier 5 - Retirement Pipeline</v>
      </c>
      <c r="AB305" s="3">
        <f t="shared" si="106"/>
        <v>25920</v>
      </c>
      <c r="AC305" s="3">
        <f t="shared" si="107"/>
        <v>288000</v>
      </c>
      <c r="AD305" s="3">
        <f t="shared" si="108"/>
        <v>108000</v>
      </c>
      <c r="AE305" s="5">
        <f t="shared" si="109"/>
        <v>3.5087719298245612</v>
      </c>
      <c r="AF305" s="10">
        <f t="shared" si="110"/>
        <v>160704</v>
      </c>
      <c r="AG305" s="10">
        <f t="shared" si="111"/>
        <v>51840</v>
      </c>
      <c r="AH305" s="10">
        <f t="shared" si="112"/>
        <v>25920</v>
      </c>
      <c r="AI305" s="10">
        <f t="shared" si="113"/>
        <v>12960</v>
      </c>
      <c r="AJ305" s="10">
        <f t="shared" si="114"/>
        <v>7776</v>
      </c>
    </row>
    <row r="306" spans="1:36" x14ac:dyDescent="0.3">
      <c r="A306" t="s">
        <v>1258</v>
      </c>
      <c r="B306" t="s">
        <v>1259</v>
      </c>
      <c r="C306" t="s">
        <v>1260</v>
      </c>
      <c r="D306" t="s">
        <v>14</v>
      </c>
      <c r="E306">
        <v>93906</v>
      </c>
      <c r="F306" t="s">
        <v>15</v>
      </c>
      <c r="G306">
        <v>14</v>
      </c>
      <c r="H306">
        <v>150</v>
      </c>
      <c r="I306" t="str" cm="1">
        <f t="array" ref="I306">_xlfn.IFS(H306&lt;=120,"V1",H306&lt;=150,"V2",H306&lt;=250,"V3", H306&lt;=350, "V4")</f>
        <v>V2</v>
      </c>
      <c r="J306" t="s">
        <v>1261</v>
      </c>
      <c r="K306" t="str">
        <f t="shared" si="92"/>
        <v>36.715699</v>
      </c>
      <c r="L306" t="str">
        <f t="shared" si="93"/>
        <v>-121.653992</v>
      </c>
      <c r="M306">
        <v>29</v>
      </c>
      <c r="N306" s="1">
        <v>43021</v>
      </c>
      <c r="O306" s="1">
        <v>46099</v>
      </c>
      <c r="P306" s="2">
        <f t="shared" si="94"/>
        <v>8.4271047227926079</v>
      </c>
      <c r="Q306" s="2" t="str">
        <f t="shared" si="95"/>
        <v>Old</v>
      </c>
      <c r="R306">
        <f t="shared" si="96"/>
        <v>2100</v>
      </c>
      <c r="S306" t="str">
        <f t="shared" si="97"/>
        <v>Small</v>
      </c>
      <c r="T306" t="str">
        <f t="shared" si="98"/>
        <v>High EV Adoption Corridor</v>
      </c>
      <c r="U306" s="3">
        <f t="shared" si="99"/>
        <v>4504500.0000000009</v>
      </c>
      <c r="V306" s="4">
        <f t="shared" si="100"/>
        <v>1008000</v>
      </c>
      <c r="W306" s="3">
        <f t="shared" si="101"/>
        <v>11550000.000000002</v>
      </c>
      <c r="X306" s="3">
        <f t="shared" si="102"/>
        <v>9450000</v>
      </c>
      <c r="Y306">
        <f t="shared" si="103"/>
        <v>0.22888888888888889</v>
      </c>
      <c r="Z306">
        <f t="shared" si="104"/>
        <v>0.77622377622377625</v>
      </c>
      <c r="AA306" t="str">
        <f t="shared" si="105"/>
        <v>Tier 3 - Upgrade Pipeline</v>
      </c>
      <c r="AB306" s="3">
        <f t="shared" si="106"/>
        <v>72000</v>
      </c>
      <c r="AC306" s="3">
        <f t="shared" si="107"/>
        <v>825000.00000000012</v>
      </c>
      <c r="AD306" s="3">
        <f t="shared" si="108"/>
        <v>321750.00000000006</v>
      </c>
      <c r="AE306" s="5">
        <f t="shared" si="109"/>
        <v>3.303303303303303</v>
      </c>
      <c r="AF306" s="10">
        <f t="shared" si="110"/>
        <v>624960</v>
      </c>
      <c r="AG306" s="10">
        <f t="shared" si="111"/>
        <v>201600</v>
      </c>
      <c r="AH306" s="10">
        <f t="shared" si="112"/>
        <v>100800</v>
      </c>
      <c r="AI306" s="10">
        <f t="shared" si="113"/>
        <v>50400</v>
      </c>
      <c r="AJ306" s="10">
        <f t="shared" si="114"/>
        <v>30240</v>
      </c>
    </row>
    <row r="307" spans="1:36" x14ac:dyDescent="0.3">
      <c r="A307" t="s">
        <v>1262</v>
      </c>
      <c r="B307" t="s">
        <v>1263</v>
      </c>
      <c r="C307" t="s">
        <v>1264</v>
      </c>
      <c r="D307" t="s">
        <v>765</v>
      </c>
      <c r="E307">
        <v>38901</v>
      </c>
      <c r="F307" t="s">
        <v>15</v>
      </c>
      <c r="G307">
        <v>8</v>
      </c>
      <c r="H307">
        <v>150</v>
      </c>
      <c r="I307" t="str" cm="1">
        <f t="array" ref="I307">_xlfn.IFS(H307&lt;=120,"V1",H307&lt;=150,"V2",H307&lt;=250,"V3", H307&lt;=350, "V4")</f>
        <v>V2</v>
      </c>
      <c r="J307" t="s">
        <v>1265</v>
      </c>
      <c r="K307" t="str">
        <f t="shared" si="92"/>
        <v>33.787384</v>
      </c>
      <c r="L307" t="str">
        <f t="shared" si="93"/>
        <v>-89.849614</v>
      </c>
      <c r="M307">
        <v>87</v>
      </c>
      <c r="N307" s="1">
        <v>42924</v>
      </c>
      <c r="O307" s="1">
        <v>46099</v>
      </c>
      <c r="P307" s="2">
        <f t="shared" si="94"/>
        <v>8.6926762491444212</v>
      </c>
      <c r="Q307" s="2" t="str">
        <f t="shared" si="95"/>
        <v>Old</v>
      </c>
      <c r="R307">
        <f t="shared" si="96"/>
        <v>1200</v>
      </c>
      <c r="S307" t="str">
        <f t="shared" si="97"/>
        <v>Small</v>
      </c>
      <c r="T307" t="str">
        <f t="shared" si="98"/>
        <v>Lower EV Adoption Corridor</v>
      </c>
      <c r="U307" s="3">
        <f t="shared" si="99"/>
        <v>1980000.0000000002</v>
      </c>
      <c r="V307" s="4">
        <f t="shared" si="100"/>
        <v>480000</v>
      </c>
      <c r="W307" s="3">
        <f t="shared" si="101"/>
        <v>6000000</v>
      </c>
      <c r="X307" s="3">
        <f t="shared" si="102"/>
        <v>3600000</v>
      </c>
      <c r="Y307">
        <f t="shared" si="103"/>
        <v>0.3</v>
      </c>
      <c r="Z307">
        <f t="shared" si="104"/>
        <v>0.75757575757575757</v>
      </c>
      <c r="AA307" t="str">
        <f t="shared" si="105"/>
        <v>Tier 4 - Stable Network</v>
      </c>
      <c r="AB307" s="3">
        <f t="shared" si="106"/>
        <v>60000</v>
      </c>
      <c r="AC307" s="3">
        <f t="shared" si="107"/>
        <v>750000</v>
      </c>
      <c r="AD307" s="3">
        <f t="shared" si="108"/>
        <v>247500.00000000003</v>
      </c>
      <c r="AE307" s="5">
        <f t="shared" si="109"/>
        <v>3.9999999999999996</v>
      </c>
      <c r="AF307" s="10">
        <f t="shared" si="110"/>
        <v>297600</v>
      </c>
      <c r="AG307" s="10">
        <f t="shared" si="111"/>
        <v>96000</v>
      </c>
      <c r="AH307" s="10">
        <f t="shared" si="112"/>
        <v>48000</v>
      </c>
      <c r="AI307" s="10">
        <f t="shared" si="113"/>
        <v>24000</v>
      </c>
      <c r="AJ307" s="10">
        <f t="shared" si="114"/>
        <v>14400</v>
      </c>
    </row>
    <row r="308" spans="1:36" x14ac:dyDescent="0.3">
      <c r="A308" t="s">
        <v>1266</v>
      </c>
      <c r="B308" t="s">
        <v>1267</v>
      </c>
      <c r="C308" t="s">
        <v>1268</v>
      </c>
      <c r="D308" t="s">
        <v>913</v>
      </c>
      <c r="E308">
        <v>21502</v>
      </c>
      <c r="F308" t="s">
        <v>15</v>
      </c>
      <c r="G308">
        <v>8</v>
      </c>
      <c r="H308">
        <v>120</v>
      </c>
      <c r="I308" t="str" cm="1">
        <f t="array" ref="I308">_xlfn.IFS(H308&lt;=120,"V1",H308&lt;=150,"V2",H308&lt;=250,"V3", H308&lt;=350, "V4")</f>
        <v>V1</v>
      </c>
      <c r="J308" t="s">
        <v>1269</v>
      </c>
      <c r="K308" t="str">
        <f t="shared" si="92"/>
        <v>39.63626</v>
      </c>
      <c r="L308" t="str">
        <f t="shared" si="93"/>
        <v>-78.845748</v>
      </c>
      <c r="M308">
        <v>331</v>
      </c>
      <c r="N308" s="1">
        <v>42979</v>
      </c>
      <c r="O308" s="1">
        <v>46099</v>
      </c>
      <c r="P308" s="2">
        <f t="shared" si="94"/>
        <v>8.5420944558521565</v>
      </c>
      <c r="Q308" s="2" t="str">
        <f t="shared" si="95"/>
        <v>Old</v>
      </c>
      <c r="R308">
        <f t="shared" si="96"/>
        <v>960</v>
      </c>
      <c r="S308" t="str">
        <f t="shared" si="97"/>
        <v>Small</v>
      </c>
      <c r="T308" t="str">
        <f t="shared" si="98"/>
        <v>Lower EV Adoption Corridor</v>
      </c>
      <c r="U308" s="3">
        <f t="shared" si="99"/>
        <v>1440000</v>
      </c>
      <c r="V308" s="4">
        <f t="shared" si="100"/>
        <v>345600</v>
      </c>
      <c r="W308" s="3">
        <f t="shared" si="101"/>
        <v>3840000</v>
      </c>
      <c r="X308" s="3">
        <f t="shared" si="102"/>
        <v>2592000</v>
      </c>
      <c r="Y308">
        <f t="shared" si="103"/>
        <v>0.2814814814814815</v>
      </c>
      <c r="Z308">
        <f t="shared" si="104"/>
        <v>0.76</v>
      </c>
      <c r="AA308" t="str">
        <f t="shared" si="105"/>
        <v>Tier 5 - Retirement Pipeline</v>
      </c>
      <c r="AB308" s="3">
        <f t="shared" si="106"/>
        <v>43200</v>
      </c>
      <c r="AC308" s="3">
        <f t="shared" si="107"/>
        <v>480000</v>
      </c>
      <c r="AD308" s="3">
        <f t="shared" si="108"/>
        <v>180000</v>
      </c>
      <c r="AE308" s="5">
        <f t="shared" si="109"/>
        <v>3.5087719298245612</v>
      </c>
      <c r="AF308" s="10">
        <f t="shared" si="110"/>
        <v>214272</v>
      </c>
      <c r="AG308" s="10">
        <f t="shared" si="111"/>
        <v>69120</v>
      </c>
      <c r="AH308" s="10">
        <f t="shared" si="112"/>
        <v>34560</v>
      </c>
      <c r="AI308" s="10">
        <f t="shared" si="113"/>
        <v>17280</v>
      </c>
      <c r="AJ308" s="10">
        <f t="shared" si="114"/>
        <v>10368</v>
      </c>
    </row>
    <row r="309" spans="1:36" x14ac:dyDescent="0.3">
      <c r="A309" t="s">
        <v>1270</v>
      </c>
      <c r="B309" t="s">
        <v>1271</v>
      </c>
      <c r="C309" t="s">
        <v>1272</v>
      </c>
      <c r="D309" t="s">
        <v>321</v>
      </c>
      <c r="E309">
        <v>1453</v>
      </c>
      <c r="F309" t="s">
        <v>15</v>
      </c>
      <c r="G309">
        <v>8</v>
      </c>
      <c r="H309">
        <v>150</v>
      </c>
      <c r="I309" t="str" cm="1">
        <f t="array" ref="I309">_xlfn.IFS(H309&lt;=120,"V1",H309&lt;=150,"V2",H309&lt;=250,"V3", H309&lt;=350, "V4")</f>
        <v>V2</v>
      </c>
      <c r="J309" t="s">
        <v>1273</v>
      </c>
      <c r="K309" t="str">
        <f t="shared" si="92"/>
        <v>42.529798</v>
      </c>
      <c r="L309" t="str">
        <f t="shared" si="93"/>
        <v>-71.744151</v>
      </c>
      <c r="M309">
        <v>91</v>
      </c>
      <c r="N309" s="1">
        <v>43082</v>
      </c>
      <c r="O309" s="1">
        <v>46099</v>
      </c>
      <c r="P309" s="2">
        <f t="shared" si="94"/>
        <v>8.2600958247775491</v>
      </c>
      <c r="Q309" s="2" t="str">
        <f t="shared" si="95"/>
        <v>Old</v>
      </c>
      <c r="R309">
        <f t="shared" si="96"/>
        <v>1200</v>
      </c>
      <c r="S309" t="str">
        <f t="shared" si="97"/>
        <v>Small</v>
      </c>
      <c r="T309" t="str">
        <f t="shared" si="98"/>
        <v>Lower EV Adoption Corridor</v>
      </c>
      <c r="U309" s="3">
        <f t="shared" si="99"/>
        <v>1980000.0000000002</v>
      </c>
      <c r="V309" s="4">
        <f t="shared" si="100"/>
        <v>480000</v>
      </c>
      <c r="W309" s="3">
        <f t="shared" si="101"/>
        <v>6000000</v>
      </c>
      <c r="X309" s="3">
        <f t="shared" si="102"/>
        <v>3600000</v>
      </c>
      <c r="Y309">
        <f t="shared" si="103"/>
        <v>0.3</v>
      </c>
      <c r="Z309">
        <f t="shared" si="104"/>
        <v>0.75757575757575757</v>
      </c>
      <c r="AA309" t="str">
        <f t="shared" si="105"/>
        <v>Tier 4 - Stable Network</v>
      </c>
      <c r="AB309" s="3">
        <f t="shared" si="106"/>
        <v>60000</v>
      </c>
      <c r="AC309" s="3">
        <f t="shared" si="107"/>
        <v>750000</v>
      </c>
      <c r="AD309" s="3">
        <f t="shared" si="108"/>
        <v>247500.00000000003</v>
      </c>
      <c r="AE309" s="5">
        <f t="shared" si="109"/>
        <v>3.9999999999999996</v>
      </c>
      <c r="AF309" s="10">
        <f t="shared" si="110"/>
        <v>297600</v>
      </c>
      <c r="AG309" s="10">
        <f t="shared" si="111"/>
        <v>96000</v>
      </c>
      <c r="AH309" s="10">
        <f t="shared" si="112"/>
        <v>48000</v>
      </c>
      <c r="AI309" s="10">
        <f t="shared" si="113"/>
        <v>24000</v>
      </c>
      <c r="AJ309" s="10">
        <f t="shared" si="114"/>
        <v>14400</v>
      </c>
    </row>
    <row r="310" spans="1:36" x14ac:dyDescent="0.3">
      <c r="A310" t="s">
        <v>1274</v>
      </c>
      <c r="B310" t="s">
        <v>1275</v>
      </c>
      <c r="C310" t="s">
        <v>1276</v>
      </c>
      <c r="D310" t="s">
        <v>50</v>
      </c>
      <c r="E310">
        <v>78501</v>
      </c>
      <c r="F310" t="s">
        <v>15</v>
      </c>
      <c r="G310">
        <v>8</v>
      </c>
      <c r="H310">
        <v>150</v>
      </c>
      <c r="I310" t="str" cm="1">
        <f t="array" ref="I310">_xlfn.IFS(H310&lt;=120,"V1",H310&lt;=150,"V2",H310&lt;=250,"V3", H310&lt;=350, "V4")</f>
        <v>V2</v>
      </c>
      <c r="J310" t="s">
        <v>1277</v>
      </c>
      <c r="K310" t="str">
        <f t="shared" si="92"/>
        <v>26.198443</v>
      </c>
      <c r="L310" t="str">
        <f t="shared" si="93"/>
        <v>-98.259839</v>
      </c>
      <c r="M310">
        <v>34</v>
      </c>
      <c r="N310" s="1">
        <v>42944</v>
      </c>
      <c r="O310" s="1">
        <v>46099</v>
      </c>
      <c r="P310" s="2">
        <f t="shared" si="94"/>
        <v>8.6379192334017798</v>
      </c>
      <c r="Q310" s="2" t="str">
        <f t="shared" si="95"/>
        <v>Old</v>
      </c>
      <c r="R310">
        <f t="shared" si="96"/>
        <v>1200</v>
      </c>
      <c r="S310" t="str">
        <f t="shared" si="97"/>
        <v>Small</v>
      </c>
      <c r="T310" t="str">
        <f t="shared" si="98"/>
        <v>High EV Adoption Corridor</v>
      </c>
      <c r="U310" s="3">
        <f t="shared" si="99"/>
        <v>2574000.0000000005</v>
      </c>
      <c r="V310" s="4">
        <f t="shared" si="100"/>
        <v>576000</v>
      </c>
      <c r="W310" s="3">
        <f t="shared" si="101"/>
        <v>6600000.0000000009</v>
      </c>
      <c r="X310" s="3">
        <f t="shared" si="102"/>
        <v>5400000</v>
      </c>
      <c r="Y310">
        <f t="shared" si="103"/>
        <v>0.22888888888888889</v>
      </c>
      <c r="Z310">
        <f t="shared" si="104"/>
        <v>0.77622377622377625</v>
      </c>
      <c r="AA310" t="str">
        <f t="shared" si="105"/>
        <v>Tier 3 - Upgrade Pipeline</v>
      </c>
      <c r="AB310" s="3">
        <f t="shared" si="106"/>
        <v>72000</v>
      </c>
      <c r="AC310" s="3">
        <f t="shared" si="107"/>
        <v>825000.00000000012</v>
      </c>
      <c r="AD310" s="3">
        <f t="shared" si="108"/>
        <v>321750.00000000006</v>
      </c>
      <c r="AE310" s="5">
        <f t="shared" si="109"/>
        <v>3.303303303303303</v>
      </c>
      <c r="AF310" s="10">
        <f t="shared" si="110"/>
        <v>357120</v>
      </c>
      <c r="AG310" s="10">
        <f t="shared" si="111"/>
        <v>115200</v>
      </c>
      <c r="AH310" s="10">
        <f t="shared" si="112"/>
        <v>57600</v>
      </c>
      <c r="AI310" s="10">
        <f t="shared" si="113"/>
        <v>28800</v>
      </c>
      <c r="AJ310" s="10">
        <f t="shared" si="114"/>
        <v>17280</v>
      </c>
    </row>
    <row r="311" spans="1:36" x14ac:dyDescent="0.3">
      <c r="A311" t="s">
        <v>1278</v>
      </c>
      <c r="B311" t="s">
        <v>1279</v>
      </c>
      <c r="C311" t="s">
        <v>1280</v>
      </c>
      <c r="D311" t="s">
        <v>852</v>
      </c>
      <c r="E311">
        <v>7857</v>
      </c>
      <c r="F311" t="s">
        <v>15</v>
      </c>
      <c r="G311">
        <v>8</v>
      </c>
      <c r="H311">
        <v>150</v>
      </c>
      <c r="I311" t="str" cm="1">
        <f t="array" ref="I311">_xlfn.IFS(H311&lt;=120,"V1",H311&lt;=150,"V2",H311&lt;=250,"V3", H311&lt;=350, "V4")</f>
        <v>V2</v>
      </c>
      <c r="J311" t="s">
        <v>1281</v>
      </c>
      <c r="K311" t="str">
        <f t="shared" si="92"/>
        <v>39.941683</v>
      </c>
      <c r="L311" t="str">
        <f t="shared" si="93"/>
        <v>-74.211995</v>
      </c>
      <c r="M311">
        <v>17</v>
      </c>
      <c r="N311" s="1">
        <v>43756</v>
      </c>
      <c r="O311" s="1">
        <v>46099</v>
      </c>
      <c r="P311" s="2">
        <f t="shared" si="94"/>
        <v>6.4147843942505132</v>
      </c>
      <c r="Q311" s="2" t="str">
        <f t="shared" si="95"/>
        <v>Mid</v>
      </c>
      <c r="R311">
        <f t="shared" si="96"/>
        <v>1200</v>
      </c>
      <c r="S311" t="str">
        <f t="shared" si="97"/>
        <v>Small</v>
      </c>
      <c r="T311" t="str">
        <f t="shared" si="98"/>
        <v>High EV Adoption Corridor</v>
      </c>
      <c r="U311" s="3">
        <f t="shared" si="99"/>
        <v>2574000.0000000005</v>
      </c>
      <c r="V311" s="4">
        <f t="shared" si="100"/>
        <v>576000</v>
      </c>
      <c r="W311" s="3">
        <f t="shared" si="101"/>
        <v>6600000.0000000009</v>
      </c>
      <c r="X311" s="3">
        <f t="shared" si="102"/>
        <v>5400000</v>
      </c>
      <c r="Y311">
        <f t="shared" si="103"/>
        <v>0.22888888888888889</v>
      </c>
      <c r="Z311">
        <f t="shared" si="104"/>
        <v>0.77622377622377625</v>
      </c>
      <c r="AA311" t="str">
        <f t="shared" si="105"/>
        <v>Tier 3 - Upgrade Pipeline</v>
      </c>
      <c r="AB311" s="3">
        <f t="shared" si="106"/>
        <v>72000</v>
      </c>
      <c r="AC311" s="3">
        <f t="shared" si="107"/>
        <v>825000.00000000012</v>
      </c>
      <c r="AD311" s="3">
        <f t="shared" si="108"/>
        <v>321750.00000000006</v>
      </c>
      <c r="AE311" s="5">
        <f t="shared" si="109"/>
        <v>3.303303303303303</v>
      </c>
      <c r="AF311" s="10">
        <f t="shared" si="110"/>
        <v>357120</v>
      </c>
      <c r="AG311" s="10">
        <f t="shared" si="111"/>
        <v>115200</v>
      </c>
      <c r="AH311" s="10">
        <f t="shared" si="112"/>
        <v>57600</v>
      </c>
      <c r="AI311" s="10">
        <f t="shared" si="113"/>
        <v>28800</v>
      </c>
      <c r="AJ311" s="10">
        <f t="shared" si="114"/>
        <v>17280</v>
      </c>
    </row>
    <row r="312" spans="1:36" x14ac:dyDescent="0.3">
      <c r="A312" t="s">
        <v>1282</v>
      </c>
      <c r="B312" t="s">
        <v>1283</v>
      </c>
      <c r="C312" t="s">
        <v>1284</v>
      </c>
      <c r="D312" t="s">
        <v>153</v>
      </c>
      <c r="E312">
        <v>15642</v>
      </c>
      <c r="F312" t="s">
        <v>15</v>
      </c>
      <c r="G312">
        <v>8</v>
      </c>
      <c r="H312">
        <v>150</v>
      </c>
      <c r="I312" t="str" cm="1">
        <f t="array" ref="I312">_xlfn.IFS(H312&lt;=120,"V1",H312&lt;=150,"V2",H312&lt;=250,"V3", H312&lt;=350, "V4")</f>
        <v>V2</v>
      </c>
      <c r="J312" t="s">
        <v>1285</v>
      </c>
      <c r="K312" t="str">
        <f t="shared" si="92"/>
        <v>40.314135</v>
      </c>
      <c r="L312" t="str">
        <f t="shared" si="93"/>
        <v>-79.671409</v>
      </c>
      <c r="M312">
        <v>335</v>
      </c>
      <c r="N312" s="1">
        <v>43002</v>
      </c>
      <c r="O312" s="1">
        <v>46099</v>
      </c>
      <c r="P312" s="2">
        <f t="shared" si="94"/>
        <v>8.4791238877481181</v>
      </c>
      <c r="Q312" s="2" t="str">
        <f t="shared" si="95"/>
        <v>Old</v>
      </c>
      <c r="R312">
        <f t="shared" si="96"/>
        <v>1200</v>
      </c>
      <c r="S312" t="str">
        <f t="shared" si="97"/>
        <v>Small</v>
      </c>
      <c r="T312" t="str">
        <f t="shared" si="98"/>
        <v>Lower EV Adoption Corridor</v>
      </c>
      <c r="U312" s="3">
        <f t="shared" si="99"/>
        <v>1980000.0000000002</v>
      </c>
      <c r="V312" s="4">
        <f t="shared" si="100"/>
        <v>480000</v>
      </c>
      <c r="W312" s="3">
        <f t="shared" si="101"/>
        <v>6000000</v>
      </c>
      <c r="X312" s="3">
        <f t="shared" si="102"/>
        <v>3600000</v>
      </c>
      <c r="Y312">
        <f t="shared" si="103"/>
        <v>0.3</v>
      </c>
      <c r="Z312">
        <f t="shared" si="104"/>
        <v>0.75757575757575757</v>
      </c>
      <c r="AA312" t="str">
        <f t="shared" si="105"/>
        <v>Tier 4 - Stable Network</v>
      </c>
      <c r="AB312" s="3">
        <f t="shared" si="106"/>
        <v>60000</v>
      </c>
      <c r="AC312" s="3">
        <f t="shared" si="107"/>
        <v>750000</v>
      </c>
      <c r="AD312" s="3">
        <f t="shared" si="108"/>
        <v>247500.00000000003</v>
      </c>
      <c r="AE312" s="5">
        <f t="shared" si="109"/>
        <v>3.9999999999999996</v>
      </c>
      <c r="AF312" s="10">
        <f t="shared" si="110"/>
        <v>297600</v>
      </c>
      <c r="AG312" s="10">
        <f t="shared" si="111"/>
        <v>96000</v>
      </c>
      <c r="AH312" s="10">
        <f t="shared" si="112"/>
        <v>48000</v>
      </c>
      <c r="AI312" s="10">
        <f t="shared" si="113"/>
        <v>24000</v>
      </c>
      <c r="AJ312" s="10">
        <f t="shared" si="114"/>
        <v>14400</v>
      </c>
    </row>
    <row r="313" spans="1:36" x14ac:dyDescent="0.3">
      <c r="A313" t="s">
        <v>1286</v>
      </c>
      <c r="B313" t="s">
        <v>1287</v>
      </c>
      <c r="C313" t="s">
        <v>1288</v>
      </c>
      <c r="D313" t="s">
        <v>913</v>
      </c>
      <c r="E313">
        <v>21703</v>
      </c>
      <c r="F313" t="s">
        <v>15</v>
      </c>
      <c r="G313">
        <v>10</v>
      </c>
      <c r="H313">
        <v>150</v>
      </c>
      <c r="I313" t="str" cm="1">
        <f t="array" ref="I313">_xlfn.IFS(H313&lt;=120,"V1",H313&lt;=150,"V2",H313&lt;=250,"V3", H313&lt;=350, "V4")</f>
        <v>V2</v>
      </c>
      <c r="J313" t="s">
        <v>1289</v>
      </c>
      <c r="K313" t="str">
        <f t="shared" si="92"/>
        <v>39.384693</v>
      </c>
      <c r="L313" t="str">
        <f t="shared" si="93"/>
        <v>-77.405494</v>
      </c>
      <c r="M313">
        <v>90</v>
      </c>
      <c r="N313" s="1">
        <v>43795</v>
      </c>
      <c r="O313" s="1">
        <v>46099</v>
      </c>
      <c r="P313" s="2">
        <f t="shared" si="94"/>
        <v>6.3080082135523616</v>
      </c>
      <c r="Q313" s="2" t="str">
        <f t="shared" si="95"/>
        <v>Mid</v>
      </c>
      <c r="R313">
        <f t="shared" si="96"/>
        <v>1500</v>
      </c>
      <c r="S313" t="str">
        <f t="shared" si="97"/>
        <v>Small</v>
      </c>
      <c r="T313" t="str">
        <f t="shared" si="98"/>
        <v>Lower EV Adoption Corridor</v>
      </c>
      <c r="U313" s="3">
        <f t="shared" si="99"/>
        <v>2475000</v>
      </c>
      <c r="V313" s="4">
        <f t="shared" si="100"/>
        <v>600000</v>
      </c>
      <c r="W313" s="3">
        <f t="shared" si="101"/>
        <v>7500000</v>
      </c>
      <c r="X313" s="3">
        <f t="shared" si="102"/>
        <v>4500000</v>
      </c>
      <c r="Y313">
        <f t="shared" si="103"/>
        <v>0.3</v>
      </c>
      <c r="Z313">
        <f t="shared" si="104"/>
        <v>0.75757575757575757</v>
      </c>
      <c r="AA313" t="str">
        <f t="shared" si="105"/>
        <v>Tier 4 - Stable Network</v>
      </c>
      <c r="AB313" s="3">
        <f t="shared" si="106"/>
        <v>60000</v>
      </c>
      <c r="AC313" s="3">
        <f t="shared" si="107"/>
        <v>750000</v>
      </c>
      <c r="AD313" s="3">
        <f t="shared" si="108"/>
        <v>247500</v>
      </c>
      <c r="AE313" s="5">
        <f t="shared" si="109"/>
        <v>4</v>
      </c>
      <c r="AF313" s="10">
        <f t="shared" si="110"/>
        <v>372000</v>
      </c>
      <c r="AG313" s="10">
        <f t="shared" si="111"/>
        <v>120000</v>
      </c>
      <c r="AH313" s="10">
        <f t="shared" si="112"/>
        <v>60000</v>
      </c>
      <c r="AI313" s="10">
        <f t="shared" si="113"/>
        <v>30000</v>
      </c>
      <c r="AJ313" s="10">
        <f t="shared" si="114"/>
        <v>18000</v>
      </c>
    </row>
    <row r="314" spans="1:36" x14ac:dyDescent="0.3">
      <c r="A314" t="s">
        <v>1290</v>
      </c>
      <c r="B314" t="s">
        <v>1291</v>
      </c>
      <c r="C314" t="s">
        <v>1292</v>
      </c>
      <c r="D314" t="s">
        <v>41</v>
      </c>
      <c r="E314">
        <v>32060</v>
      </c>
      <c r="F314" t="s">
        <v>15</v>
      </c>
      <c r="G314">
        <v>12</v>
      </c>
      <c r="H314">
        <v>150</v>
      </c>
      <c r="I314" t="str" cm="1">
        <f t="array" ref="I314">_xlfn.IFS(H314&lt;=120,"V1",H314&lt;=150,"V2",H314&lt;=250,"V3", H314&lt;=350, "V4")</f>
        <v>V2</v>
      </c>
      <c r="J314" t="s">
        <v>1293</v>
      </c>
      <c r="K314" t="str">
        <f t="shared" si="92"/>
        <v>30.331363</v>
      </c>
      <c r="L314" t="str">
        <f t="shared" si="93"/>
        <v>-82.961355</v>
      </c>
      <c r="M314">
        <v>38</v>
      </c>
      <c r="N314" s="1">
        <v>42967</v>
      </c>
      <c r="O314" s="1">
        <v>46099</v>
      </c>
      <c r="P314" s="2">
        <f t="shared" si="94"/>
        <v>8.5749486652977414</v>
      </c>
      <c r="Q314" s="2" t="str">
        <f t="shared" si="95"/>
        <v>Old</v>
      </c>
      <c r="R314">
        <f t="shared" si="96"/>
        <v>1800</v>
      </c>
      <c r="S314" t="str">
        <f t="shared" si="97"/>
        <v>Small</v>
      </c>
      <c r="T314" t="str">
        <f t="shared" si="98"/>
        <v>High EV Adoption Corridor</v>
      </c>
      <c r="U314" s="3">
        <f t="shared" si="99"/>
        <v>3861000.0000000009</v>
      </c>
      <c r="V314" s="4">
        <f t="shared" si="100"/>
        <v>864000</v>
      </c>
      <c r="W314" s="3">
        <f t="shared" si="101"/>
        <v>9900000</v>
      </c>
      <c r="X314" s="3">
        <f t="shared" si="102"/>
        <v>8100000</v>
      </c>
      <c r="Y314">
        <f t="shared" si="103"/>
        <v>0.22888888888888889</v>
      </c>
      <c r="Z314">
        <f t="shared" si="104"/>
        <v>0.77622377622377625</v>
      </c>
      <c r="AA314" t="str">
        <f t="shared" si="105"/>
        <v>Tier 3 - Upgrade Pipeline</v>
      </c>
      <c r="AB314" s="3">
        <f t="shared" si="106"/>
        <v>72000</v>
      </c>
      <c r="AC314" s="3">
        <f t="shared" si="107"/>
        <v>825000</v>
      </c>
      <c r="AD314" s="3">
        <f t="shared" si="108"/>
        <v>321750.00000000006</v>
      </c>
      <c r="AE314" s="5">
        <f t="shared" si="109"/>
        <v>3.3033033033033021</v>
      </c>
      <c r="AF314" s="10">
        <f t="shared" si="110"/>
        <v>535680</v>
      </c>
      <c r="AG314" s="10">
        <f t="shared" si="111"/>
        <v>172800</v>
      </c>
      <c r="AH314" s="10">
        <f t="shared" si="112"/>
        <v>86400</v>
      </c>
      <c r="AI314" s="10">
        <f t="shared" si="113"/>
        <v>43200</v>
      </c>
      <c r="AJ314" s="10">
        <f t="shared" si="114"/>
        <v>25920</v>
      </c>
    </row>
    <row r="315" spans="1:36" x14ac:dyDescent="0.3">
      <c r="A315" t="s">
        <v>1294</v>
      </c>
      <c r="B315" t="s">
        <v>1295</v>
      </c>
      <c r="C315" t="s">
        <v>1296</v>
      </c>
      <c r="D315" t="s">
        <v>294</v>
      </c>
      <c r="E315">
        <v>38501</v>
      </c>
      <c r="F315" t="s">
        <v>15</v>
      </c>
      <c r="G315">
        <v>8</v>
      </c>
      <c r="H315">
        <v>120</v>
      </c>
      <c r="I315" t="str" cm="1">
        <f t="array" ref="I315">_xlfn.IFS(H315&lt;=120,"V1",H315&lt;=150,"V2",H315&lt;=250,"V3", H315&lt;=350, "V4")</f>
        <v>V1</v>
      </c>
      <c r="J315" t="s">
        <v>1297</v>
      </c>
      <c r="K315" t="str">
        <f t="shared" si="92"/>
        <v>36.155848</v>
      </c>
      <c r="L315" t="str">
        <f t="shared" si="93"/>
        <v>-85.515211</v>
      </c>
      <c r="M315">
        <v>330</v>
      </c>
      <c r="N315" s="1">
        <v>43031</v>
      </c>
      <c r="O315" s="1">
        <v>46099</v>
      </c>
      <c r="P315" s="2">
        <f t="shared" si="94"/>
        <v>8.3997262149212872</v>
      </c>
      <c r="Q315" s="2" t="str">
        <f t="shared" si="95"/>
        <v>Old</v>
      </c>
      <c r="R315">
        <f t="shared" si="96"/>
        <v>960</v>
      </c>
      <c r="S315" t="str">
        <f t="shared" si="97"/>
        <v>Small</v>
      </c>
      <c r="T315" t="str">
        <f t="shared" si="98"/>
        <v>Lower EV Adoption Corridor</v>
      </c>
      <c r="U315" s="3">
        <f t="shared" si="99"/>
        <v>1440000</v>
      </c>
      <c r="V315" s="4">
        <f t="shared" si="100"/>
        <v>345600</v>
      </c>
      <c r="W315" s="3">
        <f t="shared" si="101"/>
        <v>3840000</v>
      </c>
      <c r="X315" s="3">
        <f t="shared" si="102"/>
        <v>2592000</v>
      </c>
      <c r="Y315">
        <f t="shared" si="103"/>
        <v>0.2814814814814815</v>
      </c>
      <c r="Z315">
        <f t="shared" si="104"/>
        <v>0.76</v>
      </c>
      <c r="AA315" t="str">
        <f t="shared" si="105"/>
        <v>Tier 5 - Retirement Pipeline</v>
      </c>
      <c r="AB315" s="3">
        <f t="shared" si="106"/>
        <v>43200</v>
      </c>
      <c r="AC315" s="3">
        <f t="shared" si="107"/>
        <v>480000</v>
      </c>
      <c r="AD315" s="3">
        <f t="shared" si="108"/>
        <v>180000</v>
      </c>
      <c r="AE315" s="5">
        <f t="shared" si="109"/>
        <v>3.5087719298245612</v>
      </c>
      <c r="AF315" s="10">
        <f t="shared" si="110"/>
        <v>214272</v>
      </c>
      <c r="AG315" s="10">
        <f t="shared" si="111"/>
        <v>69120</v>
      </c>
      <c r="AH315" s="10">
        <f t="shared" si="112"/>
        <v>34560</v>
      </c>
      <c r="AI315" s="10">
        <f t="shared" si="113"/>
        <v>17280</v>
      </c>
      <c r="AJ315" s="10">
        <f t="shared" si="114"/>
        <v>10368</v>
      </c>
    </row>
    <row r="316" spans="1:36" x14ac:dyDescent="0.3">
      <c r="A316" t="s">
        <v>1298</v>
      </c>
      <c r="B316" t="s">
        <v>1299</v>
      </c>
      <c r="C316" t="s">
        <v>1300</v>
      </c>
      <c r="D316" t="s">
        <v>153</v>
      </c>
      <c r="E316">
        <v>15840</v>
      </c>
      <c r="F316" t="s">
        <v>15</v>
      </c>
      <c r="G316">
        <v>8</v>
      </c>
      <c r="H316">
        <v>150</v>
      </c>
      <c r="I316" t="str" cm="1">
        <f t="array" ref="I316">_xlfn.IFS(H316&lt;=120,"V1",H316&lt;=150,"V2",H316&lt;=250,"V3", H316&lt;=350, "V4")</f>
        <v>V2</v>
      </c>
      <c r="J316" t="s">
        <v>1301</v>
      </c>
      <c r="K316" t="str">
        <f t="shared" si="92"/>
        <v>41.14072</v>
      </c>
      <c r="L316" t="str">
        <f t="shared" si="93"/>
        <v>-78.784725</v>
      </c>
      <c r="M316">
        <v>425</v>
      </c>
      <c r="N316" s="1">
        <v>42949</v>
      </c>
      <c r="O316" s="1">
        <v>46099</v>
      </c>
      <c r="P316" s="2">
        <f t="shared" si="94"/>
        <v>8.6242299794661186</v>
      </c>
      <c r="Q316" s="2" t="str">
        <f t="shared" si="95"/>
        <v>Old</v>
      </c>
      <c r="R316">
        <f t="shared" si="96"/>
        <v>1200</v>
      </c>
      <c r="S316" t="str">
        <f t="shared" si="97"/>
        <v>Small</v>
      </c>
      <c r="T316" t="str">
        <f t="shared" si="98"/>
        <v>Lower EV Adoption Corridor</v>
      </c>
      <c r="U316" s="3">
        <f t="shared" si="99"/>
        <v>1980000.0000000002</v>
      </c>
      <c r="V316" s="4">
        <f t="shared" si="100"/>
        <v>480000</v>
      </c>
      <c r="W316" s="3">
        <f t="shared" si="101"/>
        <v>6000000</v>
      </c>
      <c r="X316" s="3">
        <f t="shared" si="102"/>
        <v>3600000</v>
      </c>
      <c r="Y316">
        <f t="shared" si="103"/>
        <v>0.3</v>
      </c>
      <c r="Z316">
        <f t="shared" si="104"/>
        <v>0.75757575757575757</v>
      </c>
      <c r="AA316" t="str">
        <f t="shared" si="105"/>
        <v>Tier 4 - Stable Network</v>
      </c>
      <c r="AB316" s="3">
        <f t="shared" si="106"/>
        <v>60000</v>
      </c>
      <c r="AC316" s="3">
        <f t="shared" si="107"/>
        <v>750000</v>
      </c>
      <c r="AD316" s="3">
        <f t="shared" si="108"/>
        <v>247500.00000000003</v>
      </c>
      <c r="AE316" s="5">
        <f t="shared" si="109"/>
        <v>3.9999999999999996</v>
      </c>
      <c r="AF316" s="10">
        <f t="shared" si="110"/>
        <v>297600</v>
      </c>
      <c r="AG316" s="10">
        <f t="shared" si="111"/>
        <v>96000</v>
      </c>
      <c r="AH316" s="10">
        <f t="shared" si="112"/>
        <v>48000</v>
      </c>
      <c r="AI316" s="10">
        <f t="shared" si="113"/>
        <v>24000</v>
      </c>
      <c r="AJ316" s="10">
        <f t="shared" si="114"/>
        <v>14400</v>
      </c>
    </row>
    <row r="317" spans="1:36" x14ac:dyDescent="0.3">
      <c r="A317" t="s">
        <v>1302</v>
      </c>
      <c r="B317" t="s">
        <v>1303</v>
      </c>
      <c r="C317" t="s">
        <v>1304</v>
      </c>
      <c r="D317" t="s">
        <v>111</v>
      </c>
      <c r="E317">
        <v>56171</v>
      </c>
      <c r="F317" t="s">
        <v>15</v>
      </c>
      <c r="G317">
        <v>8</v>
      </c>
      <c r="H317">
        <v>150</v>
      </c>
      <c r="I317" t="str" cm="1">
        <f t="array" ref="I317">_xlfn.IFS(H317&lt;=120,"V1",H317&lt;=150,"V2",H317&lt;=250,"V3", H317&lt;=350, "V4")</f>
        <v>V2</v>
      </c>
      <c r="J317" t="s">
        <v>1305</v>
      </c>
      <c r="K317" t="str">
        <f t="shared" si="92"/>
        <v>43.66182</v>
      </c>
      <c r="L317" t="str">
        <f t="shared" si="93"/>
        <v>-94.733012</v>
      </c>
      <c r="M317">
        <v>395</v>
      </c>
      <c r="N317" s="1">
        <v>43058</v>
      </c>
      <c r="O317" s="1">
        <v>46099</v>
      </c>
      <c r="P317" s="2">
        <f t="shared" si="94"/>
        <v>8.3258042436687205</v>
      </c>
      <c r="Q317" s="2" t="str">
        <f t="shared" si="95"/>
        <v>Old</v>
      </c>
      <c r="R317">
        <f t="shared" si="96"/>
        <v>1200</v>
      </c>
      <c r="S317" t="str">
        <f t="shared" si="97"/>
        <v>Small</v>
      </c>
      <c r="T317" t="str">
        <f t="shared" si="98"/>
        <v>Lower EV Adoption Corridor</v>
      </c>
      <c r="U317" s="3">
        <f t="shared" si="99"/>
        <v>1980000.0000000002</v>
      </c>
      <c r="V317" s="4">
        <f t="shared" si="100"/>
        <v>480000</v>
      </c>
      <c r="W317" s="3">
        <f t="shared" si="101"/>
        <v>6000000</v>
      </c>
      <c r="X317" s="3">
        <f t="shared" si="102"/>
        <v>3600000</v>
      </c>
      <c r="Y317">
        <f t="shared" si="103"/>
        <v>0.3</v>
      </c>
      <c r="Z317">
        <f t="shared" si="104"/>
        <v>0.75757575757575757</v>
      </c>
      <c r="AA317" t="str">
        <f t="shared" si="105"/>
        <v>Tier 4 - Stable Network</v>
      </c>
      <c r="AB317" s="3">
        <f t="shared" si="106"/>
        <v>60000</v>
      </c>
      <c r="AC317" s="3">
        <f t="shared" si="107"/>
        <v>750000</v>
      </c>
      <c r="AD317" s="3">
        <f t="shared" si="108"/>
        <v>247500.00000000003</v>
      </c>
      <c r="AE317" s="5">
        <f t="shared" si="109"/>
        <v>3.9999999999999996</v>
      </c>
      <c r="AF317" s="10">
        <f t="shared" si="110"/>
        <v>297600</v>
      </c>
      <c r="AG317" s="10">
        <f t="shared" si="111"/>
        <v>96000</v>
      </c>
      <c r="AH317" s="10">
        <f t="shared" si="112"/>
        <v>48000</v>
      </c>
      <c r="AI317" s="10">
        <f t="shared" si="113"/>
        <v>24000</v>
      </c>
      <c r="AJ317" s="10">
        <f t="shared" si="114"/>
        <v>14400</v>
      </c>
    </row>
    <row r="318" spans="1:36" x14ac:dyDescent="0.3">
      <c r="A318" t="s">
        <v>1306</v>
      </c>
      <c r="B318" t="s">
        <v>1307</v>
      </c>
      <c r="C318" t="s">
        <v>1308</v>
      </c>
      <c r="D318" t="s">
        <v>120</v>
      </c>
      <c r="E318">
        <v>57106</v>
      </c>
      <c r="F318" t="s">
        <v>15</v>
      </c>
      <c r="G318">
        <v>8</v>
      </c>
      <c r="H318">
        <v>120</v>
      </c>
      <c r="I318" t="str" cm="1">
        <f t="array" ref="I318">_xlfn.IFS(H318&lt;=120,"V1",H318&lt;=150,"V2",H318&lt;=250,"V3", H318&lt;=350, "V4")</f>
        <v>V1</v>
      </c>
      <c r="J318" t="s">
        <v>1309</v>
      </c>
      <c r="K318" t="str">
        <f t="shared" si="92"/>
        <v>43.527655</v>
      </c>
      <c r="L318" t="str">
        <f t="shared" si="93"/>
        <v>-96.790579</v>
      </c>
      <c r="M318">
        <v>435</v>
      </c>
      <c r="N318" s="1">
        <v>43038</v>
      </c>
      <c r="O318" s="1">
        <v>46099</v>
      </c>
      <c r="P318" s="2">
        <f t="shared" si="94"/>
        <v>8.3805612594113619</v>
      </c>
      <c r="Q318" s="2" t="str">
        <f t="shared" si="95"/>
        <v>Old</v>
      </c>
      <c r="R318">
        <f t="shared" si="96"/>
        <v>960</v>
      </c>
      <c r="S318" t="str">
        <f t="shared" si="97"/>
        <v>Small</v>
      </c>
      <c r="T318" t="str">
        <f t="shared" si="98"/>
        <v>Lower EV Adoption Corridor</v>
      </c>
      <c r="U318" s="3">
        <f t="shared" si="99"/>
        <v>1440000</v>
      </c>
      <c r="V318" s="4">
        <f t="shared" si="100"/>
        <v>345600</v>
      </c>
      <c r="W318" s="3">
        <f t="shared" si="101"/>
        <v>3840000</v>
      </c>
      <c r="X318" s="3">
        <f t="shared" si="102"/>
        <v>2592000</v>
      </c>
      <c r="Y318">
        <f t="shared" si="103"/>
        <v>0.2814814814814815</v>
      </c>
      <c r="Z318">
        <f t="shared" si="104"/>
        <v>0.76</v>
      </c>
      <c r="AA318" t="str">
        <f t="shared" si="105"/>
        <v>Tier 5 - Retirement Pipeline</v>
      </c>
      <c r="AB318" s="3">
        <f t="shared" si="106"/>
        <v>43200</v>
      </c>
      <c r="AC318" s="3">
        <f t="shared" si="107"/>
        <v>480000</v>
      </c>
      <c r="AD318" s="3">
        <f t="shared" si="108"/>
        <v>180000</v>
      </c>
      <c r="AE318" s="5">
        <f t="shared" si="109"/>
        <v>3.5087719298245612</v>
      </c>
      <c r="AF318" s="10">
        <f t="shared" si="110"/>
        <v>214272</v>
      </c>
      <c r="AG318" s="10">
        <f t="shared" si="111"/>
        <v>69120</v>
      </c>
      <c r="AH318" s="10">
        <f t="shared" si="112"/>
        <v>34560</v>
      </c>
      <c r="AI318" s="10">
        <f t="shared" si="113"/>
        <v>17280</v>
      </c>
      <c r="AJ318" s="10">
        <f t="shared" si="114"/>
        <v>10368</v>
      </c>
    </row>
    <row r="319" spans="1:36" x14ac:dyDescent="0.3">
      <c r="A319" t="s">
        <v>1310</v>
      </c>
      <c r="B319" t="s">
        <v>1311</v>
      </c>
      <c r="C319" t="s">
        <v>1312</v>
      </c>
      <c r="D319" t="s">
        <v>41</v>
      </c>
      <c r="E319">
        <v>34232</v>
      </c>
      <c r="F319" t="s">
        <v>15</v>
      </c>
      <c r="G319">
        <v>20</v>
      </c>
      <c r="H319">
        <v>150</v>
      </c>
      <c r="I319" t="str" cm="1">
        <f t="array" ref="I319">_xlfn.IFS(H319&lt;=120,"V1",H319&lt;=150,"V2",H319&lt;=250,"V3", H319&lt;=350, "V4")</f>
        <v>V2</v>
      </c>
      <c r="J319" t="s">
        <v>1313</v>
      </c>
      <c r="K319" t="str">
        <f t="shared" si="92"/>
        <v>27.386306</v>
      </c>
      <c r="L319" t="str">
        <f t="shared" si="93"/>
        <v>-82.464377</v>
      </c>
      <c r="M319">
        <v>8</v>
      </c>
      <c r="N319" s="1">
        <v>42966</v>
      </c>
      <c r="O319" s="1">
        <v>46099</v>
      </c>
      <c r="P319" s="2">
        <f t="shared" si="94"/>
        <v>8.5776865160848725</v>
      </c>
      <c r="Q319" s="2" t="str">
        <f t="shared" si="95"/>
        <v>Old</v>
      </c>
      <c r="R319">
        <f t="shared" si="96"/>
        <v>3000</v>
      </c>
      <c r="S319" t="str">
        <f t="shared" si="97"/>
        <v>Small</v>
      </c>
      <c r="T319" t="str">
        <f t="shared" si="98"/>
        <v>High EV Adoption Corridor</v>
      </c>
      <c r="U319" s="3">
        <f t="shared" si="99"/>
        <v>6435000</v>
      </c>
      <c r="V319" s="4">
        <f t="shared" si="100"/>
        <v>1440000</v>
      </c>
      <c r="W319" s="3">
        <f t="shared" si="101"/>
        <v>16500000.000000002</v>
      </c>
      <c r="X319" s="3">
        <f t="shared" si="102"/>
        <v>13500000</v>
      </c>
      <c r="Y319">
        <f t="shared" si="103"/>
        <v>0.22888888888888889</v>
      </c>
      <c r="Z319">
        <f t="shared" si="104"/>
        <v>0.77622377622377625</v>
      </c>
      <c r="AA319" t="str">
        <f t="shared" si="105"/>
        <v>Tier 3 - Upgrade Pipeline</v>
      </c>
      <c r="AB319" s="3">
        <f t="shared" si="106"/>
        <v>72000</v>
      </c>
      <c r="AC319" s="3">
        <f t="shared" si="107"/>
        <v>825000.00000000012</v>
      </c>
      <c r="AD319" s="3">
        <f t="shared" si="108"/>
        <v>321750</v>
      </c>
      <c r="AE319" s="5">
        <f t="shared" si="109"/>
        <v>3.3033033033033035</v>
      </c>
      <c r="AF319" s="10">
        <f t="shared" si="110"/>
        <v>892800</v>
      </c>
      <c r="AG319" s="10">
        <f t="shared" si="111"/>
        <v>288000</v>
      </c>
      <c r="AH319" s="10">
        <f t="shared" si="112"/>
        <v>144000</v>
      </c>
      <c r="AI319" s="10">
        <f t="shared" si="113"/>
        <v>72000</v>
      </c>
      <c r="AJ319" s="10">
        <f t="shared" si="114"/>
        <v>43200</v>
      </c>
    </row>
    <row r="320" spans="1:36" x14ac:dyDescent="0.3">
      <c r="A320" t="s">
        <v>1314</v>
      </c>
      <c r="B320" t="s">
        <v>1315</v>
      </c>
      <c r="C320" t="s">
        <v>1316</v>
      </c>
      <c r="D320" t="s">
        <v>184</v>
      </c>
      <c r="E320">
        <v>43725</v>
      </c>
      <c r="F320" t="s">
        <v>15</v>
      </c>
      <c r="G320">
        <v>8</v>
      </c>
      <c r="H320">
        <v>150</v>
      </c>
      <c r="I320" t="str" cm="1">
        <f t="array" ref="I320">_xlfn.IFS(H320&lt;=120,"V1",H320&lt;=150,"V2",H320&lt;=250,"V3", H320&lt;=350, "V4")</f>
        <v>V2</v>
      </c>
      <c r="J320" t="s">
        <v>1317</v>
      </c>
      <c r="K320" t="str">
        <f t="shared" si="92"/>
        <v>40.003569</v>
      </c>
      <c r="L320" t="str">
        <f t="shared" si="93"/>
        <v>-81.574967</v>
      </c>
      <c r="M320">
        <v>242</v>
      </c>
      <c r="N320" s="1">
        <v>42942</v>
      </c>
      <c r="O320" s="1">
        <v>46099</v>
      </c>
      <c r="P320" s="2">
        <f t="shared" si="94"/>
        <v>8.6433949349760439</v>
      </c>
      <c r="Q320" s="2" t="str">
        <f t="shared" si="95"/>
        <v>Old</v>
      </c>
      <c r="R320">
        <f t="shared" si="96"/>
        <v>1200</v>
      </c>
      <c r="S320" t="str">
        <f t="shared" si="97"/>
        <v>Small</v>
      </c>
      <c r="T320" t="str">
        <f t="shared" si="98"/>
        <v>Lower EV Adoption Corridor</v>
      </c>
      <c r="U320" s="3">
        <f t="shared" si="99"/>
        <v>1980000.0000000002</v>
      </c>
      <c r="V320" s="4">
        <f t="shared" si="100"/>
        <v>480000</v>
      </c>
      <c r="W320" s="3">
        <f t="shared" si="101"/>
        <v>6000000</v>
      </c>
      <c r="X320" s="3">
        <f t="shared" si="102"/>
        <v>3600000</v>
      </c>
      <c r="Y320">
        <f t="shared" si="103"/>
        <v>0.3</v>
      </c>
      <c r="Z320">
        <f t="shared" si="104"/>
        <v>0.75757575757575757</v>
      </c>
      <c r="AA320" t="str">
        <f t="shared" si="105"/>
        <v>Tier 4 - Stable Network</v>
      </c>
      <c r="AB320" s="3">
        <f t="shared" si="106"/>
        <v>60000</v>
      </c>
      <c r="AC320" s="3">
        <f t="shared" si="107"/>
        <v>750000</v>
      </c>
      <c r="AD320" s="3">
        <f t="shared" si="108"/>
        <v>247500.00000000003</v>
      </c>
      <c r="AE320" s="5">
        <f t="shared" si="109"/>
        <v>3.9999999999999996</v>
      </c>
      <c r="AF320" s="10">
        <f t="shared" si="110"/>
        <v>297600</v>
      </c>
      <c r="AG320" s="10">
        <f t="shared" si="111"/>
        <v>96000</v>
      </c>
      <c r="AH320" s="10">
        <f t="shared" si="112"/>
        <v>48000</v>
      </c>
      <c r="AI320" s="10">
        <f t="shared" si="113"/>
        <v>24000</v>
      </c>
      <c r="AJ320" s="10">
        <f t="shared" si="114"/>
        <v>14400</v>
      </c>
    </row>
    <row r="321" spans="1:36" x14ac:dyDescent="0.3">
      <c r="A321" t="s">
        <v>1318</v>
      </c>
      <c r="B321" t="s">
        <v>1319</v>
      </c>
      <c r="C321" t="s">
        <v>1320</v>
      </c>
      <c r="D321" t="s">
        <v>72</v>
      </c>
      <c r="E321">
        <v>86401</v>
      </c>
      <c r="F321" t="s">
        <v>15</v>
      </c>
      <c r="G321">
        <v>16</v>
      </c>
      <c r="H321">
        <v>250</v>
      </c>
      <c r="I321" t="str" cm="1">
        <f t="array" ref="I321">_xlfn.IFS(H321&lt;=120,"V1",H321&lt;=150,"V2",H321&lt;=250,"V3", H321&lt;=350, "V4")</f>
        <v>V3</v>
      </c>
      <c r="J321" t="s">
        <v>1321</v>
      </c>
      <c r="K321" t="str">
        <f t="shared" si="92"/>
        <v>35.189032</v>
      </c>
      <c r="L321" t="str">
        <f t="shared" si="93"/>
        <v>-114.058384</v>
      </c>
      <c r="M321">
        <v>1014</v>
      </c>
      <c r="N321" s="1">
        <v>44583</v>
      </c>
      <c r="O321" s="1">
        <v>46099</v>
      </c>
      <c r="P321" s="2">
        <f t="shared" si="94"/>
        <v>4.1505817932922655</v>
      </c>
      <c r="Q321" s="2" t="str">
        <f t="shared" si="95"/>
        <v>Mid</v>
      </c>
      <c r="R321">
        <f t="shared" si="96"/>
        <v>4000</v>
      </c>
      <c r="S321" t="str">
        <f t="shared" si="97"/>
        <v>Small</v>
      </c>
      <c r="T321" t="str">
        <f t="shared" si="98"/>
        <v>Lower EV Adoption Corridor</v>
      </c>
      <c r="U321" s="3">
        <f t="shared" si="99"/>
        <v>7200000</v>
      </c>
      <c r="V321" s="4">
        <f t="shared" si="100"/>
        <v>1760000.0000000002</v>
      </c>
      <c r="W321" s="3">
        <f t="shared" si="101"/>
        <v>24000000</v>
      </c>
      <c r="X321" s="3">
        <f t="shared" si="102"/>
        <v>13200000.000000002</v>
      </c>
      <c r="Y321">
        <f t="shared" si="103"/>
        <v>0.31515151515151513</v>
      </c>
      <c r="Z321">
        <f t="shared" si="104"/>
        <v>0.75555555555555554</v>
      </c>
      <c r="AA321" t="str">
        <f t="shared" si="105"/>
        <v>Tier 2 - Growth Markets</v>
      </c>
      <c r="AB321" s="3">
        <f t="shared" si="106"/>
        <v>110000.00000000001</v>
      </c>
      <c r="AC321" s="3">
        <f t="shared" si="107"/>
        <v>1500000</v>
      </c>
      <c r="AD321" s="3">
        <f t="shared" si="108"/>
        <v>450000</v>
      </c>
      <c r="AE321" s="5">
        <f t="shared" si="109"/>
        <v>4.4117647058823533</v>
      </c>
      <c r="AF321" s="10">
        <f t="shared" si="110"/>
        <v>1091200.0000000002</v>
      </c>
      <c r="AG321" s="10">
        <f t="shared" si="111"/>
        <v>352000.00000000006</v>
      </c>
      <c r="AH321" s="10">
        <f t="shared" si="112"/>
        <v>176000.00000000003</v>
      </c>
      <c r="AI321" s="10">
        <f t="shared" si="113"/>
        <v>88000.000000000015</v>
      </c>
      <c r="AJ321" s="10">
        <f t="shared" si="114"/>
        <v>52800.000000000007</v>
      </c>
    </row>
    <row r="322" spans="1:36" x14ac:dyDescent="0.3">
      <c r="A322" t="s">
        <v>1322</v>
      </c>
      <c r="B322" t="s">
        <v>1323</v>
      </c>
      <c r="C322" t="s">
        <v>1324</v>
      </c>
      <c r="D322" t="s">
        <v>14</v>
      </c>
      <c r="E322">
        <v>93940</v>
      </c>
      <c r="F322" t="s">
        <v>15</v>
      </c>
      <c r="G322">
        <v>14</v>
      </c>
      <c r="H322">
        <v>250</v>
      </c>
      <c r="I322" t="str" cm="1">
        <f t="array" ref="I322">_xlfn.IFS(H322&lt;=120,"V1",H322&lt;=150,"V2",H322&lt;=250,"V3", H322&lt;=350, "V4")</f>
        <v>V3</v>
      </c>
      <c r="J322" t="s">
        <v>1325</v>
      </c>
      <c r="K322" t="str">
        <f t="shared" si="92"/>
        <v>36.585729</v>
      </c>
      <c r="L322" t="str">
        <f t="shared" si="93"/>
        <v>-121.898765</v>
      </c>
      <c r="M322">
        <v>67</v>
      </c>
      <c r="N322" s="1">
        <v>42957</v>
      </c>
      <c r="O322" s="1">
        <v>46099</v>
      </c>
      <c r="P322" s="2">
        <f t="shared" si="94"/>
        <v>8.602327173169062</v>
      </c>
      <c r="Q322" s="2" t="str">
        <f t="shared" si="95"/>
        <v>Old</v>
      </c>
      <c r="R322">
        <f t="shared" si="96"/>
        <v>3500</v>
      </c>
      <c r="S322" t="str">
        <f t="shared" si="97"/>
        <v>Small</v>
      </c>
      <c r="T322" t="str">
        <f t="shared" si="98"/>
        <v>High EV Adoption Corridor</v>
      </c>
      <c r="U322" s="3">
        <f t="shared" si="99"/>
        <v>8190000</v>
      </c>
      <c r="V322" s="4">
        <f t="shared" si="100"/>
        <v>1848000.0000000002</v>
      </c>
      <c r="W322" s="3">
        <f t="shared" si="101"/>
        <v>23100000.000000004</v>
      </c>
      <c r="X322" s="3">
        <f t="shared" si="102"/>
        <v>17325000.000000004</v>
      </c>
      <c r="Y322">
        <f t="shared" si="103"/>
        <v>0.24</v>
      </c>
      <c r="Z322">
        <f t="shared" si="104"/>
        <v>0.77435897435897438</v>
      </c>
      <c r="AA322" t="str">
        <f t="shared" si="105"/>
        <v>Tier 1 - Priority Fleet</v>
      </c>
      <c r="AB322" s="3">
        <f t="shared" si="106"/>
        <v>132000.00000000003</v>
      </c>
      <c r="AC322" s="3">
        <f t="shared" si="107"/>
        <v>1650000.0000000002</v>
      </c>
      <c r="AD322" s="3">
        <f t="shared" si="108"/>
        <v>585000</v>
      </c>
      <c r="AE322" s="5">
        <f t="shared" si="109"/>
        <v>3.6423841059602653</v>
      </c>
      <c r="AF322" s="10">
        <f t="shared" si="110"/>
        <v>1145760.0000000002</v>
      </c>
      <c r="AG322" s="10">
        <f t="shared" si="111"/>
        <v>369600.00000000006</v>
      </c>
      <c r="AH322" s="10">
        <f t="shared" si="112"/>
        <v>184800.00000000003</v>
      </c>
      <c r="AI322" s="10">
        <f t="shared" si="113"/>
        <v>92400.000000000015</v>
      </c>
      <c r="AJ322" s="10">
        <f t="shared" si="114"/>
        <v>55440.000000000007</v>
      </c>
    </row>
    <row r="323" spans="1:36" x14ac:dyDescent="0.3">
      <c r="A323" t="s">
        <v>1326</v>
      </c>
      <c r="B323" t="s">
        <v>1327</v>
      </c>
      <c r="C323" t="s">
        <v>1328</v>
      </c>
      <c r="D323" t="s">
        <v>14</v>
      </c>
      <c r="E323">
        <v>97035</v>
      </c>
      <c r="F323" t="s">
        <v>15</v>
      </c>
      <c r="G323">
        <v>40</v>
      </c>
      <c r="H323">
        <v>150</v>
      </c>
      <c r="I323" t="str" cm="1">
        <f t="array" ref="I323">_xlfn.IFS(H323&lt;=120,"V1",H323&lt;=150,"V2",H323&lt;=250,"V3", H323&lt;=350, "V4")</f>
        <v>V2</v>
      </c>
      <c r="J323" t="s">
        <v>1329</v>
      </c>
      <c r="K323" t="str">
        <f t="shared" ref="K323:K386" si="115">TRIM(LEFT(J323, FIND(",", J323) - 1))</f>
        <v>35.262495</v>
      </c>
      <c r="L323" t="str">
        <f t="shared" ref="L323:L386" si="116">TRIM(MID(J323, FIND(",", J323) + 1, LEN(J323)))</f>
        <v>-116.08079</v>
      </c>
      <c r="M323">
        <v>283</v>
      </c>
      <c r="N323" s="1">
        <v>43060</v>
      </c>
      <c r="O323" s="1">
        <v>46099</v>
      </c>
      <c r="P323" s="2">
        <f t="shared" ref="P323:P386" si="117">(O323-N323)/365.25</f>
        <v>8.3203285420944564</v>
      </c>
      <c r="Q323" s="2" t="str">
        <f t="shared" ref="Q323:Q386" si="118">IF(P323&lt;3,"New",IF(P323&lt;=8,"Mid","Old"))</f>
        <v>Old</v>
      </c>
      <c r="R323">
        <f t="shared" ref="R323:R386" si="119">G323*H323</f>
        <v>6000</v>
      </c>
      <c r="S323" t="str">
        <f t="shared" ref="S323:S386" si="120">IF(G323&lt;=30,"Small",IF(G323&lt;=60,"Medium","Large"))</f>
        <v>Medium</v>
      </c>
      <c r="T323" t="str">
        <f t="shared" ref="T323:T386" si="121">IF(OR(D323="CA",D323="FL",D323="WA",D323="CO",D323="TX",D323="NJ"),"High EV Adoption Corridor","Lower EV Adoption Corridor")</f>
        <v>High EV Adoption Corridor</v>
      </c>
      <c r="U323" s="3">
        <f t="shared" ref="U323:U386" si="122" xml:space="preserve"> R323 * 1500 *
  IF(I323="V1",1,
     IF(I323="V2",1.1,1.2)) *
  IF(T323="High EV Adoption Corridor",1.3,1)</f>
        <v>12870000</v>
      </c>
      <c r="V323" s="4">
        <f t="shared" ref="V323:V386" si="123" xml:space="preserve"> R323 * 400 *
  IF(I323="V1",0.9,
     IF(I323="V2",1,1.1)) *
  IF(T323="High EV Adoption Corridor",1.2,1)</f>
        <v>2880000</v>
      </c>
      <c r="W323" s="3">
        <f t="shared" ref="W323:W386" si="124" xml:space="preserve"> R323 * 5000 *
  IF(I323="V1",0.8,
     IF(I323="V2",1,1.2)) *
  IF(T323="High EV Adoption Corridor",1.1,1)</f>
        <v>33000000.000000004</v>
      </c>
      <c r="X323" s="3">
        <f t="shared" ref="X323:X386" si="125" xml:space="preserve"> R323 * 3000 *
  IF(I323="V1",0.9,
     IF(I323="V2",1,1.1)) *
  IF(T323="High EV Adoption Corridor",1.5,1)</f>
        <v>27000000</v>
      </c>
      <c r="Y323">
        <f t="shared" ref="Y323:Y386" si="126" xml:space="preserve"> ((W323/10) + V323) / X323</f>
        <v>0.22888888888888889</v>
      </c>
      <c r="Z323">
        <f t="shared" ref="Z323:Z386" si="127">(U323-V323)/U323</f>
        <v>0.77622377622377625</v>
      </c>
      <c r="AA323" t="str">
        <f t="shared" ref="AA323:AA386" si="128">IF(AND(I323="V3",T323="High EV Adoption Corridor"),
"Tier 1 - Priority Fleet",
IF(AND(I323="V3",T323="Lower EV Adoption Corridor"),
"Tier 2 - Growth Markets",
IF(AND(OR(I323="V1",I323="V2"),T323="High EV Adoption Corridor"),
"Tier 3 - Upgrade Pipeline",
IF(AND(I323="V2",T323="Lower EV Adoption Corridor"),
"Tier 4 - Stable Network",
"Tier 5 - Retirement Pipeline"))))</f>
        <v>Tier 3 - Upgrade Pipeline</v>
      </c>
      <c r="AB323" s="3">
        <f t="shared" ref="AB323:AB386" si="129">V323/G323</f>
        <v>72000</v>
      </c>
      <c r="AC323" s="3">
        <f t="shared" ref="AC323:AC386" si="130">W323/G323</f>
        <v>825000.00000000012</v>
      </c>
      <c r="AD323" s="3">
        <f t="shared" ref="AD323:AD386" si="131">U323/G323</f>
        <v>321750</v>
      </c>
      <c r="AE323" s="5">
        <f t="shared" ref="AE323:AE386" si="132">W323/(U323-V323)</f>
        <v>3.3033033033033035</v>
      </c>
      <c r="AF323" s="10">
        <f t="shared" ref="AF323:AF386" si="133">V323*0.62</f>
        <v>1785600</v>
      </c>
      <c r="AG323" s="10">
        <f t="shared" ref="AG323:AG386" si="134">V323*0.2</f>
        <v>576000</v>
      </c>
      <c r="AH323" s="10">
        <f t="shared" ref="AH323:AH386" si="135">V323*0.1</f>
        <v>288000</v>
      </c>
      <c r="AI323" s="10">
        <f t="shared" ref="AI323:AI386" si="136">V323*0.05</f>
        <v>144000</v>
      </c>
      <c r="AJ323" s="10">
        <f t="shared" ref="AJ323:AJ386" si="137">V323*0.03</f>
        <v>86400</v>
      </c>
    </row>
    <row r="324" spans="1:36" x14ac:dyDescent="0.3">
      <c r="A324" t="s">
        <v>1330</v>
      </c>
      <c r="B324" t="s">
        <v>1331</v>
      </c>
      <c r="C324" t="s">
        <v>1332</v>
      </c>
      <c r="D324" t="s">
        <v>433</v>
      </c>
      <c r="E324">
        <v>89449</v>
      </c>
      <c r="F324" t="s">
        <v>15</v>
      </c>
      <c r="G324">
        <v>14</v>
      </c>
      <c r="H324">
        <v>150</v>
      </c>
      <c r="I324" t="str" cm="1">
        <f t="array" ref="I324">_xlfn.IFS(H324&lt;=120,"V1",H324&lt;=150,"V2",H324&lt;=250,"V3", H324&lt;=350, "V4")</f>
        <v>V2</v>
      </c>
      <c r="J324" t="s">
        <v>1333</v>
      </c>
      <c r="K324" t="str">
        <f t="shared" si="115"/>
        <v>38.963471</v>
      </c>
      <c r="L324" t="str">
        <f t="shared" si="116"/>
        <v>-119.940651</v>
      </c>
      <c r="M324">
        <v>1896</v>
      </c>
      <c r="N324" s="1">
        <v>42972</v>
      </c>
      <c r="O324" s="1">
        <v>46099</v>
      </c>
      <c r="P324" s="2">
        <f t="shared" si="117"/>
        <v>8.5612594113620801</v>
      </c>
      <c r="Q324" s="2" t="str">
        <f t="shared" si="118"/>
        <v>Old</v>
      </c>
      <c r="R324">
        <f t="shared" si="119"/>
        <v>2100</v>
      </c>
      <c r="S324" t="str">
        <f t="shared" si="120"/>
        <v>Small</v>
      </c>
      <c r="T324" t="str">
        <f t="shared" si="121"/>
        <v>Lower EV Adoption Corridor</v>
      </c>
      <c r="U324" s="3">
        <f t="shared" si="122"/>
        <v>3465000.0000000005</v>
      </c>
      <c r="V324" s="4">
        <f t="shared" si="123"/>
        <v>840000</v>
      </c>
      <c r="W324" s="3">
        <f t="shared" si="124"/>
        <v>10500000</v>
      </c>
      <c r="X324" s="3">
        <f t="shared" si="125"/>
        <v>6300000</v>
      </c>
      <c r="Y324">
        <f t="shared" si="126"/>
        <v>0.3</v>
      </c>
      <c r="Z324">
        <f t="shared" si="127"/>
        <v>0.75757575757575757</v>
      </c>
      <c r="AA324" t="str">
        <f t="shared" si="128"/>
        <v>Tier 4 - Stable Network</v>
      </c>
      <c r="AB324" s="3">
        <f t="shared" si="129"/>
        <v>60000</v>
      </c>
      <c r="AC324" s="3">
        <f t="shared" si="130"/>
        <v>750000</v>
      </c>
      <c r="AD324" s="3">
        <f t="shared" si="131"/>
        <v>247500.00000000003</v>
      </c>
      <c r="AE324" s="5">
        <f t="shared" si="132"/>
        <v>3.9999999999999991</v>
      </c>
      <c r="AF324" s="10">
        <f t="shared" si="133"/>
        <v>520800</v>
      </c>
      <c r="AG324" s="10">
        <f t="shared" si="134"/>
        <v>168000</v>
      </c>
      <c r="AH324" s="10">
        <f t="shared" si="135"/>
        <v>84000</v>
      </c>
      <c r="AI324" s="10">
        <f t="shared" si="136"/>
        <v>42000</v>
      </c>
      <c r="AJ324" s="10">
        <f t="shared" si="137"/>
        <v>25200</v>
      </c>
    </row>
    <row r="325" spans="1:36" x14ac:dyDescent="0.3">
      <c r="A325" t="s">
        <v>1334</v>
      </c>
      <c r="B325" t="s">
        <v>1335</v>
      </c>
      <c r="C325" t="s">
        <v>1336</v>
      </c>
      <c r="D325" t="s">
        <v>41</v>
      </c>
      <c r="E325">
        <v>32701</v>
      </c>
      <c r="F325" t="s">
        <v>15</v>
      </c>
      <c r="G325">
        <v>8</v>
      </c>
      <c r="H325">
        <v>120</v>
      </c>
      <c r="I325" t="str" cm="1">
        <f t="array" ref="I325">_xlfn.IFS(H325&lt;=120,"V1",H325&lt;=150,"V2",H325&lt;=250,"V3", H325&lt;=350, "V4")</f>
        <v>V1</v>
      </c>
      <c r="J325" t="s">
        <v>1337</v>
      </c>
      <c r="K325" t="str">
        <f t="shared" si="115"/>
        <v>28.664414</v>
      </c>
      <c r="L325" t="str">
        <f t="shared" si="116"/>
        <v>-81.380274</v>
      </c>
      <c r="M325">
        <v>25</v>
      </c>
      <c r="N325" s="1">
        <v>43247</v>
      </c>
      <c r="O325" s="1">
        <v>46099</v>
      </c>
      <c r="P325" s="2">
        <f t="shared" si="117"/>
        <v>7.8083504449007526</v>
      </c>
      <c r="Q325" s="2" t="str">
        <f t="shared" si="118"/>
        <v>Mid</v>
      </c>
      <c r="R325">
        <f t="shared" si="119"/>
        <v>960</v>
      </c>
      <c r="S325" t="str">
        <f t="shared" si="120"/>
        <v>Small</v>
      </c>
      <c r="T325" t="str">
        <f t="shared" si="121"/>
        <v>High EV Adoption Corridor</v>
      </c>
      <c r="U325" s="3">
        <f t="shared" si="122"/>
        <v>1872000</v>
      </c>
      <c r="V325" s="4">
        <f t="shared" si="123"/>
        <v>414720</v>
      </c>
      <c r="W325" s="3">
        <f t="shared" si="124"/>
        <v>4224000</v>
      </c>
      <c r="X325" s="3">
        <f t="shared" si="125"/>
        <v>3888000</v>
      </c>
      <c r="Y325">
        <f t="shared" si="126"/>
        <v>0.21530864197530863</v>
      </c>
      <c r="Z325">
        <f t="shared" si="127"/>
        <v>0.77846153846153843</v>
      </c>
      <c r="AA325" t="str">
        <f t="shared" si="128"/>
        <v>Tier 3 - Upgrade Pipeline</v>
      </c>
      <c r="AB325" s="3">
        <f t="shared" si="129"/>
        <v>51840</v>
      </c>
      <c r="AC325" s="3">
        <f t="shared" si="130"/>
        <v>528000</v>
      </c>
      <c r="AD325" s="3">
        <f t="shared" si="131"/>
        <v>234000</v>
      </c>
      <c r="AE325" s="5">
        <f t="shared" si="132"/>
        <v>2.8985507246376812</v>
      </c>
      <c r="AF325" s="10">
        <f t="shared" si="133"/>
        <v>257126.39999999999</v>
      </c>
      <c r="AG325" s="10">
        <f t="shared" si="134"/>
        <v>82944</v>
      </c>
      <c r="AH325" s="10">
        <f t="shared" si="135"/>
        <v>41472</v>
      </c>
      <c r="AI325" s="10">
        <f t="shared" si="136"/>
        <v>20736</v>
      </c>
      <c r="AJ325" s="10">
        <f t="shared" si="137"/>
        <v>12441.6</v>
      </c>
    </row>
    <row r="326" spans="1:36" x14ac:dyDescent="0.3">
      <c r="A326" t="s">
        <v>1338</v>
      </c>
      <c r="B326" t="s">
        <v>1339</v>
      </c>
      <c r="C326" t="s">
        <v>1340</v>
      </c>
      <c r="D326" t="s">
        <v>294</v>
      </c>
      <c r="E326">
        <v>37055</v>
      </c>
      <c r="F326" t="s">
        <v>15</v>
      </c>
      <c r="G326">
        <v>8</v>
      </c>
      <c r="H326">
        <v>150</v>
      </c>
      <c r="I326" t="str" cm="1">
        <f t="array" ref="I326">_xlfn.IFS(H326&lt;=120,"V1",H326&lt;=150,"V2",H326&lt;=250,"V3", H326&lt;=350, "V4")</f>
        <v>V2</v>
      </c>
      <c r="J326" t="s">
        <v>1341</v>
      </c>
      <c r="K326" t="str">
        <f t="shared" si="115"/>
        <v>36.018349</v>
      </c>
      <c r="L326" t="str">
        <f t="shared" si="116"/>
        <v>-87.332955</v>
      </c>
      <c r="M326">
        <v>262</v>
      </c>
      <c r="N326" s="1">
        <v>42998</v>
      </c>
      <c r="O326" s="1">
        <v>46099</v>
      </c>
      <c r="P326" s="2">
        <f t="shared" si="117"/>
        <v>8.4900752908966464</v>
      </c>
      <c r="Q326" s="2" t="str">
        <f t="shared" si="118"/>
        <v>Old</v>
      </c>
      <c r="R326">
        <f t="shared" si="119"/>
        <v>1200</v>
      </c>
      <c r="S326" t="str">
        <f t="shared" si="120"/>
        <v>Small</v>
      </c>
      <c r="T326" t="str">
        <f t="shared" si="121"/>
        <v>Lower EV Adoption Corridor</v>
      </c>
      <c r="U326" s="3">
        <f t="shared" si="122"/>
        <v>1980000.0000000002</v>
      </c>
      <c r="V326" s="4">
        <f t="shared" si="123"/>
        <v>480000</v>
      </c>
      <c r="W326" s="3">
        <f t="shared" si="124"/>
        <v>6000000</v>
      </c>
      <c r="X326" s="3">
        <f t="shared" si="125"/>
        <v>3600000</v>
      </c>
      <c r="Y326">
        <f t="shared" si="126"/>
        <v>0.3</v>
      </c>
      <c r="Z326">
        <f t="shared" si="127"/>
        <v>0.75757575757575757</v>
      </c>
      <c r="AA326" t="str">
        <f t="shared" si="128"/>
        <v>Tier 4 - Stable Network</v>
      </c>
      <c r="AB326" s="3">
        <f t="shared" si="129"/>
        <v>60000</v>
      </c>
      <c r="AC326" s="3">
        <f t="shared" si="130"/>
        <v>750000</v>
      </c>
      <c r="AD326" s="3">
        <f t="shared" si="131"/>
        <v>247500.00000000003</v>
      </c>
      <c r="AE326" s="5">
        <f t="shared" si="132"/>
        <v>3.9999999999999996</v>
      </c>
      <c r="AF326" s="10">
        <f t="shared" si="133"/>
        <v>297600</v>
      </c>
      <c r="AG326" s="10">
        <f t="shared" si="134"/>
        <v>96000</v>
      </c>
      <c r="AH326" s="10">
        <f t="shared" si="135"/>
        <v>48000</v>
      </c>
      <c r="AI326" s="10">
        <f t="shared" si="136"/>
        <v>24000</v>
      </c>
      <c r="AJ326" s="10">
        <f t="shared" si="137"/>
        <v>14400</v>
      </c>
    </row>
    <row r="327" spans="1:36" x14ac:dyDescent="0.3">
      <c r="A327" t="s">
        <v>1342</v>
      </c>
      <c r="B327" t="s">
        <v>1343</v>
      </c>
      <c r="C327" t="s">
        <v>1344</v>
      </c>
      <c r="D327" t="s">
        <v>130</v>
      </c>
      <c r="E327">
        <v>46818</v>
      </c>
      <c r="F327" t="s">
        <v>15</v>
      </c>
      <c r="G327">
        <v>10</v>
      </c>
      <c r="H327">
        <v>150</v>
      </c>
      <c r="I327" t="str" cm="1">
        <f t="array" ref="I327">_xlfn.IFS(H327&lt;=120,"V1",H327&lt;=150,"V2",H327&lt;=250,"V3", H327&lt;=350, "V4")</f>
        <v>V2</v>
      </c>
      <c r="J327" t="s">
        <v>1345</v>
      </c>
      <c r="K327" t="str">
        <f t="shared" si="115"/>
        <v>41.138806</v>
      </c>
      <c r="L327" t="str">
        <f t="shared" si="116"/>
        <v>-85.163548</v>
      </c>
      <c r="M327">
        <v>250</v>
      </c>
      <c r="N327" s="1">
        <v>42986</v>
      </c>
      <c r="O327" s="1">
        <v>46099</v>
      </c>
      <c r="P327" s="2">
        <f t="shared" si="117"/>
        <v>8.5229295003422312</v>
      </c>
      <c r="Q327" s="2" t="str">
        <f t="shared" si="118"/>
        <v>Old</v>
      </c>
      <c r="R327">
        <f t="shared" si="119"/>
        <v>1500</v>
      </c>
      <c r="S327" t="str">
        <f t="shared" si="120"/>
        <v>Small</v>
      </c>
      <c r="T327" t="str">
        <f t="shared" si="121"/>
        <v>Lower EV Adoption Corridor</v>
      </c>
      <c r="U327" s="3">
        <f t="shared" si="122"/>
        <v>2475000</v>
      </c>
      <c r="V327" s="4">
        <f t="shared" si="123"/>
        <v>600000</v>
      </c>
      <c r="W327" s="3">
        <f t="shared" si="124"/>
        <v>7500000</v>
      </c>
      <c r="X327" s="3">
        <f t="shared" si="125"/>
        <v>4500000</v>
      </c>
      <c r="Y327">
        <f t="shared" si="126"/>
        <v>0.3</v>
      </c>
      <c r="Z327">
        <f t="shared" si="127"/>
        <v>0.75757575757575757</v>
      </c>
      <c r="AA327" t="str">
        <f t="shared" si="128"/>
        <v>Tier 4 - Stable Network</v>
      </c>
      <c r="AB327" s="3">
        <f t="shared" si="129"/>
        <v>60000</v>
      </c>
      <c r="AC327" s="3">
        <f t="shared" si="130"/>
        <v>750000</v>
      </c>
      <c r="AD327" s="3">
        <f t="shared" si="131"/>
        <v>247500</v>
      </c>
      <c r="AE327" s="5">
        <f t="shared" si="132"/>
        <v>4</v>
      </c>
      <c r="AF327" s="10">
        <f t="shared" si="133"/>
        <v>372000</v>
      </c>
      <c r="AG327" s="10">
        <f t="shared" si="134"/>
        <v>120000</v>
      </c>
      <c r="AH327" s="10">
        <f t="shared" si="135"/>
        <v>60000</v>
      </c>
      <c r="AI327" s="10">
        <f t="shared" si="136"/>
        <v>30000</v>
      </c>
      <c r="AJ327" s="10">
        <f t="shared" si="137"/>
        <v>18000</v>
      </c>
    </row>
    <row r="328" spans="1:36" x14ac:dyDescent="0.3">
      <c r="A328" t="s">
        <v>1346</v>
      </c>
      <c r="B328" t="s">
        <v>1347</v>
      </c>
      <c r="C328" t="s">
        <v>1348</v>
      </c>
      <c r="D328" t="s">
        <v>41</v>
      </c>
      <c r="E328">
        <v>33782</v>
      </c>
      <c r="F328" t="s">
        <v>15</v>
      </c>
      <c r="G328">
        <v>8</v>
      </c>
      <c r="H328">
        <v>150</v>
      </c>
      <c r="I328" t="str" cm="1">
        <f t="array" ref="I328">_xlfn.IFS(H328&lt;=120,"V1",H328&lt;=150,"V2",H328&lt;=250,"V3", H328&lt;=350, "V4")</f>
        <v>V2</v>
      </c>
      <c r="J328" t="s">
        <v>1349</v>
      </c>
      <c r="K328" t="str">
        <f t="shared" si="115"/>
        <v>27.8461</v>
      </c>
      <c r="L328" t="str">
        <f t="shared" si="116"/>
        <v>-82.678114</v>
      </c>
      <c r="M328">
        <v>4</v>
      </c>
      <c r="N328" s="1">
        <v>42957</v>
      </c>
      <c r="O328" s="1">
        <v>46099</v>
      </c>
      <c r="P328" s="2">
        <f t="shared" si="117"/>
        <v>8.602327173169062</v>
      </c>
      <c r="Q328" s="2" t="str">
        <f t="shared" si="118"/>
        <v>Old</v>
      </c>
      <c r="R328">
        <f t="shared" si="119"/>
        <v>1200</v>
      </c>
      <c r="S328" t="str">
        <f t="shared" si="120"/>
        <v>Small</v>
      </c>
      <c r="T328" t="str">
        <f t="shared" si="121"/>
        <v>High EV Adoption Corridor</v>
      </c>
      <c r="U328" s="3">
        <f t="shared" si="122"/>
        <v>2574000.0000000005</v>
      </c>
      <c r="V328" s="4">
        <f t="shared" si="123"/>
        <v>576000</v>
      </c>
      <c r="W328" s="3">
        <f t="shared" si="124"/>
        <v>6600000.0000000009</v>
      </c>
      <c r="X328" s="3">
        <f t="shared" si="125"/>
        <v>5400000</v>
      </c>
      <c r="Y328">
        <f t="shared" si="126"/>
        <v>0.22888888888888889</v>
      </c>
      <c r="Z328">
        <f t="shared" si="127"/>
        <v>0.77622377622377625</v>
      </c>
      <c r="AA328" t="str">
        <f t="shared" si="128"/>
        <v>Tier 3 - Upgrade Pipeline</v>
      </c>
      <c r="AB328" s="3">
        <f t="shared" si="129"/>
        <v>72000</v>
      </c>
      <c r="AC328" s="3">
        <f t="shared" si="130"/>
        <v>825000.00000000012</v>
      </c>
      <c r="AD328" s="3">
        <f t="shared" si="131"/>
        <v>321750.00000000006</v>
      </c>
      <c r="AE328" s="5">
        <f t="shared" si="132"/>
        <v>3.303303303303303</v>
      </c>
      <c r="AF328" s="10">
        <f t="shared" si="133"/>
        <v>357120</v>
      </c>
      <c r="AG328" s="10">
        <f t="shared" si="134"/>
        <v>115200</v>
      </c>
      <c r="AH328" s="10">
        <f t="shared" si="135"/>
        <v>57600</v>
      </c>
      <c r="AI328" s="10">
        <f t="shared" si="136"/>
        <v>28800</v>
      </c>
      <c r="AJ328" s="10">
        <f t="shared" si="137"/>
        <v>17280</v>
      </c>
    </row>
    <row r="329" spans="1:36" x14ac:dyDescent="0.3">
      <c r="A329" t="s">
        <v>1350</v>
      </c>
      <c r="B329" t="s">
        <v>1351</v>
      </c>
      <c r="C329" t="s">
        <v>1352</v>
      </c>
      <c r="D329" t="s">
        <v>50</v>
      </c>
      <c r="E329">
        <v>76092</v>
      </c>
      <c r="F329" t="s">
        <v>15</v>
      </c>
      <c r="G329">
        <v>10</v>
      </c>
      <c r="H329">
        <v>150</v>
      </c>
      <c r="I329" t="str" cm="1">
        <f t="array" ref="I329">_xlfn.IFS(H329&lt;=120,"V1",H329&lt;=150,"V2",H329&lt;=250,"V3", H329&lt;=350, "V4")</f>
        <v>V2</v>
      </c>
      <c r="J329" t="s">
        <v>1353</v>
      </c>
      <c r="K329" t="str">
        <f t="shared" si="115"/>
        <v>32.943488</v>
      </c>
      <c r="L329" t="str">
        <f t="shared" si="116"/>
        <v>-97.133843</v>
      </c>
      <c r="M329">
        <v>199</v>
      </c>
      <c r="N329" s="1">
        <v>43209</v>
      </c>
      <c r="O329" s="1">
        <v>46099</v>
      </c>
      <c r="P329" s="2">
        <f t="shared" si="117"/>
        <v>7.9123887748117729</v>
      </c>
      <c r="Q329" s="2" t="str">
        <f t="shared" si="118"/>
        <v>Mid</v>
      </c>
      <c r="R329">
        <f t="shared" si="119"/>
        <v>1500</v>
      </c>
      <c r="S329" t="str">
        <f t="shared" si="120"/>
        <v>Small</v>
      </c>
      <c r="T329" t="str">
        <f t="shared" si="121"/>
        <v>High EV Adoption Corridor</v>
      </c>
      <c r="U329" s="3">
        <f t="shared" si="122"/>
        <v>3217500</v>
      </c>
      <c r="V329" s="4">
        <f t="shared" si="123"/>
        <v>720000</v>
      </c>
      <c r="W329" s="3">
        <f t="shared" si="124"/>
        <v>8250000.0000000009</v>
      </c>
      <c r="X329" s="3">
        <f t="shared" si="125"/>
        <v>6750000</v>
      </c>
      <c r="Y329">
        <f t="shared" si="126"/>
        <v>0.22888888888888889</v>
      </c>
      <c r="Z329">
        <f t="shared" si="127"/>
        <v>0.77622377622377625</v>
      </c>
      <c r="AA329" t="str">
        <f t="shared" si="128"/>
        <v>Tier 3 - Upgrade Pipeline</v>
      </c>
      <c r="AB329" s="3">
        <f t="shared" si="129"/>
        <v>72000</v>
      </c>
      <c r="AC329" s="3">
        <f t="shared" si="130"/>
        <v>825000.00000000012</v>
      </c>
      <c r="AD329" s="3">
        <f t="shared" si="131"/>
        <v>321750</v>
      </c>
      <c r="AE329" s="5">
        <f t="shared" si="132"/>
        <v>3.3033033033033035</v>
      </c>
      <c r="AF329" s="10">
        <f t="shared" si="133"/>
        <v>446400</v>
      </c>
      <c r="AG329" s="10">
        <f t="shared" si="134"/>
        <v>144000</v>
      </c>
      <c r="AH329" s="10">
        <f t="shared" si="135"/>
        <v>72000</v>
      </c>
      <c r="AI329" s="10">
        <f t="shared" si="136"/>
        <v>36000</v>
      </c>
      <c r="AJ329" s="10">
        <f t="shared" si="137"/>
        <v>21600</v>
      </c>
    </row>
    <row r="330" spans="1:36" x14ac:dyDescent="0.3">
      <c r="A330" t="s">
        <v>1354</v>
      </c>
      <c r="B330" t="s">
        <v>1355</v>
      </c>
      <c r="C330" t="s">
        <v>1356</v>
      </c>
      <c r="D330" t="s">
        <v>153</v>
      </c>
      <c r="E330">
        <v>17105</v>
      </c>
      <c r="F330" t="s">
        <v>15</v>
      </c>
      <c r="G330">
        <v>8</v>
      </c>
      <c r="H330">
        <v>150</v>
      </c>
      <c r="I330" t="str" cm="1">
        <f t="array" ref="I330">_xlfn.IFS(H330&lt;=120,"V1",H330&lt;=150,"V2",H330&lt;=250,"V3", H330&lt;=350, "V4")</f>
        <v>V2</v>
      </c>
      <c r="J330" t="s">
        <v>1357</v>
      </c>
      <c r="K330" t="str">
        <f t="shared" si="115"/>
        <v>40.233206</v>
      </c>
      <c r="L330" t="str">
        <f t="shared" si="116"/>
        <v>-77.119185</v>
      </c>
      <c r="M330">
        <v>186</v>
      </c>
      <c r="N330" s="1">
        <v>43008</v>
      </c>
      <c r="O330" s="1">
        <v>46099</v>
      </c>
      <c r="P330" s="2">
        <f t="shared" si="117"/>
        <v>8.4626967830253257</v>
      </c>
      <c r="Q330" s="2" t="str">
        <f t="shared" si="118"/>
        <v>Old</v>
      </c>
      <c r="R330">
        <f t="shared" si="119"/>
        <v>1200</v>
      </c>
      <c r="S330" t="str">
        <f t="shared" si="120"/>
        <v>Small</v>
      </c>
      <c r="T330" t="str">
        <f t="shared" si="121"/>
        <v>Lower EV Adoption Corridor</v>
      </c>
      <c r="U330" s="3">
        <f t="shared" si="122"/>
        <v>1980000.0000000002</v>
      </c>
      <c r="V330" s="4">
        <f t="shared" si="123"/>
        <v>480000</v>
      </c>
      <c r="W330" s="3">
        <f t="shared" si="124"/>
        <v>6000000</v>
      </c>
      <c r="X330" s="3">
        <f t="shared" si="125"/>
        <v>3600000</v>
      </c>
      <c r="Y330">
        <f t="shared" si="126"/>
        <v>0.3</v>
      </c>
      <c r="Z330">
        <f t="shared" si="127"/>
        <v>0.75757575757575757</v>
      </c>
      <c r="AA330" t="str">
        <f t="shared" si="128"/>
        <v>Tier 4 - Stable Network</v>
      </c>
      <c r="AB330" s="3">
        <f t="shared" si="129"/>
        <v>60000</v>
      </c>
      <c r="AC330" s="3">
        <f t="shared" si="130"/>
        <v>750000</v>
      </c>
      <c r="AD330" s="3">
        <f t="shared" si="131"/>
        <v>247500.00000000003</v>
      </c>
      <c r="AE330" s="5">
        <f t="shared" si="132"/>
        <v>3.9999999999999996</v>
      </c>
      <c r="AF330" s="10">
        <f t="shared" si="133"/>
        <v>297600</v>
      </c>
      <c r="AG330" s="10">
        <f t="shared" si="134"/>
        <v>96000</v>
      </c>
      <c r="AH330" s="10">
        <f t="shared" si="135"/>
        <v>48000</v>
      </c>
      <c r="AI330" s="10">
        <f t="shared" si="136"/>
        <v>24000</v>
      </c>
      <c r="AJ330" s="10">
        <f t="shared" si="137"/>
        <v>14400</v>
      </c>
    </row>
    <row r="331" spans="1:36" x14ac:dyDescent="0.3">
      <c r="A331" t="s">
        <v>1358</v>
      </c>
      <c r="B331" t="s">
        <v>1359</v>
      </c>
      <c r="C331" t="s">
        <v>1360</v>
      </c>
      <c r="D331" t="s">
        <v>913</v>
      </c>
      <c r="E331">
        <v>20878</v>
      </c>
      <c r="F331" t="s">
        <v>15</v>
      </c>
      <c r="G331">
        <v>12</v>
      </c>
      <c r="H331">
        <v>150</v>
      </c>
      <c r="I331" t="str" cm="1">
        <f t="array" ref="I331">_xlfn.IFS(H331&lt;=120,"V1",H331&lt;=150,"V2",H331&lt;=250,"V3", H331&lt;=350, "V4")</f>
        <v>V2</v>
      </c>
      <c r="J331" t="s">
        <v>1361</v>
      </c>
      <c r="K331" t="str">
        <f t="shared" si="115"/>
        <v>39.118151</v>
      </c>
      <c r="L331" t="str">
        <f t="shared" si="116"/>
        <v>-77.202271</v>
      </c>
      <c r="M331">
        <v>138</v>
      </c>
      <c r="N331" s="1">
        <v>43083</v>
      </c>
      <c r="O331" s="1">
        <v>46099</v>
      </c>
      <c r="P331" s="2">
        <f t="shared" si="117"/>
        <v>8.2573579739904179</v>
      </c>
      <c r="Q331" s="2" t="str">
        <f t="shared" si="118"/>
        <v>Old</v>
      </c>
      <c r="R331">
        <f t="shared" si="119"/>
        <v>1800</v>
      </c>
      <c r="S331" t="str">
        <f t="shared" si="120"/>
        <v>Small</v>
      </c>
      <c r="T331" t="str">
        <f t="shared" si="121"/>
        <v>Lower EV Adoption Corridor</v>
      </c>
      <c r="U331" s="3">
        <f t="shared" si="122"/>
        <v>2970000.0000000005</v>
      </c>
      <c r="V331" s="4">
        <f t="shared" si="123"/>
        <v>720000</v>
      </c>
      <c r="W331" s="3">
        <f t="shared" si="124"/>
        <v>9000000</v>
      </c>
      <c r="X331" s="3">
        <f t="shared" si="125"/>
        <v>5400000</v>
      </c>
      <c r="Y331">
        <f t="shared" si="126"/>
        <v>0.3</v>
      </c>
      <c r="Z331">
        <f t="shared" si="127"/>
        <v>0.75757575757575757</v>
      </c>
      <c r="AA331" t="str">
        <f t="shared" si="128"/>
        <v>Tier 4 - Stable Network</v>
      </c>
      <c r="AB331" s="3">
        <f t="shared" si="129"/>
        <v>60000</v>
      </c>
      <c r="AC331" s="3">
        <f t="shared" si="130"/>
        <v>750000</v>
      </c>
      <c r="AD331" s="3">
        <f t="shared" si="131"/>
        <v>247500.00000000003</v>
      </c>
      <c r="AE331" s="5">
        <f t="shared" si="132"/>
        <v>3.9999999999999991</v>
      </c>
      <c r="AF331" s="10">
        <f t="shared" si="133"/>
        <v>446400</v>
      </c>
      <c r="AG331" s="10">
        <f t="shared" si="134"/>
        <v>144000</v>
      </c>
      <c r="AH331" s="10">
        <f t="shared" si="135"/>
        <v>72000</v>
      </c>
      <c r="AI331" s="10">
        <f t="shared" si="136"/>
        <v>36000</v>
      </c>
      <c r="AJ331" s="10">
        <f t="shared" si="137"/>
        <v>21600</v>
      </c>
    </row>
    <row r="332" spans="1:36" x14ac:dyDescent="0.3">
      <c r="A332" t="s">
        <v>1362</v>
      </c>
      <c r="B332" t="s">
        <v>1363</v>
      </c>
      <c r="C332" t="s">
        <v>1364</v>
      </c>
      <c r="D332" t="s">
        <v>153</v>
      </c>
      <c r="E332">
        <v>15143</v>
      </c>
      <c r="F332" t="s">
        <v>15</v>
      </c>
      <c r="G332">
        <v>8</v>
      </c>
      <c r="H332">
        <v>150</v>
      </c>
      <c r="I332" t="str" cm="1">
        <f t="array" ref="I332">_xlfn.IFS(H332&lt;=120,"V1",H332&lt;=150,"V2",H332&lt;=250,"V3", H332&lt;=350, "V4")</f>
        <v>V2</v>
      </c>
      <c r="J332" t="s">
        <v>1365</v>
      </c>
      <c r="K332" t="str">
        <f t="shared" si="115"/>
        <v>40.613216</v>
      </c>
      <c r="L332" t="str">
        <f t="shared" si="116"/>
        <v>-80.100103</v>
      </c>
      <c r="M332">
        <v>393</v>
      </c>
      <c r="N332" s="1">
        <v>42998</v>
      </c>
      <c r="O332" s="1">
        <v>46099</v>
      </c>
      <c r="P332" s="2">
        <f t="shared" si="117"/>
        <v>8.4900752908966464</v>
      </c>
      <c r="Q332" s="2" t="str">
        <f t="shared" si="118"/>
        <v>Old</v>
      </c>
      <c r="R332">
        <f t="shared" si="119"/>
        <v>1200</v>
      </c>
      <c r="S332" t="str">
        <f t="shared" si="120"/>
        <v>Small</v>
      </c>
      <c r="T332" t="str">
        <f t="shared" si="121"/>
        <v>Lower EV Adoption Corridor</v>
      </c>
      <c r="U332" s="3">
        <f t="shared" si="122"/>
        <v>1980000.0000000002</v>
      </c>
      <c r="V332" s="4">
        <f t="shared" si="123"/>
        <v>480000</v>
      </c>
      <c r="W332" s="3">
        <f t="shared" si="124"/>
        <v>6000000</v>
      </c>
      <c r="X332" s="3">
        <f t="shared" si="125"/>
        <v>3600000</v>
      </c>
      <c r="Y332">
        <f t="shared" si="126"/>
        <v>0.3</v>
      </c>
      <c r="Z332">
        <f t="shared" si="127"/>
        <v>0.75757575757575757</v>
      </c>
      <c r="AA332" t="str">
        <f t="shared" si="128"/>
        <v>Tier 4 - Stable Network</v>
      </c>
      <c r="AB332" s="3">
        <f t="shared" si="129"/>
        <v>60000</v>
      </c>
      <c r="AC332" s="3">
        <f t="shared" si="130"/>
        <v>750000</v>
      </c>
      <c r="AD332" s="3">
        <f t="shared" si="131"/>
        <v>247500.00000000003</v>
      </c>
      <c r="AE332" s="5">
        <f t="shared" si="132"/>
        <v>3.9999999999999996</v>
      </c>
      <c r="AF332" s="10">
        <f t="shared" si="133"/>
        <v>297600</v>
      </c>
      <c r="AG332" s="10">
        <f t="shared" si="134"/>
        <v>96000</v>
      </c>
      <c r="AH332" s="10">
        <f t="shared" si="135"/>
        <v>48000</v>
      </c>
      <c r="AI332" s="10">
        <f t="shared" si="136"/>
        <v>24000</v>
      </c>
      <c r="AJ332" s="10">
        <f t="shared" si="137"/>
        <v>14400</v>
      </c>
    </row>
    <row r="333" spans="1:36" x14ac:dyDescent="0.3">
      <c r="A333" t="s">
        <v>1366</v>
      </c>
      <c r="B333" t="s">
        <v>1367</v>
      </c>
      <c r="C333" t="s">
        <v>115</v>
      </c>
      <c r="D333" t="s">
        <v>852</v>
      </c>
      <c r="E333">
        <v>8505</v>
      </c>
      <c r="F333" t="s">
        <v>15</v>
      </c>
      <c r="G333">
        <v>8</v>
      </c>
      <c r="H333">
        <v>120</v>
      </c>
      <c r="I333" t="str" cm="1">
        <f t="array" ref="I333">_xlfn.IFS(H333&lt;=120,"V1",H333&lt;=150,"V2",H333&lt;=250,"V3", H333&lt;=350, "V4")</f>
        <v>V1</v>
      </c>
      <c r="J333" t="s">
        <v>1368</v>
      </c>
      <c r="K333" t="str">
        <f t="shared" si="115"/>
        <v>40.101525</v>
      </c>
      <c r="L333" t="str">
        <f t="shared" si="116"/>
        <v>-74.793172</v>
      </c>
      <c r="M333">
        <v>14</v>
      </c>
      <c r="N333" s="1">
        <v>42988</v>
      </c>
      <c r="O333" s="1">
        <v>46099</v>
      </c>
      <c r="P333" s="2">
        <f t="shared" si="117"/>
        <v>8.517453798767967</v>
      </c>
      <c r="Q333" s="2" t="str">
        <f t="shared" si="118"/>
        <v>Old</v>
      </c>
      <c r="R333">
        <f t="shared" si="119"/>
        <v>960</v>
      </c>
      <c r="S333" t="str">
        <f t="shared" si="120"/>
        <v>Small</v>
      </c>
      <c r="T333" t="str">
        <f t="shared" si="121"/>
        <v>High EV Adoption Corridor</v>
      </c>
      <c r="U333" s="3">
        <f t="shared" si="122"/>
        <v>1872000</v>
      </c>
      <c r="V333" s="4">
        <f t="shared" si="123"/>
        <v>414720</v>
      </c>
      <c r="W333" s="3">
        <f t="shared" si="124"/>
        <v>4224000</v>
      </c>
      <c r="X333" s="3">
        <f t="shared" si="125"/>
        <v>3888000</v>
      </c>
      <c r="Y333">
        <f t="shared" si="126"/>
        <v>0.21530864197530863</v>
      </c>
      <c r="Z333">
        <f t="shared" si="127"/>
        <v>0.77846153846153843</v>
      </c>
      <c r="AA333" t="str">
        <f t="shared" si="128"/>
        <v>Tier 3 - Upgrade Pipeline</v>
      </c>
      <c r="AB333" s="3">
        <f t="shared" si="129"/>
        <v>51840</v>
      </c>
      <c r="AC333" s="3">
        <f t="shared" si="130"/>
        <v>528000</v>
      </c>
      <c r="AD333" s="3">
        <f t="shared" si="131"/>
        <v>234000</v>
      </c>
      <c r="AE333" s="5">
        <f t="shared" si="132"/>
        <v>2.8985507246376812</v>
      </c>
      <c r="AF333" s="10">
        <f t="shared" si="133"/>
        <v>257126.39999999999</v>
      </c>
      <c r="AG333" s="10">
        <f t="shared" si="134"/>
        <v>82944</v>
      </c>
      <c r="AH333" s="10">
        <f t="shared" si="135"/>
        <v>41472</v>
      </c>
      <c r="AI333" s="10">
        <f t="shared" si="136"/>
        <v>20736</v>
      </c>
      <c r="AJ333" s="10">
        <f t="shared" si="137"/>
        <v>12441.6</v>
      </c>
    </row>
    <row r="334" spans="1:36" x14ac:dyDescent="0.3">
      <c r="A334" t="s">
        <v>1369</v>
      </c>
      <c r="B334" t="s">
        <v>1370</v>
      </c>
      <c r="C334" t="s">
        <v>1371</v>
      </c>
      <c r="D334" t="s">
        <v>41</v>
      </c>
      <c r="E334">
        <v>33155</v>
      </c>
      <c r="F334" t="s">
        <v>15</v>
      </c>
      <c r="G334">
        <v>12</v>
      </c>
      <c r="H334">
        <v>250</v>
      </c>
      <c r="I334" t="str" cm="1">
        <f t="array" ref="I334">_xlfn.IFS(H334&lt;=120,"V1",H334&lt;=150,"V2",H334&lt;=250,"V3", H334&lt;=350, "V4")</f>
        <v>V3</v>
      </c>
      <c r="J334" t="s">
        <v>1372</v>
      </c>
      <c r="K334" t="str">
        <f t="shared" si="115"/>
        <v>25.732331</v>
      </c>
      <c r="L334" t="str">
        <f t="shared" si="116"/>
        <v>-80.306178</v>
      </c>
      <c r="M334">
        <v>2</v>
      </c>
      <c r="N334" s="1">
        <v>44917</v>
      </c>
      <c r="O334" s="1">
        <v>46099</v>
      </c>
      <c r="P334" s="2">
        <f t="shared" si="117"/>
        <v>3.2361396303901437</v>
      </c>
      <c r="Q334" s="2" t="str">
        <f t="shared" si="118"/>
        <v>Mid</v>
      </c>
      <c r="R334">
        <f t="shared" si="119"/>
        <v>3000</v>
      </c>
      <c r="S334" t="str">
        <f t="shared" si="120"/>
        <v>Small</v>
      </c>
      <c r="T334" t="str">
        <f t="shared" si="121"/>
        <v>High EV Adoption Corridor</v>
      </c>
      <c r="U334" s="3">
        <f t="shared" si="122"/>
        <v>7020000</v>
      </c>
      <c r="V334" s="4">
        <f t="shared" si="123"/>
        <v>1584000</v>
      </c>
      <c r="W334" s="3">
        <f t="shared" si="124"/>
        <v>19800000</v>
      </c>
      <c r="X334" s="3">
        <f t="shared" si="125"/>
        <v>14850000</v>
      </c>
      <c r="Y334">
        <f t="shared" si="126"/>
        <v>0.24</v>
      </c>
      <c r="Z334">
        <f t="shared" si="127"/>
        <v>0.77435897435897438</v>
      </c>
      <c r="AA334" t="str">
        <f t="shared" si="128"/>
        <v>Tier 1 - Priority Fleet</v>
      </c>
      <c r="AB334" s="3">
        <f t="shared" si="129"/>
        <v>132000</v>
      </c>
      <c r="AC334" s="3">
        <f t="shared" si="130"/>
        <v>1650000</v>
      </c>
      <c r="AD334" s="3">
        <f t="shared" si="131"/>
        <v>585000</v>
      </c>
      <c r="AE334" s="5">
        <f t="shared" si="132"/>
        <v>3.6423841059602649</v>
      </c>
      <c r="AF334" s="10">
        <f t="shared" si="133"/>
        <v>982080</v>
      </c>
      <c r="AG334" s="10">
        <f t="shared" si="134"/>
        <v>316800</v>
      </c>
      <c r="AH334" s="10">
        <f t="shared" si="135"/>
        <v>158400</v>
      </c>
      <c r="AI334" s="10">
        <f t="shared" si="136"/>
        <v>79200</v>
      </c>
      <c r="AJ334" s="10">
        <f t="shared" si="137"/>
        <v>47520</v>
      </c>
    </row>
    <row r="335" spans="1:36" x14ac:dyDescent="0.3">
      <c r="A335" t="s">
        <v>1373</v>
      </c>
      <c r="B335" t="s">
        <v>1374</v>
      </c>
      <c r="C335" t="s">
        <v>1375</v>
      </c>
      <c r="D335" t="s">
        <v>189</v>
      </c>
      <c r="E335">
        <v>53154</v>
      </c>
      <c r="F335" t="s">
        <v>15</v>
      </c>
      <c r="G335">
        <v>10</v>
      </c>
      <c r="H335">
        <v>150</v>
      </c>
      <c r="I335" t="str" cm="1">
        <f t="array" ref="I335">_xlfn.IFS(H335&lt;=120,"V1",H335&lt;=150,"V2",H335&lt;=250,"V3", H335&lt;=350, "V4")</f>
        <v>V2</v>
      </c>
      <c r="J335" t="s">
        <v>1376</v>
      </c>
      <c r="K335" t="str">
        <f t="shared" si="115"/>
        <v>42.900045</v>
      </c>
      <c r="L335" t="str">
        <f t="shared" si="116"/>
        <v>-87.913714</v>
      </c>
      <c r="M335">
        <v>219</v>
      </c>
      <c r="N335" s="1">
        <v>43126</v>
      </c>
      <c r="O335" s="1">
        <v>46099</v>
      </c>
      <c r="P335" s="2">
        <f t="shared" si="117"/>
        <v>8.1396303901437363</v>
      </c>
      <c r="Q335" s="2" t="str">
        <f t="shared" si="118"/>
        <v>Old</v>
      </c>
      <c r="R335">
        <f t="shared" si="119"/>
        <v>1500</v>
      </c>
      <c r="S335" t="str">
        <f t="shared" si="120"/>
        <v>Small</v>
      </c>
      <c r="T335" t="str">
        <f t="shared" si="121"/>
        <v>Lower EV Adoption Corridor</v>
      </c>
      <c r="U335" s="3">
        <f t="shared" si="122"/>
        <v>2475000</v>
      </c>
      <c r="V335" s="4">
        <f t="shared" si="123"/>
        <v>600000</v>
      </c>
      <c r="W335" s="3">
        <f t="shared" si="124"/>
        <v>7500000</v>
      </c>
      <c r="X335" s="3">
        <f t="shared" si="125"/>
        <v>4500000</v>
      </c>
      <c r="Y335">
        <f t="shared" si="126"/>
        <v>0.3</v>
      </c>
      <c r="Z335">
        <f t="shared" si="127"/>
        <v>0.75757575757575757</v>
      </c>
      <c r="AA335" t="str">
        <f t="shared" si="128"/>
        <v>Tier 4 - Stable Network</v>
      </c>
      <c r="AB335" s="3">
        <f t="shared" si="129"/>
        <v>60000</v>
      </c>
      <c r="AC335" s="3">
        <f t="shared" si="130"/>
        <v>750000</v>
      </c>
      <c r="AD335" s="3">
        <f t="shared" si="131"/>
        <v>247500</v>
      </c>
      <c r="AE335" s="5">
        <f t="shared" si="132"/>
        <v>4</v>
      </c>
      <c r="AF335" s="10">
        <f t="shared" si="133"/>
        <v>372000</v>
      </c>
      <c r="AG335" s="10">
        <f t="shared" si="134"/>
        <v>120000</v>
      </c>
      <c r="AH335" s="10">
        <f t="shared" si="135"/>
        <v>60000</v>
      </c>
      <c r="AI335" s="10">
        <f t="shared" si="136"/>
        <v>30000</v>
      </c>
      <c r="AJ335" s="10">
        <f t="shared" si="137"/>
        <v>18000</v>
      </c>
    </row>
    <row r="336" spans="1:36" x14ac:dyDescent="0.3">
      <c r="A336" t="s">
        <v>1377</v>
      </c>
      <c r="B336" t="s">
        <v>1378</v>
      </c>
      <c r="C336" t="s">
        <v>1379</v>
      </c>
      <c r="D336" t="s">
        <v>72</v>
      </c>
      <c r="E336">
        <v>85643</v>
      </c>
      <c r="F336" t="s">
        <v>15</v>
      </c>
      <c r="G336">
        <v>8</v>
      </c>
      <c r="H336">
        <v>150</v>
      </c>
      <c r="I336" t="str" cm="1">
        <f t="array" ref="I336">_xlfn.IFS(H336&lt;=120,"V1",H336&lt;=150,"V2",H336&lt;=250,"V3", H336&lt;=350, "V4")</f>
        <v>V2</v>
      </c>
      <c r="J336" t="s">
        <v>1380</v>
      </c>
      <c r="K336" t="str">
        <f t="shared" si="115"/>
        <v>32.269811</v>
      </c>
      <c r="L336" t="str">
        <f t="shared" si="116"/>
        <v>-109.8457</v>
      </c>
      <c r="M336">
        <v>1275</v>
      </c>
      <c r="N336" s="1">
        <v>43084</v>
      </c>
      <c r="O336" s="1">
        <v>46099</v>
      </c>
      <c r="P336" s="2">
        <f t="shared" si="117"/>
        <v>8.254620123203285</v>
      </c>
      <c r="Q336" s="2" t="str">
        <f t="shared" si="118"/>
        <v>Old</v>
      </c>
      <c r="R336">
        <f t="shared" si="119"/>
        <v>1200</v>
      </c>
      <c r="S336" t="str">
        <f t="shared" si="120"/>
        <v>Small</v>
      </c>
      <c r="T336" t="str">
        <f t="shared" si="121"/>
        <v>Lower EV Adoption Corridor</v>
      </c>
      <c r="U336" s="3">
        <f t="shared" si="122"/>
        <v>1980000.0000000002</v>
      </c>
      <c r="V336" s="4">
        <f t="shared" si="123"/>
        <v>480000</v>
      </c>
      <c r="W336" s="3">
        <f t="shared" si="124"/>
        <v>6000000</v>
      </c>
      <c r="X336" s="3">
        <f t="shared" si="125"/>
        <v>3600000</v>
      </c>
      <c r="Y336">
        <f t="shared" si="126"/>
        <v>0.3</v>
      </c>
      <c r="Z336">
        <f t="shared" si="127"/>
        <v>0.75757575757575757</v>
      </c>
      <c r="AA336" t="str">
        <f t="shared" si="128"/>
        <v>Tier 4 - Stable Network</v>
      </c>
      <c r="AB336" s="3">
        <f t="shared" si="129"/>
        <v>60000</v>
      </c>
      <c r="AC336" s="3">
        <f t="shared" si="130"/>
        <v>750000</v>
      </c>
      <c r="AD336" s="3">
        <f t="shared" si="131"/>
        <v>247500.00000000003</v>
      </c>
      <c r="AE336" s="5">
        <f t="shared" si="132"/>
        <v>3.9999999999999996</v>
      </c>
      <c r="AF336" s="10">
        <f t="shared" si="133"/>
        <v>297600</v>
      </c>
      <c r="AG336" s="10">
        <f t="shared" si="134"/>
        <v>96000</v>
      </c>
      <c r="AH336" s="10">
        <f t="shared" si="135"/>
        <v>48000</v>
      </c>
      <c r="AI336" s="10">
        <f t="shared" si="136"/>
        <v>24000</v>
      </c>
      <c r="AJ336" s="10">
        <f t="shared" si="137"/>
        <v>14400</v>
      </c>
    </row>
    <row r="337" spans="1:36" x14ac:dyDescent="0.3">
      <c r="A337" t="s">
        <v>1381</v>
      </c>
      <c r="B337" t="s">
        <v>1382</v>
      </c>
      <c r="C337" t="s">
        <v>1383</v>
      </c>
      <c r="D337" t="s">
        <v>72</v>
      </c>
      <c r="E337">
        <v>85747</v>
      </c>
      <c r="F337" t="s">
        <v>15</v>
      </c>
      <c r="G337">
        <v>10</v>
      </c>
      <c r="H337">
        <v>150</v>
      </c>
      <c r="I337" t="str" cm="1">
        <f t="array" ref="I337">_xlfn.IFS(H337&lt;=120,"V1",H337&lt;=150,"V2",H337&lt;=250,"V3", H337&lt;=350, "V4")</f>
        <v>V2</v>
      </c>
      <c r="J337" t="s">
        <v>1384</v>
      </c>
      <c r="K337" t="str">
        <f t="shared" si="115"/>
        <v>32.083857</v>
      </c>
      <c r="L337" t="str">
        <f t="shared" si="116"/>
        <v>-110.803571</v>
      </c>
      <c r="M337">
        <v>895</v>
      </c>
      <c r="N337" s="1">
        <v>43023</v>
      </c>
      <c r="O337" s="1">
        <v>46099</v>
      </c>
      <c r="P337" s="2">
        <f t="shared" si="117"/>
        <v>8.4216290212183438</v>
      </c>
      <c r="Q337" s="2" t="str">
        <f t="shared" si="118"/>
        <v>Old</v>
      </c>
      <c r="R337">
        <f t="shared" si="119"/>
        <v>1500</v>
      </c>
      <c r="S337" t="str">
        <f t="shared" si="120"/>
        <v>Small</v>
      </c>
      <c r="T337" t="str">
        <f t="shared" si="121"/>
        <v>Lower EV Adoption Corridor</v>
      </c>
      <c r="U337" s="3">
        <f t="shared" si="122"/>
        <v>2475000</v>
      </c>
      <c r="V337" s="4">
        <f t="shared" si="123"/>
        <v>600000</v>
      </c>
      <c r="W337" s="3">
        <f t="shared" si="124"/>
        <v>7500000</v>
      </c>
      <c r="X337" s="3">
        <f t="shared" si="125"/>
        <v>4500000</v>
      </c>
      <c r="Y337">
        <f t="shared" si="126"/>
        <v>0.3</v>
      </c>
      <c r="Z337">
        <f t="shared" si="127"/>
        <v>0.75757575757575757</v>
      </c>
      <c r="AA337" t="str">
        <f t="shared" si="128"/>
        <v>Tier 4 - Stable Network</v>
      </c>
      <c r="AB337" s="3">
        <f t="shared" si="129"/>
        <v>60000</v>
      </c>
      <c r="AC337" s="3">
        <f t="shared" si="130"/>
        <v>750000</v>
      </c>
      <c r="AD337" s="3">
        <f t="shared" si="131"/>
        <v>247500</v>
      </c>
      <c r="AE337" s="5">
        <f t="shared" si="132"/>
        <v>4</v>
      </c>
      <c r="AF337" s="10">
        <f t="shared" si="133"/>
        <v>372000</v>
      </c>
      <c r="AG337" s="10">
        <f t="shared" si="134"/>
        <v>120000</v>
      </c>
      <c r="AH337" s="10">
        <f t="shared" si="135"/>
        <v>60000</v>
      </c>
      <c r="AI337" s="10">
        <f t="shared" si="136"/>
        <v>30000</v>
      </c>
      <c r="AJ337" s="10">
        <f t="shared" si="137"/>
        <v>18000</v>
      </c>
    </row>
    <row r="338" spans="1:36" x14ac:dyDescent="0.3">
      <c r="A338" t="s">
        <v>1385</v>
      </c>
      <c r="B338" t="s">
        <v>1386</v>
      </c>
      <c r="C338" t="s">
        <v>1387</v>
      </c>
      <c r="D338" t="s">
        <v>14</v>
      </c>
      <c r="E338">
        <v>92683</v>
      </c>
      <c r="F338" t="s">
        <v>15</v>
      </c>
      <c r="G338">
        <v>24</v>
      </c>
      <c r="H338">
        <v>72</v>
      </c>
      <c r="I338" t="str" cm="1">
        <f t="array" ref="I338">_xlfn.IFS(H338&lt;=120,"V1",H338&lt;=150,"V2",H338&lt;=250,"V3", H338&lt;=350, "V4")</f>
        <v>V1</v>
      </c>
      <c r="J338" t="s">
        <v>1388</v>
      </c>
      <c r="K338" t="str">
        <f t="shared" si="115"/>
        <v>33.745288</v>
      </c>
      <c r="L338" t="str">
        <f t="shared" si="116"/>
        <v>-118.012279</v>
      </c>
      <c r="M338">
        <v>8</v>
      </c>
      <c r="N338" s="1">
        <v>43456</v>
      </c>
      <c r="O338" s="1">
        <v>46099</v>
      </c>
      <c r="P338" s="2">
        <f t="shared" si="117"/>
        <v>7.2361396303901433</v>
      </c>
      <c r="Q338" s="2" t="str">
        <f t="shared" si="118"/>
        <v>Mid</v>
      </c>
      <c r="R338">
        <f t="shared" si="119"/>
        <v>1728</v>
      </c>
      <c r="S338" t="str">
        <f t="shared" si="120"/>
        <v>Small</v>
      </c>
      <c r="T338" t="str">
        <f t="shared" si="121"/>
        <v>High EV Adoption Corridor</v>
      </c>
      <c r="U338" s="3">
        <f t="shared" si="122"/>
        <v>3369600</v>
      </c>
      <c r="V338" s="4">
        <f t="shared" si="123"/>
        <v>746496</v>
      </c>
      <c r="W338" s="3">
        <f t="shared" si="124"/>
        <v>7603200.0000000009</v>
      </c>
      <c r="X338" s="3">
        <f t="shared" si="125"/>
        <v>6998400</v>
      </c>
      <c r="Y338">
        <f t="shared" si="126"/>
        <v>0.21530864197530863</v>
      </c>
      <c r="Z338">
        <f t="shared" si="127"/>
        <v>0.77846153846153843</v>
      </c>
      <c r="AA338" t="str">
        <f t="shared" si="128"/>
        <v>Tier 3 - Upgrade Pipeline</v>
      </c>
      <c r="AB338" s="3">
        <f t="shared" si="129"/>
        <v>31104</v>
      </c>
      <c r="AC338" s="3">
        <f t="shared" si="130"/>
        <v>316800.00000000006</v>
      </c>
      <c r="AD338" s="3">
        <f t="shared" si="131"/>
        <v>140400</v>
      </c>
      <c r="AE338" s="5">
        <f t="shared" si="132"/>
        <v>2.8985507246376816</v>
      </c>
      <c r="AF338" s="10">
        <f t="shared" si="133"/>
        <v>462827.52000000002</v>
      </c>
      <c r="AG338" s="10">
        <f t="shared" si="134"/>
        <v>149299.20000000001</v>
      </c>
      <c r="AH338" s="10">
        <f t="shared" si="135"/>
        <v>74649.600000000006</v>
      </c>
      <c r="AI338" s="10">
        <f t="shared" si="136"/>
        <v>37324.800000000003</v>
      </c>
      <c r="AJ338" s="10">
        <f t="shared" si="137"/>
        <v>22394.879999999997</v>
      </c>
    </row>
    <row r="339" spans="1:36" x14ac:dyDescent="0.3">
      <c r="A339" t="s">
        <v>1389</v>
      </c>
      <c r="B339" t="s">
        <v>1390</v>
      </c>
      <c r="C339" t="s">
        <v>1391</v>
      </c>
      <c r="D339" t="s">
        <v>158</v>
      </c>
      <c r="E339">
        <v>14225</v>
      </c>
      <c r="F339" t="s">
        <v>15</v>
      </c>
      <c r="G339">
        <v>8</v>
      </c>
      <c r="H339">
        <v>250</v>
      </c>
      <c r="I339" t="str" cm="1">
        <f t="array" ref="I339">_xlfn.IFS(H339&lt;=120,"V1",H339&lt;=150,"V2",H339&lt;=250,"V3", H339&lt;=350, "V4")</f>
        <v>V3</v>
      </c>
      <c r="J339" t="s">
        <v>1392</v>
      </c>
      <c r="K339" t="str">
        <f t="shared" si="115"/>
        <v>42.90741</v>
      </c>
      <c r="L339" t="str">
        <f t="shared" si="116"/>
        <v>-78.762239</v>
      </c>
      <c r="M339">
        <v>199</v>
      </c>
      <c r="N339" s="1">
        <v>43869</v>
      </c>
      <c r="O339" s="1">
        <v>46099</v>
      </c>
      <c r="P339" s="2">
        <f t="shared" si="117"/>
        <v>6.1054072553045859</v>
      </c>
      <c r="Q339" s="2" t="str">
        <f t="shared" si="118"/>
        <v>Mid</v>
      </c>
      <c r="R339">
        <f t="shared" si="119"/>
        <v>2000</v>
      </c>
      <c r="S339" t="str">
        <f t="shared" si="120"/>
        <v>Small</v>
      </c>
      <c r="T339" t="str">
        <f t="shared" si="121"/>
        <v>Lower EV Adoption Corridor</v>
      </c>
      <c r="U339" s="3">
        <f t="shared" si="122"/>
        <v>3600000</v>
      </c>
      <c r="V339" s="4">
        <f t="shared" si="123"/>
        <v>880000.00000000012</v>
      </c>
      <c r="W339" s="3">
        <f t="shared" si="124"/>
        <v>12000000</v>
      </c>
      <c r="X339" s="3">
        <f t="shared" si="125"/>
        <v>6600000.0000000009</v>
      </c>
      <c r="Y339">
        <f t="shared" si="126"/>
        <v>0.31515151515151513</v>
      </c>
      <c r="Z339">
        <f t="shared" si="127"/>
        <v>0.75555555555555554</v>
      </c>
      <c r="AA339" t="str">
        <f t="shared" si="128"/>
        <v>Tier 2 - Growth Markets</v>
      </c>
      <c r="AB339" s="3">
        <f t="shared" si="129"/>
        <v>110000.00000000001</v>
      </c>
      <c r="AC339" s="3">
        <f t="shared" si="130"/>
        <v>1500000</v>
      </c>
      <c r="AD339" s="3">
        <f t="shared" si="131"/>
        <v>450000</v>
      </c>
      <c r="AE339" s="5">
        <f t="shared" si="132"/>
        <v>4.4117647058823533</v>
      </c>
      <c r="AF339" s="10">
        <f t="shared" si="133"/>
        <v>545600.00000000012</v>
      </c>
      <c r="AG339" s="10">
        <f t="shared" si="134"/>
        <v>176000.00000000003</v>
      </c>
      <c r="AH339" s="10">
        <f t="shared" si="135"/>
        <v>88000.000000000015</v>
      </c>
      <c r="AI339" s="10">
        <f t="shared" si="136"/>
        <v>44000.000000000007</v>
      </c>
      <c r="AJ339" s="10">
        <f t="shared" si="137"/>
        <v>26400.000000000004</v>
      </c>
    </row>
    <row r="340" spans="1:36" x14ac:dyDescent="0.3">
      <c r="A340" t="s">
        <v>1393</v>
      </c>
      <c r="B340" t="s">
        <v>1394</v>
      </c>
      <c r="C340" t="s">
        <v>1395</v>
      </c>
      <c r="D340" t="s">
        <v>50</v>
      </c>
      <c r="E340">
        <v>75964</v>
      </c>
      <c r="F340" t="s">
        <v>15</v>
      </c>
      <c r="G340">
        <v>8</v>
      </c>
      <c r="H340">
        <v>150</v>
      </c>
      <c r="I340" t="str" cm="1">
        <f t="array" ref="I340">_xlfn.IFS(H340&lt;=120,"V1",H340&lt;=150,"V2",H340&lt;=250,"V3", H340&lt;=350, "V4")</f>
        <v>V2</v>
      </c>
      <c r="J340" t="s">
        <v>1396</v>
      </c>
      <c r="K340" t="str">
        <f t="shared" si="115"/>
        <v>31.651793</v>
      </c>
      <c r="L340" t="str">
        <f t="shared" si="116"/>
        <v>-94.679625</v>
      </c>
      <c r="M340">
        <v>123</v>
      </c>
      <c r="N340" s="1">
        <v>43001</v>
      </c>
      <c r="O340" s="1">
        <v>46099</v>
      </c>
      <c r="P340" s="2">
        <f t="shared" si="117"/>
        <v>8.4818617385352493</v>
      </c>
      <c r="Q340" s="2" t="str">
        <f t="shared" si="118"/>
        <v>Old</v>
      </c>
      <c r="R340">
        <f t="shared" si="119"/>
        <v>1200</v>
      </c>
      <c r="S340" t="str">
        <f t="shared" si="120"/>
        <v>Small</v>
      </c>
      <c r="T340" t="str">
        <f t="shared" si="121"/>
        <v>High EV Adoption Corridor</v>
      </c>
      <c r="U340" s="3">
        <f t="shared" si="122"/>
        <v>2574000.0000000005</v>
      </c>
      <c r="V340" s="4">
        <f t="shared" si="123"/>
        <v>576000</v>
      </c>
      <c r="W340" s="3">
        <f t="shared" si="124"/>
        <v>6600000.0000000009</v>
      </c>
      <c r="X340" s="3">
        <f t="shared" si="125"/>
        <v>5400000</v>
      </c>
      <c r="Y340">
        <f t="shared" si="126"/>
        <v>0.22888888888888889</v>
      </c>
      <c r="Z340">
        <f t="shared" si="127"/>
        <v>0.77622377622377625</v>
      </c>
      <c r="AA340" t="str">
        <f t="shared" si="128"/>
        <v>Tier 3 - Upgrade Pipeline</v>
      </c>
      <c r="AB340" s="3">
        <f t="shared" si="129"/>
        <v>72000</v>
      </c>
      <c r="AC340" s="3">
        <f t="shared" si="130"/>
        <v>825000.00000000012</v>
      </c>
      <c r="AD340" s="3">
        <f t="shared" si="131"/>
        <v>321750.00000000006</v>
      </c>
      <c r="AE340" s="5">
        <f t="shared" si="132"/>
        <v>3.303303303303303</v>
      </c>
      <c r="AF340" s="10">
        <f t="shared" si="133"/>
        <v>357120</v>
      </c>
      <c r="AG340" s="10">
        <f t="shared" si="134"/>
        <v>115200</v>
      </c>
      <c r="AH340" s="10">
        <f t="shared" si="135"/>
        <v>57600</v>
      </c>
      <c r="AI340" s="10">
        <f t="shared" si="136"/>
        <v>28800</v>
      </c>
      <c r="AJ340" s="10">
        <f t="shared" si="137"/>
        <v>17280</v>
      </c>
    </row>
    <row r="341" spans="1:36" x14ac:dyDescent="0.3">
      <c r="A341" t="s">
        <v>1397</v>
      </c>
      <c r="B341" t="s">
        <v>1398</v>
      </c>
      <c r="C341" t="s">
        <v>1399</v>
      </c>
      <c r="D341" t="s">
        <v>648</v>
      </c>
      <c r="E341">
        <v>83815</v>
      </c>
      <c r="F341" t="s">
        <v>15</v>
      </c>
      <c r="G341">
        <v>14</v>
      </c>
      <c r="H341">
        <v>250</v>
      </c>
      <c r="I341" t="str" cm="1">
        <f t="array" ref="I341">_xlfn.IFS(H341&lt;=120,"V1",H341&lt;=150,"V2",H341&lt;=250,"V3", H341&lt;=350, "V4")</f>
        <v>V3</v>
      </c>
      <c r="J341" t="s">
        <v>1400</v>
      </c>
      <c r="K341" t="str">
        <f t="shared" si="115"/>
        <v>47.708479</v>
      </c>
      <c r="L341" t="str">
        <f t="shared" si="116"/>
        <v>-116.794283</v>
      </c>
      <c r="M341">
        <v>685</v>
      </c>
      <c r="N341" s="1">
        <v>42067</v>
      </c>
      <c r="O341" s="1">
        <v>46099</v>
      </c>
      <c r="P341" s="2">
        <f t="shared" si="117"/>
        <v>11.039014373716633</v>
      </c>
      <c r="Q341" s="2" t="str">
        <f t="shared" si="118"/>
        <v>Old</v>
      </c>
      <c r="R341">
        <f t="shared" si="119"/>
        <v>3500</v>
      </c>
      <c r="S341" t="str">
        <f t="shared" si="120"/>
        <v>Small</v>
      </c>
      <c r="T341" t="str">
        <f t="shared" si="121"/>
        <v>Lower EV Adoption Corridor</v>
      </c>
      <c r="U341" s="3">
        <f t="shared" si="122"/>
        <v>6300000</v>
      </c>
      <c r="V341" s="4">
        <f t="shared" si="123"/>
        <v>1540000.0000000002</v>
      </c>
      <c r="W341" s="3">
        <f t="shared" si="124"/>
        <v>21000000</v>
      </c>
      <c r="X341" s="3">
        <f t="shared" si="125"/>
        <v>11550000.000000002</v>
      </c>
      <c r="Y341">
        <f t="shared" si="126"/>
        <v>0.31515151515151513</v>
      </c>
      <c r="Z341">
        <f t="shared" si="127"/>
        <v>0.75555555555555554</v>
      </c>
      <c r="AA341" t="str">
        <f t="shared" si="128"/>
        <v>Tier 2 - Growth Markets</v>
      </c>
      <c r="AB341" s="3">
        <f t="shared" si="129"/>
        <v>110000.00000000001</v>
      </c>
      <c r="AC341" s="3">
        <f t="shared" si="130"/>
        <v>1500000</v>
      </c>
      <c r="AD341" s="3">
        <f t="shared" si="131"/>
        <v>450000</v>
      </c>
      <c r="AE341" s="5">
        <f t="shared" si="132"/>
        <v>4.4117647058823533</v>
      </c>
      <c r="AF341" s="10">
        <f t="shared" si="133"/>
        <v>954800.00000000012</v>
      </c>
      <c r="AG341" s="10">
        <f t="shared" si="134"/>
        <v>308000.00000000006</v>
      </c>
      <c r="AH341" s="10">
        <f t="shared" si="135"/>
        <v>154000.00000000003</v>
      </c>
      <c r="AI341" s="10">
        <f t="shared" si="136"/>
        <v>77000.000000000015</v>
      </c>
      <c r="AJ341" s="10">
        <f t="shared" si="137"/>
        <v>46200.000000000007</v>
      </c>
    </row>
    <row r="342" spans="1:36" x14ac:dyDescent="0.3">
      <c r="A342" t="s">
        <v>1401</v>
      </c>
      <c r="B342" t="s">
        <v>1402</v>
      </c>
      <c r="C342" t="s">
        <v>1403</v>
      </c>
      <c r="D342" t="s">
        <v>1189</v>
      </c>
      <c r="E342">
        <v>25401</v>
      </c>
      <c r="F342" t="s">
        <v>15</v>
      </c>
      <c r="G342">
        <v>8</v>
      </c>
      <c r="H342">
        <v>150</v>
      </c>
      <c r="I342" t="str" cm="1">
        <f t="array" ref="I342">_xlfn.IFS(H342&lt;=120,"V1",H342&lt;=150,"V2",H342&lt;=250,"V3", H342&lt;=350, "V4")</f>
        <v>V2</v>
      </c>
      <c r="J342" t="s">
        <v>1404</v>
      </c>
      <c r="K342" t="str">
        <f t="shared" si="115"/>
        <v>39.485531</v>
      </c>
      <c r="L342" t="str">
        <f t="shared" si="116"/>
        <v>-77.956783</v>
      </c>
      <c r="M342">
        <v>151</v>
      </c>
      <c r="N342" s="1">
        <v>43008</v>
      </c>
      <c r="O342" s="1">
        <v>46099</v>
      </c>
      <c r="P342" s="2">
        <f t="shared" si="117"/>
        <v>8.4626967830253257</v>
      </c>
      <c r="Q342" s="2" t="str">
        <f t="shared" si="118"/>
        <v>Old</v>
      </c>
      <c r="R342">
        <f t="shared" si="119"/>
        <v>1200</v>
      </c>
      <c r="S342" t="str">
        <f t="shared" si="120"/>
        <v>Small</v>
      </c>
      <c r="T342" t="str">
        <f t="shared" si="121"/>
        <v>Lower EV Adoption Corridor</v>
      </c>
      <c r="U342" s="3">
        <f t="shared" si="122"/>
        <v>1980000.0000000002</v>
      </c>
      <c r="V342" s="4">
        <f t="shared" si="123"/>
        <v>480000</v>
      </c>
      <c r="W342" s="3">
        <f t="shared" si="124"/>
        <v>6000000</v>
      </c>
      <c r="X342" s="3">
        <f t="shared" si="125"/>
        <v>3600000</v>
      </c>
      <c r="Y342">
        <f t="shared" si="126"/>
        <v>0.3</v>
      </c>
      <c r="Z342">
        <f t="shared" si="127"/>
        <v>0.75757575757575757</v>
      </c>
      <c r="AA342" t="str">
        <f t="shared" si="128"/>
        <v>Tier 4 - Stable Network</v>
      </c>
      <c r="AB342" s="3">
        <f t="shared" si="129"/>
        <v>60000</v>
      </c>
      <c r="AC342" s="3">
        <f t="shared" si="130"/>
        <v>750000</v>
      </c>
      <c r="AD342" s="3">
        <f t="shared" si="131"/>
        <v>247500.00000000003</v>
      </c>
      <c r="AE342" s="5">
        <f t="shared" si="132"/>
        <v>3.9999999999999996</v>
      </c>
      <c r="AF342" s="10">
        <f t="shared" si="133"/>
        <v>297600</v>
      </c>
      <c r="AG342" s="10">
        <f t="shared" si="134"/>
        <v>96000</v>
      </c>
      <c r="AH342" s="10">
        <f t="shared" si="135"/>
        <v>48000</v>
      </c>
      <c r="AI342" s="10">
        <f t="shared" si="136"/>
        <v>24000</v>
      </c>
      <c r="AJ342" s="10">
        <f t="shared" si="137"/>
        <v>14400</v>
      </c>
    </row>
    <row r="343" spans="1:36" x14ac:dyDescent="0.3">
      <c r="A343" t="s">
        <v>1405</v>
      </c>
      <c r="B343" t="s">
        <v>1406</v>
      </c>
      <c r="C343" t="s">
        <v>1407</v>
      </c>
      <c r="D343" t="s">
        <v>230</v>
      </c>
      <c r="E343">
        <v>98531</v>
      </c>
      <c r="F343" t="s">
        <v>15</v>
      </c>
      <c r="G343">
        <v>20</v>
      </c>
      <c r="H343">
        <v>150</v>
      </c>
      <c r="I343" t="str" cm="1">
        <f t="array" ref="I343">_xlfn.IFS(H343&lt;=120,"V1",H343&lt;=150,"V2",H343&lt;=250,"V3", H343&lt;=350, "V4")</f>
        <v>V2</v>
      </c>
      <c r="J343" t="s">
        <v>1408</v>
      </c>
      <c r="K343" t="str">
        <f t="shared" si="115"/>
        <v>46.729732</v>
      </c>
      <c r="L343" t="str">
        <f t="shared" si="116"/>
        <v>-122.977454</v>
      </c>
      <c r="M343">
        <v>56</v>
      </c>
      <c r="N343" s="1">
        <v>41472</v>
      </c>
      <c r="O343" s="1">
        <v>46099</v>
      </c>
      <c r="P343" s="2">
        <f t="shared" si="117"/>
        <v>12.668035592060233</v>
      </c>
      <c r="Q343" s="2" t="str">
        <f t="shared" si="118"/>
        <v>Old</v>
      </c>
      <c r="R343">
        <f t="shared" si="119"/>
        <v>3000</v>
      </c>
      <c r="S343" t="str">
        <f t="shared" si="120"/>
        <v>Small</v>
      </c>
      <c r="T343" t="str">
        <f t="shared" si="121"/>
        <v>High EV Adoption Corridor</v>
      </c>
      <c r="U343" s="3">
        <f t="shared" si="122"/>
        <v>6435000</v>
      </c>
      <c r="V343" s="4">
        <f t="shared" si="123"/>
        <v>1440000</v>
      </c>
      <c r="W343" s="3">
        <f t="shared" si="124"/>
        <v>16500000.000000002</v>
      </c>
      <c r="X343" s="3">
        <f t="shared" si="125"/>
        <v>13500000</v>
      </c>
      <c r="Y343">
        <f t="shared" si="126"/>
        <v>0.22888888888888889</v>
      </c>
      <c r="Z343">
        <f t="shared" si="127"/>
        <v>0.77622377622377625</v>
      </c>
      <c r="AA343" t="str">
        <f t="shared" si="128"/>
        <v>Tier 3 - Upgrade Pipeline</v>
      </c>
      <c r="AB343" s="3">
        <f t="shared" si="129"/>
        <v>72000</v>
      </c>
      <c r="AC343" s="3">
        <f t="shared" si="130"/>
        <v>825000.00000000012</v>
      </c>
      <c r="AD343" s="3">
        <f t="shared" si="131"/>
        <v>321750</v>
      </c>
      <c r="AE343" s="5">
        <f t="shared" si="132"/>
        <v>3.3033033033033035</v>
      </c>
      <c r="AF343" s="10">
        <f t="shared" si="133"/>
        <v>892800</v>
      </c>
      <c r="AG343" s="10">
        <f t="shared" si="134"/>
        <v>288000</v>
      </c>
      <c r="AH343" s="10">
        <f t="shared" si="135"/>
        <v>144000</v>
      </c>
      <c r="AI343" s="10">
        <f t="shared" si="136"/>
        <v>72000</v>
      </c>
      <c r="AJ343" s="10">
        <f t="shared" si="137"/>
        <v>43200</v>
      </c>
    </row>
    <row r="344" spans="1:36" x14ac:dyDescent="0.3">
      <c r="A344" t="s">
        <v>1409</v>
      </c>
      <c r="B344" t="s">
        <v>1410</v>
      </c>
      <c r="C344" t="s">
        <v>1411</v>
      </c>
      <c r="D344" t="s">
        <v>1412</v>
      </c>
      <c r="E344">
        <v>19958</v>
      </c>
      <c r="F344" t="s">
        <v>15</v>
      </c>
      <c r="G344">
        <v>8</v>
      </c>
      <c r="H344">
        <v>120</v>
      </c>
      <c r="I344" t="str" cm="1">
        <f t="array" ref="I344">_xlfn.IFS(H344&lt;=120,"V1",H344&lt;=150,"V2",H344&lt;=250,"V3", H344&lt;=350, "V4")</f>
        <v>V1</v>
      </c>
      <c r="J344" t="s">
        <v>1413</v>
      </c>
      <c r="K344" t="str">
        <f t="shared" si="115"/>
        <v>38.743725</v>
      </c>
      <c r="L344" t="str">
        <f t="shared" si="116"/>
        <v>-75.153394</v>
      </c>
      <c r="M344">
        <v>7</v>
      </c>
      <c r="N344" s="1">
        <v>43085</v>
      </c>
      <c r="O344" s="1">
        <v>46099</v>
      </c>
      <c r="P344" s="2">
        <f t="shared" si="117"/>
        <v>8.2518822724161538</v>
      </c>
      <c r="Q344" s="2" t="str">
        <f t="shared" si="118"/>
        <v>Old</v>
      </c>
      <c r="R344">
        <f t="shared" si="119"/>
        <v>960</v>
      </c>
      <c r="S344" t="str">
        <f t="shared" si="120"/>
        <v>Small</v>
      </c>
      <c r="T344" t="str">
        <f t="shared" si="121"/>
        <v>Lower EV Adoption Corridor</v>
      </c>
      <c r="U344" s="3">
        <f t="shared" si="122"/>
        <v>1440000</v>
      </c>
      <c r="V344" s="4">
        <f t="shared" si="123"/>
        <v>345600</v>
      </c>
      <c r="W344" s="3">
        <f t="shared" si="124"/>
        <v>3840000</v>
      </c>
      <c r="X344" s="3">
        <f t="shared" si="125"/>
        <v>2592000</v>
      </c>
      <c r="Y344">
        <f t="shared" si="126"/>
        <v>0.2814814814814815</v>
      </c>
      <c r="Z344">
        <f t="shared" si="127"/>
        <v>0.76</v>
      </c>
      <c r="AA344" t="str">
        <f t="shared" si="128"/>
        <v>Tier 5 - Retirement Pipeline</v>
      </c>
      <c r="AB344" s="3">
        <f t="shared" si="129"/>
        <v>43200</v>
      </c>
      <c r="AC344" s="3">
        <f t="shared" si="130"/>
        <v>480000</v>
      </c>
      <c r="AD344" s="3">
        <f t="shared" si="131"/>
        <v>180000</v>
      </c>
      <c r="AE344" s="5">
        <f t="shared" si="132"/>
        <v>3.5087719298245612</v>
      </c>
      <c r="AF344" s="10">
        <f t="shared" si="133"/>
        <v>214272</v>
      </c>
      <c r="AG344" s="10">
        <f t="shared" si="134"/>
        <v>69120</v>
      </c>
      <c r="AH344" s="10">
        <f t="shared" si="135"/>
        <v>34560</v>
      </c>
      <c r="AI344" s="10">
        <f t="shared" si="136"/>
        <v>17280</v>
      </c>
      <c r="AJ344" s="10">
        <f t="shared" si="137"/>
        <v>10368</v>
      </c>
    </row>
    <row r="345" spans="1:36" x14ac:dyDescent="0.3">
      <c r="A345" t="s">
        <v>1414</v>
      </c>
      <c r="B345" t="s">
        <v>1415</v>
      </c>
      <c r="C345" t="s">
        <v>1416</v>
      </c>
      <c r="D345" t="s">
        <v>28</v>
      </c>
      <c r="E345">
        <v>30188</v>
      </c>
      <c r="F345" t="s">
        <v>15</v>
      </c>
      <c r="G345">
        <v>12</v>
      </c>
      <c r="H345">
        <v>250</v>
      </c>
      <c r="I345" t="str" cm="1">
        <f t="array" ref="I345">_xlfn.IFS(H345&lt;=120,"V1",H345&lt;=150,"V2",H345&lt;=250,"V3", H345&lt;=350, "V4")</f>
        <v>V3</v>
      </c>
      <c r="J345" t="s">
        <v>1417</v>
      </c>
      <c r="K345" t="str">
        <f t="shared" si="115"/>
        <v>34.118729</v>
      </c>
      <c r="L345" t="str">
        <f t="shared" si="116"/>
        <v>-84.528502</v>
      </c>
      <c r="M345">
        <v>302</v>
      </c>
      <c r="N345" s="1">
        <v>44592</v>
      </c>
      <c r="O345" s="1">
        <v>46099</v>
      </c>
      <c r="P345" s="2">
        <f t="shared" si="117"/>
        <v>4.1259411362080769</v>
      </c>
      <c r="Q345" s="2" t="str">
        <f t="shared" si="118"/>
        <v>Mid</v>
      </c>
      <c r="R345">
        <f t="shared" si="119"/>
        <v>3000</v>
      </c>
      <c r="S345" t="str">
        <f t="shared" si="120"/>
        <v>Small</v>
      </c>
      <c r="T345" t="str">
        <f t="shared" si="121"/>
        <v>Lower EV Adoption Corridor</v>
      </c>
      <c r="U345" s="3">
        <f t="shared" si="122"/>
        <v>5400000</v>
      </c>
      <c r="V345" s="4">
        <f t="shared" si="123"/>
        <v>1320000</v>
      </c>
      <c r="W345" s="3">
        <f t="shared" si="124"/>
        <v>18000000</v>
      </c>
      <c r="X345" s="3">
        <f t="shared" si="125"/>
        <v>9900000</v>
      </c>
      <c r="Y345">
        <f t="shared" si="126"/>
        <v>0.31515151515151513</v>
      </c>
      <c r="Z345">
        <f t="shared" si="127"/>
        <v>0.75555555555555554</v>
      </c>
      <c r="AA345" t="str">
        <f t="shared" si="128"/>
        <v>Tier 2 - Growth Markets</v>
      </c>
      <c r="AB345" s="3">
        <f t="shared" si="129"/>
        <v>110000</v>
      </c>
      <c r="AC345" s="3">
        <f t="shared" si="130"/>
        <v>1500000</v>
      </c>
      <c r="AD345" s="3">
        <f t="shared" si="131"/>
        <v>450000</v>
      </c>
      <c r="AE345" s="5">
        <f t="shared" si="132"/>
        <v>4.4117647058823533</v>
      </c>
      <c r="AF345" s="10">
        <f t="shared" si="133"/>
        <v>818400</v>
      </c>
      <c r="AG345" s="10">
        <f t="shared" si="134"/>
        <v>264000</v>
      </c>
      <c r="AH345" s="10">
        <f t="shared" si="135"/>
        <v>132000</v>
      </c>
      <c r="AI345" s="10">
        <f t="shared" si="136"/>
        <v>66000</v>
      </c>
      <c r="AJ345" s="10">
        <f t="shared" si="137"/>
        <v>39600</v>
      </c>
    </row>
    <row r="346" spans="1:36" x14ac:dyDescent="0.3">
      <c r="A346" t="s">
        <v>1418</v>
      </c>
      <c r="B346" t="s">
        <v>1419</v>
      </c>
      <c r="C346" t="s">
        <v>1420</v>
      </c>
      <c r="D346" t="s">
        <v>630</v>
      </c>
      <c r="E346">
        <v>48326</v>
      </c>
      <c r="F346" t="s">
        <v>15</v>
      </c>
      <c r="G346">
        <v>8</v>
      </c>
      <c r="H346">
        <v>150</v>
      </c>
      <c r="I346" t="str" cm="1">
        <f t="array" ref="I346">_xlfn.IFS(H346&lt;=120,"V1",H346&lt;=150,"V2",H346&lt;=250,"V3", H346&lt;=350, "V4")</f>
        <v>V2</v>
      </c>
      <c r="J346" t="s">
        <v>1421</v>
      </c>
      <c r="K346" t="str">
        <f t="shared" si="115"/>
        <v>42.706969</v>
      </c>
      <c r="L346" t="str">
        <f t="shared" si="116"/>
        <v>-83.288941</v>
      </c>
      <c r="M346">
        <v>306</v>
      </c>
      <c r="N346" s="1">
        <v>43182</v>
      </c>
      <c r="O346" s="1">
        <v>46099</v>
      </c>
      <c r="P346" s="2">
        <f t="shared" si="117"/>
        <v>7.9863107460643397</v>
      </c>
      <c r="Q346" s="2" t="str">
        <f t="shared" si="118"/>
        <v>Mid</v>
      </c>
      <c r="R346">
        <f t="shared" si="119"/>
        <v>1200</v>
      </c>
      <c r="S346" t="str">
        <f t="shared" si="120"/>
        <v>Small</v>
      </c>
      <c r="T346" t="str">
        <f t="shared" si="121"/>
        <v>Lower EV Adoption Corridor</v>
      </c>
      <c r="U346" s="3">
        <f t="shared" si="122"/>
        <v>1980000.0000000002</v>
      </c>
      <c r="V346" s="4">
        <f t="shared" si="123"/>
        <v>480000</v>
      </c>
      <c r="W346" s="3">
        <f t="shared" si="124"/>
        <v>6000000</v>
      </c>
      <c r="X346" s="3">
        <f t="shared" si="125"/>
        <v>3600000</v>
      </c>
      <c r="Y346">
        <f t="shared" si="126"/>
        <v>0.3</v>
      </c>
      <c r="Z346">
        <f t="shared" si="127"/>
        <v>0.75757575757575757</v>
      </c>
      <c r="AA346" t="str">
        <f t="shared" si="128"/>
        <v>Tier 4 - Stable Network</v>
      </c>
      <c r="AB346" s="3">
        <f t="shared" si="129"/>
        <v>60000</v>
      </c>
      <c r="AC346" s="3">
        <f t="shared" si="130"/>
        <v>750000</v>
      </c>
      <c r="AD346" s="3">
        <f t="shared" si="131"/>
        <v>247500.00000000003</v>
      </c>
      <c r="AE346" s="5">
        <f t="shared" si="132"/>
        <v>3.9999999999999996</v>
      </c>
      <c r="AF346" s="10">
        <f t="shared" si="133"/>
        <v>297600</v>
      </c>
      <c r="AG346" s="10">
        <f t="shared" si="134"/>
        <v>96000</v>
      </c>
      <c r="AH346" s="10">
        <f t="shared" si="135"/>
        <v>48000</v>
      </c>
      <c r="AI346" s="10">
        <f t="shared" si="136"/>
        <v>24000</v>
      </c>
      <c r="AJ346" s="10">
        <f t="shared" si="137"/>
        <v>14400</v>
      </c>
    </row>
    <row r="347" spans="1:36" x14ac:dyDescent="0.3">
      <c r="A347" t="s">
        <v>1422</v>
      </c>
      <c r="B347" t="s">
        <v>1423</v>
      </c>
      <c r="C347" t="s">
        <v>1424</v>
      </c>
      <c r="D347" t="s">
        <v>72</v>
      </c>
      <c r="E347">
        <v>86445</v>
      </c>
      <c r="F347" t="s">
        <v>15</v>
      </c>
      <c r="G347">
        <v>8</v>
      </c>
      <c r="H347">
        <v>250</v>
      </c>
      <c r="I347" t="str" cm="1">
        <f t="array" ref="I347">_xlfn.IFS(H347&lt;=120,"V1",H347&lt;=150,"V2",H347&lt;=250,"V3", H347&lt;=350, "V4")</f>
        <v>V3</v>
      </c>
      <c r="J347" t="s">
        <v>1425</v>
      </c>
      <c r="K347" t="str">
        <f t="shared" si="115"/>
        <v>35.7</v>
      </c>
      <c r="L347" t="str">
        <f t="shared" si="116"/>
        <v>-114.476782</v>
      </c>
      <c r="M347">
        <v>746</v>
      </c>
      <c r="N347" s="1">
        <v>43964</v>
      </c>
      <c r="O347" s="1">
        <v>46099</v>
      </c>
      <c r="P347" s="2">
        <f t="shared" si="117"/>
        <v>5.8453114305270359</v>
      </c>
      <c r="Q347" s="2" t="str">
        <f t="shared" si="118"/>
        <v>Mid</v>
      </c>
      <c r="R347">
        <f t="shared" si="119"/>
        <v>2000</v>
      </c>
      <c r="S347" t="str">
        <f t="shared" si="120"/>
        <v>Small</v>
      </c>
      <c r="T347" t="str">
        <f t="shared" si="121"/>
        <v>Lower EV Adoption Corridor</v>
      </c>
      <c r="U347" s="3">
        <f t="shared" si="122"/>
        <v>3600000</v>
      </c>
      <c r="V347" s="4">
        <f t="shared" si="123"/>
        <v>880000.00000000012</v>
      </c>
      <c r="W347" s="3">
        <f t="shared" si="124"/>
        <v>12000000</v>
      </c>
      <c r="X347" s="3">
        <f t="shared" si="125"/>
        <v>6600000.0000000009</v>
      </c>
      <c r="Y347">
        <f t="shared" si="126"/>
        <v>0.31515151515151513</v>
      </c>
      <c r="Z347">
        <f t="shared" si="127"/>
        <v>0.75555555555555554</v>
      </c>
      <c r="AA347" t="str">
        <f t="shared" si="128"/>
        <v>Tier 2 - Growth Markets</v>
      </c>
      <c r="AB347" s="3">
        <f t="shared" si="129"/>
        <v>110000.00000000001</v>
      </c>
      <c r="AC347" s="3">
        <f t="shared" si="130"/>
        <v>1500000</v>
      </c>
      <c r="AD347" s="3">
        <f t="shared" si="131"/>
        <v>450000</v>
      </c>
      <c r="AE347" s="5">
        <f t="shared" si="132"/>
        <v>4.4117647058823533</v>
      </c>
      <c r="AF347" s="10">
        <f t="shared" si="133"/>
        <v>545600.00000000012</v>
      </c>
      <c r="AG347" s="10">
        <f t="shared" si="134"/>
        <v>176000.00000000003</v>
      </c>
      <c r="AH347" s="10">
        <f t="shared" si="135"/>
        <v>88000.000000000015</v>
      </c>
      <c r="AI347" s="10">
        <f t="shared" si="136"/>
        <v>44000.000000000007</v>
      </c>
      <c r="AJ347" s="10">
        <f t="shared" si="137"/>
        <v>26400.000000000004</v>
      </c>
    </row>
    <row r="348" spans="1:36" x14ac:dyDescent="0.3">
      <c r="A348" t="s">
        <v>1426</v>
      </c>
      <c r="B348" t="s">
        <v>1427</v>
      </c>
      <c r="C348" t="s">
        <v>1428</v>
      </c>
      <c r="D348" t="s">
        <v>184</v>
      </c>
      <c r="E348">
        <v>43612</v>
      </c>
      <c r="F348" t="s">
        <v>15</v>
      </c>
      <c r="G348">
        <v>10</v>
      </c>
      <c r="H348">
        <v>150</v>
      </c>
      <c r="I348" t="str" cm="1">
        <f t="array" ref="I348">_xlfn.IFS(H348&lt;=120,"V1",H348&lt;=150,"V2",H348&lt;=250,"V3", H348&lt;=350, "V4")</f>
        <v>V2</v>
      </c>
      <c r="J348" t="s">
        <v>1429</v>
      </c>
      <c r="K348" t="str">
        <f t="shared" si="115"/>
        <v>41.721617</v>
      </c>
      <c r="L348" t="str">
        <f t="shared" si="116"/>
        <v>-83.509207</v>
      </c>
      <c r="M348">
        <v>179</v>
      </c>
      <c r="N348" s="1">
        <v>43063</v>
      </c>
      <c r="O348" s="1">
        <v>46099</v>
      </c>
      <c r="P348" s="2">
        <f t="shared" si="117"/>
        <v>8.3121149897330593</v>
      </c>
      <c r="Q348" s="2" t="str">
        <f t="shared" si="118"/>
        <v>Old</v>
      </c>
      <c r="R348">
        <f t="shared" si="119"/>
        <v>1500</v>
      </c>
      <c r="S348" t="str">
        <f t="shared" si="120"/>
        <v>Small</v>
      </c>
      <c r="T348" t="str">
        <f t="shared" si="121"/>
        <v>Lower EV Adoption Corridor</v>
      </c>
      <c r="U348" s="3">
        <f t="shared" si="122"/>
        <v>2475000</v>
      </c>
      <c r="V348" s="4">
        <f t="shared" si="123"/>
        <v>600000</v>
      </c>
      <c r="W348" s="3">
        <f t="shared" si="124"/>
        <v>7500000</v>
      </c>
      <c r="X348" s="3">
        <f t="shared" si="125"/>
        <v>4500000</v>
      </c>
      <c r="Y348">
        <f t="shared" si="126"/>
        <v>0.3</v>
      </c>
      <c r="Z348">
        <f t="shared" si="127"/>
        <v>0.75757575757575757</v>
      </c>
      <c r="AA348" t="str">
        <f t="shared" si="128"/>
        <v>Tier 4 - Stable Network</v>
      </c>
      <c r="AB348" s="3">
        <f t="shared" si="129"/>
        <v>60000</v>
      </c>
      <c r="AC348" s="3">
        <f t="shared" si="130"/>
        <v>750000</v>
      </c>
      <c r="AD348" s="3">
        <f t="shared" si="131"/>
        <v>247500</v>
      </c>
      <c r="AE348" s="5">
        <f t="shared" si="132"/>
        <v>4</v>
      </c>
      <c r="AF348" s="10">
        <f t="shared" si="133"/>
        <v>372000</v>
      </c>
      <c r="AG348" s="10">
        <f t="shared" si="134"/>
        <v>120000</v>
      </c>
      <c r="AH348" s="10">
        <f t="shared" si="135"/>
        <v>60000</v>
      </c>
      <c r="AI348" s="10">
        <f t="shared" si="136"/>
        <v>30000</v>
      </c>
      <c r="AJ348" s="10">
        <f t="shared" si="137"/>
        <v>18000</v>
      </c>
    </row>
    <row r="349" spans="1:36" x14ac:dyDescent="0.3">
      <c r="A349" t="s">
        <v>1430</v>
      </c>
      <c r="B349" t="s">
        <v>1431</v>
      </c>
      <c r="C349" t="s">
        <v>1432</v>
      </c>
      <c r="D349" t="s">
        <v>225</v>
      </c>
      <c r="E349">
        <v>84115</v>
      </c>
      <c r="F349" t="s">
        <v>15</v>
      </c>
      <c r="G349">
        <v>8</v>
      </c>
      <c r="H349">
        <v>250</v>
      </c>
      <c r="I349" t="str" cm="1">
        <f t="array" ref="I349">_xlfn.IFS(H349&lt;=120,"V1",H349&lt;=150,"V2",H349&lt;=250,"V3", H349&lt;=350, "V4")</f>
        <v>V3</v>
      </c>
      <c r="J349" t="s">
        <v>1433</v>
      </c>
      <c r="K349" t="str">
        <f t="shared" si="115"/>
        <v>40.730089</v>
      </c>
      <c r="L349" t="str">
        <f t="shared" si="116"/>
        <v>-111.90178</v>
      </c>
      <c r="M349">
        <v>1291</v>
      </c>
      <c r="N349" s="1">
        <v>44539</v>
      </c>
      <c r="O349" s="1">
        <v>46099</v>
      </c>
      <c r="P349" s="2">
        <f t="shared" si="117"/>
        <v>4.2710472279260783</v>
      </c>
      <c r="Q349" s="2" t="str">
        <f t="shared" si="118"/>
        <v>Mid</v>
      </c>
      <c r="R349">
        <f t="shared" si="119"/>
        <v>2000</v>
      </c>
      <c r="S349" t="str">
        <f t="shared" si="120"/>
        <v>Small</v>
      </c>
      <c r="T349" t="str">
        <f t="shared" si="121"/>
        <v>Lower EV Adoption Corridor</v>
      </c>
      <c r="U349" s="3">
        <f t="shared" si="122"/>
        <v>3600000</v>
      </c>
      <c r="V349" s="4">
        <f t="shared" si="123"/>
        <v>880000.00000000012</v>
      </c>
      <c r="W349" s="3">
        <f t="shared" si="124"/>
        <v>12000000</v>
      </c>
      <c r="X349" s="3">
        <f t="shared" si="125"/>
        <v>6600000.0000000009</v>
      </c>
      <c r="Y349">
        <f t="shared" si="126"/>
        <v>0.31515151515151513</v>
      </c>
      <c r="Z349">
        <f t="shared" si="127"/>
        <v>0.75555555555555554</v>
      </c>
      <c r="AA349" t="str">
        <f t="shared" si="128"/>
        <v>Tier 2 - Growth Markets</v>
      </c>
      <c r="AB349" s="3">
        <f t="shared" si="129"/>
        <v>110000.00000000001</v>
      </c>
      <c r="AC349" s="3">
        <f t="shared" si="130"/>
        <v>1500000</v>
      </c>
      <c r="AD349" s="3">
        <f t="shared" si="131"/>
        <v>450000</v>
      </c>
      <c r="AE349" s="5">
        <f t="shared" si="132"/>
        <v>4.4117647058823533</v>
      </c>
      <c r="AF349" s="10">
        <f t="shared" si="133"/>
        <v>545600.00000000012</v>
      </c>
      <c r="AG349" s="10">
        <f t="shared" si="134"/>
        <v>176000.00000000003</v>
      </c>
      <c r="AH349" s="10">
        <f t="shared" si="135"/>
        <v>88000.000000000015</v>
      </c>
      <c r="AI349" s="10">
        <f t="shared" si="136"/>
        <v>44000.000000000007</v>
      </c>
      <c r="AJ349" s="10">
        <f t="shared" si="137"/>
        <v>26400.000000000004</v>
      </c>
    </row>
    <row r="350" spans="1:36" x14ac:dyDescent="0.3">
      <c r="A350" t="s">
        <v>1434</v>
      </c>
      <c r="B350" t="s">
        <v>1435</v>
      </c>
      <c r="C350" t="s">
        <v>1436</v>
      </c>
      <c r="D350" t="s">
        <v>41</v>
      </c>
      <c r="E350">
        <v>33309</v>
      </c>
      <c r="F350" t="s">
        <v>15</v>
      </c>
      <c r="G350">
        <v>8</v>
      </c>
      <c r="H350">
        <v>250</v>
      </c>
      <c r="I350" t="str" cm="1">
        <f t="array" ref="I350">_xlfn.IFS(H350&lt;=120,"V1",H350&lt;=150,"V2",H350&lt;=250,"V3", H350&lt;=350, "V4")</f>
        <v>V3</v>
      </c>
      <c r="J350" t="s">
        <v>1437</v>
      </c>
      <c r="K350" t="str">
        <f t="shared" si="115"/>
        <v>26.202627</v>
      </c>
      <c r="L350" t="str">
        <f t="shared" si="116"/>
        <v>-80.156465</v>
      </c>
      <c r="M350">
        <v>2</v>
      </c>
      <c r="N350" s="1">
        <v>44697</v>
      </c>
      <c r="O350" s="1">
        <v>46099</v>
      </c>
      <c r="P350" s="2">
        <f t="shared" si="117"/>
        <v>3.8384668035592062</v>
      </c>
      <c r="Q350" s="2" t="str">
        <f t="shared" si="118"/>
        <v>Mid</v>
      </c>
      <c r="R350">
        <f t="shared" si="119"/>
        <v>2000</v>
      </c>
      <c r="S350" t="str">
        <f t="shared" si="120"/>
        <v>Small</v>
      </c>
      <c r="T350" t="str">
        <f t="shared" si="121"/>
        <v>High EV Adoption Corridor</v>
      </c>
      <c r="U350" s="3">
        <f t="shared" si="122"/>
        <v>4680000</v>
      </c>
      <c r="V350" s="4">
        <f t="shared" si="123"/>
        <v>1056000</v>
      </c>
      <c r="W350" s="3">
        <f t="shared" si="124"/>
        <v>13200000.000000002</v>
      </c>
      <c r="X350" s="3">
        <f t="shared" si="125"/>
        <v>9900000.0000000019</v>
      </c>
      <c r="Y350">
        <f t="shared" si="126"/>
        <v>0.23999999999999996</v>
      </c>
      <c r="Z350">
        <f t="shared" si="127"/>
        <v>0.77435897435897438</v>
      </c>
      <c r="AA350" t="str">
        <f t="shared" si="128"/>
        <v>Tier 1 - Priority Fleet</v>
      </c>
      <c r="AB350" s="3">
        <f t="shared" si="129"/>
        <v>132000</v>
      </c>
      <c r="AC350" s="3">
        <f t="shared" si="130"/>
        <v>1650000.0000000002</v>
      </c>
      <c r="AD350" s="3">
        <f t="shared" si="131"/>
        <v>585000</v>
      </c>
      <c r="AE350" s="5">
        <f t="shared" si="132"/>
        <v>3.6423841059602653</v>
      </c>
      <c r="AF350" s="10">
        <f t="shared" si="133"/>
        <v>654720</v>
      </c>
      <c r="AG350" s="10">
        <f t="shared" si="134"/>
        <v>211200</v>
      </c>
      <c r="AH350" s="10">
        <f t="shared" si="135"/>
        <v>105600</v>
      </c>
      <c r="AI350" s="10">
        <f t="shared" si="136"/>
        <v>52800</v>
      </c>
      <c r="AJ350" s="10">
        <f t="shared" si="137"/>
        <v>31680</v>
      </c>
    </row>
    <row r="351" spans="1:36" x14ac:dyDescent="0.3">
      <c r="A351" t="s">
        <v>1438</v>
      </c>
      <c r="B351" t="s">
        <v>1439</v>
      </c>
      <c r="C351" t="s">
        <v>1440</v>
      </c>
      <c r="D351" t="s">
        <v>14</v>
      </c>
      <c r="E351">
        <v>94520</v>
      </c>
      <c r="F351" t="s">
        <v>15</v>
      </c>
      <c r="G351">
        <v>19</v>
      </c>
      <c r="H351">
        <v>150</v>
      </c>
      <c r="I351" t="str" cm="1">
        <f t="array" ref="I351">_xlfn.IFS(H351&lt;=120,"V1",H351&lt;=150,"V2",H351&lt;=250,"V3", H351&lt;=350, "V4")</f>
        <v>V2</v>
      </c>
      <c r="J351" t="s">
        <v>1441</v>
      </c>
      <c r="K351" t="str">
        <f t="shared" si="115"/>
        <v>37.970453</v>
      </c>
      <c r="L351" t="str">
        <f t="shared" si="116"/>
        <v>-122.058384</v>
      </c>
      <c r="M351">
        <v>10</v>
      </c>
      <c r="N351" s="1">
        <v>43161</v>
      </c>
      <c r="O351" s="1">
        <v>46099</v>
      </c>
      <c r="P351" s="2">
        <f t="shared" si="117"/>
        <v>8.0438056125941131</v>
      </c>
      <c r="Q351" s="2" t="str">
        <f t="shared" si="118"/>
        <v>Old</v>
      </c>
      <c r="R351">
        <f t="shared" si="119"/>
        <v>2850</v>
      </c>
      <c r="S351" t="str">
        <f t="shared" si="120"/>
        <v>Small</v>
      </c>
      <c r="T351" t="str">
        <f t="shared" si="121"/>
        <v>High EV Adoption Corridor</v>
      </c>
      <c r="U351" s="3">
        <f t="shared" si="122"/>
        <v>6113250</v>
      </c>
      <c r="V351" s="4">
        <f t="shared" si="123"/>
        <v>1368000</v>
      </c>
      <c r="W351" s="3">
        <f t="shared" si="124"/>
        <v>15675000.000000002</v>
      </c>
      <c r="X351" s="3">
        <f t="shared" si="125"/>
        <v>12825000</v>
      </c>
      <c r="Y351">
        <f t="shared" si="126"/>
        <v>0.22888888888888889</v>
      </c>
      <c r="Z351">
        <f t="shared" si="127"/>
        <v>0.77622377622377625</v>
      </c>
      <c r="AA351" t="str">
        <f t="shared" si="128"/>
        <v>Tier 3 - Upgrade Pipeline</v>
      </c>
      <c r="AB351" s="3">
        <f t="shared" si="129"/>
        <v>72000</v>
      </c>
      <c r="AC351" s="3">
        <f t="shared" si="130"/>
        <v>825000.00000000012</v>
      </c>
      <c r="AD351" s="3">
        <f t="shared" si="131"/>
        <v>321750</v>
      </c>
      <c r="AE351" s="5">
        <f t="shared" si="132"/>
        <v>3.3033033033033039</v>
      </c>
      <c r="AF351" s="10">
        <f t="shared" si="133"/>
        <v>848160</v>
      </c>
      <c r="AG351" s="10">
        <f t="shared" si="134"/>
        <v>273600</v>
      </c>
      <c r="AH351" s="10">
        <f t="shared" si="135"/>
        <v>136800</v>
      </c>
      <c r="AI351" s="10">
        <f t="shared" si="136"/>
        <v>68400</v>
      </c>
      <c r="AJ351" s="10">
        <f t="shared" si="137"/>
        <v>41040</v>
      </c>
    </row>
    <row r="352" spans="1:36" x14ac:dyDescent="0.3">
      <c r="A352" t="s">
        <v>1442</v>
      </c>
      <c r="B352" t="s">
        <v>1443</v>
      </c>
      <c r="C352" t="s">
        <v>1444</v>
      </c>
      <c r="D352" t="s">
        <v>316</v>
      </c>
      <c r="E352">
        <v>97526</v>
      </c>
      <c r="F352" t="s">
        <v>15</v>
      </c>
      <c r="G352">
        <v>8</v>
      </c>
      <c r="H352">
        <v>150</v>
      </c>
      <c r="I352" t="str" cm="1">
        <f t="array" ref="I352">_xlfn.IFS(H352&lt;=120,"V1",H352&lt;=150,"V2",H352&lt;=250,"V3", H352&lt;=350, "V4")</f>
        <v>V2</v>
      </c>
      <c r="J352" t="s">
        <v>1445</v>
      </c>
      <c r="K352" t="str">
        <f t="shared" si="115"/>
        <v>42.460883</v>
      </c>
      <c r="L352" t="str">
        <f t="shared" si="116"/>
        <v>-123.324124</v>
      </c>
      <c r="M352">
        <v>335</v>
      </c>
      <c r="N352" s="1">
        <v>41569</v>
      </c>
      <c r="O352" s="1">
        <v>46099</v>
      </c>
      <c r="P352" s="2">
        <f t="shared" si="117"/>
        <v>12.402464065708418</v>
      </c>
      <c r="Q352" s="2" t="str">
        <f t="shared" si="118"/>
        <v>Old</v>
      </c>
      <c r="R352">
        <f t="shared" si="119"/>
        <v>1200</v>
      </c>
      <c r="S352" t="str">
        <f t="shared" si="120"/>
        <v>Small</v>
      </c>
      <c r="T352" t="str">
        <f t="shared" si="121"/>
        <v>Lower EV Adoption Corridor</v>
      </c>
      <c r="U352" s="3">
        <f t="shared" si="122"/>
        <v>1980000.0000000002</v>
      </c>
      <c r="V352" s="4">
        <f t="shared" si="123"/>
        <v>480000</v>
      </c>
      <c r="W352" s="3">
        <f t="shared" si="124"/>
        <v>6000000</v>
      </c>
      <c r="X352" s="3">
        <f t="shared" si="125"/>
        <v>3600000</v>
      </c>
      <c r="Y352">
        <f t="shared" si="126"/>
        <v>0.3</v>
      </c>
      <c r="Z352">
        <f t="shared" si="127"/>
        <v>0.75757575757575757</v>
      </c>
      <c r="AA352" t="str">
        <f t="shared" si="128"/>
        <v>Tier 4 - Stable Network</v>
      </c>
      <c r="AB352" s="3">
        <f t="shared" si="129"/>
        <v>60000</v>
      </c>
      <c r="AC352" s="3">
        <f t="shared" si="130"/>
        <v>750000</v>
      </c>
      <c r="AD352" s="3">
        <f t="shared" si="131"/>
        <v>247500.00000000003</v>
      </c>
      <c r="AE352" s="5">
        <f t="shared" si="132"/>
        <v>3.9999999999999996</v>
      </c>
      <c r="AF352" s="10">
        <f t="shared" si="133"/>
        <v>297600</v>
      </c>
      <c r="AG352" s="10">
        <f t="shared" si="134"/>
        <v>96000</v>
      </c>
      <c r="AH352" s="10">
        <f t="shared" si="135"/>
        <v>48000</v>
      </c>
      <c r="AI352" s="10">
        <f t="shared" si="136"/>
        <v>24000</v>
      </c>
      <c r="AJ352" s="10">
        <f t="shared" si="137"/>
        <v>14400</v>
      </c>
    </row>
    <row r="353" spans="1:36" x14ac:dyDescent="0.3">
      <c r="A353" t="s">
        <v>1446</v>
      </c>
      <c r="B353" t="s">
        <v>1447</v>
      </c>
      <c r="C353" t="s">
        <v>1448</v>
      </c>
      <c r="D353" t="s">
        <v>143</v>
      </c>
      <c r="E353">
        <v>88030</v>
      </c>
      <c r="F353" t="s">
        <v>15</v>
      </c>
      <c r="G353">
        <v>8</v>
      </c>
      <c r="H353">
        <v>150</v>
      </c>
      <c r="I353" t="str" cm="1">
        <f t="array" ref="I353">_xlfn.IFS(H353&lt;=120,"V1",H353&lt;=150,"V2",H353&lt;=250,"V3", H353&lt;=350, "V4")</f>
        <v>V2</v>
      </c>
      <c r="J353" t="s">
        <v>1449</v>
      </c>
      <c r="K353" t="str">
        <f t="shared" si="115"/>
        <v>32.281357</v>
      </c>
      <c r="L353" t="str">
        <f t="shared" si="116"/>
        <v>-107.760281</v>
      </c>
      <c r="M353">
        <v>1324</v>
      </c>
      <c r="N353" s="1">
        <v>43057</v>
      </c>
      <c r="O353" s="1">
        <v>46099</v>
      </c>
      <c r="P353" s="2">
        <f t="shared" si="117"/>
        <v>8.3285420944558517</v>
      </c>
      <c r="Q353" s="2" t="str">
        <f t="shared" si="118"/>
        <v>Old</v>
      </c>
      <c r="R353">
        <f t="shared" si="119"/>
        <v>1200</v>
      </c>
      <c r="S353" t="str">
        <f t="shared" si="120"/>
        <v>Small</v>
      </c>
      <c r="T353" t="str">
        <f t="shared" si="121"/>
        <v>Lower EV Adoption Corridor</v>
      </c>
      <c r="U353" s="3">
        <f t="shared" si="122"/>
        <v>1980000.0000000002</v>
      </c>
      <c r="V353" s="4">
        <f t="shared" si="123"/>
        <v>480000</v>
      </c>
      <c r="W353" s="3">
        <f t="shared" si="124"/>
        <v>6000000</v>
      </c>
      <c r="X353" s="3">
        <f t="shared" si="125"/>
        <v>3600000</v>
      </c>
      <c r="Y353">
        <f t="shared" si="126"/>
        <v>0.3</v>
      </c>
      <c r="Z353">
        <f t="shared" si="127"/>
        <v>0.75757575757575757</v>
      </c>
      <c r="AA353" t="str">
        <f t="shared" si="128"/>
        <v>Tier 4 - Stable Network</v>
      </c>
      <c r="AB353" s="3">
        <f t="shared" si="129"/>
        <v>60000</v>
      </c>
      <c r="AC353" s="3">
        <f t="shared" si="130"/>
        <v>750000</v>
      </c>
      <c r="AD353" s="3">
        <f t="shared" si="131"/>
        <v>247500.00000000003</v>
      </c>
      <c r="AE353" s="5">
        <f t="shared" si="132"/>
        <v>3.9999999999999996</v>
      </c>
      <c r="AF353" s="10">
        <f t="shared" si="133"/>
        <v>297600</v>
      </c>
      <c r="AG353" s="10">
        <f t="shared" si="134"/>
        <v>96000</v>
      </c>
      <c r="AH353" s="10">
        <f t="shared" si="135"/>
        <v>48000</v>
      </c>
      <c r="AI353" s="10">
        <f t="shared" si="136"/>
        <v>24000</v>
      </c>
      <c r="AJ353" s="10">
        <f t="shared" si="137"/>
        <v>14400</v>
      </c>
    </row>
    <row r="354" spans="1:36" x14ac:dyDescent="0.3">
      <c r="A354" t="s">
        <v>1450</v>
      </c>
      <c r="B354" t="s">
        <v>1451</v>
      </c>
      <c r="C354" t="s">
        <v>1452</v>
      </c>
      <c r="D354" t="s">
        <v>77</v>
      </c>
      <c r="E354">
        <v>28602</v>
      </c>
      <c r="F354" t="s">
        <v>15</v>
      </c>
      <c r="G354">
        <v>8</v>
      </c>
      <c r="H354">
        <v>150</v>
      </c>
      <c r="I354" t="str" cm="1">
        <f t="array" ref="I354">_xlfn.IFS(H354&lt;=120,"V1",H354&lt;=150,"V2",H354&lt;=250,"V3", H354&lt;=350, "V4")</f>
        <v>V2</v>
      </c>
      <c r="J354" t="s">
        <v>1453</v>
      </c>
      <c r="K354" t="str">
        <f t="shared" si="115"/>
        <v>35.706189</v>
      </c>
      <c r="L354" t="str">
        <f t="shared" si="116"/>
        <v>-81.294768</v>
      </c>
      <c r="M354">
        <v>296</v>
      </c>
      <c r="N354" s="1">
        <v>43194</v>
      </c>
      <c r="O354" s="1">
        <v>46099</v>
      </c>
      <c r="P354" s="2">
        <f t="shared" si="117"/>
        <v>7.953456536618754</v>
      </c>
      <c r="Q354" s="2" t="str">
        <f t="shared" si="118"/>
        <v>Mid</v>
      </c>
      <c r="R354">
        <f t="shared" si="119"/>
        <v>1200</v>
      </c>
      <c r="S354" t="str">
        <f t="shared" si="120"/>
        <v>Small</v>
      </c>
      <c r="T354" t="str">
        <f t="shared" si="121"/>
        <v>Lower EV Adoption Corridor</v>
      </c>
      <c r="U354" s="3">
        <f t="shared" si="122"/>
        <v>1980000.0000000002</v>
      </c>
      <c r="V354" s="4">
        <f t="shared" si="123"/>
        <v>480000</v>
      </c>
      <c r="W354" s="3">
        <f t="shared" si="124"/>
        <v>6000000</v>
      </c>
      <c r="X354" s="3">
        <f t="shared" si="125"/>
        <v>3600000</v>
      </c>
      <c r="Y354">
        <f t="shared" si="126"/>
        <v>0.3</v>
      </c>
      <c r="Z354">
        <f t="shared" si="127"/>
        <v>0.75757575757575757</v>
      </c>
      <c r="AA354" t="str">
        <f t="shared" si="128"/>
        <v>Tier 4 - Stable Network</v>
      </c>
      <c r="AB354" s="3">
        <f t="shared" si="129"/>
        <v>60000</v>
      </c>
      <c r="AC354" s="3">
        <f t="shared" si="130"/>
        <v>750000</v>
      </c>
      <c r="AD354" s="3">
        <f t="shared" si="131"/>
        <v>247500.00000000003</v>
      </c>
      <c r="AE354" s="5">
        <f t="shared" si="132"/>
        <v>3.9999999999999996</v>
      </c>
      <c r="AF354" s="10">
        <f t="shared" si="133"/>
        <v>297600</v>
      </c>
      <c r="AG354" s="10">
        <f t="shared" si="134"/>
        <v>96000</v>
      </c>
      <c r="AH354" s="10">
        <f t="shared" si="135"/>
        <v>48000</v>
      </c>
      <c r="AI354" s="10">
        <f t="shared" si="136"/>
        <v>24000</v>
      </c>
      <c r="AJ354" s="10">
        <f t="shared" si="137"/>
        <v>14400</v>
      </c>
    </row>
    <row r="355" spans="1:36" x14ac:dyDescent="0.3">
      <c r="A355" t="s">
        <v>1454</v>
      </c>
      <c r="B355" t="s">
        <v>1455</v>
      </c>
      <c r="C355" t="s">
        <v>1456</v>
      </c>
      <c r="D355" t="s">
        <v>14</v>
      </c>
      <c r="E355">
        <v>91355</v>
      </c>
      <c r="F355" t="s">
        <v>15</v>
      </c>
      <c r="G355">
        <v>32</v>
      </c>
      <c r="H355">
        <v>250</v>
      </c>
      <c r="I355" t="str" cm="1">
        <f t="array" ref="I355">_xlfn.IFS(H355&lt;=120,"V1",H355&lt;=150,"V2",H355&lt;=250,"V3", H355&lt;=350, "V4")</f>
        <v>V3</v>
      </c>
      <c r="J355" t="s">
        <v>1457</v>
      </c>
      <c r="K355" t="str">
        <f t="shared" si="115"/>
        <v>34.431041</v>
      </c>
      <c r="L355" t="str">
        <f t="shared" si="116"/>
        <v>-118.554319</v>
      </c>
      <c r="M355">
        <v>344</v>
      </c>
      <c r="N355" s="1">
        <v>43196</v>
      </c>
      <c r="O355" s="1">
        <v>46099</v>
      </c>
      <c r="P355" s="2">
        <f t="shared" si="117"/>
        <v>7.9479808350444898</v>
      </c>
      <c r="Q355" s="2" t="str">
        <f t="shared" si="118"/>
        <v>Mid</v>
      </c>
      <c r="R355">
        <f t="shared" si="119"/>
        <v>8000</v>
      </c>
      <c r="S355" t="str">
        <f t="shared" si="120"/>
        <v>Medium</v>
      </c>
      <c r="T355" t="str">
        <f t="shared" si="121"/>
        <v>High EV Adoption Corridor</v>
      </c>
      <c r="U355" s="3">
        <f t="shared" si="122"/>
        <v>18720000</v>
      </c>
      <c r="V355" s="4">
        <f t="shared" si="123"/>
        <v>4224000</v>
      </c>
      <c r="W355" s="3">
        <f t="shared" si="124"/>
        <v>52800000.000000007</v>
      </c>
      <c r="X355" s="3">
        <f t="shared" si="125"/>
        <v>39600000.000000007</v>
      </c>
      <c r="Y355">
        <f t="shared" si="126"/>
        <v>0.23999999999999996</v>
      </c>
      <c r="Z355">
        <f t="shared" si="127"/>
        <v>0.77435897435897438</v>
      </c>
      <c r="AA355" t="str">
        <f t="shared" si="128"/>
        <v>Tier 1 - Priority Fleet</v>
      </c>
      <c r="AB355" s="3">
        <f t="shared" si="129"/>
        <v>132000</v>
      </c>
      <c r="AC355" s="3">
        <f t="shared" si="130"/>
        <v>1650000.0000000002</v>
      </c>
      <c r="AD355" s="3">
        <f t="shared" si="131"/>
        <v>585000</v>
      </c>
      <c r="AE355" s="5">
        <f t="shared" si="132"/>
        <v>3.6423841059602653</v>
      </c>
      <c r="AF355" s="10">
        <f t="shared" si="133"/>
        <v>2618880</v>
      </c>
      <c r="AG355" s="10">
        <f t="shared" si="134"/>
        <v>844800</v>
      </c>
      <c r="AH355" s="10">
        <f t="shared" si="135"/>
        <v>422400</v>
      </c>
      <c r="AI355" s="10">
        <f t="shared" si="136"/>
        <v>211200</v>
      </c>
      <c r="AJ355" s="10">
        <f t="shared" si="137"/>
        <v>126720</v>
      </c>
    </row>
    <row r="356" spans="1:36" x14ac:dyDescent="0.3">
      <c r="A356" t="s">
        <v>1458</v>
      </c>
      <c r="B356" t="s">
        <v>1459</v>
      </c>
      <c r="C356" t="s">
        <v>1460</v>
      </c>
      <c r="D356" t="s">
        <v>268</v>
      </c>
      <c r="E356">
        <v>80124</v>
      </c>
      <c r="F356" t="s">
        <v>15</v>
      </c>
      <c r="G356">
        <v>10</v>
      </c>
      <c r="H356">
        <v>150</v>
      </c>
      <c r="I356" t="str" cm="1">
        <f t="array" ref="I356">_xlfn.IFS(H356&lt;=120,"V1",H356&lt;=150,"V2",H356&lt;=250,"V3", H356&lt;=350, "V4")</f>
        <v>V2</v>
      </c>
      <c r="J356" t="s">
        <v>1461</v>
      </c>
      <c r="K356" t="str">
        <f t="shared" si="115"/>
        <v>39.562726</v>
      </c>
      <c r="L356" t="str">
        <f t="shared" si="116"/>
        <v>-104.873432</v>
      </c>
      <c r="M356">
        <v>1789</v>
      </c>
      <c r="N356" s="1">
        <v>43056</v>
      </c>
      <c r="O356" s="1">
        <v>46099</v>
      </c>
      <c r="P356" s="2">
        <f t="shared" si="117"/>
        <v>8.3312799452429847</v>
      </c>
      <c r="Q356" s="2" t="str">
        <f t="shared" si="118"/>
        <v>Old</v>
      </c>
      <c r="R356">
        <f t="shared" si="119"/>
        <v>1500</v>
      </c>
      <c r="S356" t="str">
        <f t="shared" si="120"/>
        <v>Small</v>
      </c>
      <c r="T356" t="str">
        <f t="shared" si="121"/>
        <v>High EV Adoption Corridor</v>
      </c>
      <c r="U356" s="3">
        <f t="shared" si="122"/>
        <v>3217500</v>
      </c>
      <c r="V356" s="4">
        <f t="shared" si="123"/>
        <v>720000</v>
      </c>
      <c r="W356" s="3">
        <f t="shared" si="124"/>
        <v>8250000.0000000009</v>
      </c>
      <c r="X356" s="3">
        <f t="shared" si="125"/>
        <v>6750000</v>
      </c>
      <c r="Y356">
        <f t="shared" si="126"/>
        <v>0.22888888888888889</v>
      </c>
      <c r="Z356">
        <f t="shared" si="127"/>
        <v>0.77622377622377625</v>
      </c>
      <c r="AA356" t="str">
        <f t="shared" si="128"/>
        <v>Tier 3 - Upgrade Pipeline</v>
      </c>
      <c r="AB356" s="3">
        <f t="shared" si="129"/>
        <v>72000</v>
      </c>
      <c r="AC356" s="3">
        <f t="shared" si="130"/>
        <v>825000.00000000012</v>
      </c>
      <c r="AD356" s="3">
        <f t="shared" si="131"/>
        <v>321750</v>
      </c>
      <c r="AE356" s="5">
        <f t="shared" si="132"/>
        <v>3.3033033033033035</v>
      </c>
      <c r="AF356" s="10">
        <f t="shared" si="133"/>
        <v>446400</v>
      </c>
      <c r="AG356" s="10">
        <f t="shared" si="134"/>
        <v>144000</v>
      </c>
      <c r="AH356" s="10">
        <f t="shared" si="135"/>
        <v>72000</v>
      </c>
      <c r="AI356" s="10">
        <f t="shared" si="136"/>
        <v>36000</v>
      </c>
      <c r="AJ356" s="10">
        <f t="shared" si="137"/>
        <v>21600</v>
      </c>
    </row>
    <row r="357" spans="1:36" x14ac:dyDescent="0.3">
      <c r="A357" t="s">
        <v>1462</v>
      </c>
      <c r="B357" t="s">
        <v>1463</v>
      </c>
      <c r="C357" t="s">
        <v>1464</v>
      </c>
      <c r="D357" t="s">
        <v>120</v>
      </c>
      <c r="E357">
        <v>57365</v>
      </c>
      <c r="F357" t="s">
        <v>15</v>
      </c>
      <c r="G357">
        <v>8</v>
      </c>
      <c r="H357">
        <v>150</v>
      </c>
      <c r="I357" t="str" cm="1">
        <f t="array" ref="I357">_xlfn.IFS(H357&lt;=120,"V1",H357&lt;=150,"V2",H357&lt;=250,"V3", H357&lt;=350, "V4")</f>
        <v>V2</v>
      </c>
      <c r="J357" t="s">
        <v>1465</v>
      </c>
      <c r="K357" t="str">
        <f t="shared" si="115"/>
        <v>43.803188</v>
      </c>
      <c r="L357" t="str">
        <f t="shared" si="116"/>
        <v>-99.383442</v>
      </c>
      <c r="M357">
        <v>434</v>
      </c>
      <c r="N357" s="1">
        <v>43024</v>
      </c>
      <c r="O357" s="1">
        <v>46099</v>
      </c>
      <c r="P357" s="2">
        <f t="shared" si="117"/>
        <v>8.4188911704312108</v>
      </c>
      <c r="Q357" s="2" t="str">
        <f t="shared" si="118"/>
        <v>Old</v>
      </c>
      <c r="R357">
        <f t="shared" si="119"/>
        <v>1200</v>
      </c>
      <c r="S357" t="str">
        <f t="shared" si="120"/>
        <v>Small</v>
      </c>
      <c r="T357" t="str">
        <f t="shared" si="121"/>
        <v>Lower EV Adoption Corridor</v>
      </c>
      <c r="U357" s="3">
        <f t="shared" si="122"/>
        <v>1980000.0000000002</v>
      </c>
      <c r="V357" s="4">
        <f t="shared" si="123"/>
        <v>480000</v>
      </c>
      <c r="W357" s="3">
        <f t="shared" si="124"/>
        <v>6000000</v>
      </c>
      <c r="X357" s="3">
        <f t="shared" si="125"/>
        <v>3600000</v>
      </c>
      <c r="Y357">
        <f t="shared" si="126"/>
        <v>0.3</v>
      </c>
      <c r="Z357">
        <f t="shared" si="127"/>
        <v>0.75757575757575757</v>
      </c>
      <c r="AA357" t="str">
        <f t="shared" si="128"/>
        <v>Tier 4 - Stable Network</v>
      </c>
      <c r="AB357" s="3">
        <f t="shared" si="129"/>
        <v>60000</v>
      </c>
      <c r="AC357" s="3">
        <f t="shared" si="130"/>
        <v>750000</v>
      </c>
      <c r="AD357" s="3">
        <f t="shared" si="131"/>
        <v>247500.00000000003</v>
      </c>
      <c r="AE357" s="5">
        <f t="shared" si="132"/>
        <v>3.9999999999999996</v>
      </c>
      <c r="AF357" s="10">
        <f t="shared" si="133"/>
        <v>297600</v>
      </c>
      <c r="AG357" s="10">
        <f t="shared" si="134"/>
        <v>96000</v>
      </c>
      <c r="AH357" s="10">
        <f t="shared" si="135"/>
        <v>48000</v>
      </c>
      <c r="AI357" s="10">
        <f t="shared" si="136"/>
        <v>24000</v>
      </c>
      <c r="AJ357" s="10">
        <f t="shared" si="137"/>
        <v>14400</v>
      </c>
    </row>
    <row r="358" spans="1:36" x14ac:dyDescent="0.3">
      <c r="A358" t="s">
        <v>1466</v>
      </c>
      <c r="B358" t="s">
        <v>1467</v>
      </c>
      <c r="C358" t="s">
        <v>1468</v>
      </c>
      <c r="D358" t="s">
        <v>268</v>
      </c>
      <c r="E358">
        <v>81201</v>
      </c>
      <c r="F358" t="s">
        <v>15</v>
      </c>
      <c r="G358">
        <v>8</v>
      </c>
      <c r="H358">
        <v>150</v>
      </c>
      <c r="I358" t="str" cm="1">
        <f t="array" ref="I358">_xlfn.IFS(H358&lt;=120,"V1",H358&lt;=150,"V2",H358&lt;=250,"V3", H358&lt;=350, "V4")</f>
        <v>V2</v>
      </c>
      <c r="J358" t="s">
        <v>1469</v>
      </c>
      <c r="K358" t="str">
        <f t="shared" si="115"/>
        <v>38.51174</v>
      </c>
      <c r="L358" t="str">
        <f t="shared" si="116"/>
        <v>-106.076394</v>
      </c>
      <c r="M358">
        <v>2278</v>
      </c>
      <c r="N358" s="1">
        <v>43133</v>
      </c>
      <c r="O358" s="1">
        <v>46099</v>
      </c>
      <c r="P358" s="2">
        <f t="shared" si="117"/>
        <v>8.1204654346338128</v>
      </c>
      <c r="Q358" s="2" t="str">
        <f t="shared" si="118"/>
        <v>Old</v>
      </c>
      <c r="R358">
        <f t="shared" si="119"/>
        <v>1200</v>
      </c>
      <c r="S358" t="str">
        <f t="shared" si="120"/>
        <v>Small</v>
      </c>
      <c r="T358" t="str">
        <f t="shared" si="121"/>
        <v>High EV Adoption Corridor</v>
      </c>
      <c r="U358" s="3">
        <f t="shared" si="122"/>
        <v>2574000.0000000005</v>
      </c>
      <c r="V358" s="4">
        <f t="shared" si="123"/>
        <v>576000</v>
      </c>
      <c r="W358" s="3">
        <f t="shared" si="124"/>
        <v>6600000.0000000009</v>
      </c>
      <c r="X358" s="3">
        <f t="shared" si="125"/>
        <v>5400000</v>
      </c>
      <c r="Y358">
        <f t="shared" si="126"/>
        <v>0.22888888888888889</v>
      </c>
      <c r="Z358">
        <f t="shared" si="127"/>
        <v>0.77622377622377625</v>
      </c>
      <c r="AA358" t="str">
        <f t="shared" si="128"/>
        <v>Tier 3 - Upgrade Pipeline</v>
      </c>
      <c r="AB358" s="3">
        <f t="shared" si="129"/>
        <v>72000</v>
      </c>
      <c r="AC358" s="3">
        <f t="shared" si="130"/>
        <v>825000.00000000012</v>
      </c>
      <c r="AD358" s="3">
        <f t="shared" si="131"/>
        <v>321750.00000000006</v>
      </c>
      <c r="AE358" s="5">
        <f t="shared" si="132"/>
        <v>3.303303303303303</v>
      </c>
      <c r="AF358" s="10">
        <f t="shared" si="133"/>
        <v>357120</v>
      </c>
      <c r="AG358" s="10">
        <f t="shared" si="134"/>
        <v>115200</v>
      </c>
      <c r="AH358" s="10">
        <f t="shared" si="135"/>
        <v>57600</v>
      </c>
      <c r="AI358" s="10">
        <f t="shared" si="136"/>
        <v>28800</v>
      </c>
      <c r="AJ358" s="10">
        <f t="shared" si="137"/>
        <v>17280</v>
      </c>
    </row>
    <row r="359" spans="1:36" x14ac:dyDescent="0.3">
      <c r="A359" t="s">
        <v>1470</v>
      </c>
      <c r="B359" t="s">
        <v>1471</v>
      </c>
      <c r="C359" t="s">
        <v>1472</v>
      </c>
      <c r="D359" t="s">
        <v>14</v>
      </c>
      <c r="E359">
        <v>96022</v>
      </c>
      <c r="F359" t="s">
        <v>15</v>
      </c>
      <c r="G359">
        <v>12</v>
      </c>
      <c r="H359">
        <v>250</v>
      </c>
      <c r="I359" t="str" cm="1">
        <f t="array" ref="I359">_xlfn.IFS(H359&lt;=120,"V1",H359&lt;=150,"V2",H359&lt;=250,"V3", H359&lt;=350, "V4")</f>
        <v>V3</v>
      </c>
      <c r="J359" t="s">
        <v>1473</v>
      </c>
      <c r="K359" t="str">
        <f t="shared" si="115"/>
        <v>40.389145</v>
      </c>
      <c r="L359" t="str">
        <f t="shared" si="116"/>
        <v>-122.288208</v>
      </c>
      <c r="M359">
        <v>135</v>
      </c>
      <c r="N359" s="1">
        <v>44685</v>
      </c>
      <c r="O359" s="1">
        <v>46099</v>
      </c>
      <c r="P359" s="2">
        <f t="shared" si="117"/>
        <v>3.871321013004791</v>
      </c>
      <c r="Q359" s="2" t="str">
        <f t="shared" si="118"/>
        <v>Mid</v>
      </c>
      <c r="R359">
        <f t="shared" si="119"/>
        <v>3000</v>
      </c>
      <c r="S359" t="str">
        <f t="shared" si="120"/>
        <v>Small</v>
      </c>
      <c r="T359" t="str">
        <f t="shared" si="121"/>
        <v>High EV Adoption Corridor</v>
      </c>
      <c r="U359" s="3">
        <f t="shared" si="122"/>
        <v>7020000</v>
      </c>
      <c r="V359" s="4">
        <f t="shared" si="123"/>
        <v>1584000</v>
      </c>
      <c r="W359" s="3">
        <f t="shared" si="124"/>
        <v>19800000</v>
      </c>
      <c r="X359" s="3">
        <f t="shared" si="125"/>
        <v>14850000</v>
      </c>
      <c r="Y359">
        <f t="shared" si="126"/>
        <v>0.24</v>
      </c>
      <c r="Z359">
        <f t="shared" si="127"/>
        <v>0.77435897435897438</v>
      </c>
      <c r="AA359" t="str">
        <f t="shared" si="128"/>
        <v>Tier 1 - Priority Fleet</v>
      </c>
      <c r="AB359" s="3">
        <f t="shared" si="129"/>
        <v>132000</v>
      </c>
      <c r="AC359" s="3">
        <f t="shared" si="130"/>
        <v>1650000</v>
      </c>
      <c r="AD359" s="3">
        <f t="shared" si="131"/>
        <v>585000</v>
      </c>
      <c r="AE359" s="5">
        <f t="shared" si="132"/>
        <v>3.6423841059602649</v>
      </c>
      <c r="AF359" s="10">
        <f t="shared" si="133"/>
        <v>982080</v>
      </c>
      <c r="AG359" s="10">
        <f t="shared" si="134"/>
        <v>316800</v>
      </c>
      <c r="AH359" s="10">
        <f t="shared" si="135"/>
        <v>158400</v>
      </c>
      <c r="AI359" s="10">
        <f t="shared" si="136"/>
        <v>79200</v>
      </c>
      <c r="AJ359" s="10">
        <f t="shared" si="137"/>
        <v>47520</v>
      </c>
    </row>
    <row r="360" spans="1:36" x14ac:dyDescent="0.3">
      <c r="A360" t="s">
        <v>1474</v>
      </c>
      <c r="B360" t="s">
        <v>1475</v>
      </c>
      <c r="C360" t="s">
        <v>1476</v>
      </c>
      <c r="D360" t="s">
        <v>77</v>
      </c>
      <c r="E360">
        <v>27407</v>
      </c>
      <c r="F360" t="s">
        <v>15</v>
      </c>
      <c r="G360">
        <v>8</v>
      </c>
      <c r="H360">
        <v>150</v>
      </c>
      <c r="I360" t="str" cm="1">
        <f t="array" ref="I360">_xlfn.IFS(H360&lt;=120,"V1",H360&lt;=150,"V2",H360&lt;=250,"V3", H360&lt;=350, "V4")</f>
        <v>V2</v>
      </c>
      <c r="J360" t="s">
        <v>1477</v>
      </c>
      <c r="K360" t="str">
        <f t="shared" si="115"/>
        <v>36.059473</v>
      </c>
      <c r="L360" t="str">
        <f t="shared" si="116"/>
        <v>-79.908358</v>
      </c>
      <c r="M360">
        <v>284</v>
      </c>
      <c r="N360" s="1">
        <v>43086</v>
      </c>
      <c r="O360" s="1">
        <v>46099</v>
      </c>
      <c r="P360" s="2">
        <f t="shared" si="117"/>
        <v>8.2491444216290208</v>
      </c>
      <c r="Q360" s="2" t="str">
        <f t="shared" si="118"/>
        <v>Old</v>
      </c>
      <c r="R360">
        <f t="shared" si="119"/>
        <v>1200</v>
      </c>
      <c r="S360" t="str">
        <f t="shared" si="120"/>
        <v>Small</v>
      </c>
      <c r="T360" t="str">
        <f t="shared" si="121"/>
        <v>Lower EV Adoption Corridor</v>
      </c>
      <c r="U360" s="3">
        <f t="shared" si="122"/>
        <v>1980000.0000000002</v>
      </c>
      <c r="V360" s="4">
        <f t="shared" si="123"/>
        <v>480000</v>
      </c>
      <c r="W360" s="3">
        <f t="shared" si="124"/>
        <v>6000000</v>
      </c>
      <c r="X360" s="3">
        <f t="shared" si="125"/>
        <v>3600000</v>
      </c>
      <c r="Y360">
        <f t="shared" si="126"/>
        <v>0.3</v>
      </c>
      <c r="Z360">
        <f t="shared" si="127"/>
        <v>0.75757575757575757</v>
      </c>
      <c r="AA360" t="str">
        <f t="shared" si="128"/>
        <v>Tier 4 - Stable Network</v>
      </c>
      <c r="AB360" s="3">
        <f t="shared" si="129"/>
        <v>60000</v>
      </c>
      <c r="AC360" s="3">
        <f t="shared" si="130"/>
        <v>750000</v>
      </c>
      <c r="AD360" s="3">
        <f t="shared" si="131"/>
        <v>247500.00000000003</v>
      </c>
      <c r="AE360" s="5">
        <f t="shared" si="132"/>
        <v>3.9999999999999996</v>
      </c>
      <c r="AF360" s="10">
        <f t="shared" si="133"/>
        <v>297600</v>
      </c>
      <c r="AG360" s="10">
        <f t="shared" si="134"/>
        <v>96000</v>
      </c>
      <c r="AH360" s="10">
        <f t="shared" si="135"/>
        <v>48000</v>
      </c>
      <c r="AI360" s="10">
        <f t="shared" si="136"/>
        <v>24000</v>
      </c>
      <c r="AJ360" s="10">
        <f t="shared" si="137"/>
        <v>14400</v>
      </c>
    </row>
    <row r="361" spans="1:36" x14ac:dyDescent="0.3">
      <c r="A361" t="s">
        <v>1478</v>
      </c>
      <c r="B361" t="s">
        <v>1479</v>
      </c>
      <c r="C361" t="s">
        <v>1480</v>
      </c>
      <c r="D361" t="s">
        <v>230</v>
      </c>
      <c r="E361">
        <v>98922</v>
      </c>
      <c r="F361" t="s">
        <v>15</v>
      </c>
      <c r="G361">
        <v>12</v>
      </c>
      <c r="H361">
        <v>150</v>
      </c>
      <c r="I361" t="str" cm="1">
        <f t="array" ref="I361">_xlfn.IFS(H361&lt;=120,"V1",H361&lt;=150,"V2",H361&lt;=250,"V3", H361&lt;=350, "V4")</f>
        <v>V2</v>
      </c>
      <c r="J361" t="s">
        <v>1481</v>
      </c>
      <c r="K361" t="str">
        <f t="shared" si="115"/>
        <v>47.189278</v>
      </c>
      <c r="L361" t="str">
        <f t="shared" si="116"/>
        <v>-120.902553</v>
      </c>
      <c r="M361">
        <v>572</v>
      </c>
      <c r="N361" s="1">
        <v>43442</v>
      </c>
      <c r="O361" s="1">
        <v>46099</v>
      </c>
      <c r="P361" s="2">
        <f t="shared" si="117"/>
        <v>7.2744695414099931</v>
      </c>
      <c r="Q361" s="2" t="str">
        <f t="shared" si="118"/>
        <v>Mid</v>
      </c>
      <c r="R361">
        <f t="shared" si="119"/>
        <v>1800</v>
      </c>
      <c r="S361" t="str">
        <f t="shared" si="120"/>
        <v>Small</v>
      </c>
      <c r="T361" t="str">
        <f t="shared" si="121"/>
        <v>High EV Adoption Corridor</v>
      </c>
      <c r="U361" s="3">
        <f t="shared" si="122"/>
        <v>3861000.0000000009</v>
      </c>
      <c r="V361" s="4">
        <f t="shared" si="123"/>
        <v>864000</v>
      </c>
      <c r="W361" s="3">
        <f t="shared" si="124"/>
        <v>9900000</v>
      </c>
      <c r="X361" s="3">
        <f t="shared" si="125"/>
        <v>8100000</v>
      </c>
      <c r="Y361">
        <f t="shared" si="126"/>
        <v>0.22888888888888889</v>
      </c>
      <c r="Z361">
        <f t="shared" si="127"/>
        <v>0.77622377622377625</v>
      </c>
      <c r="AA361" t="str">
        <f t="shared" si="128"/>
        <v>Tier 3 - Upgrade Pipeline</v>
      </c>
      <c r="AB361" s="3">
        <f t="shared" si="129"/>
        <v>72000</v>
      </c>
      <c r="AC361" s="3">
        <f t="shared" si="130"/>
        <v>825000</v>
      </c>
      <c r="AD361" s="3">
        <f t="shared" si="131"/>
        <v>321750.00000000006</v>
      </c>
      <c r="AE361" s="5">
        <f t="shared" si="132"/>
        <v>3.3033033033033021</v>
      </c>
      <c r="AF361" s="10">
        <f t="shared" si="133"/>
        <v>535680</v>
      </c>
      <c r="AG361" s="10">
        <f t="shared" si="134"/>
        <v>172800</v>
      </c>
      <c r="AH361" s="10">
        <f t="shared" si="135"/>
        <v>86400</v>
      </c>
      <c r="AI361" s="10">
        <f t="shared" si="136"/>
        <v>43200</v>
      </c>
      <c r="AJ361" s="10">
        <f t="shared" si="137"/>
        <v>25920</v>
      </c>
    </row>
    <row r="362" spans="1:36" x14ac:dyDescent="0.3">
      <c r="A362" t="s">
        <v>1482</v>
      </c>
      <c r="B362" t="s">
        <v>1483</v>
      </c>
      <c r="C362" t="s">
        <v>1484</v>
      </c>
      <c r="D362" t="s">
        <v>958</v>
      </c>
      <c r="E362">
        <v>4032</v>
      </c>
      <c r="F362" t="s">
        <v>15</v>
      </c>
      <c r="G362">
        <v>8</v>
      </c>
      <c r="H362">
        <v>120</v>
      </c>
      <c r="I362" t="str" cm="1">
        <f t="array" ref="I362">_xlfn.IFS(H362&lt;=120,"V1",H362&lt;=150,"V2",H362&lt;=250,"V3", H362&lt;=350, "V4")</f>
        <v>V1</v>
      </c>
      <c r="J362" t="s">
        <v>1485</v>
      </c>
      <c r="K362" t="str">
        <f t="shared" si="115"/>
        <v>43.8587942</v>
      </c>
      <c r="L362" t="str">
        <f t="shared" si="116"/>
        <v>-70.1041363</v>
      </c>
      <c r="M362">
        <v>49</v>
      </c>
      <c r="N362" s="1">
        <v>43027</v>
      </c>
      <c r="O362" s="1">
        <v>46099</v>
      </c>
      <c r="P362" s="2">
        <f t="shared" si="117"/>
        <v>8.4106776180698155</v>
      </c>
      <c r="Q362" s="2" t="str">
        <f t="shared" si="118"/>
        <v>Old</v>
      </c>
      <c r="R362">
        <f t="shared" si="119"/>
        <v>960</v>
      </c>
      <c r="S362" t="str">
        <f t="shared" si="120"/>
        <v>Small</v>
      </c>
      <c r="T362" t="str">
        <f t="shared" si="121"/>
        <v>Lower EV Adoption Corridor</v>
      </c>
      <c r="U362" s="3">
        <f t="shared" si="122"/>
        <v>1440000</v>
      </c>
      <c r="V362" s="4">
        <f t="shared" si="123"/>
        <v>345600</v>
      </c>
      <c r="W362" s="3">
        <f t="shared" si="124"/>
        <v>3840000</v>
      </c>
      <c r="X362" s="3">
        <f t="shared" si="125"/>
        <v>2592000</v>
      </c>
      <c r="Y362">
        <f t="shared" si="126"/>
        <v>0.2814814814814815</v>
      </c>
      <c r="Z362">
        <f t="shared" si="127"/>
        <v>0.76</v>
      </c>
      <c r="AA362" t="str">
        <f t="shared" si="128"/>
        <v>Tier 5 - Retirement Pipeline</v>
      </c>
      <c r="AB362" s="3">
        <f t="shared" si="129"/>
        <v>43200</v>
      </c>
      <c r="AC362" s="3">
        <f t="shared" si="130"/>
        <v>480000</v>
      </c>
      <c r="AD362" s="3">
        <f t="shared" si="131"/>
        <v>180000</v>
      </c>
      <c r="AE362" s="5">
        <f t="shared" si="132"/>
        <v>3.5087719298245612</v>
      </c>
      <c r="AF362" s="10">
        <f t="shared" si="133"/>
        <v>214272</v>
      </c>
      <c r="AG362" s="10">
        <f t="shared" si="134"/>
        <v>69120</v>
      </c>
      <c r="AH362" s="10">
        <f t="shared" si="135"/>
        <v>34560</v>
      </c>
      <c r="AI362" s="10">
        <f t="shared" si="136"/>
        <v>17280</v>
      </c>
      <c r="AJ362" s="10">
        <f t="shared" si="137"/>
        <v>10368</v>
      </c>
    </row>
    <row r="363" spans="1:36" x14ac:dyDescent="0.3">
      <c r="A363" t="s">
        <v>1486</v>
      </c>
      <c r="B363" t="s">
        <v>1487</v>
      </c>
      <c r="C363" t="s">
        <v>1488</v>
      </c>
      <c r="D363" t="s">
        <v>630</v>
      </c>
      <c r="E363">
        <v>49735</v>
      </c>
      <c r="F363" t="s">
        <v>15</v>
      </c>
      <c r="G363">
        <v>10</v>
      </c>
      <c r="H363">
        <v>150</v>
      </c>
      <c r="I363" t="str" cm="1">
        <f t="array" ref="I363">_xlfn.IFS(H363&lt;=120,"V1",H363&lt;=150,"V2",H363&lt;=250,"V3", H363&lt;=350, "V4")</f>
        <v>V2</v>
      </c>
      <c r="J363" t="s">
        <v>1489</v>
      </c>
      <c r="K363" t="str">
        <f t="shared" si="115"/>
        <v>45.025577</v>
      </c>
      <c r="L363" t="str">
        <f t="shared" si="116"/>
        <v>-84.722201</v>
      </c>
      <c r="M363">
        <v>398</v>
      </c>
      <c r="N363" s="1">
        <v>43272</v>
      </c>
      <c r="O363" s="1">
        <v>46099</v>
      </c>
      <c r="P363" s="2">
        <f t="shared" si="117"/>
        <v>7.73990417522245</v>
      </c>
      <c r="Q363" s="2" t="str">
        <f t="shared" si="118"/>
        <v>Mid</v>
      </c>
      <c r="R363">
        <f t="shared" si="119"/>
        <v>1500</v>
      </c>
      <c r="S363" t="str">
        <f t="shared" si="120"/>
        <v>Small</v>
      </c>
      <c r="T363" t="str">
        <f t="shared" si="121"/>
        <v>Lower EV Adoption Corridor</v>
      </c>
      <c r="U363" s="3">
        <f t="shared" si="122"/>
        <v>2475000</v>
      </c>
      <c r="V363" s="4">
        <f t="shared" si="123"/>
        <v>600000</v>
      </c>
      <c r="W363" s="3">
        <f t="shared" si="124"/>
        <v>7500000</v>
      </c>
      <c r="X363" s="3">
        <f t="shared" si="125"/>
        <v>4500000</v>
      </c>
      <c r="Y363">
        <f t="shared" si="126"/>
        <v>0.3</v>
      </c>
      <c r="Z363">
        <f t="shared" si="127"/>
        <v>0.75757575757575757</v>
      </c>
      <c r="AA363" t="str">
        <f t="shared" si="128"/>
        <v>Tier 4 - Stable Network</v>
      </c>
      <c r="AB363" s="3">
        <f t="shared" si="129"/>
        <v>60000</v>
      </c>
      <c r="AC363" s="3">
        <f t="shared" si="130"/>
        <v>750000</v>
      </c>
      <c r="AD363" s="3">
        <f t="shared" si="131"/>
        <v>247500</v>
      </c>
      <c r="AE363" s="5">
        <f t="shared" si="132"/>
        <v>4</v>
      </c>
      <c r="AF363" s="10">
        <f t="shared" si="133"/>
        <v>372000</v>
      </c>
      <c r="AG363" s="10">
        <f t="shared" si="134"/>
        <v>120000</v>
      </c>
      <c r="AH363" s="10">
        <f t="shared" si="135"/>
        <v>60000</v>
      </c>
      <c r="AI363" s="10">
        <f t="shared" si="136"/>
        <v>30000</v>
      </c>
      <c r="AJ363" s="10">
        <f t="shared" si="137"/>
        <v>18000</v>
      </c>
    </row>
    <row r="364" spans="1:36" x14ac:dyDescent="0.3">
      <c r="A364" t="s">
        <v>1490</v>
      </c>
      <c r="B364" t="s">
        <v>1491</v>
      </c>
      <c r="C364" t="s">
        <v>32</v>
      </c>
      <c r="D364" t="s">
        <v>630</v>
      </c>
      <c r="E364">
        <v>48066</v>
      </c>
      <c r="F364" t="s">
        <v>15</v>
      </c>
      <c r="G364">
        <v>8</v>
      </c>
      <c r="H364">
        <v>150</v>
      </c>
      <c r="I364" t="str" cm="1">
        <f t="array" ref="I364">_xlfn.IFS(H364&lt;=120,"V1",H364&lt;=150,"V2",H364&lt;=250,"V3", H364&lt;=350, "V4")</f>
        <v>V2</v>
      </c>
      <c r="J364" t="s">
        <v>1492</v>
      </c>
      <c r="K364" t="str">
        <f t="shared" si="115"/>
        <v>42.522048</v>
      </c>
      <c r="L364" t="str">
        <f t="shared" si="116"/>
        <v>-82.906756</v>
      </c>
      <c r="M364">
        <v>182</v>
      </c>
      <c r="N364" s="1">
        <v>43062</v>
      </c>
      <c r="O364" s="1">
        <v>46099</v>
      </c>
      <c r="P364" s="2">
        <f t="shared" si="117"/>
        <v>8.3148528405201922</v>
      </c>
      <c r="Q364" s="2" t="str">
        <f t="shared" si="118"/>
        <v>Old</v>
      </c>
      <c r="R364">
        <f t="shared" si="119"/>
        <v>1200</v>
      </c>
      <c r="S364" t="str">
        <f t="shared" si="120"/>
        <v>Small</v>
      </c>
      <c r="T364" t="str">
        <f t="shared" si="121"/>
        <v>Lower EV Adoption Corridor</v>
      </c>
      <c r="U364" s="3">
        <f t="shared" si="122"/>
        <v>1980000.0000000002</v>
      </c>
      <c r="V364" s="4">
        <f t="shared" si="123"/>
        <v>480000</v>
      </c>
      <c r="W364" s="3">
        <f t="shared" si="124"/>
        <v>6000000</v>
      </c>
      <c r="X364" s="3">
        <f t="shared" si="125"/>
        <v>3600000</v>
      </c>
      <c r="Y364">
        <f t="shared" si="126"/>
        <v>0.3</v>
      </c>
      <c r="Z364">
        <f t="shared" si="127"/>
        <v>0.75757575757575757</v>
      </c>
      <c r="AA364" t="str">
        <f t="shared" si="128"/>
        <v>Tier 4 - Stable Network</v>
      </c>
      <c r="AB364" s="3">
        <f t="shared" si="129"/>
        <v>60000</v>
      </c>
      <c r="AC364" s="3">
        <f t="shared" si="130"/>
        <v>750000</v>
      </c>
      <c r="AD364" s="3">
        <f t="shared" si="131"/>
        <v>247500.00000000003</v>
      </c>
      <c r="AE364" s="5">
        <f t="shared" si="132"/>
        <v>3.9999999999999996</v>
      </c>
      <c r="AF364" s="10">
        <f t="shared" si="133"/>
        <v>297600</v>
      </c>
      <c r="AG364" s="10">
        <f t="shared" si="134"/>
        <v>96000</v>
      </c>
      <c r="AH364" s="10">
        <f t="shared" si="135"/>
        <v>48000</v>
      </c>
      <c r="AI364" s="10">
        <f t="shared" si="136"/>
        <v>24000</v>
      </c>
      <c r="AJ364" s="10">
        <f t="shared" si="137"/>
        <v>14400</v>
      </c>
    </row>
    <row r="365" spans="1:36" x14ac:dyDescent="0.3">
      <c r="A365" t="s">
        <v>1493</v>
      </c>
      <c r="B365" t="s">
        <v>1494</v>
      </c>
      <c r="C365" t="s">
        <v>1495</v>
      </c>
      <c r="D365" t="s">
        <v>14</v>
      </c>
      <c r="E365">
        <v>94533</v>
      </c>
      <c r="F365" t="s">
        <v>15</v>
      </c>
      <c r="G365">
        <v>12</v>
      </c>
      <c r="H365">
        <v>150</v>
      </c>
      <c r="I365" t="str" cm="1">
        <f t="array" ref="I365">_xlfn.IFS(H365&lt;=120,"V1",H365&lt;=150,"V2",H365&lt;=250,"V3", H365&lt;=350, "V4")</f>
        <v>V2</v>
      </c>
      <c r="J365" t="s">
        <v>1496</v>
      </c>
      <c r="K365" t="str">
        <f t="shared" si="115"/>
        <v>38.26175</v>
      </c>
      <c r="L365" t="str">
        <f t="shared" si="116"/>
        <v>-122.0524</v>
      </c>
      <c r="M365">
        <v>10</v>
      </c>
      <c r="N365" s="1">
        <v>43226</v>
      </c>
      <c r="O365" s="1">
        <v>46099</v>
      </c>
      <c r="P365" s="2">
        <f t="shared" si="117"/>
        <v>7.8658453114305269</v>
      </c>
      <c r="Q365" s="2" t="str">
        <f t="shared" si="118"/>
        <v>Mid</v>
      </c>
      <c r="R365">
        <f t="shared" si="119"/>
        <v>1800</v>
      </c>
      <c r="S365" t="str">
        <f t="shared" si="120"/>
        <v>Small</v>
      </c>
      <c r="T365" t="str">
        <f t="shared" si="121"/>
        <v>High EV Adoption Corridor</v>
      </c>
      <c r="U365" s="3">
        <f t="shared" si="122"/>
        <v>3861000.0000000009</v>
      </c>
      <c r="V365" s="4">
        <f t="shared" si="123"/>
        <v>864000</v>
      </c>
      <c r="W365" s="3">
        <f t="shared" si="124"/>
        <v>9900000</v>
      </c>
      <c r="X365" s="3">
        <f t="shared" si="125"/>
        <v>8100000</v>
      </c>
      <c r="Y365">
        <f t="shared" si="126"/>
        <v>0.22888888888888889</v>
      </c>
      <c r="Z365">
        <f t="shared" si="127"/>
        <v>0.77622377622377625</v>
      </c>
      <c r="AA365" t="str">
        <f t="shared" si="128"/>
        <v>Tier 3 - Upgrade Pipeline</v>
      </c>
      <c r="AB365" s="3">
        <f t="shared" si="129"/>
        <v>72000</v>
      </c>
      <c r="AC365" s="3">
        <f t="shared" si="130"/>
        <v>825000</v>
      </c>
      <c r="AD365" s="3">
        <f t="shared" si="131"/>
        <v>321750.00000000006</v>
      </c>
      <c r="AE365" s="5">
        <f t="shared" si="132"/>
        <v>3.3033033033033021</v>
      </c>
      <c r="AF365" s="10">
        <f t="shared" si="133"/>
        <v>535680</v>
      </c>
      <c r="AG365" s="10">
        <f t="shared" si="134"/>
        <v>172800</v>
      </c>
      <c r="AH365" s="10">
        <f t="shared" si="135"/>
        <v>86400</v>
      </c>
      <c r="AI365" s="10">
        <f t="shared" si="136"/>
        <v>43200</v>
      </c>
      <c r="AJ365" s="10">
        <f t="shared" si="137"/>
        <v>25920</v>
      </c>
    </row>
    <row r="366" spans="1:36" x14ac:dyDescent="0.3">
      <c r="A366" t="s">
        <v>1497</v>
      </c>
      <c r="B366" t="s">
        <v>1498</v>
      </c>
      <c r="C366" t="s">
        <v>1499</v>
      </c>
      <c r="D366" t="s">
        <v>852</v>
      </c>
      <c r="E366">
        <v>8328</v>
      </c>
      <c r="F366" t="s">
        <v>15</v>
      </c>
      <c r="G366">
        <v>8</v>
      </c>
      <c r="H366">
        <v>250</v>
      </c>
      <c r="I366" t="str" cm="1">
        <f t="array" ref="I366">_xlfn.IFS(H366&lt;=120,"V1",H366&lt;=150,"V2",H366&lt;=250,"V3", H366&lt;=350, "V4")</f>
        <v>V3</v>
      </c>
      <c r="J366" t="s">
        <v>1500</v>
      </c>
      <c r="K366" t="str">
        <f t="shared" si="115"/>
        <v>39.572</v>
      </c>
      <c r="L366" t="str">
        <f t="shared" si="116"/>
        <v>-75.0528</v>
      </c>
      <c r="M366">
        <v>30</v>
      </c>
      <c r="N366" s="1">
        <v>44539</v>
      </c>
      <c r="O366" s="1">
        <v>46099</v>
      </c>
      <c r="P366" s="2">
        <f t="shared" si="117"/>
        <v>4.2710472279260783</v>
      </c>
      <c r="Q366" s="2" t="str">
        <f t="shared" si="118"/>
        <v>Mid</v>
      </c>
      <c r="R366">
        <f t="shared" si="119"/>
        <v>2000</v>
      </c>
      <c r="S366" t="str">
        <f t="shared" si="120"/>
        <v>Small</v>
      </c>
      <c r="T366" t="str">
        <f t="shared" si="121"/>
        <v>High EV Adoption Corridor</v>
      </c>
      <c r="U366" s="3">
        <f t="shared" si="122"/>
        <v>4680000</v>
      </c>
      <c r="V366" s="4">
        <f t="shared" si="123"/>
        <v>1056000</v>
      </c>
      <c r="W366" s="3">
        <f t="shared" si="124"/>
        <v>13200000.000000002</v>
      </c>
      <c r="X366" s="3">
        <f t="shared" si="125"/>
        <v>9900000.0000000019</v>
      </c>
      <c r="Y366">
        <f t="shared" si="126"/>
        <v>0.23999999999999996</v>
      </c>
      <c r="Z366">
        <f t="shared" si="127"/>
        <v>0.77435897435897438</v>
      </c>
      <c r="AA366" t="str">
        <f t="shared" si="128"/>
        <v>Tier 1 - Priority Fleet</v>
      </c>
      <c r="AB366" s="3">
        <f t="shared" si="129"/>
        <v>132000</v>
      </c>
      <c r="AC366" s="3">
        <f t="shared" si="130"/>
        <v>1650000.0000000002</v>
      </c>
      <c r="AD366" s="3">
        <f t="shared" si="131"/>
        <v>585000</v>
      </c>
      <c r="AE366" s="5">
        <f t="shared" si="132"/>
        <v>3.6423841059602653</v>
      </c>
      <c r="AF366" s="10">
        <f t="shared" si="133"/>
        <v>654720</v>
      </c>
      <c r="AG366" s="10">
        <f t="shared" si="134"/>
        <v>211200</v>
      </c>
      <c r="AH366" s="10">
        <f t="shared" si="135"/>
        <v>105600</v>
      </c>
      <c r="AI366" s="10">
        <f t="shared" si="136"/>
        <v>52800</v>
      </c>
      <c r="AJ366" s="10">
        <f t="shared" si="137"/>
        <v>31680</v>
      </c>
    </row>
    <row r="367" spans="1:36" x14ac:dyDescent="0.3">
      <c r="A367" t="s">
        <v>1501</v>
      </c>
      <c r="B367" t="s">
        <v>1502</v>
      </c>
      <c r="C367" t="s">
        <v>1503</v>
      </c>
      <c r="D367" t="s">
        <v>630</v>
      </c>
      <c r="E367">
        <v>49307</v>
      </c>
      <c r="F367" t="s">
        <v>15</v>
      </c>
      <c r="G367">
        <v>10</v>
      </c>
      <c r="H367">
        <v>150</v>
      </c>
      <c r="I367" t="str" cm="1">
        <f t="array" ref="I367">_xlfn.IFS(H367&lt;=120,"V1",H367&lt;=150,"V2",H367&lt;=250,"V3", H367&lt;=350, "V4")</f>
        <v>V2</v>
      </c>
      <c r="J367" t="s">
        <v>1504</v>
      </c>
      <c r="K367" t="str">
        <f t="shared" si="115"/>
        <v>43.689792</v>
      </c>
      <c r="L367" t="str">
        <f t="shared" si="116"/>
        <v>-85.515625</v>
      </c>
      <c r="M367">
        <v>312</v>
      </c>
      <c r="N367" s="1">
        <v>43168</v>
      </c>
      <c r="O367" s="1">
        <v>46099</v>
      </c>
      <c r="P367" s="2">
        <f t="shared" si="117"/>
        <v>8.0246406570841895</v>
      </c>
      <c r="Q367" s="2" t="str">
        <f t="shared" si="118"/>
        <v>Old</v>
      </c>
      <c r="R367">
        <f t="shared" si="119"/>
        <v>1500</v>
      </c>
      <c r="S367" t="str">
        <f t="shared" si="120"/>
        <v>Small</v>
      </c>
      <c r="T367" t="str">
        <f t="shared" si="121"/>
        <v>Lower EV Adoption Corridor</v>
      </c>
      <c r="U367" s="3">
        <f t="shared" si="122"/>
        <v>2475000</v>
      </c>
      <c r="V367" s="4">
        <f t="shared" si="123"/>
        <v>600000</v>
      </c>
      <c r="W367" s="3">
        <f t="shared" si="124"/>
        <v>7500000</v>
      </c>
      <c r="X367" s="3">
        <f t="shared" si="125"/>
        <v>4500000</v>
      </c>
      <c r="Y367">
        <f t="shared" si="126"/>
        <v>0.3</v>
      </c>
      <c r="Z367">
        <f t="shared" si="127"/>
        <v>0.75757575757575757</v>
      </c>
      <c r="AA367" t="str">
        <f t="shared" si="128"/>
        <v>Tier 4 - Stable Network</v>
      </c>
      <c r="AB367" s="3">
        <f t="shared" si="129"/>
        <v>60000</v>
      </c>
      <c r="AC367" s="3">
        <f t="shared" si="130"/>
        <v>750000</v>
      </c>
      <c r="AD367" s="3">
        <f t="shared" si="131"/>
        <v>247500</v>
      </c>
      <c r="AE367" s="5">
        <f t="shared" si="132"/>
        <v>4</v>
      </c>
      <c r="AF367" s="10">
        <f t="shared" si="133"/>
        <v>372000</v>
      </c>
      <c r="AG367" s="10">
        <f t="shared" si="134"/>
        <v>120000</v>
      </c>
      <c r="AH367" s="10">
        <f t="shared" si="135"/>
        <v>60000</v>
      </c>
      <c r="AI367" s="10">
        <f t="shared" si="136"/>
        <v>30000</v>
      </c>
      <c r="AJ367" s="10">
        <f t="shared" si="137"/>
        <v>18000</v>
      </c>
    </row>
    <row r="368" spans="1:36" x14ac:dyDescent="0.3">
      <c r="A368" t="s">
        <v>1505</v>
      </c>
      <c r="B368" t="s">
        <v>1506</v>
      </c>
      <c r="C368" t="s">
        <v>1507</v>
      </c>
      <c r="D368" t="s">
        <v>630</v>
      </c>
      <c r="E368">
        <v>48912</v>
      </c>
      <c r="F368" t="s">
        <v>15</v>
      </c>
      <c r="G368">
        <v>10</v>
      </c>
      <c r="H368">
        <v>150</v>
      </c>
      <c r="I368" t="str" cm="1">
        <f t="array" ref="I368">_xlfn.IFS(H368&lt;=120,"V1",H368&lt;=150,"V2",H368&lt;=250,"V3", H368&lt;=350, "V4")</f>
        <v>V2</v>
      </c>
      <c r="J368" t="s">
        <v>1508</v>
      </c>
      <c r="K368" t="str">
        <f t="shared" si="115"/>
        <v>42.766555</v>
      </c>
      <c r="L368" t="str">
        <f t="shared" si="116"/>
        <v>-84.514724</v>
      </c>
      <c r="M368">
        <v>268</v>
      </c>
      <c r="N368" s="1">
        <v>42989</v>
      </c>
      <c r="O368" s="1">
        <v>46099</v>
      </c>
      <c r="P368" s="2">
        <f t="shared" si="117"/>
        <v>8.5147159479808359</v>
      </c>
      <c r="Q368" s="2" t="str">
        <f t="shared" si="118"/>
        <v>Old</v>
      </c>
      <c r="R368">
        <f t="shared" si="119"/>
        <v>1500</v>
      </c>
      <c r="S368" t="str">
        <f t="shared" si="120"/>
        <v>Small</v>
      </c>
      <c r="T368" t="str">
        <f t="shared" si="121"/>
        <v>Lower EV Adoption Corridor</v>
      </c>
      <c r="U368" s="3">
        <f t="shared" si="122"/>
        <v>2475000</v>
      </c>
      <c r="V368" s="4">
        <f t="shared" si="123"/>
        <v>600000</v>
      </c>
      <c r="W368" s="3">
        <f t="shared" si="124"/>
        <v>7500000</v>
      </c>
      <c r="X368" s="3">
        <f t="shared" si="125"/>
        <v>4500000</v>
      </c>
      <c r="Y368">
        <f t="shared" si="126"/>
        <v>0.3</v>
      </c>
      <c r="Z368">
        <f t="shared" si="127"/>
        <v>0.75757575757575757</v>
      </c>
      <c r="AA368" t="str">
        <f t="shared" si="128"/>
        <v>Tier 4 - Stable Network</v>
      </c>
      <c r="AB368" s="3">
        <f t="shared" si="129"/>
        <v>60000</v>
      </c>
      <c r="AC368" s="3">
        <f t="shared" si="130"/>
        <v>750000</v>
      </c>
      <c r="AD368" s="3">
        <f t="shared" si="131"/>
        <v>247500</v>
      </c>
      <c r="AE368" s="5">
        <f t="shared" si="132"/>
        <v>4</v>
      </c>
      <c r="AF368" s="10">
        <f t="shared" si="133"/>
        <v>372000</v>
      </c>
      <c r="AG368" s="10">
        <f t="shared" si="134"/>
        <v>120000</v>
      </c>
      <c r="AH368" s="10">
        <f t="shared" si="135"/>
        <v>60000</v>
      </c>
      <c r="AI368" s="10">
        <f t="shared" si="136"/>
        <v>30000</v>
      </c>
      <c r="AJ368" s="10">
        <f t="shared" si="137"/>
        <v>18000</v>
      </c>
    </row>
    <row r="369" spans="1:36" x14ac:dyDescent="0.3">
      <c r="A369" t="s">
        <v>1509</v>
      </c>
      <c r="B369" t="s">
        <v>1510</v>
      </c>
      <c r="C369" t="s">
        <v>1511</v>
      </c>
      <c r="D369" t="s">
        <v>14</v>
      </c>
      <c r="E369">
        <v>92501</v>
      </c>
      <c r="F369" t="s">
        <v>15</v>
      </c>
      <c r="G369">
        <v>24</v>
      </c>
      <c r="H369">
        <v>72</v>
      </c>
      <c r="I369" t="str" cm="1">
        <f t="array" ref="I369">_xlfn.IFS(H369&lt;=120,"V1",H369&lt;=150,"V2",H369&lt;=250,"V3", H369&lt;=350, "V4")</f>
        <v>V1</v>
      </c>
      <c r="J369" t="s">
        <v>1512</v>
      </c>
      <c r="K369" t="str">
        <f t="shared" si="115"/>
        <v>33.981393</v>
      </c>
      <c r="L369" t="str">
        <f t="shared" si="116"/>
        <v>-117.37577</v>
      </c>
      <c r="M369">
        <v>258</v>
      </c>
      <c r="N369" s="1">
        <v>43098</v>
      </c>
      <c r="O369" s="1">
        <v>46099</v>
      </c>
      <c r="P369" s="2">
        <f t="shared" si="117"/>
        <v>8.216290212183436</v>
      </c>
      <c r="Q369" s="2" t="str">
        <f t="shared" si="118"/>
        <v>Old</v>
      </c>
      <c r="R369">
        <f t="shared" si="119"/>
        <v>1728</v>
      </c>
      <c r="S369" t="str">
        <f t="shared" si="120"/>
        <v>Small</v>
      </c>
      <c r="T369" t="str">
        <f t="shared" si="121"/>
        <v>High EV Adoption Corridor</v>
      </c>
      <c r="U369" s="3">
        <f t="shared" si="122"/>
        <v>3369600</v>
      </c>
      <c r="V369" s="4">
        <f t="shared" si="123"/>
        <v>746496</v>
      </c>
      <c r="W369" s="3">
        <f t="shared" si="124"/>
        <v>7603200.0000000009</v>
      </c>
      <c r="X369" s="3">
        <f t="shared" si="125"/>
        <v>6998400</v>
      </c>
      <c r="Y369">
        <f t="shared" si="126"/>
        <v>0.21530864197530863</v>
      </c>
      <c r="Z369">
        <f t="shared" si="127"/>
        <v>0.77846153846153843</v>
      </c>
      <c r="AA369" t="str">
        <f t="shared" si="128"/>
        <v>Tier 3 - Upgrade Pipeline</v>
      </c>
      <c r="AB369" s="3">
        <f t="shared" si="129"/>
        <v>31104</v>
      </c>
      <c r="AC369" s="3">
        <f t="shared" si="130"/>
        <v>316800.00000000006</v>
      </c>
      <c r="AD369" s="3">
        <f t="shared" si="131"/>
        <v>140400</v>
      </c>
      <c r="AE369" s="5">
        <f t="shared" si="132"/>
        <v>2.8985507246376816</v>
      </c>
      <c r="AF369" s="10">
        <f t="shared" si="133"/>
        <v>462827.52000000002</v>
      </c>
      <c r="AG369" s="10">
        <f t="shared" si="134"/>
        <v>149299.20000000001</v>
      </c>
      <c r="AH369" s="10">
        <f t="shared" si="135"/>
        <v>74649.600000000006</v>
      </c>
      <c r="AI369" s="10">
        <f t="shared" si="136"/>
        <v>37324.800000000003</v>
      </c>
      <c r="AJ369" s="10">
        <f t="shared" si="137"/>
        <v>22394.879999999997</v>
      </c>
    </row>
    <row r="370" spans="1:36" x14ac:dyDescent="0.3">
      <c r="A370" t="s">
        <v>1513</v>
      </c>
      <c r="B370" t="s">
        <v>1514</v>
      </c>
      <c r="C370" t="s">
        <v>1515</v>
      </c>
      <c r="D370" t="s">
        <v>230</v>
      </c>
      <c r="E370">
        <v>98626</v>
      </c>
      <c r="F370" t="s">
        <v>15</v>
      </c>
      <c r="G370">
        <v>12</v>
      </c>
      <c r="H370">
        <v>250</v>
      </c>
      <c r="I370" t="str" cm="1">
        <f t="array" ref="I370">_xlfn.IFS(H370&lt;=120,"V1",H370&lt;=150,"V2",H370&lt;=250,"V3", H370&lt;=350, "V4")</f>
        <v>V3</v>
      </c>
      <c r="J370" t="s">
        <v>1516</v>
      </c>
      <c r="K370" t="str">
        <f t="shared" si="115"/>
        <v>46.143403</v>
      </c>
      <c r="L370" t="str">
        <f t="shared" si="116"/>
        <v>-122.899225</v>
      </c>
      <c r="M370">
        <v>6</v>
      </c>
      <c r="N370" s="1">
        <v>43980</v>
      </c>
      <c r="O370" s="1">
        <v>46099</v>
      </c>
      <c r="P370" s="2">
        <f t="shared" si="117"/>
        <v>5.8015058179329229</v>
      </c>
      <c r="Q370" s="2" t="str">
        <f t="shared" si="118"/>
        <v>Mid</v>
      </c>
      <c r="R370">
        <f t="shared" si="119"/>
        <v>3000</v>
      </c>
      <c r="S370" t="str">
        <f t="shared" si="120"/>
        <v>Small</v>
      </c>
      <c r="T370" t="str">
        <f t="shared" si="121"/>
        <v>High EV Adoption Corridor</v>
      </c>
      <c r="U370" s="3">
        <f t="shared" si="122"/>
        <v>7020000</v>
      </c>
      <c r="V370" s="4">
        <f t="shared" si="123"/>
        <v>1584000</v>
      </c>
      <c r="W370" s="3">
        <f t="shared" si="124"/>
        <v>19800000</v>
      </c>
      <c r="X370" s="3">
        <f t="shared" si="125"/>
        <v>14850000</v>
      </c>
      <c r="Y370">
        <f t="shared" si="126"/>
        <v>0.24</v>
      </c>
      <c r="Z370">
        <f t="shared" si="127"/>
        <v>0.77435897435897438</v>
      </c>
      <c r="AA370" t="str">
        <f t="shared" si="128"/>
        <v>Tier 1 - Priority Fleet</v>
      </c>
      <c r="AB370" s="3">
        <f t="shared" si="129"/>
        <v>132000</v>
      </c>
      <c r="AC370" s="3">
        <f t="shared" si="130"/>
        <v>1650000</v>
      </c>
      <c r="AD370" s="3">
        <f t="shared" si="131"/>
        <v>585000</v>
      </c>
      <c r="AE370" s="5">
        <f t="shared" si="132"/>
        <v>3.6423841059602649</v>
      </c>
      <c r="AF370" s="10">
        <f t="shared" si="133"/>
        <v>982080</v>
      </c>
      <c r="AG370" s="10">
        <f t="shared" si="134"/>
        <v>316800</v>
      </c>
      <c r="AH370" s="10">
        <f t="shared" si="135"/>
        <v>158400</v>
      </c>
      <c r="AI370" s="10">
        <f t="shared" si="136"/>
        <v>79200</v>
      </c>
      <c r="AJ370" s="10">
        <f t="shared" si="137"/>
        <v>47520</v>
      </c>
    </row>
    <row r="371" spans="1:36" x14ac:dyDescent="0.3">
      <c r="A371" t="s">
        <v>1517</v>
      </c>
      <c r="B371" t="s">
        <v>1518</v>
      </c>
      <c r="C371" t="s">
        <v>1519</v>
      </c>
      <c r="D371" t="s">
        <v>14</v>
      </c>
      <c r="E371">
        <v>94538</v>
      </c>
      <c r="F371" t="s">
        <v>15</v>
      </c>
      <c r="G371">
        <v>12</v>
      </c>
      <c r="H371">
        <v>250</v>
      </c>
      <c r="I371" t="str" cm="1">
        <f t="array" ref="I371">_xlfn.IFS(H371&lt;=120,"V1",H371&lt;=150,"V2",H371&lt;=250,"V3", H371&lt;=350, "V4")</f>
        <v>V3</v>
      </c>
      <c r="J371" t="s">
        <v>1520</v>
      </c>
      <c r="K371" t="str">
        <f t="shared" si="115"/>
        <v>37.492754</v>
      </c>
      <c r="L371" t="str">
        <f t="shared" si="116"/>
        <v>-121.944796</v>
      </c>
      <c r="M371">
        <v>7</v>
      </c>
      <c r="N371" s="1">
        <v>41502</v>
      </c>
      <c r="O371" s="1">
        <v>46099</v>
      </c>
      <c r="P371" s="2">
        <f t="shared" si="117"/>
        <v>12.58590006844627</v>
      </c>
      <c r="Q371" s="2" t="str">
        <f t="shared" si="118"/>
        <v>Old</v>
      </c>
      <c r="R371">
        <f t="shared" si="119"/>
        <v>3000</v>
      </c>
      <c r="S371" t="str">
        <f t="shared" si="120"/>
        <v>Small</v>
      </c>
      <c r="T371" t="str">
        <f t="shared" si="121"/>
        <v>High EV Adoption Corridor</v>
      </c>
      <c r="U371" s="3">
        <f t="shared" si="122"/>
        <v>7020000</v>
      </c>
      <c r="V371" s="4">
        <f t="shared" si="123"/>
        <v>1584000</v>
      </c>
      <c r="W371" s="3">
        <f t="shared" si="124"/>
        <v>19800000</v>
      </c>
      <c r="X371" s="3">
        <f t="shared" si="125"/>
        <v>14850000</v>
      </c>
      <c r="Y371">
        <f t="shared" si="126"/>
        <v>0.24</v>
      </c>
      <c r="Z371">
        <f t="shared" si="127"/>
        <v>0.77435897435897438</v>
      </c>
      <c r="AA371" t="str">
        <f t="shared" si="128"/>
        <v>Tier 1 - Priority Fleet</v>
      </c>
      <c r="AB371" s="3">
        <f t="shared" si="129"/>
        <v>132000</v>
      </c>
      <c r="AC371" s="3">
        <f t="shared" si="130"/>
        <v>1650000</v>
      </c>
      <c r="AD371" s="3">
        <f t="shared" si="131"/>
        <v>585000</v>
      </c>
      <c r="AE371" s="5">
        <f t="shared" si="132"/>
        <v>3.6423841059602649</v>
      </c>
      <c r="AF371" s="10">
        <f t="shared" si="133"/>
        <v>982080</v>
      </c>
      <c r="AG371" s="10">
        <f t="shared" si="134"/>
        <v>316800</v>
      </c>
      <c r="AH371" s="10">
        <f t="shared" si="135"/>
        <v>158400</v>
      </c>
      <c r="AI371" s="10">
        <f t="shared" si="136"/>
        <v>79200</v>
      </c>
      <c r="AJ371" s="10">
        <f t="shared" si="137"/>
        <v>47520</v>
      </c>
    </row>
    <row r="372" spans="1:36" x14ac:dyDescent="0.3">
      <c r="A372" t="s">
        <v>1521</v>
      </c>
      <c r="B372" t="s">
        <v>1522</v>
      </c>
      <c r="C372" t="s">
        <v>1523</v>
      </c>
      <c r="D372" t="s">
        <v>158</v>
      </c>
      <c r="E372">
        <v>12514</v>
      </c>
      <c r="F372" t="s">
        <v>15</v>
      </c>
      <c r="G372">
        <v>8</v>
      </c>
      <c r="H372">
        <v>150</v>
      </c>
      <c r="I372" t="str" cm="1">
        <f t="array" ref="I372">_xlfn.IFS(H372&lt;=120,"V1",H372&lt;=150,"V2",H372&lt;=250,"V3", H372&lt;=350, "V4")</f>
        <v>V2</v>
      </c>
      <c r="J372" t="s">
        <v>1524</v>
      </c>
      <c r="K372" t="str">
        <f t="shared" si="115"/>
        <v>41.825464</v>
      </c>
      <c r="L372" t="str">
        <f t="shared" si="116"/>
        <v>-73.770719</v>
      </c>
      <c r="M372">
        <v>87</v>
      </c>
      <c r="N372" s="1">
        <v>43117</v>
      </c>
      <c r="O372" s="1">
        <v>46099</v>
      </c>
      <c r="P372" s="2">
        <f t="shared" si="117"/>
        <v>8.1642710472279258</v>
      </c>
      <c r="Q372" s="2" t="str">
        <f t="shared" si="118"/>
        <v>Old</v>
      </c>
      <c r="R372">
        <f t="shared" si="119"/>
        <v>1200</v>
      </c>
      <c r="S372" t="str">
        <f t="shared" si="120"/>
        <v>Small</v>
      </c>
      <c r="T372" t="str">
        <f t="shared" si="121"/>
        <v>Lower EV Adoption Corridor</v>
      </c>
      <c r="U372" s="3">
        <f t="shared" si="122"/>
        <v>1980000.0000000002</v>
      </c>
      <c r="V372" s="4">
        <f t="shared" si="123"/>
        <v>480000</v>
      </c>
      <c r="W372" s="3">
        <f t="shared" si="124"/>
        <v>6000000</v>
      </c>
      <c r="X372" s="3">
        <f t="shared" si="125"/>
        <v>3600000</v>
      </c>
      <c r="Y372">
        <f t="shared" si="126"/>
        <v>0.3</v>
      </c>
      <c r="Z372">
        <f t="shared" si="127"/>
        <v>0.75757575757575757</v>
      </c>
      <c r="AA372" t="str">
        <f t="shared" si="128"/>
        <v>Tier 4 - Stable Network</v>
      </c>
      <c r="AB372" s="3">
        <f t="shared" si="129"/>
        <v>60000</v>
      </c>
      <c r="AC372" s="3">
        <f t="shared" si="130"/>
        <v>750000</v>
      </c>
      <c r="AD372" s="3">
        <f t="shared" si="131"/>
        <v>247500.00000000003</v>
      </c>
      <c r="AE372" s="5">
        <f t="shared" si="132"/>
        <v>3.9999999999999996</v>
      </c>
      <c r="AF372" s="10">
        <f t="shared" si="133"/>
        <v>297600</v>
      </c>
      <c r="AG372" s="10">
        <f t="shared" si="134"/>
        <v>96000</v>
      </c>
      <c r="AH372" s="10">
        <f t="shared" si="135"/>
        <v>48000</v>
      </c>
      <c r="AI372" s="10">
        <f t="shared" si="136"/>
        <v>24000</v>
      </c>
      <c r="AJ372" s="10">
        <f t="shared" si="137"/>
        <v>14400</v>
      </c>
    </row>
    <row r="373" spans="1:36" x14ac:dyDescent="0.3">
      <c r="A373" t="s">
        <v>1525</v>
      </c>
      <c r="B373" t="s">
        <v>1526</v>
      </c>
      <c r="C373" t="s">
        <v>1527</v>
      </c>
      <c r="D373" t="s">
        <v>50</v>
      </c>
      <c r="E373">
        <v>75024</v>
      </c>
      <c r="F373" t="s">
        <v>15</v>
      </c>
      <c r="G373">
        <v>12</v>
      </c>
      <c r="H373">
        <v>72</v>
      </c>
      <c r="I373" t="str" cm="1">
        <f t="array" ref="I373">_xlfn.IFS(H373&lt;=120,"V1",H373&lt;=150,"V2",H373&lt;=250,"V3", H373&lt;=350, "V4")</f>
        <v>V1</v>
      </c>
      <c r="J373" t="s">
        <v>1528</v>
      </c>
      <c r="K373" t="str">
        <f t="shared" si="115"/>
        <v>33.07868</v>
      </c>
      <c r="L373" t="str">
        <f t="shared" si="116"/>
        <v>-96.819506</v>
      </c>
      <c r="M373">
        <v>223</v>
      </c>
      <c r="N373" s="1">
        <v>43190</v>
      </c>
      <c r="O373" s="1">
        <v>46099</v>
      </c>
      <c r="P373" s="2">
        <f t="shared" si="117"/>
        <v>7.9644079397672831</v>
      </c>
      <c r="Q373" s="2" t="str">
        <f t="shared" si="118"/>
        <v>Mid</v>
      </c>
      <c r="R373">
        <f t="shared" si="119"/>
        <v>864</v>
      </c>
      <c r="S373" t="str">
        <f t="shared" si="120"/>
        <v>Small</v>
      </c>
      <c r="T373" t="str">
        <f t="shared" si="121"/>
        <v>High EV Adoption Corridor</v>
      </c>
      <c r="U373" s="3">
        <f t="shared" si="122"/>
        <v>1684800</v>
      </c>
      <c r="V373" s="4">
        <f t="shared" si="123"/>
        <v>373248</v>
      </c>
      <c r="W373" s="3">
        <f t="shared" si="124"/>
        <v>3801600.0000000005</v>
      </c>
      <c r="X373" s="3">
        <f t="shared" si="125"/>
        <v>3499200</v>
      </c>
      <c r="Y373">
        <f t="shared" si="126"/>
        <v>0.21530864197530863</v>
      </c>
      <c r="Z373">
        <f t="shared" si="127"/>
        <v>0.77846153846153843</v>
      </c>
      <c r="AA373" t="str">
        <f t="shared" si="128"/>
        <v>Tier 3 - Upgrade Pipeline</v>
      </c>
      <c r="AB373" s="3">
        <f t="shared" si="129"/>
        <v>31104</v>
      </c>
      <c r="AC373" s="3">
        <f t="shared" si="130"/>
        <v>316800.00000000006</v>
      </c>
      <c r="AD373" s="3">
        <f t="shared" si="131"/>
        <v>140400</v>
      </c>
      <c r="AE373" s="5">
        <f t="shared" si="132"/>
        <v>2.8985507246376816</v>
      </c>
      <c r="AF373" s="10">
        <f t="shared" si="133"/>
        <v>231413.76000000001</v>
      </c>
      <c r="AG373" s="10">
        <f t="shared" si="134"/>
        <v>74649.600000000006</v>
      </c>
      <c r="AH373" s="10">
        <f t="shared" si="135"/>
        <v>37324.800000000003</v>
      </c>
      <c r="AI373" s="10">
        <f t="shared" si="136"/>
        <v>18662.400000000001</v>
      </c>
      <c r="AJ373" s="10">
        <f t="shared" si="137"/>
        <v>11197.439999999999</v>
      </c>
    </row>
    <row r="374" spans="1:36" x14ac:dyDescent="0.3">
      <c r="A374" t="s">
        <v>1529</v>
      </c>
      <c r="B374" t="s">
        <v>1530</v>
      </c>
      <c r="C374" t="s">
        <v>1531</v>
      </c>
      <c r="D374" t="s">
        <v>259</v>
      </c>
      <c r="E374">
        <v>82201</v>
      </c>
      <c r="F374" t="s">
        <v>15</v>
      </c>
      <c r="G374">
        <v>8</v>
      </c>
      <c r="H374">
        <v>150</v>
      </c>
      <c r="I374" t="str" cm="1">
        <f t="array" ref="I374">_xlfn.IFS(H374&lt;=120,"V1",H374&lt;=150,"V2",H374&lt;=250,"V3", H374&lt;=350, "V4")</f>
        <v>V2</v>
      </c>
      <c r="J374" t="s">
        <v>1532</v>
      </c>
      <c r="K374" t="str">
        <f t="shared" si="115"/>
        <v>42.072497</v>
      </c>
      <c r="L374" t="str">
        <f t="shared" si="116"/>
        <v>-104.96271</v>
      </c>
      <c r="M374">
        <v>1436</v>
      </c>
      <c r="N374" s="1">
        <v>43247</v>
      </c>
      <c r="O374" s="1">
        <v>46099</v>
      </c>
      <c r="P374" s="2">
        <f t="shared" si="117"/>
        <v>7.8083504449007526</v>
      </c>
      <c r="Q374" s="2" t="str">
        <f t="shared" si="118"/>
        <v>Mid</v>
      </c>
      <c r="R374">
        <f t="shared" si="119"/>
        <v>1200</v>
      </c>
      <c r="S374" t="str">
        <f t="shared" si="120"/>
        <v>Small</v>
      </c>
      <c r="T374" t="str">
        <f t="shared" si="121"/>
        <v>Lower EV Adoption Corridor</v>
      </c>
      <c r="U374" s="3">
        <f t="shared" si="122"/>
        <v>1980000.0000000002</v>
      </c>
      <c r="V374" s="4">
        <f t="shared" si="123"/>
        <v>480000</v>
      </c>
      <c r="W374" s="3">
        <f t="shared" si="124"/>
        <v>6000000</v>
      </c>
      <c r="X374" s="3">
        <f t="shared" si="125"/>
        <v>3600000</v>
      </c>
      <c r="Y374">
        <f t="shared" si="126"/>
        <v>0.3</v>
      </c>
      <c r="Z374">
        <f t="shared" si="127"/>
        <v>0.75757575757575757</v>
      </c>
      <c r="AA374" t="str">
        <f t="shared" si="128"/>
        <v>Tier 4 - Stable Network</v>
      </c>
      <c r="AB374" s="3">
        <f t="shared" si="129"/>
        <v>60000</v>
      </c>
      <c r="AC374" s="3">
        <f t="shared" si="130"/>
        <v>750000</v>
      </c>
      <c r="AD374" s="3">
        <f t="shared" si="131"/>
        <v>247500.00000000003</v>
      </c>
      <c r="AE374" s="5">
        <f t="shared" si="132"/>
        <v>3.9999999999999996</v>
      </c>
      <c r="AF374" s="10">
        <f t="shared" si="133"/>
        <v>297600</v>
      </c>
      <c r="AG374" s="10">
        <f t="shared" si="134"/>
        <v>96000</v>
      </c>
      <c r="AH374" s="10">
        <f t="shared" si="135"/>
        <v>48000</v>
      </c>
      <c r="AI374" s="10">
        <f t="shared" si="136"/>
        <v>24000</v>
      </c>
      <c r="AJ374" s="10">
        <f t="shared" si="137"/>
        <v>14400</v>
      </c>
    </row>
    <row r="375" spans="1:36" x14ac:dyDescent="0.3">
      <c r="A375" t="s">
        <v>1533</v>
      </c>
      <c r="B375" t="s">
        <v>1534</v>
      </c>
      <c r="C375" t="s">
        <v>1535</v>
      </c>
      <c r="D375" t="s">
        <v>14</v>
      </c>
      <c r="E375">
        <v>94086</v>
      </c>
      <c r="F375" t="s">
        <v>15</v>
      </c>
      <c r="G375">
        <v>10</v>
      </c>
      <c r="H375">
        <v>120</v>
      </c>
      <c r="I375" t="str" cm="1">
        <f t="array" ref="I375">_xlfn.IFS(H375&lt;=120,"V1",H375&lt;=150,"V2",H375&lt;=250,"V3", H375&lt;=350, "V4")</f>
        <v>V1</v>
      </c>
      <c r="J375" t="s">
        <v>1536</v>
      </c>
      <c r="K375" t="str">
        <f t="shared" si="115"/>
        <v>37.373421</v>
      </c>
      <c r="L375" t="str">
        <f t="shared" si="116"/>
        <v>-122.033114</v>
      </c>
      <c r="M375">
        <v>10</v>
      </c>
      <c r="N375" s="1">
        <v>43171</v>
      </c>
      <c r="O375" s="1">
        <v>46099</v>
      </c>
      <c r="P375" s="2">
        <f t="shared" si="117"/>
        <v>8.0164271047227924</v>
      </c>
      <c r="Q375" s="2" t="str">
        <f t="shared" si="118"/>
        <v>Old</v>
      </c>
      <c r="R375">
        <f t="shared" si="119"/>
        <v>1200</v>
      </c>
      <c r="S375" t="str">
        <f t="shared" si="120"/>
        <v>Small</v>
      </c>
      <c r="T375" t="str">
        <f t="shared" si="121"/>
        <v>High EV Adoption Corridor</v>
      </c>
      <c r="U375" s="3">
        <f t="shared" si="122"/>
        <v>2340000</v>
      </c>
      <c r="V375" s="4">
        <f t="shared" si="123"/>
        <v>518400</v>
      </c>
      <c r="W375" s="3">
        <f t="shared" si="124"/>
        <v>5280000</v>
      </c>
      <c r="X375" s="3">
        <f t="shared" si="125"/>
        <v>4860000</v>
      </c>
      <c r="Y375">
        <f t="shared" si="126"/>
        <v>0.21530864197530863</v>
      </c>
      <c r="Z375">
        <f t="shared" si="127"/>
        <v>0.77846153846153843</v>
      </c>
      <c r="AA375" t="str">
        <f t="shared" si="128"/>
        <v>Tier 3 - Upgrade Pipeline</v>
      </c>
      <c r="AB375" s="3">
        <f t="shared" si="129"/>
        <v>51840</v>
      </c>
      <c r="AC375" s="3">
        <f t="shared" si="130"/>
        <v>528000</v>
      </c>
      <c r="AD375" s="3">
        <f t="shared" si="131"/>
        <v>234000</v>
      </c>
      <c r="AE375" s="5">
        <f t="shared" si="132"/>
        <v>2.8985507246376812</v>
      </c>
      <c r="AF375" s="10">
        <f t="shared" si="133"/>
        <v>321408</v>
      </c>
      <c r="AG375" s="10">
        <f t="shared" si="134"/>
        <v>103680</v>
      </c>
      <c r="AH375" s="10">
        <f t="shared" si="135"/>
        <v>51840</v>
      </c>
      <c r="AI375" s="10">
        <f t="shared" si="136"/>
        <v>25920</v>
      </c>
      <c r="AJ375" s="10">
        <f t="shared" si="137"/>
        <v>15552</v>
      </c>
    </row>
    <row r="376" spans="1:36" x14ac:dyDescent="0.3">
      <c r="A376" t="s">
        <v>1537</v>
      </c>
      <c r="B376" t="s">
        <v>1538</v>
      </c>
      <c r="C376" t="s">
        <v>220</v>
      </c>
      <c r="D376" t="s">
        <v>14</v>
      </c>
      <c r="E376">
        <v>96161</v>
      </c>
      <c r="F376" t="s">
        <v>15</v>
      </c>
      <c r="G376">
        <v>16</v>
      </c>
      <c r="H376">
        <v>250</v>
      </c>
      <c r="I376" t="str" cm="1">
        <f t="array" ref="I376">_xlfn.IFS(H376&lt;=120,"V1",H376&lt;=150,"V2",H376&lt;=250,"V3", H376&lt;=350, "V4")</f>
        <v>V3</v>
      </c>
      <c r="J376" t="s">
        <v>1539</v>
      </c>
      <c r="K376" t="str">
        <f t="shared" si="115"/>
        <v>39.319501</v>
      </c>
      <c r="L376" t="str">
        <f t="shared" si="116"/>
        <v>-120.155831</v>
      </c>
      <c r="M376">
        <v>1804</v>
      </c>
      <c r="N376" s="1">
        <v>44540</v>
      </c>
      <c r="O376" s="1">
        <v>46099</v>
      </c>
      <c r="P376" s="2">
        <f t="shared" si="117"/>
        <v>4.2683093771389462</v>
      </c>
      <c r="Q376" s="2" t="str">
        <f t="shared" si="118"/>
        <v>Mid</v>
      </c>
      <c r="R376">
        <f t="shared" si="119"/>
        <v>4000</v>
      </c>
      <c r="S376" t="str">
        <f t="shared" si="120"/>
        <v>Small</v>
      </c>
      <c r="T376" t="str">
        <f t="shared" si="121"/>
        <v>High EV Adoption Corridor</v>
      </c>
      <c r="U376" s="3">
        <f t="shared" si="122"/>
        <v>9360000</v>
      </c>
      <c r="V376" s="4">
        <f t="shared" si="123"/>
        <v>2112000</v>
      </c>
      <c r="W376" s="3">
        <f t="shared" si="124"/>
        <v>26400000.000000004</v>
      </c>
      <c r="X376" s="3">
        <f t="shared" si="125"/>
        <v>19800000.000000004</v>
      </c>
      <c r="Y376">
        <f t="shared" si="126"/>
        <v>0.23999999999999996</v>
      </c>
      <c r="Z376">
        <f t="shared" si="127"/>
        <v>0.77435897435897438</v>
      </c>
      <c r="AA376" t="str">
        <f t="shared" si="128"/>
        <v>Tier 1 - Priority Fleet</v>
      </c>
      <c r="AB376" s="3">
        <f t="shared" si="129"/>
        <v>132000</v>
      </c>
      <c r="AC376" s="3">
        <f t="shared" si="130"/>
        <v>1650000.0000000002</v>
      </c>
      <c r="AD376" s="3">
        <f t="shared" si="131"/>
        <v>585000</v>
      </c>
      <c r="AE376" s="5">
        <f t="shared" si="132"/>
        <v>3.6423841059602653</v>
      </c>
      <c r="AF376" s="10">
        <f t="shared" si="133"/>
        <v>1309440</v>
      </c>
      <c r="AG376" s="10">
        <f t="shared" si="134"/>
        <v>422400</v>
      </c>
      <c r="AH376" s="10">
        <f t="shared" si="135"/>
        <v>211200</v>
      </c>
      <c r="AI376" s="10">
        <f t="shared" si="136"/>
        <v>105600</v>
      </c>
      <c r="AJ376" s="10">
        <f t="shared" si="137"/>
        <v>63360</v>
      </c>
    </row>
    <row r="377" spans="1:36" x14ac:dyDescent="0.3">
      <c r="A377" t="s">
        <v>1540</v>
      </c>
      <c r="B377" t="s">
        <v>1541</v>
      </c>
      <c r="C377" t="s">
        <v>1542</v>
      </c>
      <c r="D377" t="s">
        <v>14</v>
      </c>
      <c r="E377">
        <v>95020</v>
      </c>
      <c r="F377" t="s">
        <v>15</v>
      </c>
      <c r="G377">
        <v>16</v>
      </c>
      <c r="H377">
        <v>150</v>
      </c>
      <c r="I377" t="str" cm="1">
        <f t="array" ref="I377">_xlfn.IFS(H377&lt;=120,"V1",H377&lt;=150,"V2",H377&lt;=250,"V3", H377&lt;=350, "V4")</f>
        <v>V2</v>
      </c>
      <c r="J377" t="s">
        <v>1543</v>
      </c>
      <c r="K377" t="str">
        <f t="shared" si="115"/>
        <v>37.02493</v>
      </c>
      <c r="L377" t="str">
        <f t="shared" si="116"/>
        <v>-121.56542</v>
      </c>
      <c r="M377">
        <v>63</v>
      </c>
      <c r="N377" s="1">
        <v>41232</v>
      </c>
      <c r="O377" s="1">
        <v>46099</v>
      </c>
      <c r="P377" s="2">
        <f t="shared" si="117"/>
        <v>13.325119780971937</v>
      </c>
      <c r="Q377" s="2" t="str">
        <f t="shared" si="118"/>
        <v>Old</v>
      </c>
      <c r="R377">
        <f t="shared" si="119"/>
        <v>2400</v>
      </c>
      <c r="S377" t="str">
        <f t="shared" si="120"/>
        <v>Small</v>
      </c>
      <c r="T377" t="str">
        <f t="shared" si="121"/>
        <v>High EV Adoption Corridor</v>
      </c>
      <c r="U377" s="3">
        <f t="shared" si="122"/>
        <v>5148000.0000000009</v>
      </c>
      <c r="V377" s="4">
        <f t="shared" si="123"/>
        <v>1152000</v>
      </c>
      <c r="W377" s="3">
        <f t="shared" si="124"/>
        <v>13200000.000000002</v>
      </c>
      <c r="X377" s="3">
        <f t="shared" si="125"/>
        <v>10800000</v>
      </c>
      <c r="Y377">
        <f t="shared" si="126"/>
        <v>0.22888888888888889</v>
      </c>
      <c r="Z377">
        <f t="shared" si="127"/>
        <v>0.77622377622377625</v>
      </c>
      <c r="AA377" t="str">
        <f t="shared" si="128"/>
        <v>Tier 3 - Upgrade Pipeline</v>
      </c>
      <c r="AB377" s="3">
        <f t="shared" si="129"/>
        <v>72000</v>
      </c>
      <c r="AC377" s="3">
        <f t="shared" si="130"/>
        <v>825000.00000000012</v>
      </c>
      <c r="AD377" s="3">
        <f t="shared" si="131"/>
        <v>321750.00000000006</v>
      </c>
      <c r="AE377" s="5">
        <f t="shared" si="132"/>
        <v>3.303303303303303</v>
      </c>
      <c r="AF377" s="10">
        <f t="shared" si="133"/>
        <v>714240</v>
      </c>
      <c r="AG377" s="10">
        <f t="shared" si="134"/>
        <v>230400</v>
      </c>
      <c r="AH377" s="10">
        <f t="shared" si="135"/>
        <v>115200</v>
      </c>
      <c r="AI377" s="10">
        <f t="shared" si="136"/>
        <v>57600</v>
      </c>
      <c r="AJ377" s="10">
        <f t="shared" si="137"/>
        <v>34560</v>
      </c>
    </row>
    <row r="378" spans="1:36" x14ac:dyDescent="0.3">
      <c r="A378" t="s">
        <v>1544</v>
      </c>
      <c r="B378" t="s">
        <v>1545</v>
      </c>
      <c r="C378" t="s">
        <v>1546</v>
      </c>
      <c r="D378" t="s">
        <v>14</v>
      </c>
      <c r="E378">
        <v>92230</v>
      </c>
      <c r="F378" t="s">
        <v>15</v>
      </c>
      <c r="G378">
        <v>16</v>
      </c>
      <c r="H378">
        <v>150</v>
      </c>
      <c r="I378" t="str" cm="1">
        <f t="array" ref="I378">_xlfn.IFS(H378&lt;=120,"V1",H378&lt;=150,"V2",H378&lt;=250,"V3", H378&lt;=350, "V4")</f>
        <v>V2</v>
      </c>
      <c r="J378" t="s">
        <v>1547</v>
      </c>
      <c r="K378" t="str">
        <f t="shared" si="115"/>
        <v>33.93129</v>
      </c>
      <c r="L378" t="str">
        <f t="shared" si="116"/>
        <v>-116.820041</v>
      </c>
      <c r="M378">
        <v>620</v>
      </c>
      <c r="N378" s="1">
        <v>41990</v>
      </c>
      <c r="O378" s="1">
        <v>46099</v>
      </c>
      <c r="P378" s="2">
        <f t="shared" si="117"/>
        <v>11.249828884325805</v>
      </c>
      <c r="Q378" s="2" t="str">
        <f t="shared" si="118"/>
        <v>Old</v>
      </c>
      <c r="R378">
        <f t="shared" si="119"/>
        <v>2400</v>
      </c>
      <c r="S378" t="str">
        <f t="shared" si="120"/>
        <v>Small</v>
      </c>
      <c r="T378" t="str">
        <f t="shared" si="121"/>
        <v>High EV Adoption Corridor</v>
      </c>
      <c r="U378" s="3">
        <f t="shared" si="122"/>
        <v>5148000.0000000009</v>
      </c>
      <c r="V378" s="4">
        <f t="shared" si="123"/>
        <v>1152000</v>
      </c>
      <c r="W378" s="3">
        <f t="shared" si="124"/>
        <v>13200000.000000002</v>
      </c>
      <c r="X378" s="3">
        <f t="shared" si="125"/>
        <v>10800000</v>
      </c>
      <c r="Y378">
        <f t="shared" si="126"/>
        <v>0.22888888888888889</v>
      </c>
      <c r="Z378">
        <f t="shared" si="127"/>
        <v>0.77622377622377625</v>
      </c>
      <c r="AA378" t="str">
        <f t="shared" si="128"/>
        <v>Tier 3 - Upgrade Pipeline</v>
      </c>
      <c r="AB378" s="3">
        <f t="shared" si="129"/>
        <v>72000</v>
      </c>
      <c r="AC378" s="3">
        <f t="shared" si="130"/>
        <v>825000.00000000012</v>
      </c>
      <c r="AD378" s="3">
        <f t="shared" si="131"/>
        <v>321750.00000000006</v>
      </c>
      <c r="AE378" s="5">
        <f t="shared" si="132"/>
        <v>3.303303303303303</v>
      </c>
      <c r="AF378" s="10">
        <f t="shared" si="133"/>
        <v>714240</v>
      </c>
      <c r="AG378" s="10">
        <f t="shared" si="134"/>
        <v>230400</v>
      </c>
      <c r="AH378" s="10">
        <f t="shared" si="135"/>
        <v>115200</v>
      </c>
      <c r="AI378" s="10">
        <f t="shared" si="136"/>
        <v>57600</v>
      </c>
      <c r="AJ378" s="10">
        <f t="shared" si="137"/>
        <v>34560</v>
      </c>
    </row>
    <row r="379" spans="1:36" x14ac:dyDescent="0.3">
      <c r="A379" t="s">
        <v>1548</v>
      </c>
      <c r="B379" t="s">
        <v>1549</v>
      </c>
      <c r="C379" t="s">
        <v>1550</v>
      </c>
      <c r="D379" t="s">
        <v>14</v>
      </c>
      <c r="E379">
        <v>96001</v>
      </c>
      <c r="F379" t="s">
        <v>15</v>
      </c>
      <c r="G379">
        <v>8</v>
      </c>
      <c r="H379">
        <v>250</v>
      </c>
      <c r="I379" t="str" cm="1">
        <f t="array" ref="I379">_xlfn.IFS(H379&lt;=120,"V1",H379&lt;=150,"V2",H379&lt;=250,"V3", H379&lt;=350, "V4")</f>
        <v>V3</v>
      </c>
      <c r="J379" t="s">
        <v>1551</v>
      </c>
      <c r="K379" t="str">
        <f t="shared" si="115"/>
        <v>40.590042</v>
      </c>
      <c r="L379" t="str">
        <f t="shared" si="116"/>
        <v>-122.378506</v>
      </c>
      <c r="M379">
        <v>149</v>
      </c>
      <c r="N379" s="1">
        <v>44845</v>
      </c>
      <c r="O379" s="1">
        <v>46099</v>
      </c>
      <c r="P379" s="2">
        <f t="shared" si="117"/>
        <v>3.4332648870636548</v>
      </c>
      <c r="Q379" s="2" t="str">
        <f t="shared" si="118"/>
        <v>Mid</v>
      </c>
      <c r="R379">
        <f t="shared" si="119"/>
        <v>2000</v>
      </c>
      <c r="S379" t="str">
        <f t="shared" si="120"/>
        <v>Small</v>
      </c>
      <c r="T379" t="str">
        <f t="shared" si="121"/>
        <v>High EV Adoption Corridor</v>
      </c>
      <c r="U379" s="3">
        <f t="shared" si="122"/>
        <v>4680000</v>
      </c>
      <c r="V379" s="4">
        <f t="shared" si="123"/>
        <v>1056000</v>
      </c>
      <c r="W379" s="3">
        <f t="shared" si="124"/>
        <v>13200000.000000002</v>
      </c>
      <c r="X379" s="3">
        <f t="shared" si="125"/>
        <v>9900000.0000000019</v>
      </c>
      <c r="Y379">
        <f t="shared" si="126"/>
        <v>0.23999999999999996</v>
      </c>
      <c r="Z379">
        <f t="shared" si="127"/>
        <v>0.77435897435897438</v>
      </c>
      <c r="AA379" t="str">
        <f t="shared" si="128"/>
        <v>Tier 1 - Priority Fleet</v>
      </c>
      <c r="AB379" s="3">
        <f t="shared" si="129"/>
        <v>132000</v>
      </c>
      <c r="AC379" s="3">
        <f t="shared" si="130"/>
        <v>1650000.0000000002</v>
      </c>
      <c r="AD379" s="3">
        <f t="shared" si="131"/>
        <v>585000</v>
      </c>
      <c r="AE379" s="5">
        <f t="shared" si="132"/>
        <v>3.6423841059602653</v>
      </c>
      <c r="AF379" s="10">
        <f t="shared" si="133"/>
        <v>654720</v>
      </c>
      <c r="AG379" s="10">
        <f t="shared" si="134"/>
        <v>211200</v>
      </c>
      <c r="AH379" s="10">
        <f t="shared" si="135"/>
        <v>105600</v>
      </c>
      <c r="AI379" s="10">
        <f t="shared" si="136"/>
        <v>52800</v>
      </c>
      <c r="AJ379" s="10">
        <f t="shared" si="137"/>
        <v>31680</v>
      </c>
    </row>
    <row r="380" spans="1:36" x14ac:dyDescent="0.3">
      <c r="A380" t="s">
        <v>1552</v>
      </c>
      <c r="B380" t="s">
        <v>1553</v>
      </c>
      <c r="C380" t="s">
        <v>1554</v>
      </c>
      <c r="D380" t="s">
        <v>14</v>
      </c>
      <c r="E380">
        <v>93239</v>
      </c>
      <c r="F380" t="s">
        <v>15</v>
      </c>
      <c r="G380">
        <v>40</v>
      </c>
      <c r="H380">
        <v>250</v>
      </c>
      <c r="I380" t="str" cm="1">
        <f t="array" ref="I380">_xlfn.IFS(H380&lt;=120,"V1",H380&lt;=150,"V2",H380&lt;=250,"V3", H380&lt;=350, "V4")</f>
        <v>V3</v>
      </c>
      <c r="J380" t="s">
        <v>1555</v>
      </c>
      <c r="K380" t="str">
        <f t="shared" si="115"/>
        <v>35.987651</v>
      </c>
      <c r="L380" t="str">
        <f t="shared" si="116"/>
        <v>-119.962336</v>
      </c>
      <c r="M380">
        <v>100</v>
      </c>
      <c r="N380" s="1">
        <v>43054</v>
      </c>
      <c r="O380" s="1">
        <v>46099</v>
      </c>
      <c r="P380" s="2">
        <f t="shared" si="117"/>
        <v>8.3367556468172488</v>
      </c>
      <c r="Q380" s="2" t="str">
        <f t="shared" si="118"/>
        <v>Old</v>
      </c>
      <c r="R380">
        <f t="shared" si="119"/>
        <v>10000</v>
      </c>
      <c r="S380" t="str">
        <f t="shared" si="120"/>
        <v>Medium</v>
      </c>
      <c r="T380" t="str">
        <f t="shared" si="121"/>
        <v>High EV Adoption Corridor</v>
      </c>
      <c r="U380" s="3">
        <f t="shared" si="122"/>
        <v>23400000</v>
      </c>
      <c r="V380" s="4">
        <f t="shared" si="123"/>
        <v>5280000</v>
      </c>
      <c r="W380" s="3">
        <f t="shared" si="124"/>
        <v>66000000.000000007</v>
      </c>
      <c r="X380" s="3">
        <f t="shared" si="125"/>
        <v>49500000.000000007</v>
      </c>
      <c r="Y380">
        <f t="shared" si="126"/>
        <v>0.23999999999999996</v>
      </c>
      <c r="Z380">
        <f t="shared" si="127"/>
        <v>0.77435897435897438</v>
      </c>
      <c r="AA380" t="str">
        <f t="shared" si="128"/>
        <v>Tier 1 - Priority Fleet</v>
      </c>
      <c r="AB380" s="3">
        <f t="shared" si="129"/>
        <v>132000</v>
      </c>
      <c r="AC380" s="3">
        <f t="shared" si="130"/>
        <v>1650000.0000000002</v>
      </c>
      <c r="AD380" s="3">
        <f t="shared" si="131"/>
        <v>585000</v>
      </c>
      <c r="AE380" s="5">
        <f t="shared" si="132"/>
        <v>3.6423841059602653</v>
      </c>
      <c r="AF380" s="10">
        <f t="shared" si="133"/>
        <v>3273600</v>
      </c>
      <c r="AG380" s="10">
        <f t="shared" si="134"/>
        <v>1056000</v>
      </c>
      <c r="AH380" s="10">
        <f t="shared" si="135"/>
        <v>528000</v>
      </c>
      <c r="AI380" s="10">
        <f t="shared" si="136"/>
        <v>264000</v>
      </c>
      <c r="AJ380" s="10">
        <f t="shared" si="137"/>
        <v>158400</v>
      </c>
    </row>
    <row r="381" spans="1:36" x14ac:dyDescent="0.3">
      <c r="A381" t="s">
        <v>1556</v>
      </c>
      <c r="B381" t="s">
        <v>1557</v>
      </c>
      <c r="C381" t="s">
        <v>1558</v>
      </c>
      <c r="D381" t="s">
        <v>153</v>
      </c>
      <c r="E381">
        <v>16823</v>
      </c>
      <c r="F381" t="s">
        <v>15</v>
      </c>
      <c r="G381">
        <v>8</v>
      </c>
      <c r="H381">
        <v>120</v>
      </c>
      <c r="I381" t="str" cm="1">
        <f t="array" ref="I381">_xlfn.IFS(H381&lt;=120,"V1",H381&lt;=150,"V2",H381&lt;=250,"V3", H381&lt;=350, "V4")</f>
        <v>V1</v>
      </c>
      <c r="J381" t="s">
        <v>1559</v>
      </c>
      <c r="K381" t="str">
        <f t="shared" si="115"/>
        <v>40.913884</v>
      </c>
      <c r="L381" t="str">
        <f t="shared" si="116"/>
        <v>-77.738425</v>
      </c>
      <c r="M381">
        <v>286</v>
      </c>
      <c r="N381" s="1">
        <v>43084</v>
      </c>
      <c r="O381" s="1">
        <v>46099</v>
      </c>
      <c r="P381" s="2">
        <f t="shared" si="117"/>
        <v>8.254620123203285</v>
      </c>
      <c r="Q381" s="2" t="str">
        <f t="shared" si="118"/>
        <v>Old</v>
      </c>
      <c r="R381">
        <f t="shared" si="119"/>
        <v>960</v>
      </c>
      <c r="S381" t="str">
        <f t="shared" si="120"/>
        <v>Small</v>
      </c>
      <c r="T381" t="str">
        <f t="shared" si="121"/>
        <v>Lower EV Adoption Corridor</v>
      </c>
      <c r="U381" s="3">
        <f t="shared" si="122"/>
        <v>1440000</v>
      </c>
      <c r="V381" s="4">
        <f t="shared" si="123"/>
        <v>345600</v>
      </c>
      <c r="W381" s="3">
        <f t="shared" si="124"/>
        <v>3840000</v>
      </c>
      <c r="X381" s="3">
        <f t="shared" si="125"/>
        <v>2592000</v>
      </c>
      <c r="Y381">
        <f t="shared" si="126"/>
        <v>0.2814814814814815</v>
      </c>
      <c r="Z381">
        <f t="shared" si="127"/>
        <v>0.76</v>
      </c>
      <c r="AA381" t="str">
        <f t="shared" si="128"/>
        <v>Tier 5 - Retirement Pipeline</v>
      </c>
      <c r="AB381" s="3">
        <f t="shared" si="129"/>
        <v>43200</v>
      </c>
      <c r="AC381" s="3">
        <f t="shared" si="130"/>
        <v>480000</v>
      </c>
      <c r="AD381" s="3">
        <f t="shared" si="131"/>
        <v>180000</v>
      </c>
      <c r="AE381" s="5">
        <f t="shared" si="132"/>
        <v>3.5087719298245612</v>
      </c>
      <c r="AF381" s="10">
        <f t="shared" si="133"/>
        <v>214272</v>
      </c>
      <c r="AG381" s="10">
        <f t="shared" si="134"/>
        <v>69120</v>
      </c>
      <c r="AH381" s="10">
        <f t="shared" si="135"/>
        <v>34560</v>
      </c>
      <c r="AI381" s="10">
        <f t="shared" si="136"/>
        <v>17280</v>
      </c>
      <c r="AJ381" s="10">
        <f t="shared" si="137"/>
        <v>10368</v>
      </c>
    </row>
    <row r="382" spans="1:36" x14ac:dyDescent="0.3">
      <c r="A382" t="s">
        <v>1560</v>
      </c>
      <c r="B382" t="s">
        <v>1561</v>
      </c>
      <c r="C382" t="s">
        <v>1562</v>
      </c>
      <c r="D382" t="s">
        <v>630</v>
      </c>
      <c r="E382">
        <v>48617</v>
      </c>
      <c r="F382" t="s">
        <v>15</v>
      </c>
      <c r="G382">
        <v>8</v>
      </c>
      <c r="H382">
        <v>150</v>
      </c>
      <c r="I382" t="str" cm="1">
        <f t="array" ref="I382">_xlfn.IFS(H382&lt;=120,"V1",H382&lt;=150,"V2",H382&lt;=250,"V3", H382&lt;=350, "V4")</f>
        <v>V2</v>
      </c>
      <c r="J382" t="s">
        <v>1563</v>
      </c>
      <c r="K382" t="str">
        <f t="shared" si="115"/>
        <v>43.820359</v>
      </c>
      <c r="L382" t="str">
        <f t="shared" si="116"/>
        <v>-84.76675</v>
      </c>
      <c r="M382">
        <v>255</v>
      </c>
      <c r="N382" s="1">
        <v>43604</v>
      </c>
      <c r="O382" s="1">
        <v>46099</v>
      </c>
      <c r="P382" s="2">
        <f t="shared" si="117"/>
        <v>6.8309377138945928</v>
      </c>
      <c r="Q382" s="2" t="str">
        <f t="shared" si="118"/>
        <v>Mid</v>
      </c>
      <c r="R382">
        <f t="shared" si="119"/>
        <v>1200</v>
      </c>
      <c r="S382" t="str">
        <f t="shared" si="120"/>
        <v>Small</v>
      </c>
      <c r="T382" t="str">
        <f t="shared" si="121"/>
        <v>Lower EV Adoption Corridor</v>
      </c>
      <c r="U382" s="3">
        <f t="shared" si="122"/>
        <v>1980000.0000000002</v>
      </c>
      <c r="V382" s="4">
        <f t="shared" si="123"/>
        <v>480000</v>
      </c>
      <c r="W382" s="3">
        <f t="shared" si="124"/>
        <v>6000000</v>
      </c>
      <c r="X382" s="3">
        <f t="shared" si="125"/>
        <v>3600000</v>
      </c>
      <c r="Y382">
        <f t="shared" si="126"/>
        <v>0.3</v>
      </c>
      <c r="Z382">
        <f t="shared" si="127"/>
        <v>0.75757575757575757</v>
      </c>
      <c r="AA382" t="str">
        <f t="shared" si="128"/>
        <v>Tier 4 - Stable Network</v>
      </c>
      <c r="AB382" s="3">
        <f t="shared" si="129"/>
        <v>60000</v>
      </c>
      <c r="AC382" s="3">
        <f t="shared" si="130"/>
        <v>750000</v>
      </c>
      <c r="AD382" s="3">
        <f t="shared" si="131"/>
        <v>247500.00000000003</v>
      </c>
      <c r="AE382" s="5">
        <f t="shared" si="132"/>
        <v>3.9999999999999996</v>
      </c>
      <c r="AF382" s="10">
        <f t="shared" si="133"/>
        <v>297600</v>
      </c>
      <c r="AG382" s="10">
        <f t="shared" si="134"/>
        <v>96000</v>
      </c>
      <c r="AH382" s="10">
        <f t="shared" si="135"/>
        <v>48000</v>
      </c>
      <c r="AI382" s="10">
        <f t="shared" si="136"/>
        <v>24000</v>
      </c>
      <c r="AJ382" s="10">
        <f t="shared" si="137"/>
        <v>14400</v>
      </c>
    </row>
    <row r="383" spans="1:36" x14ac:dyDescent="0.3">
      <c r="A383" t="s">
        <v>1564</v>
      </c>
      <c r="B383" t="s">
        <v>1565</v>
      </c>
      <c r="C383" t="s">
        <v>1566</v>
      </c>
      <c r="D383" t="s">
        <v>321</v>
      </c>
      <c r="E383">
        <v>1035</v>
      </c>
      <c r="F383" t="s">
        <v>15</v>
      </c>
      <c r="G383">
        <v>12</v>
      </c>
      <c r="H383">
        <v>150</v>
      </c>
      <c r="I383" t="str" cm="1">
        <f t="array" ref="I383">_xlfn.IFS(H383&lt;=120,"V1",H383&lt;=150,"V2",H383&lt;=250,"V3", H383&lt;=350, "V4")</f>
        <v>V2</v>
      </c>
      <c r="J383" t="s">
        <v>1567</v>
      </c>
      <c r="K383" t="str">
        <f t="shared" si="115"/>
        <v>42.338922</v>
      </c>
      <c r="L383" t="str">
        <f t="shared" si="116"/>
        <v>-72.611239</v>
      </c>
      <c r="M383">
        <v>36</v>
      </c>
      <c r="N383" s="1">
        <v>43207</v>
      </c>
      <c r="O383" s="1">
        <v>46099</v>
      </c>
      <c r="P383" s="2">
        <f t="shared" si="117"/>
        <v>7.9178644763860371</v>
      </c>
      <c r="Q383" s="2" t="str">
        <f t="shared" si="118"/>
        <v>Mid</v>
      </c>
      <c r="R383">
        <f t="shared" si="119"/>
        <v>1800</v>
      </c>
      <c r="S383" t="str">
        <f t="shared" si="120"/>
        <v>Small</v>
      </c>
      <c r="T383" t="str">
        <f t="shared" si="121"/>
        <v>Lower EV Adoption Corridor</v>
      </c>
      <c r="U383" s="3">
        <f t="shared" si="122"/>
        <v>2970000.0000000005</v>
      </c>
      <c r="V383" s="4">
        <f t="shared" si="123"/>
        <v>720000</v>
      </c>
      <c r="W383" s="3">
        <f t="shared" si="124"/>
        <v>9000000</v>
      </c>
      <c r="X383" s="3">
        <f t="shared" si="125"/>
        <v>5400000</v>
      </c>
      <c r="Y383">
        <f t="shared" si="126"/>
        <v>0.3</v>
      </c>
      <c r="Z383">
        <f t="shared" si="127"/>
        <v>0.75757575757575757</v>
      </c>
      <c r="AA383" t="str">
        <f t="shared" si="128"/>
        <v>Tier 4 - Stable Network</v>
      </c>
      <c r="AB383" s="3">
        <f t="shared" si="129"/>
        <v>60000</v>
      </c>
      <c r="AC383" s="3">
        <f t="shared" si="130"/>
        <v>750000</v>
      </c>
      <c r="AD383" s="3">
        <f t="shared" si="131"/>
        <v>247500.00000000003</v>
      </c>
      <c r="AE383" s="5">
        <f t="shared" si="132"/>
        <v>3.9999999999999991</v>
      </c>
      <c r="AF383" s="10">
        <f t="shared" si="133"/>
        <v>446400</v>
      </c>
      <c r="AG383" s="10">
        <f t="shared" si="134"/>
        <v>144000</v>
      </c>
      <c r="AH383" s="10">
        <f t="shared" si="135"/>
        <v>72000</v>
      </c>
      <c r="AI383" s="10">
        <f t="shared" si="136"/>
        <v>36000</v>
      </c>
      <c r="AJ383" s="10">
        <f t="shared" si="137"/>
        <v>21600</v>
      </c>
    </row>
    <row r="384" spans="1:36" x14ac:dyDescent="0.3">
      <c r="A384" t="s">
        <v>1568</v>
      </c>
      <c r="B384" t="s">
        <v>1569</v>
      </c>
      <c r="C384" t="s">
        <v>1570</v>
      </c>
      <c r="D384" t="s">
        <v>14</v>
      </c>
      <c r="E384">
        <v>92398</v>
      </c>
      <c r="F384" t="s">
        <v>15</v>
      </c>
      <c r="G384">
        <v>18</v>
      </c>
      <c r="H384">
        <v>150</v>
      </c>
      <c r="I384" t="str" cm="1">
        <f t="array" ref="I384">_xlfn.IFS(H384&lt;=120,"V1",H384&lt;=150,"V2",H384&lt;=250,"V3", H384&lt;=350, "V4")</f>
        <v>V2</v>
      </c>
      <c r="J384" t="s">
        <v>1571</v>
      </c>
      <c r="K384" t="str">
        <f t="shared" si="115"/>
        <v>34.907217</v>
      </c>
      <c r="L384" t="str">
        <f t="shared" si="116"/>
        <v>-116.835801</v>
      </c>
      <c r="M384">
        <v>590</v>
      </c>
      <c r="N384" s="1">
        <v>43062</v>
      </c>
      <c r="O384" s="1">
        <v>46099</v>
      </c>
      <c r="P384" s="2">
        <f t="shared" si="117"/>
        <v>8.3148528405201922</v>
      </c>
      <c r="Q384" s="2" t="str">
        <f t="shared" si="118"/>
        <v>Old</v>
      </c>
      <c r="R384">
        <f t="shared" si="119"/>
        <v>2700</v>
      </c>
      <c r="S384" t="str">
        <f t="shared" si="120"/>
        <v>Small</v>
      </c>
      <c r="T384" t="str">
        <f t="shared" si="121"/>
        <v>High EV Adoption Corridor</v>
      </c>
      <c r="U384" s="3">
        <f t="shared" si="122"/>
        <v>5791500</v>
      </c>
      <c r="V384" s="4">
        <f t="shared" si="123"/>
        <v>1296000</v>
      </c>
      <c r="W384" s="3">
        <f t="shared" si="124"/>
        <v>14850000.000000002</v>
      </c>
      <c r="X384" s="3">
        <f t="shared" si="125"/>
        <v>12150000</v>
      </c>
      <c r="Y384">
        <f t="shared" si="126"/>
        <v>0.22888888888888889</v>
      </c>
      <c r="Z384">
        <f t="shared" si="127"/>
        <v>0.77622377622377625</v>
      </c>
      <c r="AA384" t="str">
        <f t="shared" si="128"/>
        <v>Tier 3 - Upgrade Pipeline</v>
      </c>
      <c r="AB384" s="3">
        <f t="shared" si="129"/>
        <v>72000</v>
      </c>
      <c r="AC384" s="3">
        <f t="shared" si="130"/>
        <v>825000.00000000012</v>
      </c>
      <c r="AD384" s="3">
        <f t="shared" si="131"/>
        <v>321750</v>
      </c>
      <c r="AE384" s="5">
        <f t="shared" si="132"/>
        <v>3.3033033033033039</v>
      </c>
      <c r="AF384" s="10">
        <f t="shared" si="133"/>
        <v>803520</v>
      </c>
      <c r="AG384" s="10">
        <f t="shared" si="134"/>
        <v>259200</v>
      </c>
      <c r="AH384" s="10">
        <f t="shared" si="135"/>
        <v>129600</v>
      </c>
      <c r="AI384" s="10">
        <f t="shared" si="136"/>
        <v>64800</v>
      </c>
      <c r="AJ384" s="10">
        <f t="shared" si="137"/>
        <v>38880</v>
      </c>
    </row>
    <row r="385" spans="1:36" x14ac:dyDescent="0.3">
      <c r="A385" t="s">
        <v>1572</v>
      </c>
      <c r="B385" t="s">
        <v>1573</v>
      </c>
      <c r="C385" t="s">
        <v>1574</v>
      </c>
      <c r="D385" t="s">
        <v>14</v>
      </c>
      <c r="E385">
        <v>92808</v>
      </c>
      <c r="F385" t="s">
        <v>15</v>
      </c>
      <c r="G385">
        <v>20</v>
      </c>
      <c r="H385">
        <v>72</v>
      </c>
      <c r="I385" t="str" cm="1">
        <f t="array" ref="I385">_xlfn.IFS(H385&lt;=120,"V1",H385&lt;=150,"V2",H385&lt;=250,"V3", H385&lt;=350, "V4")</f>
        <v>V1</v>
      </c>
      <c r="J385" t="s">
        <v>1575</v>
      </c>
      <c r="K385" t="str">
        <f t="shared" si="115"/>
        <v>33.866724</v>
      </c>
      <c r="L385" t="str">
        <f t="shared" si="116"/>
        <v>-117.747373</v>
      </c>
      <c r="M385">
        <v>135</v>
      </c>
      <c r="N385" s="1">
        <v>43600</v>
      </c>
      <c r="O385" s="1">
        <v>46099</v>
      </c>
      <c r="P385" s="2">
        <f t="shared" si="117"/>
        <v>6.8418891170431211</v>
      </c>
      <c r="Q385" s="2" t="str">
        <f t="shared" si="118"/>
        <v>Mid</v>
      </c>
      <c r="R385">
        <f t="shared" si="119"/>
        <v>1440</v>
      </c>
      <c r="S385" t="str">
        <f t="shared" si="120"/>
        <v>Small</v>
      </c>
      <c r="T385" t="str">
        <f t="shared" si="121"/>
        <v>High EV Adoption Corridor</v>
      </c>
      <c r="U385" s="3">
        <f t="shared" si="122"/>
        <v>2808000</v>
      </c>
      <c r="V385" s="4">
        <f t="shared" si="123"/>
        <v>622080</v>
      </c>
      <c r="W385" s="3">
        <f t="shared" si="124"/>
        <v>6336000.0000000009</v>
      </c>
      <c r="X385" s="3">
        <f t="shared" si="125"/>
        <v>5832000</v>
      </c>
      <c r="Y385">
        <f t="shared" si="126"/>
        <v>0.21530864197530863</v>
      </c>
      <c r="Z385">
        <f t="shared" si="127"/>
        <v>0.77846153846153843</v>
      </c>
      <c r="AA385" t="str">
        <f t="shared" si="128"/>
        <v>Tier 3 - Upgrade Pipeline</v>
      </c>
      <c r="AB385" s="3">
        <f t="shared" si="129"/>
        <v>31104</v>
      </c>
      <c r="AC385" s="3">
        <f t="shared" si="130"/>
        <v>316800.00000000006</v>
      </c>
      <c r="AD385" s="3">
        <f t="shared" si="131"/>
        <v>140400</v>
      </c>
      <c r="AE385" s="5">
        <f t="shared" si="132"/>
        <v>2.8985507246376816</v>
      </c>
      <c r="AF385" s="10">
        <f t="shared" si="133"/>
        <v>385689.59999999998</v>
      </c>
      <c r="AG385" s="10">
        <f t="shared" si="134"/>
        <v>124416</v>
      </c>
      <c r="AH385" s="10">
        <f t="shared" si="135"/>
        <v>62208</v>
      </c>
      <c r="AI385" s="10">
        <f t="shared" si="136"/>
        <v>31104</v>
      </c>
      <c r="AJ385" s="10">
        <f t="shared" si="137"/>
        <v>18662.399999999998</v>
      </c>
    </row>
    <row r="386" spans="1:36" x14ac:dyDescent="0.3">
      <c r="A386" t="s">
        <v>1576</v>
      </c>
      <c r="B386" t="s">
        <v>1577</v>
      </c>
      <c r="C386" t="s">
        <v>1578</v>
      </c>
      <c r="D386" t="s">
        <v>153</v>
      </c>
      <c r="E386">
        <v>17522</v>
      </c>
      <c r="F386" t="s">
        <v>15</v>
      </c>
      <c r="G386">
        <v>8</v>
      </c>
      <c r="H386">
        <v>250</v>
      </c>
      <c r="I386" t="str" cm="1">
        <f t="array" ref="I386">_xlfn.IFS(H386&lt;=120,"V1",H386&lt;=150,"V2",H386&lt;=250,"V3", H386&lt;=350, "V4")</f>
        <v>V3</v>
      </c>
      <c r="J386" t="s">
        <v>1579</v>
      </c>
      <c r="K386" t="str">
        <f t="shared" si="115"/>
        <v>40.1633</v>
      </c>
      <c r="L386" t="str">
        <f t="shared" si="116"/>
        <v>-76.1535</v>
      </c>
      <c r="M386">
        <v>121</v>
      </c>
      <c r="N386" s="1">
        <v>44680</v>
      </c>
      <c r="O386" s="1">
        <v>46099</v>
      </c>
      <c r="P386" s="2">
        <f t="shared" si="117"/>
        <v>3.8850102669404518</v>
      </c>
      <c r="Q386" s="2" t="str">
        <f t="shared" si="118"/>
        <v>Mid</v>
      </c>
      <c r="R386">
        <f t="shared" si="119"/>
        <v>2000</v>
      </c>
      <c r="S386" t="str">
        <f t="shared" si="120"/>
        <v>Small</v>
      </c>
      <c r="T386" t="str">
        <f t="shared" si="121"/>
        <v>Lower EV Adoption Corridor</v>
      </c>
      <c r="U386" s="3">
        <f t="shared" si="122"/>
        <v>3600000</v>
      </c>
      <c r="V386" s="4">
        <f t="shared" si="123"/>
        <v>880000.00000000012</v>
      </c>
      <c r="W386" s="3">
        <f t="shared" si="124"/>
        <v>12000000</v>
      </c>
      <c r="X386" s="3">
        <f t="shared" si="125"/>
        <v>6600000.0000000009</v>
      </c>
      <c r="Y386">
        <f t="shared" si="126"/>
        <v>0.31515151515151513</v>
      </c>
      <c r="Z386">
        <f t="shared" si="127"/>
        <v>0.75555555555555554</v>
      </c>
      <c r="AA386" t="str">
        <f t="shared" si="128"/>
        <v>Tier 2 - Growth Markets</v>
      </c>
      <c r="AB386" s="3">
        <f t="shared" si="129"/>
        <v>110000.00000000001</v>
      </c>
      <c r="AC386" s="3">
        <f t="shared" si="130"/>
        <v>1500000</v>
      </c>
      <c r="AD386" s="3">
        <f t="shared" si="131"/>
        <v>450000</v>
      </c>
      <c r="AE386" s="5">
        <f t="shared" si="132"/>
        <v>4.4117647058823533</v>
      </c>
      <c r="AF386" s="10">
        <f t="shared" si="133"/>
        <v>545600.00000000012</v>
      </c>
      <c r="AG386" s="10">
        <f t="shared" si="134"/>
        <v>176000.00000000003</v>
      </c>
      <c r="AH386" s="10">
        <f t="shared" si="135"/>
        <v>88000.000000000015</v>
      </c>
      <c r="AI386" s="10">
        <f t="shared" si="136"/>
        <v>44000.000000000007</v>
      </c>
      <c r="AJ386" s="10">
        <f t="shared" si="137"/>
        <v>26400.000000000004</v>
      </c>
    </row>
    <row r="387" spans="1:36" x14ac:dyDescent="0.3">
      <c r="A387" t="s">
        <v>1580</v>
      </c>
      <c r="B387" t="s">
        <v>1581</v>
      </c>
      <c r="C387" t="s">
        <v>1582</v>
      </c>
      <c r="D387" t="s">
        <v>72</v>
      </c>
      <c r="E387">
        <v>85260</v>
      </c>
      <c r="F387" t="s">
        <v>15</v>
      </c>
      <c r="G387">
        <v>16</v>
      </c>
      <c r="H387">
        <v>72</v>
      </c>
      <c r="I387" t="str" cm="1">
        <f t="array" ref="I387">_xlfn.IFS(H387&lt;=120,"V1",H387&lt;=150,"V2",H387&lt;=250,"V3", H387&lt;=350, "V4")</f>
        <v>V1</v>
      </c>
      <c r="J387" t="s">
        <v>1583</v>
      </c>
      <c r="K387" t="str">
        <f t="shared" ref="K387:K450" si="138">TRIM(LEFT(J387, FIND(",", J387) - 1))</f>
        <v>33.623139</v>
      </c>
      <c r="L387" t="str">
        <f t="shared" ref="L387:L450" si="139">TRIM(MID(J387, FIND(",", J387) + 1, LEN(J387)))</f>
        <v>-111.922451</v>
      </c>
      <c r="M387">
        <v>447</v>
      </c>
      <c r="N387" s="1">
        <v>43060</v>
      </c>
      <c r="O387" s="1">
        <v>46099</v>
      </c>
      <c r="P387" s="2">
        <f t="shared" ref="P387:P450" si="140">(O387-N387)/365.25</f>
        <v>8.3203285420944564</v>
      </c>
      <c r="Q387" s="2" t="str">
        <f t="shared" ref="Q387:Q450" si="141">IF(P387&lt;3,"New",IF(P387&lt;=8,"Mid","Old"))</f>
        <v>Old</v>
      </c>
      <c r="R387">
        <f t="shared" ref="R387:R450" si="142">G387*H387</f>
        <v>1152</v>
      </c>
      <c r="S387" t="str">
        <f t="shared" ref="S387:S450" si="143">IF(G387&lt;=30,"Small",IF(G387&lt;=60,"Medium","Large"))</f>
        <v>Small</v>
      </c>
      <c r="T387" t="str">
        <f t="shared" ref="T387:T450" si="144">IF(OR(D387="CA",D387="FL",D387="WA",D387="CO",D387="TX",D387="NJ"),"High EV Adoption Corridor","Lower EV Adoption Corridor")</f>
        <v>Lower EV Adoption Corridor</v>
      </c>
      <c r="U387" s="3">
        <f t="shared" ref="U387:U450" si="145" xml:space="preserve"> R387 * 1500 *
  IF(I387="V1",1,
     IF(I387="V2",1.1,1.2)) *
  IF(T387="High EV Adoption Corridor",1.3,1)</f>
        <v>1728000</v>
      </c>
      <c r="V387" s="4">
        <f t="shared" ref="V387:V450" si="146" xml:space="preserve"> R387 * 400 *
  IF(I387="V1",0.9,
     IF(I387="V2",1,1.1)) *
  IF(T387="High EV Adoption Corridor",1.2,1)</f>
        <v>414720</v>
      </c>
      <c r="W387" s="3">
        <f t="shared" ref="W387:W450" si="147" xml:space="preserve"> R387 * 5000 *
  IF(I387="V1",0.8,
     IF(I387="V2",1,1.2)) *
  IF(T387="High EV Adoption Corridor",1.1,1)</f>
        <v>4608000</v>
      </c>
      <c r="X387" s="3">
        <f t="shared" ref="X387:X450" si="148" xml:space="preserve"> R387 * 3000 *
  IF(I387="V1",0.9,
     IF(I387="V2",1,1.1)) *
  IF(T387="High EV Adoption Corridor",1.5,1)</f>
        <v>3110400</v>
      </c>
      <c r="Y387">
        <f t="shared" ref="Y387:Y450" si="149" xml:space="preserve"> ((W387/10) + V387) / X387</f>
        <v>0.2814814814814815</v>
      </c>
      <c r="Z387">
        <f t="shared" ref="Z387:Z450" si="150">(U387-V387)/U387</f>
        <v>0.76</v>
      </c>
      <c r="AA387" t="str">
        <f t="shared" ref="AA387:AA450" si="151">IF(AND(I387="V3",T387="High EV Adoption Corridor"),
"Tier 1 - Priority Fleet",
IF(AND(I387="V3",T387="Lower EV Adoption Corridor"),
"Tier 2 - Growth Markets",
IF(AND(OR(I387="V1",I387="V2"),T387="High EV Adoption Corridor"),
"Tier 3 - Upgrade Pipeline",
IF(AND(I387="V2",T387="Lower EV Adoption Corridor"),
"Tier 4 - Stable Network",
"Tier 5 - Retirement Pipeline"))))</f>
        <v>Tier 5 - Retirement Pipeline</v>
      </c>
      <c r="AB387" s="3">
        <f t="shared" ref="AB387:AB450" si="152">V387/G387</f>
        <v>25920</v>
      </c>
      <c r="AC387" s="3">
        <f t="shared" ref="AC387:AC450" si="153">W387/G387</f>
        <v>288000</v>
      </c>
      <c r="AD387" s="3">
        <f t="shared" ref="AD387:AD450" si="154">U387/G387</f>
        <v>108000</v>
      </c>
      <c r="AE387" s="5">
        <f t="shared" ref="AE387:AE450" si="155">W387/(U387-V387)</f>
        <v>3.5087719298245612</v>
      </c>
      <c r="AF387" s="10">
        <f t="shared" ref="AF387:AF450" si="156">V387*0.62</f>
        <v>257126.39999999999</v>
      </c>
      <c r="AG387" s="10">
        <f t="shared" ref="AG387:AG450" si="157">V387*0.2</f>
        <v>82944</v>
      </c>
      <c r="AH387" s="10">
        <f t="shared" ref="AH387:AH450" si="158">V387*0.1</f>
        <v>41472</v>
      </c>
      <c r="AI387" s="10">
        <f t="shared" ref="AI387:AI450" si="159">V387*0.05</f>
        <v>20736</v>
      </c>
      <c r="AJ387" s="10">
        <f t="shared" ref="AJ387:AJ450" si="160">V387*0.03</f>
        <v>12441.6</v>
      </c>
    </row>
    <row r="388" spans="1:36" x14ac:dyDescent="0.3">
      <c r="A388" t="s">
        <v>1584</v>
      </c>
      <c r="B388" t="s">
        <v>1585</v>
      </c>
      <c r="C388" t="s">
        <v>1586</v>
      </c>
      <c r="D388" t="s">
        <v>14</v>
      </c>
      <c r="E388">
        <v>91502</v>
      </c>
      <c r="F388" t="s">
        <v>15</v>
      </c>
      <c r="G388">
        <v>20</v>
      </c>
      <c r="H388">
        <v>150</v>
      </c>
      <c r="I388" t="str" cm="1">
        <f t="array" ref="I388">_xlfn.IFS(H388&lt;=120,"V1",H388&lt;=150,"V2",H388&lt;=250,"V3", H388&lt;=350, "V4")</f>
        <v>V2</v>
      </c>
      <c r="J388" t="s">
        <v>1587</v>
      </c>
      <c r="K388" t="str">
        <f t="shared" si="138"/>
        <v>34.18487</v>
      </c>
      <c r="L388" t="str">
        <f t="shared" si="139"/>
        <v>-118.311672</v>
      </c>
      <c r="M388">
        <v>190</v>
      </c>
      <c r="N388" s="1">
        <v>42992</v>
      </c>
      <c r="O388" s="1">
        <v>46099</v>
      </c>
      <c r="P388" s="2">
        <f t="shared" si="140"/>
        <v>8.5065023956194388</v>
      </c>
      <c r="Q388" s="2" t="str">
        <f t="shared" si="141"/>
        <v>Old</v>
      </c>
      <c r="R388">
        <f t="shared" si="142"/>
        <v>3000</v>
      </c>
      <c r="S388" t="str">
        <f t="shared" si="143"/>
        <v>Small</v>
      </c>
      <c r="T388" t="str">
        <f t="shared" si="144"/>
        <v>High EV Adoption Corridor</v>
      </c>
      <c r="U388" s="3">
        <f t="shared" si="145"/>
        <v>6435000</v>
      </c>
      <c r="V388" s="4">
        <f t="shared" si="146"/>
        <v>1440000</v>
      </c>
      <c r="W388" s="3">
        <f t="shared" si="147"/>
        <v>16500000.000000002</v>
      </c>
      <c r="X388" s="3">
        <f t="shared" si="148"/>
        <v>13500000</v>
      </c>
      <c r="Y388">
        <f t="shared" si="149"/>
        <v>0.22888888888888889</v>
      </c>
      <c r="Z388">
        <f t="shared" si="150"/>
        <v>0.77622377622377625</v>
      </c>
      <c r="AA388" t="str">
        <f t="shared" si="151"/>
        <v>Tier 3 - Upgrade Pipeline</v>
      </c>
      <c r="AB388" s="3">
        <f t="shared" si="152"/>
        <v>72000</v>
      </c>
      <c r="AC388" s="3">
        <f t="shared" si="153"/>
        <v>825000.00000000012</v>
      </c>
      <c r="AD388" s="3">
        <f t="shared" si="154"/>
        <v>321750</v>
      </c>
      <c r="AE388" s="5">
        <f t="shared" si="155"/>
        <v>3.3033033033033035</v>
      </c>
      <c r="AF388" s="10">
        <f t="shared" si="156"/>
        <v>892800</v>
      </c>
      <c r="AG388" s="10">
        <f t="shared" si="157"/>
        <v>288000</v>
      </c>
      <c r="AH388" s="10">
        <f t="shared" si="158"/>
        <v>144000</v>
      </c>
      <c r="AI388" s="10">
        <f t="shared" si="159"/>
        <v>72000</v>
      </c>
      <c r="AJ388" s="10">
        <f t="shared" si="160"/>
        <v>43200</v>
      </c>
    </row>
    <row r="389" spans="1:36" x14ac:dyDescent="0.3">
      <c r="A389" t="s">
        <v>1588</v>
      </c>
      <c r="B389" t="s">
        <v>1589</v>
      </c>
      <c r="C389" t="s">
        <v>1238</v>
      </c>
      <c r="D389" t="s">
        <v>14</v>
      </c>
      <c r="E389">
        <v>95815</v>
      </c>
      <c r="F389" t="s">
        <v>15</v>
      </c>
      <c r="G389">
        <v>20</v>
      </c>
      <c r="H389">
        <v>72</v>
      </c>
      <c r="I389" t="str" cm="1">
        <f t="array" ref="I389">_xlfn.IFS(H389&lt;=120,"V1",H389&lt;=150,"V2",H389&lt;=250,"V3", H389&lt;=350, "V4")</f>
        <v>V1</v>
      </c>
      <c r="J389" t="s">
        <v>1590</v>
      </c>
      <c r="K389" t="str">
        <f t="shared" si="138"/>
        <v>38.603327</v>
      </c>
      <c r="L389" t="str">
        <f t="shared" si="139"/>
        <v>-121.42853</v>
      </c>
      <c r="M389">
        <v>10</v>
      </c>
      <c r="N389" s="1">
        <v>43323</v>
      </c>
      <c r="O389" s="1">
        <v>46099</v>
      </c>
      <c r="P389" s="2">
        <f t="shared" si="140"/>
        <v>7.6002737850787137</v>
      </c>
      <c r="Q389" s="2" t="str">
        <f t="shared" si="141"/>
        <v>Mid</v>
      </c>
      <c r="R389">
        <f t="shared" si="142"/>
        <v>1440</v>
      </c>
      <c r="S389" t="str">
        <f t="shared" si="143"/>
        <v>Small</v>
      </c>
      <c r="T389" t="str">
        <f t="shared" si="144"/>
        <v>High EV Adoption Corridor</v>
      </c>
      <c r="U389" s="3">
        <f t="shared" si="145"/>
        <v>2808000</v>
      </c>
      <c r="V389" s="4">
        <f t="shared" si="146"/>
        <v>622080</v>
      </c>
      <c r="W389" s="3">
        <f t="shared" si="147"/>
        <v>6336000.0000000009</v>
      </c>
      <c r="X389" s="3">
        <f t="shared" si="148"/>
        <v>5832000</v>
      </c>
      <c r="Y389">
        <f t="shared" si="149"/>
        <v>0.21530864197530863</v>
      </c>
      <c r="Z389">
        <f t="shared" si="150"/>
        <v>0.77846153846153843</v>
      </c>
      <c r="AA389" t="str">
        <f t="shared" si="151"/>
        <v>Tier 3 - Upgrade Pipeline</v>
      </c>
      <c r="AB389" s="3">
        <f t="shared" si="152"/>
        <v>31104</v>
      </c>
      <c r="AC389" s="3">
        <f t="shared" si="153"/>
        <v>316800.00000000006</v>
      </c>
      <c r="AD389" s="3">
        <f t="shared" si="154"/>
        <v>140400</v>
      </c>
      <c r="AE389" s="5">
        <f t="shared" si="155"/>
        <v>2.8985507246376816</v>
      </c>
      <c r="AF389" s="10">
        <f t="shared" si="156"/>
        <v>385689.59999999998</v>
      </c>
      <c r="AG389" s="10">
        <f t="shared" si="157"/>
        <v>124416</v>
      </c>
      <c r="AH389" s="10">
        <f t="shared" si="158"/>
        <v>62208</v>
      </c>
      <c r="AI389" s="10">
        <f t="shared" si="159"/>
        <v>31104</v>
      </c>
      <c r="AJ389" s="10">
        <f t="shared" si="160"/>
        <v>18662.399999999998</v>
      </c>
    </row>
    <row r="390" spans="1:36" x14ac:dyDescent="0.3">
      <c r="A390" t="s">
        <v>1591</v>
      </c>
      <c r="B390" t="s">
        <v>1592</v>
      </c>
      <c r="C390" t="s">
        <v>1582</v>
      </c>
      <c r="D390" t="s">
        <v>72</v>
      </c>
      <c r="E390">
        <v>85254</v>
      </c>
      <c r="F390" t="s">
        <v>15</v>
      </c>
      <c r="G390">
        <v>8</v>
      </c>
      <c r="H390">
        <v>72</v>
      </c>
      <c r="I390" t="str" cm="1">
        <f t="array" ref="I390">_xlfn.IFS(H390&lt;=120,"V1",H390&lt;=150,"V2",H390&lt;=250,"V3", H390&lt;=350, "V4")</f>
        <v>V1</v>
      </c>
      <c r="J390" t="s">
        <v>1593</v>
      </c>
      <c r="K390" t="str">
        <f t="shared" si="138"/>
        <v>33.623205</v>
      </c>
      <c r="L390" t="str">
        <f t="shared" si="139"/>
        <v>-111.930338</v>
      </c>
      <c r="M390">
        <v>445</v>
      </c>
      <c r="N390" s="1">
        <v>43512</v>
      </c>
      <c r="O390" s="1">
        <v>46099</v>
      </c>
      <c r="P390" s="2">
        <f t="shared" si="140"/>
        <v>7.0828199863107457</v>
      </c>
      <c r="Q390" s="2" t="str">
        <f t="shared" si="141"/>
        <v>Mid</v>
      </c>
      <c r="R390">
        <f t="shared" si="142"/>
        <v>576</v>
      </c>
      <c r="S390" t="str">
        <f t="shared" si="143"/>
        <v>Small</v>
      </c>
      <c r="T390" t="str">
        <f t="shared" si="144"/>
        <v>Lower EV Adoption Corridor</v>
      </c>
      <c r="U390" s="3">
        <f t="shared" si="145"/>
        <v>864000</v>
      </c>
      <c r="V390" s="4">
        <f t="shared" si="146"/>
        <v>207360</v>
      </c>
      <c r="W390" s="3">
        <f t="shared" si="147"/>
        <v>2304000</v>
      </c>
      <c r="X390" s="3">
        <f t="shared" si="148"/>
        <v>1555200</v>
      </c>
      <c r="Y390">
        <f t="shared" si="149"/>
        <v>0.2814814814814815</v>
      </c>
      <c r="Z390">
        <f t="shared" si="150"/>
        <v>0.76</v>
      </c>
      <c r="AA390" t="str">
        <f t="shared" si="151"/>
        <v>Tier 5 - Retirement Pipeline</v>
      </c>
      <c r="AB390" s="3">
        <f t="shared" si="152"/>
        <v>25920</v>
      </c>
      <c r="AC390" s="3">
        <f t="shared" si="153"/>
        <v>288000</v>
      </c>
      <c r="AD390" s="3">
        <f t="shared" si="154"/>
        <v>108000</v>
      </c>
      <c r="AE390" s="5">
        <f t="shared" si="155"/>
        <v>3.5087719298245612</v>
      </c>
      <c r="AF390" s="10">
        <f t="shared" si="156"/>
        <v>128563.2</v>
      </c>
      <c r="AG390" s="10">
        <f t="shared" si="157"/>
        <v>41472</v>
      </c>
      <c r="AH390" s="10">
        <f t="shared" si="158"/>
        <v>20736</v>
      </c>
      <c r="AI390" s="10">
        <f t="shared" si="159"/>
        <v>10368</v>
      </c>
      <c r="AJ390" s="10">
        <f t="shared" si="160"/>
        <v>6220.8</v>
      </c>
    </row>
    <row r="391" spans="1:36" x14ac:dyDescent="0.3">
      <c r="A391" t="s">
        <v>1594</v>
      </c>
      <c r="B391" t="s">
        <v>1595</v>
      </c>
      <c r="C391" t="s">
        <v>1596</v>
      </c>
      <c r="D391" t="s">
        <v>148</v>
      </c>
      <c r="E391">
        <v>67701</v>
      </c>
      <c r="F391" t="s">
        <v>15</v>
      </c>
      <c r="G391">
        <v>10</v>
      </c>
      <c r="H391">
        <v>150</v>
      </c>
      <c r="I391" t="str" cm="1">
        <f t="array" ref="I391">_xlfn.IFS(H391&lt;=120,"V1",H391&lt;=150,"V2",H391&lt;=250,"V3", H391&lt;=350, "V4")</f>
        <v>V2</v>
      </c>
      <c r="J391" t="s">
        <v>1597</v>
      </c>
      <c r="K391" t="str">
        <f t="shared" si="138"/>
        <v>39.361357</v>
      </c>
      <c r="L391" t="str">
        <f t="shared" si="139"/>
        <v>-101.054063</v>
      </c>
      <c r="M391">
        <v>976</v>
      </c>
      <c r="N391" s="1">
        <v>43010</v>
      </c>
      <c r="O391" s="1">
        <v>46099</v>
      </c>
      <c r="P391" s="2">
        <f t="shared" si="140"/>
        <v>8.4572210814510616</v>
      </c>
      <c r="Q391" s="2" t="str">
        <f t="shared" si="141"/>
        <v>Old</v>
      </c>
      <c r="R391">
        <f t="shared" si="142"/>
        <v>1500</v>
      </c>
      <c r="S391" t="str">
        <f t="shared" si="143"/>
        <v>Small</v>
      </c>
      <c r="T391" t="str">
        <f t="shared" si="144"/>
        <v>Lower EV Adoption Corridor</v>
      </c>
      <c r="U391" s="3">
        <f t="shared" si="145"/>
        <v>2475000</v>
      </c>
      <c r="V391" s="4">
        <f t="shared" si="146"/>
        <v>600000</v>
      </c>
      <c r="W391" s="3">
        <f t="shared" si="147"/>
        <v>7500000</v>
      </c>
      <c r="X391" s="3">
        <f t="shared" si="148"/>
        <v>4500000</v>
      </c>
      <c r="Y391">
        <f t="shared" si="149"/>
        <v>0.3</v>
      </c>
      <c r="Z391">
        <f t="shared" si="150"/>
        <v>0.75757575757575757</v>
      </c>
      <c r="AA391" t="str">
        <f t="shared" si="151"/>
        <v>Tier 4 - Stable Network</v>
      </c>
      <c r="AB391" s="3">
        <f t="shared" si="152"/>
        <v>60000</v>
      </c>
      <c r="AC391" s="3">
        <f t="shared" si="153"/>
        <v>750000</v>
      </c>
      <c r="AD391" s="3">
        <f t="shared" si="154"/>
        <v>247500</v>
      </c>
      <c r="AE391" s="5">
        <f t="shared" si="155"/>
        <v>4</v>
      </c>
      <c r="AF391" s="10">
        <f t="shared" si="156"/>
        <v>372000</v>
      </c>
      <c r="AG391" s="10">
        <f t="shared" si="157"/>
        <v>120000</v>
      </c>
      <c r="AH391" s="10">
        <f t="shared" si="158"/>
        <v>60000</v>
      </c>
      <c r="AI391" s="10">
        <f t="shared" si="159"/>
        <v>30000</v>
      </c>
      <c r="AJ391" s="10">
        <f t="shared" si="160"/>
        <v>18000</v>
      </c>
    </row>
    <row r="392" spans="1:36" x14ac:dyDescent="0.3">
      <c r="A392" t="s">
        <v>1598</v>
      </c>
      <c r="B392" t="s">
        <v>1599</v>
      </c>
      <c r="C392" t="s">
        <v>1600</v>
      </c>
      <c r="D392" t="s">
        <v>958</v>
      </c>
      <c r="E392">
        <v>4217</v>
      </c>
      <c r="F392" t="s">
        <v>15</v>
      </c>
      <c r="G392">
        <v>6</v>
      </c>
      <c r="H392">
        <v>250</v>
      </c>
      <c r="I392" t="str" cm="1">
        <f t="array" ref="I392">_xlfn.IFS(H392&lt;=120,"V1",H392&lt;=150,"V2",H392&lt;=250,"V3", H392&lt;=350, "V4")</f>
        <v>V3</v>
      </c>
      <c r="J392" t="s">
        <v>1601</v>
      </c>
      <c r="K392" t="str">
        <f t="shared" si="138"/>
        <v>44.424871</v>
      </c>
      <c r="L392" t="str">
        <f t="shared" si="139"/>
        <v>-70.796608</v>
      </c>
      <c r="M392">
        <v>197</v>
      </c>
      <c r="N392" s="1">
        <v>44006</v>
      </c>
      <c r="O392" s="1">
        <v>46099</v>
      </c>
      <c r="P392" s="2">
        <f t="shared" si="140"/>
        <v>5.7303216974674882</v>
      </c>
      <c r="Q392" s="2" t="str">
        <f t="shared" si="141"/>
        <v>Mid</v>
      </c>
      <c r="R392">
        <f t="shared" si="142"/>
        <v>1500</v>
      </c>
      <c r="S392" t="str">
        <f t="shared" si="143"/>
        <v>Small</v>
      </c>
      <c r="T392" t="str">
        <f t="shared" si="144"/>
        <v>Lower EV Adoption Corridor</v>
      </c>
      <c r="U392" s="3">
        <f t="shared" si="145"/>
        <v>2700000</v>
      </c>
      <c r="V392" s="4">
        <f t="shared" si="146"/>
        <v>660000</v>
      </c>
      <c r="W392" s="3">
        <f t="shared" si="147"/>
        <v>9000000</v>
      </c>
      <c r="X392" s="3">
        <f t="shared" si="148"/>
        <v>4950000</v>
      </c>
      <c r="Y392">
        <f t="shared" si="149"/>
        <v>0.31515151515151513</v>
      </c>
      <c r="Z392">
        <f t="shared" si="150"/>
        <v>0.75555555555555554</v>
      </c>
      <c r="AA392" t="str">
        <f t="shared" si="151"/>
        <v>Tier 2 - Growth Markets</v>
      </c>
      <c r="AB392" s="3">
        <f t="shared" si="152"/>
        <v>110000</v>
      </c>
      <c r="AC392" s="3">
        <f t="shared" si="153"/>
        <v>1500000</v>
      </c>
      <c r="AD392" s="3">
        <f t="shared" si="154"/>
        <v>450000</v>
      </c>
      <c r="AE392" s="5">
        <f t="shared" si="155"/>
        <v>4.4117647058823533</v>
      </c>
      <c r="AF392" s="10">
        <f t="shared" si="156"/>
        <v>409200</v>
      </c>
      <c r="AG392" s="10">
        <f t="shared" si="157"/>
        <v>132000</v>
      </c>
      <c r="AH392" s="10">
        <f t="shared" si="158"/>
        <v>66000</v>
      </c>
      <c r="AI392" s="10">
        <f t="shared" si="159"/>
        <v>33000</v>
      </c>
      <c r="AJ392" s="10">
        <f t="shared" si="160"/>
        <v>19800</v>
      </c>
    </row>
    <row r="393" spans="1:36" x14ac:dyDescent="0.3">
      <c r="A393" t="s">
        <v>1602</v>
      </c>
      <c r="B393" t="s">
        <v>1603</v>
      </c>
      <c r="C393" t="s">
        <v>1604</v>
      </c>
      <c r="D393" t="s">
        <v>41</v>
      </c>
      <c r="E393">
        <v>33579</v>
      </c>
      <c r="F393" t="s">
        <v>15</v>
      </c>
      <c r="G393">
        <v>10</v>
      </c>
      <c r="H393">
        <v>120</v>
      </c>
      <c r="I393" t="str" cm="1">
        <f t="array" ref="I393">_xlfn.IFS(H393&lt;=120,"V1",H393&lt;=150,"V2",H393&lt;=250,"V3", H393&lt;=350, "V4")</f>
        <v>V1</v>
      </c>
      <c r="J393" t="s">
        <v>1605</v>
      </c>
      <c r="K393" t="str">
        <f t="shared" si="138"/>
        <v>27.7915</v>
      </c>
      <c r="L393" t="str">
        <f t="shared" si="139"/>
        <v>-82.332833</v>
      </c>
      <c r="M393">
        <v>19</v>
      </c>
      <c r="N393" s="1">
        <v>43510</v>
      </c>
      <c r="O393" s="1">
        <v>46099</v>
      </c>
      <c r="P393" s="2">
        <f t="shared" si="140"/>
        <v>7.0882956878850099</v>
      </c>
      <c r="Q393" s="2" t="str">
        <f t="shared" si="141"/>
        <v>Mid</v>
      </c>
      <c r="R393">
        <f t="shared" si="142"/>
        <v>1200</v>
      </c>
      <c r="S393" t="str">
        <f t="shared" si="143"/>
        <v>Small</v>
      </c>
      <c r="T393" t="str">
        <f t="shared" si="144"/>
        <v>High EV Adoption Corridor</v>
      </c>
      <c r="U393" s="3">
        <f t="shared" si="145"/>
        <v>2340000</v>
      </c>
      <c r="V393" s="4">
        <f t="shared" si="146"/>
        <v>518400</v>
      </c>
      <c r="W393" s="3">
        <f t="shared" si="147"/>
        <v>5280000</v>
      </c>
      <c r="X393" s="3">
        <f t="shared" si="148"/>
        <v>4860000</v>
      </c>
      <c r="Y393">
        <f t="shared" si="149"/>
        <v>0.21530864197530863</v>
      </c>
      <c r="Z393">
        <f t="shared" si="150"/>
        <v>0.77846153846153843</v>
      </c>
      <c r="AA393" t="str">
        <f t="shared" si="151"/>
        <v>Tier 3 - Upgrade Pipeline</v>
      </c>
      <c r="AB393" s="3">
        <f t="shared" si="152"/>
        <v>51840</v>
      </c>
      <c r="AC393" s="3">
        <f t="shared" si="153"/>
        <v>528000</v>
      </c>
      <c r="AD393" s="3">
        <f t="shared" si="154"/>
        <v>234000</v>
      </c>
      <c r="AE393" s="5">
        <f t="shared" si="155"/>
        <v>2.8985507246376812</v>
      </c>
      <c r="AF393" s="10">
        <f t="shared" si="156"/>
        <v>321408</v>
      </c>
      <c r="AG393" s="10">
        <f t="shared" si="157"/>
        <v>103680</v>
      </c>
      <c r="AH393" s="10">
        <f t="shared" si="158"/>
        <v>51840</v>
      </c>
      <c r="AI393" s="10">
        <f t="shared" si="159"/>
        <v>25920</v>
      </c>
      <c r="AJ393" s="10">
        <f t="shared" si="160"/>
        <v>15552</v>
      </c>
    </row>
    <row r="394" spans="1:36" x14ac:dyDescent="0.3">
      <c r="A394" t="s">
        <v>1606</v>
      </c>
      <c r="B394" t="s">
        <v>1607</v>
      </c>
      <c r="C394" t="s">
        <v>1608</v>
      </c>
      <c r="D394" t="s">
        <v>14</v>
      </c>
      <c r="E394">
        <v>93210</v>
      </c>
      <c r="F394" t="s">
        <v>15</v>
      </c>
      <c r="G394">
        <v>18</v>
      </c>
      <c r="H394">
        <v>150</v>
      </c>
      <c r="I394" t="str" cm="1">
        <f t="array" ref="I394">_xlfn.IFS(H394&lt;=120,"V1",H394&lt;=150,"V2",H394&lt;=250,"V3", H394&lt;=350, "V4")</f>
        <v>V2</v>
      </c>
      <c r="J394" t="s">
        <v>1609</v>
      </c>
      <c r="K394" t="str">
        <f t="shared" si="138"/>
        <v>36.25415</v>
      </c>
      <c r="L394" t="str">
        <f t="shared" si="139"/>
        <v>-120.237896</v>
      </c>
      <c r="M394">
        <v>139</v>
      </c>
      <c r="N394" s="1">
        <v>41232</v>
      </c>
      <c r="O394" s="1">
        <v>46099</v>
      </c>
      <c r="P394" s="2">
        <f t="shared" si="140"/>
        <v>13.325119780971937</v>
      </c>
      <c r="Q394" s="2" t="str">
        <f t="shared" si="141"/>
        <v>Old</v>
      </c>
      <c r="R394">
        <f t="shared" si="142"/>
        <v>2700</v>
      </c>
      <c r="S394" t="str">
        <f t="shared" si="143"/>
        <v>Small</v>
      </c>
      <c r="T394" t="str">
        <f t="shared" si="144"/>
        <v>High EV Adoption Corridor</v>
      </c>
      <c r="U394" s="3">
        <f t="shared" si="145"/>
        <v>5791500</v>
      </c>
      <c r="V394" s="4">
        <f t="shared" si="146"/>
        <v>1296000</v>
      </c>
      <c r="W394" s="3">
        <f t="shared" si="147"/>
        <v>14850000.000000002</v>
      </c>
      <c r="X394" s="3">
        <f t="shared" si="148"/>
        <v>12150000</v>
      </c>
      <c r="Y394">
        <f t="shared" si="149"/>
        <v>0.22888888888888889</v>
      </c>
      <c r="Z394">
        <f t="shared" si="150"/>
        <v>0.77622377622377625</v>
      </c>
      <c r="AA394" t="str">
        <f t="shared" si="151"/>
        <v>Tier 3 - Upgrade Pipeline</v>
      </c>
      <c r="AB394" s="3">
        <f t="shared" si="152"/>
        <v>72000</v>
      </c>
      <c r="AC394" s="3">
        <f t="shared" si="153"/>
        <v>825000.00000000012</v>
      </c>
      <c r="AD394" s="3">
        <f t="shared" si="154"/>
        <v>321750</v>
      </c>
      <c r="AE394" s="5">
        <f t="shared" si="155"/>
        <v>3.3033033033033039</v>
      </c>
      <c r="AF394" s="10">
        <f t="shared" si="156"/>
        <v>803520</v>
      </c>
      <c r="AG394" s="10">
        <f t="shared" si="157"/>
        <v>259200</v>
      </c>
      <c r="AH394" s="10">
        <f t="shared" si="158"/>
        <v>129600</v>
      </c>
      <c r="AI394" s="10">
        <f t="shared" si="159"/>
        <v>64800</v>
      </c>
      <c r="AJ394" s="10">
        <f t="shared" si="160"/>
        <v>38880</v>
      </c>
    </row>
    <row r="395" spans="1:36" x14ac:dyDescent="0.3">
      <c r="A395" t="s">
        <v>1610</v>
      </c>
      <c r="B395" t="s">
        <v>1611</v>
      </c>
      <c r="C395" t="s">
        <v>545</v>
      </c>
      <c r="D395" t="s">
        <v>77</v>
      </c>
      <c r="E395">
        <v>27292</v>
      </c>
      <c r="F395" t="s">
        <v>15</v>
      </c>
      <c r="G395">
        <v>8</v>
      </c>
      <c r="H395">
        <v>250</v>
      </c>
      <c r="I395" t="str" cm="1">
        <f t="array" ref="I395">_xlfn.IFS(H395&lt;=120,"V1",H395&lt;=150,"V2",H395&lt;=250,"V3", H395&lt;=350, "V4")</f>
        <v>V3</v>
      </c>
      <c r="J395" t="s">
        <v>1612</v>
      </c>
      <c r="K395" t="str">
        <f t="shared" si="138"/>
        <v>35.800189</v>
      </c>
      <c r="L395" t="str">
        <f t="shared" si="139"/>
        <v>-80.288565</v>
      </c>
      <c r="M395">
        <v>223</v>
      </c>
      <c r="N395" s="1">
        <v>44175</v>
      </c>
      <c r="O395" s="1">
        <v>46099</v>
      </c>
      <c r="P395" s="2">
        <f t="shared" si="140"/>
        <v>5.2676249144421625</v>
      </c>
      <c r="Q395" s="2" t="str">
        <f t="shared" si="141"/>
        <v>Mid</v>
      </c>
      <c r="R395">
        <f t="shared" si="142"/>
        <v>2000</v>
      </c>
      <c r="S395" t="str">
        <f t="shared" si="143"/>
        <v>Small</v>
      </c>
      <c r="T395" t="str">
        <f t="shared" si="144"/>
        <v>Lower EV Adoption Corridor</v>
      </c>
      <c r="U395" s="3">
        <f t="shared" si="145"/>
        <v>3600000</v>
      </c>
      <c r="V395" s="4">
        <f t="shared" si="146"/>
        <v>880000.00000000012</v>
      </c>
      <c r="W395" s="3">
        <f t="shared" si="147"/>
        <v>12000000</v>
      </c>
      <c r="X395" s="3">
        <f t="shared" si="148"/>
        <v>6600000.0000000009</v>
      </c>
      <c r="Y395">
        <f t="shared" si="149"/>
        <v>0.31515151515151513</v>
      </c>
      <c r="Z395">
        <f t="shared" si="150"/>
        <v>0.75555555555555554</v>
      </c>
      <c r="AA395" t="str">
        <f t="shared" si="151"/>
        <v>Tier 2 - Growth Markets</v>
      </c>
      <c r="AB395" s="3">
        <f t="shared" si="152"/>
        <v>110000.00000000001</v>
      </c>
      <c r="AC395" s="3">
        <f t="shared" si="153"/>
        <v>1500000</v>
      </c>
      <c r="AD395" s="3">
        <f t="shared" si="154"/>
        <v>450000</v>
      </c>
      <c r="AE395" s="5">
        <f t="shared" si="155"/>
        <v>4.4117647058823533</v>
      </c>
      <c r="AF395" s="10">
        <f t="shared" si="156"/>
        <v>545600.00000000012</v>
      </c>
      <c r="AG395" s="10">
        <f t="shared" si="157"/>
        <v>176000.00000000003</v>
      </c>
      <c r="AH395" s="10">
        <f t="shared" si="158"/>
        <v>88000.000000000015</v>
      </c>
      <c r="AI395" s="10">
        <f t="shared" si="159"/>
        <v>44000.000000000007</v>
      </c>
      <c r="AJ395" s="10">
        <f t="shared" si="160"/>
        <v>26400.000000000004</v>
      </c>
    </row>
    <row r="396" spans="1:36" x14ac:dyDescent="0.3">
      <c r="A396" t="s">
        <v>1613</v>
      </c>
      <c r="B396" t="s">
        <v>1614</v>
      </c>
      <c r="C396" t="s">
        <v>1615</v>
      </c>
      <c r="D396" t="s">
        <v>14</v>
      </c>
      <c r="E396">
        <v>95993</v>
      </c>
      <c r="F396" t="s">
        <v>15</v>
      </c>
      <c r="G396">
        <v>10</v>
      </c>
      <c r="H396">
        <v>150</v>
      </c>
      <c r="I396" t="str" cm="1">
        <f t="array" ref="I396">_xlfn.IFS(H396&lt;=120,"V1",H396&lt;=150,"V2",H396&lt;=250,"V3", H396&lt;=350, "V4")</f>
        <v>V2</v>
      </c>
      <c r="J396" t="s">
        <v>1616</v>
      </c>
      <c r="K396" t="str">
        <f t="shared" si="138"/>
        <v>39.147833</v>
      </c>
      <c r="L396" t="str">
        <f t="shared" si="139"/>
        <v>-121.647861</v>
      </c>
      <c r="M396">
        <v>17</v>
      </c>
      <c r="N396" s="1">
        <v>43501</v>
      </c>
      <c r="O396" s="1">
        <v>46099</v>
      </c>
      <c r="P396" s="2">
        <f t="shared" si="140"/>
        <v>7.1129363449691994</v>
      </c>
      <c r="Q396" s="2" t="str">
        <f t="shared" si="141"/>
        <v>Mid</v>
      </c>
      <c r="R396">
        <f t="shared" si="142"/>
        <v>1500</v>
      </c>
      <c r="S396" t="str">
        <f t="shared" si="143"/>
        <v>Small</v>
      </c>
      <c r="T396" t="str">
        <f t="shared" si="144"/>
        <v>High EV Adoption Corridor</v>
      </c>
      <c r="U396" s="3">
        <f t="shared" si="145"/>
        <v>3217500</v>
      </c>
      <c r="V396" s="4">
        <f t="shared" si="146"/>
        <v>720000</v>
      </c>
      <c r="W396" s="3">
        <f t="shared" si="147"/>
        <v>8250000.0000000009</v>
      </c>
      <c r="X396" s="3">
        <f t="shared" si="148"/>
        <v>6750000</v>
      </c>
      <c r="Y396">
        <f t="shared" si="149"/>
        <v>0.22888888888888889</v>
      </c>
      <c r="Z396">
        <f t="shared" si="150"/>
        <v>0.77622377622377625</v>
      </c>
      <c r="AA396" t="str">
        <f t="shared" si="151"/>
        <v>Tier 3 - Upgrade Pipeline</v>
      </c>
      <c r="AB396" s="3">
        <f t="shared" si="152"/>
        <v>72000</v>
      </c>
      <c r="AC396" s="3">
        <f t="shared" si="153"/>
        <v>825000.00000000012</v>
      </c>
      <c r="AD396" s="3">
        <f t="shared" si="154"/>
        <v>321750</v>
      </c>
      <c r="AE396" s="5">
        <f t="shared" si="155"/>
        <v>3.3033033033033035</v>
      </c>
      <c r="AF396" s="10">
        <f t="shared" si="156"/>
        <v>446400</v>
      </c>
      <c r="AG396" s="10">
        <f t="shared" si="157"/>
        <v>144000</v>
      </c>
      <c r="AH396" s="10">
        <f t="shared" si="158"/>
        <v>72000</v>
      </c>
      <c r="AI396" s="10">
        <f t="shared" si="159"/>
        <v>36000</v>
      </c>
      <c r="AJ396" s="10">
        <f t="shared" si="160"/>
        <v>21600</v>
      </c>
    </row>
    <row r="397" spans="1:36" x14ac:dyDescent="0.3">
      <c r="A397" t="s">
        <v>1617</v>
      </c>
      <c r="B397" t="s">
        <v>1618</v>
      </c>
      <c r="C397" t="s">
        <v>1619</v>
      </c>
      <c r="D397" t="s">
        <v>50</v>
      </c>
      <c r="E397">
        <v>78752</v>
      </c>
      <c r="F397" t="s">
        <v>15</v>
      </c>
      <c r="G397">
        <v>8</v>
      </c>
      <c r="H397">
        <v>150</v>
      </c>
      <c r="I397" t="str" cm="1">
        <f t="array" ref="I397">_xlfn.IFS(H397&lt;=120,"V1",H397&lt;=150,"V2",H397&lt;=250,"V3", H397&lt;=350, "V4")</f>
        <v>V2</v>
      </c>
      <c r="J397" t="s">
        <v>1620</v>
      </c>
      <c r="K397" t="str">
        <f t="shared" si="138"/>
        <v>30.329175</v>
      </c>
      <c r="L397" t="str">
        <f t="shared" si="139"/>
        <v>-97.706339</v>
      </c>
      <c r="M397">
        <v>221</v>
      </c>
      <c r="N397" s="1">
        <v>43069</v>
      </c>
      <c r="O397" s="1">
        <v>46099</v>
      </c>
      <c r="P397" s="2">
        <f t="shared" si="140"/>
        <v>8.2956878850102669</v>
      </c>
      <c r="Q397" s="2" t="str">
        <f t="shared" si="141"/>
        <v>Old</v>
      </c>
      <c r="R397">
        <f t="shared" si="142"/>
        <v>1200</v>
      </c>
      <c r="S397" t="str">
        <f t="shared" si="143"/>
        <v>Small</v>
      </c>
      <c r="T397" t="str">
        <f t="shared" si="144"/>
        <v>High EV Adoption Corridor</v>
      </c>
      <c r="U397" s="3">
        <f t="shared" si="145"/>
        <v>2574000.0000000005</v>
      </c>
      <c r="V397" s="4">
        <f t="shared" si="146"/>
        <v>576000</v>
      </c>
      <c r="W397" s="3">
        <f t="shared" si="147"/>
        <v>6600000.0000000009</v>
      </c>
      <c r="X397" s="3">
        <f t="shared" si="148"/>
        <v>5400000</v>
      </c>
      <c r="Y397">
        <f t="shared" si="149"/>
        <v>0.22888888888888889</v>
      </c>
      <c r="Z397">
        <f t="shared" si="150"/>
        <v>0.77622377622377625</v>
      </c>
      <c r="AA397" t="str">
        <f t="shared" si="151"/>
        <v>Tier 3 - Upgrade Pipeline</v>
      </c>
      <c r="AB397" s="3">
        <f t="shared" si="152"/>
        <v>72000</v>
      </c>
      <c r="AC397" s="3">
        <f t="shared" si="153"/>
        <v>825000.00000000012</v>
      </c>
      <c r="AD397" s="3">
        <f t="shared" si="154"/>
        <v>321750.00000000006</v>
      </c>
      <c r="AE397" s="5">
        <f t="shared" si="155"/>
        <v>3.303303303303303</v>
      </c>
      <c r="AF397" s="10">
        <f t="shared" si="156"/>
        <v>357120</v>
      </c>
      <c r="AG397" s="10">
        <f t="shared" si="157"/>
        <v>115200</v>
      </c>
      <c r="AH397" s="10">
        <f t="shared" si="158"/>
        <v>57600</v>
      </c>
      <c r="AI397" s="10">
        <f t="shared" si="159"/>
        <v>28800</v>
      </c>
      <c r="AJ397" s="10">
        <f t="shared" si="160"/>
        <v>17280</v>
      </c>
    </row>
    <row r="398" spans="1:36" x14ac:dyDescent="0.3">
      <c r="A398" t="s">
        <v>1621</v>
      </c>
      <c r="B398" t="s">
        <v>1622</v>
      </c>
      <c r="C398" t="s">
        <v>1623</v>
      </c>
      <c r="D398" t="s">
        <v>184</v>
      </c>
      <c r="E398">
        <v>44136</v>
      </c>
      <c r="F398" t="s">
        <v>15</v>
      </c>
      <c r="G398">
        <v>8</v>
      </c>
      <c r="H398">
        <v>150</v>
      </c>
      <c r="I398" t="str" cm="1">
        <f t="array" ref="I398">_xlfn.IFS(H398&lt;=120,"V1",H398&lt;=150,"V2",H398&lt;=250,"V3", H398&lt;=350, "V4")</f>
        <v>V2</v>
      </c>
      <c r="J398" t="s">
        <v>1624</v>
      </c>
      <c r="K398" t="str">
        <f t="shared" si="138"/>
        <v>41.34336</v>
      </c>
      <c r="L398" t="str">
        <f t="shared" si="139"/>
        <v>-81.824924</v>
      </c>
      <c r="M398">
        <v>256</v>
      </c>
      <c r="N398" s="1">
        <v>43140</v>
      </c>
      <c r="O398" s="1">
        <v>46099</v>
      </c>
      <c r="P398" s="2">
        <f t="shared" si="140"/>
        <v>8.1013004791238874</v>
      </c>
      <c r="Q398" s="2" t="str">
        <f t="shared" si="141"/>
        <v>Old</v>
      </c>
      <c r="R398">
        <f t="shared" si="142"/>
        <v>1200</v>
      </c>
      <c r="S398" t="str">
        <f t="shared" si="143"/>
        <v>Small</v>
      </c>
      <c r="T398" t="str">
        <f t="shared" si="144"/>
        <v>Lower EV Adoption Corridor</v>
      </c>
      <c r="U398" s="3">
        <f t="shared" si="145"/>
        <v>1980000.0000000002</v>
      </c>
      <c r="V398" s="4">
        <f t="shared" si="146"/>
        <v>480000</v>
      </c>
      <c r="W398" s="3">
        <f t="shared" si="147"/>
        <v>6000000</v>
      </c>
      <c r="X398" s="3">
        <f t="shared" si="148"/>
        <v>3600000</v>
      </c>
      <c r="Y398">
        <f t="shared" si="149"/>
        <v>0.3</v>
      </c>
      <c r="Z398">
        <f t="shared" si="150"/>
        <v>0.75757575757575757</v>
      </c>
      <c r="AA398" t="str">
        <f t="shared" si="151"/>
        <v>Tier 4 - Stable Network</v>
      </c>
      <c r="AB398" s="3">
        <f t="shared" si="152"/>
        <v>60000</v>
      </c>
      <c r="AC398" s="3">
        <f t="shared" si="153"/>
        <v>750000</v>
      </c>
      <c r="AD398" s="3">
        <f t="shared" si="154"/>
        <v>247500.00000000003</v>
      </c>
      <c r="AE398" s="5">
        <f t="shared" si="155"/>
        <v>3.9999999999999996</v>
      </c>
      <c r="AF398" s="10">
        <f t="shared" si="156"/>
        <v>297600</v>
      </c>
      <c r="AG398" s="10">
        <f t="shared" si="157"/>
        <v>96000</v>
      </c>
      <c r="AH398" s="10">
        <f t="shared" si="158"/>
        <v>48000</v>
      </c>
      <c r="AI398" s="10">
        <f t="shared" si="159"/>
        <v>24000</v>
      </c>
      <c r="AJ398" s="10">
        <f t="shared" si="160"/>
        <v>14400</v>
      </c>
    </row>
    <row r="399" spans="1:36" x14ac:dyDescent="0.3">
      <c r="A399" t="s">
        <v>1625</v>
      </c>
      <c r="B399" t="s">
        <v>1626</v>
      </c>
      <c r="C399" t="s">
        <v>1627</v>
      </c>
      <c r="D399" t="s">
        <v>14</v>
      </c>
      <c r="E399">
        <v>92127</v>
      </c>
      <c r="F399" t="s">
        <v>15</v>
      </c>
      <c r="G399">
        <v>16</v>
      </c>
      <c r="H399">
        <v>72</v>
      </c>
      <c r="I399" t="str" cm="1">
        <f t="array" ref="I399">_xlfn.IFS(H399&lt;=120,"V1",H399&lt;=150,"V2",H399&lt;=250,"V3", H399&lt;=350, "V4")</f>
        <v>V1</v>
      </c>
      <c r="J399" t="s">
        <v>1628</v>
      </c>
      <c r="K399" t="str">
        <f t="shared" si="138"/>
        <v>33.020052</v>
      </c>
      <c r="L399" t="str">
        <f t="shared" si="139"/>
        <v>-117.126278</v>
      </c>
      <c r="M399">
        <v>164</v>
      </c>
      <c r="N399" s="1">
        <v>43477</v>
      </c>
      <c r="O399" s="1">
        <v>46099</v>
      </c>
      <c r="P399" s="2">
        <f t="shared" si="140"/>
        <v>7.1786447638603699</v>
      </c>
      <c r="Q399" s="2" t="str">
        <f t="shared" si="141"/>
        <v>Mid</v>
      </c>
      <c r="R399">
        <f t="shared" si="142"/>
        <v>1152</v>
      </c>
      <c r="S399" t="str">
        <f t="shared" si="143"/>
        <v>Small</v>
      </c>
      <c r="T399" t="str">
        <f t="shared" si="144"/>
        <v>High EV Adoption Corridor</v>
      </c>
      <c r="U399" s="3">
        <f t="shared" si="145"/>
        <v>2246400</v>
      </c>
      <c r="V399" s="4">
        <f t="shared" si="146"/>
        <v>497664</v>
      </c>
      <c r="W399" s="3">
        <f t="shared" si="147"/>
        <v>5068800</v>
      </c>
      <c r="X399" s="3">
        <f t="shared" si="148"/>
        <v>4665600</v>
      </c>
      <c r="Y399">
        <f t="shared" si="149"/>
        <v>0.21530864197530863</v>
      </c>
      <c r="Z399">
        <f t="shared" si="150"/>
        <v>0.77846153846153843</v>
      </c>
      <c r="AA399" t="str">
        <f t="shared" si="151"/>
        <v>Tier 3 - Upgrade Pipeline</v>
      </c>
      <c r="AB399" s="3">
        <f t="shared" si="152"/>
        <v>31104</v>
      </c>
      <c r="AC399" s="3">
        <f t="shared" si="153"/>
        <v>316800</v>
      </c>
      <c r="AD399" s="3">
        <f t="shared" si="154"/>
        <v>140400</v>
      </c>
      <c r="AE399" s="5">
        <f t="shared" si="155"/>
        <v>2.8985507246376812</v>
      </c>
      <c r="AF399" s="10">
        <f t="shared" si="156"/>
        <v>308551.67999999999</v>
      </c>
      <c r="AG399" s="10">
        <f t="shared" si="157"/>
        <v>99532.800000000003</v>
      </c>
      <c r="AH399" s="10">
        <f t="shared" si="158"/>
        <v>49766.400000000001</v>
      </c>
      <c r="AI399" s="10">
        <f t="shared" si="159"/>
        <v>24883.200000000001</v>
      </c>
      <c r="AJ399" s="10">
        <f t="shared" si="160"/>
        <v>14929.92</v>
      </c>
    </row>
    <row r="400" spans="1:36" x14ac:dyDescent="0.3">
      <c r="A400" t="s">
        <v>1629</v>
      </c>
      <c r="B400" t="s">
        <v>1630</v>
      </c>
      <c r="C400" t="s">
        <v>1631</v>
      </c>
      <c r="D400" t="s">
        <v>50</v>
      </c>
      <c r="E400">
        <v>75833</v>
      </c>
      <c r="F400" t="s">
        <v>15</v>
      </c>
      <c r="G400">
        <v>12</v>
      </c>
      <c r="H400">
        <v>250</v>
      </c>
      <c r="I400" t="str" cm="1">
        <f t="array" ref="I400">_xlfn.IFS(H400&lt;=120,"V1",H400&lt;=150,"V2",H400&lt;=250,"V3", H400&lt;=350, "V4")</f>
        <v>V3</v>
      </c>
      <c r="J400" t="s">
        <v>1632</v>
      </c>
      <c r="K400" t="str">
        <f t="shared" si="138"/>
        <v>31.259556</v>
      </c>
      <c r="L400" t="str">
        <f t="shared" si="139"/>
        <v>-95.985289</v>
      </c>
      <c r="M400">
        <v>120</v>
      </c>
      <c r="N400" s="1">
        <v>44380</v>
      </c>
      <c r="O400" s="1">
        <v>46099</v>
      </c>
      <c r="P400" s="2">
        <f t="shared" si="140"/>
        <v>4.7063655030800824</v>
      </c>
      <c r="Q400" s="2" t="str">
        <f t="shared" si="141"/>
        <v>Mid</v>
      </c>
      <c r="R400">
        <f t="shared" si="142"/>
        <v>3000</v>
      </c>
      <c r="S400" t="str">
        <f t="shared" si="143"/>
        <v>Small</v>
      </c>
      <c r="T400" t="str">
        <f t="shared" si="144"/>
        <v>High EV Adoption Corridor</v>
      </c>
      <c r="U400" s="3">
        <f t="shared" si="145"/>
        <v>7020000</v>
      </c>
      <c r="V400" s="4">
        <f t="shared" si="146"/>
        <v>1584000</v>
      </c>
      <c r="W400" s="3">
        <f t="shared" si="147"/>
        <v>19800000</v>
      </c>
      <c r="X400" s="3">
        <f t="shared" si="148"/>
        <v>14850000</v>
      </c>
      <c r="Y400">
        <f t="shared" si="149"/>
        <v>0.24</v>
      </c>
      <c r="Z400">
        <f t="shared" si="150"/>
        <v>0.77435897435897438</v>
      </c>
      <c r="AA400" t="str">
        <f t="shared" si="151"/>
        <v>Tier 1 - Priority Fleet</v>
      </c>
      <c r="AB400" s="3">
        <f t="shared" si="152"/>
        <v>132000</v>
      </c>
      <c r="AC400" s="3">
        <f t="shared" si="153"/>
        <v>1650000</v>
      </c>
      <c r="AD400" s="3">
        <f t="shared" si="154"/>
        <v>585000</v>
      </c>
      <c r="AE400" s="5">
        <f t="shared" si="155"/>
        <v>3.6423841059602649</v>
      </c>
      <c r="AF400" s="10">
        <f t="shared" si="156"/>
        <v>982080</v>
      </c>
      <c r="AG400" s="10">
        <f t="shared" si="157"/>
        <v>316800</v>
      </c>
      <c r="AH400" s="10">
        <f t="shared" si="158"/>
        <v>158400</v>
      </c>
      <c r="AI400" s="10">
        <f t="shared" si="159"/>
        <v>79200</v>
      </c>
      <c r="AJ400" s="10">
        <f t="shared" si="160"/>
        <v>47520</v>
      </c>
    </row>
    <row r="401" spans="1:36" x14ac:dyDescent="0.3">
      <c r="A401" t="s">
        <v>1633</v>
      </c>
      <c r="B401" t="s">
        <v>1634</v>
      </c>
      <c r="C401" t="s">
        <v>1371</v>
      </c>
      <c r="D401" t="s">
        <v>41</v>
      </c>
      <c r="E401">
        <v>33130</v>
      </c>
      <c r="F401" t="s">
        <v>15</v>
      </c>
      <c r="G401">
        <v>4</v>
      </c>
      <c r="H401">
        <v>72</v>
      </c>
      <c r="I401" t="str" cm="1">
        <f t="array" ref="I401">_xlfn.IFS(H401&lt;=120,"V1",H401&lt;=150,"V2",H401&lt;=250,"V3", H401&lt;=350, "V4")</f>
        <v>V1</v>
      </c>
      <c r="J401" t="s">
        <v>1635</v>
      </c>
      <c r="K401" t="str">
        <f t="shared" si="138"/>
        <v>25.764706</v>
      </c>
      <c r="L401" t="str">
        <f t="shared" si="139"/>
        <v>-80.194629</v>
      </c>
      <c r="M401">
        <v>1</v>
      </c>
      <c r="N401" s="1">
        <v>43590</v>
      </c>
      <c r="O401" s="1">
        <v>46099</v>
      </c>
      <c r="P401" s="2">
        <f t="shared" si="140"/>
        <v>6.8692676249144418</v>
      </c>
      <c r="Q401" s="2" t="str">
        <f t="shared" si="141"/>
        <v>Mid</v>
      </c>
      <c r="R401">
        <f t="shared" si="142"/>
        <v>288</v>
      </c>
      <c r="S401" t="str">
        <f t="shared" si="143"/>
        <v>Small</v>
      </c>
      <c r="T401" t="str">
        <f t="shared" si="144"/>
        <v>High EV Adoption Corridor</v>
      </c>
      <c r="U401" s="3">
        <f t="shared" si="145"/>
        <v>561600</v>
      </c>
      <c r="V401" s="4">
        <f t="shared" si="146"/>
        <v>124416</v>
      </c>
      <c r="W401" s="3">
        <f t="shared" si="147"/>
        <v>1267200</v>
      </c>
      <c r="X401" s="3">
        <f t="shared" si="148"/>
        <v>1166400</v>
      </c>
      <c r="Y401">
        <f t="shared" si="149"/>
        <v>0.21530864197530863</v>
      </c>
      <c r="Z401">
        <f t="shared" si="150"/>
        <v>0.77846153846153843</v>
      </c>
      <c r="AA401" t="str">
        <f t="shared" si="151"/>
        <v>Tier 3 - Upgrade Pipeline</v>
      </c>
      <c r="AB401" s="3">
        <f t="shared" si="152"/>
        <v>31104</v>
      </c>
      <c r="AC401" s="3">
        <f t="shared" si="153"/>
        <v>316800</v>
      </c>
      <c r="AD401" s="3">
        <f t="shared" si="154"/>
        <v>140400</v>
      </c>
      <c r="AE401" s="5">
        <f t="shared" si="155"/>
        <v>2.8985507246376812</v>
      </c>
      <c r="AF401" s="10">
        <f t="shared" si="156"/>
        <v>77137.919999999998</v>
      </c>
      <c r="AG401" s="10">
        <f t="shared" si="157"/>
        <v>24883.200000000001</v>
      </c>
      <c r="AH401" s="10">
        <f t="shared" si="158"/>
        <v>12441.6</v>
      </c>
      <c r="AI401" s="10">
        <f t="shared" si="159"/>
        <v>6220.8</v>
      </c>
      <c r="AJ401" s="10">
        <f t="shared" si="160"/>
        <v>3732.48</v>
      </c>
    </row>
    <row r="402" spans="1:36" x14ac:dyDescent="0.3">
      <c r="A402" t="s">
        <v>1636</v>
      </c>
      <c r="B402" t="s">
        <v>1637</v>
      </c>
      <c r="C402" t="s">
        <v>1638</v>
      </c>
      <c r="D402" t="s">
        <v>158</v>
      </c>
      <c r="E402">
        <v>11385</v>
      </c>
      <c r="F402" t="s">
        <v>15</v>
      </c>
      <c r="G402">
        <v>10</v>
      </c>
      <c r="H402">
        <v>72</v>
      </c>
      <c r="I402" t="str" cm="1">
        <f t="array" ref="I402">_xlfn.IFS(H402&lt;=120,"V1",H402&lt;=150,"V2",H402&lt;=250,"V3", H402&lt;=350, "V4")</f>
        <v>V1</v>
      </c>
      <c r="J402" t="s">
        <v>1639</v>
      </c>
      <c r="K402" t="str">
        <f t="shared" si="138"/>
        <v>40.707962</v>
      </c>
      <c r="L402" t="str">
        <f t="shared" si="139"/>
        <v>-73.867167</v>
      </c>
      <c r="M402">
        <v>23</v>
      </c>
      <c r="N402" s="1">
        <v>43633</v>
      </c>
      <c r="O402" s="1">
        <v>46099</v>
      </c>
      <c r="P402" s="2">
        <f t="shared" si="140"/>
        <v>6.751540041067762</v>
      </c>
      <c r="Q402" s="2" t="str">
        <f t="shared" si="141"/>
        <v>Mid</v>
      </c>
      <c r="R402">
        <f t="shared" si="142"/>
        <v>720</v>
      </c>
      <c r="S402" t="str">
        <f t="shared" si="143"/>
        <v>Small</v>
      </c>
      <c r="T402" t="str">
        <f t="shared" si="144"/>
        <v>Lower EV Adoption Corridor</v>
      </c>
      <c r="U402" s="3">
        <f t="shared" si="145"/>
        <v>1080000</v>
      </c>
      <c r="V402" s="4">
        <f t="shared" si="146"/>
        <v>259200</v>
      </c>
      <c r="W402" s="3">
        <f t="shared" si="147"/>
        <v>2880000</v>
      </c>
      <c r="X402" s="3">
        <f t="shared" si="148"/>
        <v>1944000</v>
      </c>
      <c r="Y402">
        <f t="shared" si="149"/>
        <v>0.2814814814814815</v>
      </c>
      <c r="Z402">
        <f t="shared" si="150"/>
        <v>0.76</v>
      </c>
      <c r="AA402" t="str">
        <f t="shared" si="151"/>
        <v>Tier 5 - Retirement Pipeline</v>
      </c>
      <c r="AB402" s="3">
        <f t="shared" si="152"/>
        <v>25920</v>
      </c>
      <c r="AC402" s="3">
        <f t="shared" si="153"/>
        <v>288000</v>
      </c>
      <c r="AD402" s="3">
        <f t="shared" si="154"/>
        <v>108000</v>
      </c>
      <c r="AE402" s="5">
        <f t="shared" si="155"/>
        <v>3.5087719298245612</v>
      </c>
      <c r="AF402" s="10">
        <f t="shared" si="156"/>
        <v>160704</v>
      </c>
      <c r="AG402" s="10">
        <f t="shared" si="157"/>
        <v>51840</v>
      </c>
      <c r="AH402" s="10">
        <f t="shared" si="158"/>
        <v>25920</v>
      </c>
      <c r="AI402" s="10">
        <f t="shared" si="159"/>
        <v>12960</v>
      </c>
      <c r="AJ402" s="10">
        <f t="shared" si="160"/>
        <v>7776</v>
      </c>
    </row>
    <row r="403" spans="1:36" x14ac:dyDescent="0.3">
      <c r="A403" t="s">
        <v>1640</v>
      </c>
      <c r="B403" t="s">
        <v>1641</v>
      </c>
      <c r="C403" t="s">
        <v>1642</v>
      </c>
      <c r="D403" t="s">
        <v>28</v>
      </c>
      <c r="E403">
        <v>30038</v>
      </c>
      <c r="F403" t="s">
        <v>15</v>
      </c>
      <c r="G403">
        <v>12</v>
      </c>
      <c r="H403">
        <v>150</v>
      </c>
      <c r="I403" t="str" cm="1">
        <f t="array" ref="I403">_xlfn.IFS(H403&lt;=120,"V1",H403&lt;=150,"V2",H403&lt;=250,"V3", H403&lt;=350, "V4")</f>
        <v>V2</v>
      </c>
      <c r="J403" t="s">
        <v>1643</v>
      </c>
      <c r="K403" t="str">
        <f t="shared" si="138"/>
        <v>33.69893</v>
      </c>
      <c r="L403" t="str">
        <f t="shared" si="139"/>
        <v>-84.173181</v>
      </c>
      <c r="M403">
        <v>275</v>
      </c>
      <c r="N403" s="1">
        <v>43755</v>
      </c>
      <c r="O403" s="1">
        <v>46099</v>
      </c>
      <c r="P403" s="2">
        <f t="shared" si="140"/>
        <v>6.4175222450376452</v>
      </c>
      <c r="Q403" s="2" t="str">
        <f t="shared" si="141"/>
        <v>Mid</v>
      </c>
      <c r="R403">
        <f t="shared" si="142"/>
        <v>1800</v>
      </c>
      <c r="S403" t="str">
        <f t="shared" si="143"/>
        <v>Small</v>
      </c>
      <c r="T403" t="str">
        <f t="shared" si="144"/>
        <v>Lower EV Adoption Corridor</v>
      </c>
      <c r="U403" s="3">
        <f t="shared" si="145"/>
        <v>2970000.0000000005</v>
      </c>
      <c r="V403" s="4">
        <f t="shared" si="146"/>
        <v>720000</v>
      </c>
      <c r="W403" s="3">
        <f t="shared" si="147"/>
        <v>9000000</v>
      </c>
      <c r="X403" s="3">
        <f t="shared" si="148"/>
        <v>5400000</v>
      </c>
      <c r="Y403">
        <f t="shared" si="149"/>
        <v>0.3</v>
      </c>
      <c r="Z403">
        <f t="shared" si="150"/>
        <v>0.75757575757575757</v>
      </c>
      <c r="AA403" t="str">
        <f t="shared" si="151"/>
        <v>Tier 4 - Stable Network</v>
      </c>
      <c r="AB403" s="3">
        <f t="shared" si="152"/>
        <v>60000</v>
      </c>
      <c r="AC403" s="3">
        <f t="shared" si="153"/>
        <v>750000</v>
      </c>
      <c r="AD403" s="3">
        <f t="shared" si="154"/>
        <v>247500.00000000003</v>
      </c>
      <c r="AE403" s="5">
        <f t="shared" si="155"/>
        <v>3.9999999999999991</v>
      </c>
      <c r="AF403" s="10">
        <f t="shared" si="156"/>
        <v>446400</v>
      </c>
      <c r="AG403" s="10">
        <f t="shared" si="157"/>
        <v>144000</v>
      </c>
      <c r="AH403" s="10">
        <f t="shared" si="158"/>
        <v>72000</v>
      </c>
      <c r="AI403" s="10">
        <f t="shared" si="159"/>
        <v>36000</v>
      </c>
      <c r="AJ403" s="10">
        <f t="shared" si="160"/>
        <v>21600</v>
      </c>
    </row>
    <row r="404" spans="1:36" x14ac:dyDescent="0.3">
      <c r="A404" t="s">
        <v>1644</v>
      </c>
      <c r="B404" t="s">
        <v>1645</v>
      </c>
      <c r="C404" t="s">
        <v>1646</v>
      </c>
      <c r="D404" t="s">
        <v>299</v>
      </c>
      <c r="E404">
        <v>22842</v>
      </c>
      <c r="F404" t="s">
        <v>15</v>
      </c>
      <c r="G404">
        <v>8</v>
      </c>
      <c r="H404">
        <v>150</v>
      </c>
      <c r="I404" t="str" cm="1">
        <f t="array" ref="I404">_xlfn.IFS(H404&lt;=120,"V1",H404&lt;=150,"V2",H404&lt;=250,"V3", H404&lt;=350, "V4")</f>
        <v>V2</v>
      </c>
      <c r="J404" t="s">
        <v>1647</v>
      </c>
      <c r="K404" t="str">
        <f t="shared" si="138"/>
        <v>38.760227</v>
      </c>
      <c r="L404" t="str">
        <f t="shared" si="139"/>
        <v>-78.63121</v>
      </c>
      <c r="M404">
        <v>277</v>
      </c>
      <c r="N404" s="1">
        <v>43074</v>
      </c>
      <c r="O404" s="1">
        <v>46099</v>
      </c>
      <c r="P404" s="2">
        <f t="shared" si="140"/>
        <v>8.2819986310746057</v>
      </c>
      <c r="Q404" s="2" t="str">
        <f t="shared" si="141"/>
        <v>Old</v>
      </c>
      <c r="R404">
        <f t="shared" si="142"/>
        <v>1200</v>
      </c>
      <c r="S404" t="str">
        <f t="shared" si="143"/>
        <v>Small</v>
      </c>
      <c r="T404" t="str">
        <f t="shared" si="144"/>
        <v>Lower EV Adoption Corridor</v>
      </c>
      <c r="U404" s="3">
        <f t="shared" si="145"/>
        <v>1980000.0000000002</v>
      </c>
      <c r="V404" s="4">
        <f t="shared" si="146"/>
        <v>480000</v>
      </c>
      <c r="W404" s="3">
        <f t="shared" si="147"/>
        <v>6000000</v>
      </c>
      <c r="X404" s="3">
        <f t="shared" si="148"/>
        <v>3600000</v>
      </c>
      <c r="Y404">
        <f t="shared" si="149"/>
        <v>0.3</v>
      </c>
      <c r="Z404">
        <f t="shared" si="150"/>
        <v>0.75757575757575757</v>
      </c>
      <c r="AA404" t="str">
        <f t="shared" si="151"/>
        <v>Tier 4 - Stable Network</v>
      </c>
      <c r="AB404" s="3">
        <f t="shared" si="152"/>
        <v>60000</v>
      </c>
      <c r="AC404" s="3">
        <f t="shared" si="153"/>
        <v>750000</v>
      </c>
      <c r="AD404" s="3">
        <f t="shared" si="154"/>
        <v>247500.00000000003</v>
      </c>
      <c r="AE404" s="5">
        <f t="shared" si="155"/>
        <v>3.9999999999999996</v>
      </c>
      <c r="AF404" s="10">
        <f t="shared" si="156"/>
        <v>297600</v>
      </c>
      <c r="AG404" s="10">
        <f t="shared" si="157"/>
        <v>96000</v>
      </c>
      <c r="AH404" s="10">
        <f t="shared" si="158"/>
        <v>48000</v>
      </c>
      <c r="AI404" s="10">
        <f t="shared" si="159"/>
        <v>24000</v>
      </c>
      <c r="AJ404" s="10">
        <f t="shared" si="160"/>
        <v>14400</v>
      </c>
    </row>
    <row r="405" spans="1:36" x14ac:dyDescent="0.3">
      <c r="A405" t="s">
        <v>1648</v>
      </c>
      <c r="B405" t="s">
        <v>1649</v>
      </c>
      <c r="C405" t="s">
        <v>1650</v>
      </c>
      <c r="D405" t="s">
        <v>321</v>
      </c>
      <c r="E405">
        <v>2653</v>
      </c>
      <c r="F405" t="s">
        <v>15</v>
      </c>
      <c r="G405">
        <v>12</v>
      </c>
      <c r="H405">
        <v>150</v>
      </c>
      <c r="I405" t="str" cm="1">
        <f t="array" ref="I405">_xlfn.IFS(H405&lt;=120,"V1",H405&lt;=150,"V2",H405&lt;=250,"V3", H405&lt;=350, "V4")</f>
        <v>V2</v>
      </c>
      <c r="J405" t="s">
        <v>1651</v>
      </c>
      <c r="K405" t="str">
        <f t="shared" si="138"/>
        <v>41.796653</v>
      </c>
      <c r="L405" t="str">
        <f t="shared" si="139"/>
        <v>-69.985961</v>
      </c>
      <c r="M405">
        <v>1</v>
      </c>
      <c r="N405" s="1">
        <v>43806</v>
      </c>
      <c r="O405" s="1">
        <v>46099</v>
      </c>
      <c r="P405" s="2">
        <f t="shared" si="140"/>
        <v>6.277891854893908</v>
      </c>
      <c r="Q405" s="2" t="str">
        <f t="shared" si="141"/>
        <v>Mid</v>
      </c>
      <c r="R405">
        <f t="shared" si="142"/>
        <v>1800</v>
      </c>
      <c r="S405" t="str">
        <f t="shared" si="143"/>
        <v>Small</v>
      </c>
      <c r="T405" t="str">
        <f t="shared" si="144"/>
        <v>Lower EV Adoption Corridor</v>
      </c>
      <c r="U405" s="3">
        <f t="shared" si="145"/>
        <v>2970000.0000000005</v>
      </c>
      <c r="V405" s="4">
        <f t="shared" si="146"/>
        <v>720000</v>
      </c>
      <c r="W405" s="3">
        <f t="shared" si="147"/>
        <v>9000000</v>
      </c>
      <c r="X405" s="3">
        <f t="shared" si="148"/>
        <v>5400000</v>
      </c>
      <c r="Y405">
        <f t="shared" si="149"/>
        <v>0.3</v>
      </c>
      <c r="Z405">
        <f t="shared" si="150"/>
        <v>0.75757575757575757</v>
      </c>
      <c r="AA405" t="str">
        <f t="shared" si="151"/>
        <v>Tier 4 - Stable Network</v>
      </c>
      <c r="AB405" s="3">
        <f t="shared" si="152"/>
        <v>60000</v>
      </c>
      <c r="AC405" s="3">
        <f t="shared" si="153"/>
        <v>750000</v>
      </c>
      <c r="AD405" s="3">
        <f t="shared" si="154"/>
        <v>247500.00000000003</v>
      </c>
      <c r="AE405" s="5">
        <f t="shared" si="155"/>
        <v>3.9999999999999991</v>
      </c>
      <c r="AF405" s="10">
        <f t="shared" si="156"/>
        <v>446400</v>
      </c>
      <c r="AG405" s="10">
        <f t="shared" si="157"/>
        <v>144000</v>
      </c>
      <c r="AH405" s="10">
        <f t="shared" si="158"/>
        <v>72000</v>
      </c>
      <c r="AI405" s="10">
        <f t="shared" si="159"/>
        <v>36000</v>
      </c>
      <c r="AJ405" s="10">
        <f t="shared" si="160"/>
        <v>21600</v>
      </c>
    </row>
    <row r="406" spans="1:36" x14ac:dyDescent="0.3">
      <c r="A406" t="s">
        <v>1652</v>
      </c>
      <c r="B406" t="s">
        <v>1653</v>
      </c>
      <c r="C406" t="s">
        <v>441</v>
      </c>
      <c r="D406" t="s">
        <v>158</v>
      </c>
      <c r="E406">
        <v>11217</v>
      </c>
      <c r="F406" t="s">
        <v>15</v>
      </c>
      <c r="G406">
        <v>12</v>
      </c>
      <c r="H406">
        <v>72</v>
      </c>
      <c r="I406" t="str" cm="1">
        <f t="array" ref="I406">_xlfn.IFS(H406&lt;=120,"V1",H406&lt;=150,"V2",H406&lt;=250,"V3", H406&lt;=350, "V4")</f>
        <v>V1</v>
      </c>
      <c r="J406" t="s">
        <v>1654</v>
      </c>
      <c r="K406" t="str">
        <f t="shared" si="138"/>
        <v>40.683738</v>
      </c>
      <c r="L406" t="str">
        <f t="shared" si="139"/>
        <v>-73.974953</v>
      </c>
      <c r="M406">
        <v>17</v>
      </c>
      <c r="N406" s="1">
        <v>43632</v>
      </c>
      <c r="O406" s="1">
        <v>46099</v>
      </c>
      <c r="P406" s="2">
        <f t="shared" si="140"/>
        <v>6.754277891854894</v>
      </c>
      <c r="Q406" s="2" t="str">
        <f t="shared" si="141"/>
        <v>Mid</v>
      </c>
      <c r="R406">
        <f t="shared" si="142"/>
        <v>864</v>
      </c>
      <c r="S406" t="str">
        <f t="shared" si="143"/>
        <v>Small</v>
      </c>
      <c r="T406" t="str">
        <f t="shared" si="144"/>
        <v>Lower EV Adoption Corridor</v>
      </c>
      <c r="U406" s="3">
        <f t="shared" si="145"/>
        <v>1296000</v>
      </c>
      <c r="V406" s="4">
        <f t="shared" si="146"/>
        <v>311040</v>
      </c>
      <c r="W406" s="3">
        <f t="shared" si="147"/>
        <v>3456000</v>
      </c>
      <c r="X406" s="3">
        <f t="shared" si="148"/>
        <v>2332800</v>
      </c>
      <c r="Y406">
        <f t="shared" si="149"/>
        <v>0.2814814814814815</v>
      </c>
      <c r="Z406">
        <f t="shared" si="150"/>
        <v>0.76</v>
      </c>
      <c r="AA406" t="str">
        <f t="shared" si="151"/>
        <v>Tier 5 - Retirement Pipeline</v>
      </c>
      <c r="AB406" s="3">
        <f t="shared" si="152"/>
        <v>25920</v>
      </c>
      <c r="AC406" s="3">
        <f t="shared" si="153"/>
        <v>288000</v>
      </c>
      <c r="AD406" s="3">
        <f t="shared" si="154"/>
        <v>108000</v>
      </c>
      <c r="AE406" s="5">
        <f t="shared" si="155"/>
        <v>3.5087719298245612</v>
      </c>
      <c r="AF406" s="10">
        <f t="shared" si="156"/>
        <v>192844.79999999999</v>
      </c>
      <c r="AG406" s="10">
        <f t="shared" si="157"/>
        <v>62208</v>
      </c>
      <c r="AH406" s="10">
        <f t="shared" si="158"/>
        <v>31104</v>
      </c>
      <c r="AI406" s="10">
        <f t="shared" si="159"/>
        <v>15552</v>
      </c>
      <c r="AJ406" s="10">
        <f t="shared" si="160"/>
        <v>9331.1999999999989</v>
      </c>
    </row>
    <row r="407" spans="1:36" x14ac:dyDescent="0.3">
      <c r="A407" t="s">
        <v>1655</v>
      </c>
      <c r="B407" t="s">
        <v>1656</v>
      </c>
      <c r="C407" t="s">
        <v>1657</v>
      </c>
      <c r="D407" t="s">
        <v>14</v>
      </c>
      <c r="E407">
        <v>94583</v>
      </c>
      <c r="F407" t="s">
        <v>15</v>
      </c>
      <c r="G407">
        <v>20</v>
      </c>
      <c r="H407">
        <v>72</v>
      </c>
      <c r="I407" t="str" cm="1">
        <f t="array" ref="I407">_xlfn.IFS(H407&lt;=120,"V1",H407&lt;=150,"V2",H407&lt;=250,"V3", H407&lt;=350, "V4")</f>
        <v>V1</v>
      </c>
      <c r="J407" t="s">
        <v>1658</v>
      </c>
      <c r="K407" t="str">
        <f t="shared" si="138"/>
        <v>37.774766</v>
      </c>
      <c r="L407" t="str">
        <f t="shared" si="139"/>
        <v>-121.979789</v>
      </c>
      <c r="M407">
        <v>153</v>
      </c>
      <c r="N407" s="1">
        <v>43560</v>
      </c>
      <c r="O407" s="1">
        <v>46099</v>
      </c>
      <c r="P407" s="2">
        <f t="shared" si="140"/>
        <v>6.9514031485284056</v>
      </c>
      <c r="Q407" s="2" t="str">
        <f t="shared" si="141"/>
        <v>Mid</v>
      </c>
      <c r="R407">
        <f t="shared" si="142"/>
        <v>1440</v>
      </c>
      <c r="S407" t="str">
        <f t="shared" si="143"/>
        <v>Small</v>
      </c>
      <c r="T407" t="str">
        <f t="shared" si="144"/>
        <v>High EV Adoption Corridor</v>
      </c>
      <c r="U407" s="3">
        <f t="shared" si="145"/>
        <v>2808000</v>
      </c>
      <c r="V407" s="4">
        <f t="shared" si="146"/>
        <v>622080</v>
      </c>
      <c r="W407" s="3">
        <f t="shared" si="147"/>
        <v>6336000.0000000009</v>
      </c>
      <c r="X407" s="3">
        <f t="shared" si="148"/>
        <v>5832000</v>
      </c>
      <c r="Y407">
        <f t="shared" si="149"/>
        <v>0.21530864197530863</v>
      </c>
      <c r="Z407">
        <f t="shared" si="150"/>
        <v>0.77846153846153843</v>
      </c>
      <c r="AA407" t="str">
        <f t="shared" si="151"/>
        <v>Tier 3 - Upgrade Pipeline</v>
      </c>
      <c r="AB407" s="3">
        <f t="shared" si="152"/>
        <v>31104</v>
      </c>
      <c r="AC407" s="3">
        <f t="shared" si="153"/>
        <v>316800.00000000006</v>
      </c>
      <c r="AD407" s="3">
        <f t="shared" si="154"/>
        <v>140400</v>
      </c>
      <c r="AE407" s="5">
        <f t="shared" si="155"/>
        <v>2.8985507246376816</v>
      </c>
      <c r="AF407" s="10">
        <f t="shared" si="156"/>
        <v>385689.59999999998</v>
      </c>
      <c r="AG407" s="10">
        <f t="shared" si="157"/>
        <v>124416</v>
      </c>
      <c r="AH407" s="10">
        <f t="shared" si="158"/>
        <v>62208</v>
      </c>
      <c r="AI407" s="10">
        <f t="shared" si="159"/>
        <v>31104</v>
      </c>
      <c r="AJ407" s="10">
        <f t="shared" si="160"/>
        <v>18662.399999999998</v>
      </c>
    </row>
    <row r="408" spans="1:36" x14ac:dyDescent="0.3">
      <c r="A408" t="s">
        <v>1659</v>
      </c>
      <c r="B408" t="s">
        <v>1660</v>
      </c>
      <c r="C408" t="s">
        <v>1661</v>
      </c>
      <c r="D408" t="s">
        <v>59</v>
      </c>
      <c r="E408">
        <v>62864</v>
      </c>
      <c r="F408" t="s">
        <v>15</v>
      </c>
      <c r="G408">
        <v>8</v>
      </c>
      <c r="H408">
        <v>150</v>
      </c>
      <c r="I408" t="str" cm="1">
        <f t="array" ref="I408">_xlfn.IFS(H408&lt;=120,"V1",H408&lt;=150,"V2",H408&lt;=250,"V3", H408&lt;=350, "V4")</f>
        <v>V2</v>
      </c>
      <c r="J408" t="s">
        <v>1662</v>
      </c>
      <c r="K408" t="str">
        <f t="shared" si="138"/>
        <v>38.316292</v>
      </c>
      <c r="L408" t="str">
        <f t="shared" si="139"/>
        <v>-88.955923</v>
      </c>
      <c r="M408">
        <v>146</v>
      </c>
      <c r="N408" s="1">
        <v>42670</v>
      </c>
      <c r="O408" s="1">
        <v>46099</v>
      </c>
      <c r="P408" s="2">
        <f t="shared" si="140"/>
        <v>9.3880903490759753</v>
      </c>
      <c r="Q408" s="2" t="str">
        <f t="shared" si="141"/>
        <v>Old</v>
      </c>
      <c r="R408">
        <f t="shared" si="142"/>
        <v>1200</v>
      </c>
      <c r="S408" t="str">
        <f t="shared" si="143"/>
        <v>Small</v>
      </c>
      <c r="T408" t="str">
        <f t="shared" si="144"/>
        <v>Lower EV Adoption Corridor</v>
      </c>
      <c r="U408" s="3">
        <f t="shared" si="145"/>
        <v>1980000.0000000002</v>
      </c>
      <c r="V408" s="4">
        <f t="shared" si="146"/>
        <v>480000</v>
      </c>
      <c r="W408" s="3">
        <f t="shared" si="147"/>
        <v>6000000</v>
      </c>
      <c r="X408" s="3">
        <f t="shared" si="148"/>
        <v>3600000</v>
      </c>
      <c r="Y408">
        <f t="shared" si="149"/>
        <v>0.3</v>
      </c>
      <c r="Z408">
        <f t="shared" si="150"/>
        <v>0.75757575757575757</v>
      </c>
      <c r="AA408" t="str">
        <f t="shared" si="151"/>
        <v>Tier 4 - Stable Network</v>
      </c>
      <c r="AB408" s="3">
        <f t="shared" si="152"/>
        <v>60000</v>
      </c>
      <c r="AC408" s="3">
        <f t="shared" si="153"/>
        <v>750000</v>
      </c>
      <c r="AD408" s="3">
        <f t="shared" si="154"/>
        <v>247500.00000000003</v>
      </c>
      <c r="AE408" s="5">
        <f t="shared" si="155"/>
        <v>3.9999999999999996</v>
      </c>
      <c r="AF408" s="10">
        <f t="shared" si="156"/>
        <v>297600</v>
      </c>
      <c r="AG408" s="10">
        <f t="shared" si="157"/>
        <v>96000</v>
      </c>
      <c r="AH408" s="10">
        <f t="shared" si="158"/>
        <v>48000</v>
      </c>
      <c r="AI408" s="10">
        <f t="shared" si="159"/>
        <v>24000</v>
      </c>
      <c r="AJ408" s="10">
        <f t="shared" si="160"/>
        <v>14400</v>
      </c>
    </row>
    <row r="409" spans="1:36" x14ac:dyDescent="0.3">
      <c r="A409" t="s">
        <v>1663</v>
      </c>
      <c r="B409" t="s">
        <v>1664</v>
      </c>
      <c r="C409" t="s">
        <v>1665</v>
      </c>
      <c r="D409" t="s">
        <v>158</v>
      </c>
      <c r="E409">
        <v>11954</v>
      </c>
      <c r="F409" t="s">
        <v>15</v>
      </c>
      <c r="G409">
        <v>8</v>
      </c>
      <c r="H409">
        <v>250</v>
      </c>
      <c r="I409" t="str" cm="1">
        <f t="array" ref="I409">_xlfn.IFS(H409&lt;=120,"V1",H409&lt;=150,"V2",H409&lt;=250,"V3", H409&lt;=350, "V4")</f>
        <v>V3</v>
      </c>
      <c r="J409" t="s">
        <v>1666</v>
      </c>
      <c r="K409" t="str">
        <f t="shared" si="138"/>
        <v>41.035822</v>
      </c>
      <c r="L409" t="str">
        <f t="shared" si="139"/>
        <v>-71.943868</v>
      </c>
      <c r="M409">
        <v>6</v>
      </c>
      <c r="N409" s="1">
        <v>44176</v>
      </c>
      <c r="O409" s="1">
        <v>46099</v>
      </c>
      <c r="P409" s="2">
        <f t="shared" si="140"/>
        <v>5.2648870636550305</v>
      </c>
      <c r="Q409" s="2" t="str">
        <f t="shared" si="141"/>
        <v>Mid</v>
      </c>
      <c r="R409">
        <f t="shared" si="142"/>
        <v>2000</v>
      </c>
      <c r="S409" t="str">
        <f t="shared" si="143"/>
        <v>Small</v>
      </c>
      <c r="T409" t="str">
        <f t="shared" si="144"/>
        <v>Lower EV Adoption Corridor</v>
      </c>
      <c r="U409" s="3">
        <f t="shared" si="145"/>
        <v>3600000</v>
      </c>
      <c r="V409" s="4">
        <f t="shared" si="146"/>
        <v>880000.00000000012</v>
      </c>
      <c r="W409" s="3">
        <f t="shared" si="147"/>
        <v>12000000</v>
      </c>
      <c r="X409" s="3">
        <f t="shared" si="148"/>
        <v>6600000.0000000009</v>
      </c>
      <c r="Y409">
        <f t="shared" si="149"/>
        <v>0.31515151515151513</v>
      </c>
      <c r="Z409">
        <f t="shared" si="150"/>
        <v>0.75555555555555554</v>
      </c>
      <c r="AA409" t="str">
        <f t="shared" si="151"/>
        <v>Tier 2 - Growth Markets</v>
      </c>
      <c r="AB409" s="3">
        <f t="shared" si="152"/>
        <v>110000.00000000001</v>
      </c>
      <c r="AC409" s="3">
        <f t="shared" si="153"/>
        <v>1500000</v>
      </c>
      <c r="AD409" s="3">
        <f t="shared" si="154"/>
        <v>450000</v>
      </c>
      <c r="AE409" s="5">
        <f t="shared" si="155"/>
        <v>4.4117647058823533</v>
      </c>
      <c r="AF409" s="10">
        <f t="shared" si="156"/>
        <v>545600.00000000012</v>
      </c>
      <c r="AG409" s="10">
        <f t="shared" si="157"/>
        <v>176000.00000000003</v>
      </c>
      <c r="AH409" s="10">
        <f t="shared" si="158"/>
        <v>88000.000000000015</v>
      </c>
      <c r="AI409" s="10">
        <f t="shared" si="159"/>
        <v>44000.000000000007</v>
      </c>
      <c r="AJ409" s="10">
        <f t="shared" si="160"/>
        <v>26400.000000000004</v>
      </c>
    </row>
    <row r="410" spans="1:36" x14ac:dyDescent="0.3">
      <c r="A410" t="s">
        <v>1667</v>
      </c>
      <c r="B410" t="s">
        <v>1668</v>
      </c>
      <c r="C410" t="s">
        <v>856</v>
      </c>
      <c r="D410" t="s">
        <v>316</v>
      </c>
      <c r="E410">
        <v>97477</v>
      </c>
      <c r="F410" t="s">
        <v>15</v>
      </c>
      <c r="G410">
        <v>14</v>
      </c>
      <c r="H410">
        <v>150</v>
      </c>
      <c r="I410" t="str" cm="1">
        <f t="array" ref="I410">_xlfn.IFS(H410&lt;=120,"V1",H410&lt;=150,"V2",H410&lt;=250,"V3", H410&lt;=350, "V4")</f>
        <v>V2</v>
      </c>
      <c r="J410" t="s">
        <v>1669</v>
      </c>
      <c r="K410" t="str">
        <f t="shared" si="138"/>
        <v>44.082605</v>
      </c>
      <c r="L410" t="str">
        <f t="shared" si="139"/>
        <v>-123.037471</v>
      </c>
      <c r="M410">
        <v>133</v>
      </c>
      <c r="N410" s="1">
        <v>41580</v>
      </c>
      <c r="O410" s="1">
        <v>46099</v>
      </c>
      <c r="P410" s="2">
        <f t="shared" si="140"/>
        <v>12.372347707049967</v>
      </c>
      <c r="Q410" s="2" t="str">
        <f t="shared" si="141"/>
        <v>Old</v>
      </c>
      <c r="R410">
        <f t="shared" si="142"/>
        <v>2100</v>
      </c>
      <c r="S410" t="str">
        <f t="shared" si="143"/>
        <v>Small</v>
      </c>
      <c r="T410" t="str">
        <f t="shared" si="144"/>
        <v>Lower EV Adoption Corridor</v>
      </c>
      <c r="U410" s="3">
        <f t="shared" si="145"/>
        <v>3465000.0000000005</v>
      </c>
      <c r="V410" s="4">
        <f t="shared" si="146"/>
        <v>840000</v>
      </c>
      <c r="W410" s="3">
        <f t="shared" si="147"/>
        <v>10500000</v>
      </c>
      <c r="X410" s="3">
        <f t="shared" si="148"/>
        <v>6300000</v>
      </c>
      <c r="Y410">
        <f t="shared" si="149"/>
        <v>0.3</v>
      </c>
      <c r="Z410">
        <f t="shared" si="150"/>
        <v>0.75757575757575757</v>
      </c>
      <c r="AA410" t="str">
        <f t="shared" si="151"/>
        <v>Tier 4 - Stable Network</v>
      </c>
      <c r="AB410" s="3">
        <f t="shared" si="152"/>
        <v>60000</v>
      </c>
      <c r="AC410" s="3">
        <f t="shared" si="153"/>
        <v>750000</v>
      </c>
      <c r="AD410" s="3">
        <f t="shared" si="154"/>
        <v>247500.00000000003</v>
      </c>
      <c r="AE410" s="5">
        <f t="shared" si="155"/>
        <v>3.9999999999999991</v>
      </c>
      <c r="AF410" s="10">
        <f t="shared" si="156"/>
        <v>520800</v>
      </c>
      <c r="AG410" s="10">
        <f t="shared" si="157"/>
        <v>168000</v>
      </c>
      <c r="AH410" s="10">
        <f t="shared" si="158"/>
        <v>84000</v>
      </c>
      <c r="AI410" s="10">
        <f t="shared" si="159"/>
        <v>42000</v>
      </c>
      <c r="AJ410" s="10">
        <f t="shared" si="160"/>
        <v>25200</v>
      </c>
    </row>
    <row r="411" spans="1:36" x14ac:dyDescent="0.3">
      <c r="A411" t="s">
        <v>1670</v>
      </c>
      <c r="B411" t="s">
        <v>1671</v>
      </c>
      <c r="C411" t="s">
        <v>1672</v>
      </c>
      <c r="D411" t="s">
        <v>184</v>
      </c>
      <c r="E411">
        <v>44054</v>
      </c>
      <c r="F411" t="s">
        <v>15</v>
      </c>
      <c r="G411">
        <v>8</v>
      </c>
      <c r="H411">
        <v>150</v>
      </c>
      <c r="I411" t="str" cm="1">
        <f t="array" ref="I411">_xlfn.IFS(H411&lt;=120,"V1",H411&lt;=150,"V2",H411&lt;=250,"V3", H411&lt;=350, "V4")</f>
        <v>V2</v>
      </c>
      <c r="J411" t="s">
        <v>1673</v>
      </c>
      <c r="K411" t="str">
        <f t="shared" si="138"/>
        <v>41.426963</v>
      </c>
      <c r="L411" t="str">
        <f t="shared" si="139"/>
        <v>-82.076273</v>
      </c>
      <c r="M411">
        <v>203</v>
      </c>
      <c r="N411" s="1">
        <v>43141</v>
      </c>
      <c r="O411" s="1">
        <v>46099</v>
      </c>
      <c r="P411" s="2">
        <f t="shared" si="140"/>
        <v>8.0985626283367562</v>
      </c>
      <c r="Q411" s="2" t="str">
        <f t="shared" si="141"/>
        <v>Old</v>
      </c>
      <c r="R411">
        <f t="shared" si="142"/>
        <v>1200</v>
      </c>
      <c r="S411" t="str">
        <f t="shared" si="143"/>
        <v>Small</v>
      </c>
      <c r="T411" t="str">
        <f t="shared" si="144"/>
        <v>Lower EV Adoption Corridor</v>
      </c>
      <c r="U411" s="3">
        <f t="shared" si="145"/>
        <v>1980000.0000000002</v>
      </c>
      <c r="V411" s="4">
        <f t="shared" si="146"/>
        <v>480000</v>
      </c>
      <c r="W411" s="3">
        <f t="shared" si="147"/>
        <v>6000000</v>
      </c>
      <c r="X411" s="3">
        <f t="shared" si="148"/>
        <v>3600000</v>
      </c>
      <c r="Y411">
        <f t="shared" si="149"/>
        <v>0.3</v>
      </c>
      <c r="Z411">
        <f t="shared" si="150"/>
        <v>0.75757575757575757</v>
      </c>
      <c r="AA411" t="str">
        <f t="shared" si="151"/>
        <v>Tier 4 - Stable Network</v>
      </c>
      <c r="AB411" s="3">
        <f t="shared" si="152"/>
        <v>60000</v>
      </c>
      <c r="AC411" s="3">
        <f t="shared" si="153"/>
        <v>750000</v>
      </c>
      <c r="AD411" s="3">
        <f t="shared" si="154"/>
        <v>247500.00000000003</v>
      </c>
      <c r="AE411" s="5">
        <f t="shared" si="155"/>
        <v>3.9999999999999996</v>
      </c>
      <c r="AF411" s="10">
        <f t="shared" si="156"/>
        <v>297600</v>
      </c>
      <c r="AG411" s="10">
        <f t="shared" si="157"/>
        <v>96000</v>
      </c>
      <c r="AH411" s="10">
        <f t="shared" si="158"/>
        <v>48000</v>
      </c>
      <c r="AI411" s="10">
        <f t="shared" si="159"/>
        <v>24000</v>
      </c>
      <c r="AJ411" s="10">
        <f t="shared" si="160"/>
        <v>14400</v>
      </c>
    </row>
    <row r="412" spans="1:36" x14ac:dyDescent="0.3">
      <c r="A412" t="s">
        <v>1674</v>
      </c>
      <c r="B412" t="s">
        <v>1675</v>
      </c>
      <c r="C412" t="s">
        <v>1676</v>
      </c>
      <c r="D412" t="s">
        <v>50</v>
      </c>
      <c r="E412">
        <v>78041</v>
      </c>
      <c r="F412" t="s">
        <v>15</v>
      </c>
      <c r="G412">
        <v>8</v>
      </c>
      <c r="H412">
        <v>150</v>
      </c>
      <c r="I412" t="str" cm="1">
        <f t="array" ref="I412">_xlfn.IFS(H412&lt;=120,"V1",H412&lt;=150,"V2",H412&lt;=250,"V3", H412&lt;=350, "V4")</f>
        <v>V2</v>
      </c>
      <c r="J412" t="s">
        <v>1677</v>
      </c>
      <c r="K412" t="str">
        <f t="shared" si="138"/>
        <v>27.555003</v>
      </c>
      <c r="L412" t="str">
        <f t="shared" si="139"/>
        <v>-99.49424</v>
      </c>
      <c r="M412">
        <v>133</v>
      </c>
      <c r="N412" s="1">
        <v>43081</v>
      </c>
      <c r="O412" s="1">
        <v>46099</v>
      </c>
      <c r="P412" s="2">
        <f t="shared" si="140"/>
        <v>8.2628336755646821</v>
      </c>
      <c r="Q412" s="2" t="str">
        <f t="shared" si="141"/>
        <v>Old</v>
      </c>
      <c r="R412">
        <f t="shared" si="142"/>
        <v>1200</v>
      </c>
      <c r="S412" t="str">
        <f t="shared" si="143"/>
        <v>Small</v>
      </c>
      <c r="T412" t="str">
        <f t="shared" si="144"/>
        <v>High EV Adoption Corridor</v>
      </c>
      <c r="U412" s="3">
        <f t="shared" si="145"/>
        <v>2574000.0000000005</v>
      </c>
      <c r="V412" s="4">
        <f t="shared" si="146"/>
        <v>576000</v>
      </c>
      <c r="W412" s="3">
        <f t="shared" si="147"/>
        <v>6600000.0000000009</v>
      </c>
      <c r="X412" s="3">
        <f t="shared" si="148"/>
        <v>5400000</v>
      </c>
      <c r="Y412">
        <f t="shared" si="149"/>
        <v>0.22888888888888889</v>
      </c>
      <c r="Z412">
        <f t="shared" si="150"/>
        <v>0.77622377622377625</v>
      </c>
      <c r="AA412" t="str">
        <f t="shared" si="151"/>
        <v>Tier 3 - Upgrade Pipeline</v>
      </c>
      <c r="AB412" s="3">
        <f t="shared" si="152"/>
        <v>72000</v>
      </c>
      <c r="AC412" s="3">
        <f t="shared" si="153"/>
        <v>825000.00000000012</v>
      </c>
      <c r="AD412" s="3">
        <f t="shared" si="154"/>
        <v>321750.00000000006</v>
      </c>
      <c r="AE412" s="5">
        <f t="shared" si="155"/>
        <v>3.303303303303303</v>
      </c>
      <c r="AF412" s="10">
        <f t="shared" si="156"/>
        <v>357120</v>
      </c>
      <c r="AG412" s="10">
        <f t="shared" si="157"/>
        <v>115200</v>
      </c>
      <c r="AH412" s="10">
        <f t="shared" si="158"/>
        <v>57600</v>
      </c>
      <c r="AI412" s="10">
        <f t="shared" si="159"/>
        <v>28800</v>
      </c>
      <c r="AJ412" s="10">
        <f t="shared" si="160"/>
        <v>17280</v>
      </c>
    </row>
    <row r="413" spans="1:36" x14ac:dyDescent="0.3">
      <c r="A413" t="s">
        <v>1678</v>
      </c>
      <c r="B413" t="s">
        <v>1679</v>
      </c>
      <c r="C413" t="s">
        <v>1680</v>
      </c>
      <c r="D413" t="s">
        <v>852</v>
      </c>
      <c r="E413">
        <v>8816</v>
      </c>
      <c r="F413" t="s">
        <v>15</v>
      </c>
      <c r="G413">
        <v>16</v>
      </c>
      <c r="H413">
        <v>150</v>
      </c>
      <c r="I413" t="str" cm="1">
        <f t="array" ref="I413">_xlfn.IFS(H413&lt;=120,"V1",H413&lt;=150,"V2",H413&lt;=250,"V3", H413&lt;=350, "V4")</f>
        <v>V2</v>
      </c>
      <c r="J413" t="s">
        <v>1681</v>
      </c>
      <c r="K413" t="str">
        <f t="shared" si="138"/>
        <v>40.424107</v>
      </c>
      <c r="L413" t="str">
        <f t="shared" si="139"/>
        <v>-74.380069</v>
      </c>
      <c r="M413">
        <v>46</v>
      </c>
      <c r="N413" s="1">
        <v>43637</v>
      </c>
      <c r="O413" s="1">
        <v>46099</v>
      </c>
      <c r="P413" s="2">
        <f t="shared" si="140"/>
        <v>6.7405886379192337</v>
      </c>
      <c r="Q413" s="2" t="str">
        <f t="shared" si="141"/>
        <v>Mid</v>
      </c>
      <c r="R413">
        <f t="shared" si="142"/>
        <v>2400</v>
      </c>
      <c r="S413" t="str">
        <f t="shared" si="143"/>
        <v>Small</v>
      </c>
      <c r="T413" t="str">
        <f t="shared" si="144"/>
        <v>High EV Adoption Corridor</v>
      </c>
      <c r="U413" s="3">
        <f t="shared" si="145"/>
        <v>5148000.0000000009</v>
      </c>
      <c r="V413" s="4">
        <f t="shared" si="146"/>
        <v>1152000</v>
      </c>
      <c r="W413" s="3">
        <f t="shared" si="147"/>
        <v>13200000.000000002</v>
      </c>
      <c r="X413" s="3">
        <f t="shared" si="148"/>
        <v>10800000</v>
      </c>
      <c r="Y413">
        <f t="shared" si="149"/>
        <v>0.22888888888888889</v>
      </c>
      <c r="Z413">
        <f t="shared" si="150"/>
        <v>0.77622377622377625</v>
      </c>
      <c r="AA413" t="str">
        <f t="shared" si="151"/>
        <v>Tier 3 - Upgrade Pipeline</v>
      </c>
      <c r="AB413" s="3">
        <f t="shared" si="152"/>
        <v>72000</v>
      </c>
      <c r="AC413" s="3">
        <f t="shared" si="153"/>
        <v>825000.00000000012</v>
      </c>
      <c r="AD413" s="3">
        <f t="shared" si="154"/>
        <v>321750.00000000006</v>
      </c>
      <c r="AE413" s="5">
        <f t="shared" si="155"/>
        <v>3.303303303303303</v>
      </c>
      <c r="AF413" s="10">
        <f t="shared" si="156"/>
        <v>714240</v>
      </c>
      <c r="AG413" s="10">
        <f t="shared" si="157"/>
        <v>230400</v>
      </c>
      <c r="AH413" s="10">
        <f t="shared" si="158"/>
        <v>115200</v>
      </c>
      <c r="AI413" s="10">
        <f t="shared" si="159"/>
        <v>57600</v>
      </c>
      <c r="AJ413" s="10">
        <f t="shared" si="160"/>
        <v>34560</v>
      </c>
    </row>
    <row r="414" spans="1:36" x14ac:dyDescent="0.3">
      <c r="A414" t="s">
        <v>1682</v>
      </c>
      <c r="B414" t="s">
        <v>1683</v>
      </c>
      <c r="C414" t="s">
        <v>1684</v>
      </c>
      <c r="D414" t="s">
        <v>852</v>
      </c>
      <c r="E414">
        <v>8053</v>
      </c>
      <c r="F414" t="s">
        <v>15</v>
      </c>
      <c r="G414">
        <v>12</v>
      </c>
      <c r="H414">
        <v>120</v>
      </c>
      <c r="I414" t="str" cm="1">
        <f t="array" ref="I414">_xlfn.IFS(H414&lt;=120,"V1",H414&lt;=150,"V2",H414&lt;=250,"V3", H414&lt;=350, "V4")</f>
        <v>V1</v>
      </c>
      <c r="J414" t="s">
        <v>1685</v>
      </c>
      <c r="K414" t="str">
        <f t="shared" si="138"/>
        <v>39.877547</v>
      </c>
      <c r="L414" t="str">
        <f t="shared" si="139"/>
        <v>-74.918491</v>
      </c>
      <c r="M414">
        <v>28</v>
      </c>
      <c r="N414" s="1">
        <v>43581</v>
      </c>
      <c r="O414" s="1">
        <v>46099</v>
      </c>
      <c r="P414" s="2">
        <f t="shared" si="140"/>
        <v>6.8939082819986313</v>
      </c>
      <c r="Q414" s="2" t="str">
        <f t="shared" si="141"/>
        <v>Mid</v>
      </c>
      <c r="R414">
        <f t="shared" si="142"/>
        <v>1440</v>
      </c>
      <c r="S414" t="str">
        <f t="shared" si="143"/>
        <v>Small</v>
      </c>
      <c r="T414" t="str">
        <f t="shared" si="144"/>
        <v>High EV Adoption Corridor</v>
      </c>
      <c r="U414" s="3">
        <f t="shared" si="145"/>
        <v>2808000</v>
      </c>
      <c r="V414" s="4">
        <f t="shared" si="146"/>
        <v>622080</v>
      </c>
      <c r="W414" s="3">
        <f t="shared" si="147"/>
        <v>6336000.0000000009</v>
      </c>
      <c r="X414" s="3">
        <f t="shared" si="148"/>
        <v>5832000</v>
      </c>
      <c r="Y414">
        <f t="shared" si="149"/>
        <v>0.21530864197530863</v>
      </c>
      <c r="Z414">
        <f t="shared" si="150"/>
        <v>0.77846153846153843</v>
      </c>
      <c r="AA414" t="str">
        <f t="shared" si="151"/>
        <v>Tier 3 - Upgrade Pipeline</v>
      </c>
      <c r="AB414" s="3">
        <f t="shared" si="152"/>
        <v>51840</v>
      </c>
      <c r="AC414" s="3">
        <f t="shared" si="153"/>
        <v>528000.00000000012</v>
      </c>
      <c r="AD414" s="3">
        <f t="shared" si="154"/>
        <v>234000</v>
      </c>
      <c r="AE414" s="5">
        <f t="shared" si="155"/>
        <v>2.8985507246376816</v>
      </c>
      <c r="AF414" s="10">
        <f t="shared" si="156"/>
        <v>385689.59999999998</v>
      </c>
      <c r="AG414" s="10">
        <f t="shared" si="157"/>
        <v>124416</v>
      </c>
      <c r="AH414" s="10">
        <f t="shared" si="158"/>
        <v>62208</v>
      </c>
      <c r="AI414" s="10">
        <f t="shared" si="159"/>
        <v>31104</v>
      </c>
      <c r="AJ414" s="10">
        <f t="shared" si="160"/>
        <v>18662.399999999998</v>
      </c>
    </row>
    <row r="415" spans="1:36" x14ac:dyDescent="0.3">
      <c r="A415" t="s">
        <v>1686</v>
      </c>
      <c r="B415" t="s">
        <v>1687</v>
      </c>
      <c r="C415" t="s">
        <v>1688</v>
      </c>
      <c r="D415" t="s">
        <v>14</v>
      </c>
      <c r="E415">
        <v>92584</v>
      </c>
      <c r="F415" t="s">
        <v>15</v>
      </c>
      <c r="G415">
        <v>20</v>
      </c>
      <c r="H415">
        <v>150</v>
      </c>
      <c r="I415" t="str" cm="1">
        <f t="array" ref="I415">_xlfn.IFS(H415&lt;=120,"V1",H415&lt;=150,"V2",H415&lt;=250,"V3", H415&lt;=350, "V4")</f>
        <v>V2</v>
      </c>
      <c r="J415" t="s">
        <v>1689</v>
      </c>
      <c r="K415" t="str">
        <f t="shared" si="138"/>
        <v>33.679646</v>
      </c>
      <c r="L415" t="str">
        <f t="shared" si="139"/>
        <v>-117.174095</v>
      </c>
      <c r="M415">
        <v>435</v>
      </c>
      <c r="N415" s="1">
        <v>43738</v>
      </c>
      <c r="O415" s="1">
        <v>46099</v>
      </c>
      <c r="P415" s="2">
        <f t="shared" si="140"/>
        <v>6.4640657084188913</v>
      </c>
      <c r="Q415" s="2" t="str">
        <f t="shared" si="141"/>
        <v>Mid</v>
      </c>
      <c r="R415">
        <f t="shared" si="142"/>
        <v>3000</v>
      </c>
      <c r="S415" t="str">
        <f t="shared" si="143"/>
        <v>Small</v>
      </c>
      <c r="T415" t="str">
        <f t="shared" si="144"/>
        <v>High EV Adoption Corridor</v>
      </c>
      <c r="U415" s="3">
        <f t="shared" si="145"/>
        <v>6435000</v>
      </c>
      <c r="V415" s="4">
        <f t="shared" si="146"/>
        <v>1440000</v>
      </c>
      <c r="W415" s="3">
        <f t="shared" si="147"/>
        <v>16500000.000000002</v>
      </c>
      <c r="X415" s="3">
        <f t="shared" si="148"/>
        <v>13500000</v>
      </c>
      <c r="Y415">
        <f t="shared" si="149"/>
        <v>0.22888888888888889</v>
      </c>
      <c r="Z415">
        <f t="shared" si="150"/>
        <v>0.77622377622377625</v>
      </c>
      <c r="AA415" t="str">
        <f t="shared" si="151"/>
        <v>Tier 3 - Upgrade Pipeline</v>
      </c>
      <c r="AB415" s="3">
        <f t="shared" si="152"/>
        <v>72000</v>
      </c>
      <c r="AC415" s="3">
        <f t="shared" si="153"/>
        <v>825000.00000000012</v>
      </c>
      <c r="AD415" s="3">
        <f t="shared" si="154"/>
        <v>321750</v>
      </c>
      <c r="AE415" s="5">
        <f t="shared" si="155"/>
        <v>3.3033033033033035</v>
      </c>
      <c r="AF415" s="10">
        <f t="shared" si="156"/>
        <v>892800</v>
      </c>
      <c r="AG415" s="10">
        <f t="shared" si="157"/>
        <v>288000</v>
      </c>
      <c r="AH415" s="10">
        <f t="shared" si="158"/>
        <v>144000</v>
      </c>
      <c r="AI415" s="10">
        <f t="shared" si="159"/>
        <v>72000</v>
      </c>
      <c r="AJ415" s="10">
        <f t="shared" si="160"/>
        <v>43200</v>
      </c>
    </row>
    <row r="416" spans="1:36" x14ac:dyDescent="0.3">
      <c r="A416" t="s">
        <v>1690</v>
      </c>
      <c r="B416" t="s">
        <v>1691</v>
      </c>
      <c r="C416" t="s">
        <v>1692</v>
      </c>
      <c r="D416" t="s">
        <v>14</v>
      </c>
      <c r="E416">
        <v>95492</v>
      </c>
      <c r="F416" t="s">
        <v>15</v>
      </c>
      <c r="G416">
        <v>12</v>
      </c>
      <c r="H416">
        <v>250</v>
      </c>
      <c r="I416" t="str" cm="1">
        <f t="array" ref="I416">_xlfn.IFS(H416&lt;=120,"V1",H416&lt;=150,"V2",H416&lt;=250,"V3", H416&lt;=350, "V4")</f>
        <v>V3</v>
      </c>
      <c r="J416" t="s">
        <v>1693</v>
      </c>
      <c r="K416" t="str">
        <f t="shared" si="138"/>
        <v>38.549856</v>
      </c>
      <c r="L416" t="str">
        <f t="shared" si="139"/>
        <v>-122.805465</v>
      </c>
      <c r="M416">
        <v>39</v>
      </c>
      <c r="N416" s="1">
        <v>44505</v>
      </c>
      <c r="O416" s="1">
        <v>46099</v>
      </c>
      <c r="P416" s="2">
        <f t="shared" si="140"/>
        <v>4.3641341546885695</v>
      </c>
      <c r="Q416" s="2" t="str">
        <f t="shared" si="141"/>
        <v>Mid</v>
      </c>
      <c r="R416">
        <f t="shared" si="142"/>
        <v>3000</v>
      </c>
      <c r="S416" t="str">
        <f t="shared" si="143"/>
        <v>Small</v>
      </c>
      <c r="T416" t="str">
        <f t="shared" si="144"/>
        <v>High EV Adoption Corridor</v>
      </c>
      <c r="U416" s="3">
        <f t="shared" si="145"/>
        <v>7020000</v>
      </c>
      <c r="V416" s="4">
        <f t="shared" si="146"/>
        <v>1584000</v>
      </c>
      <c r="W416" s="3">
        <f t="shared" si="147"/>
        <v>19800000</v>
      </c>
      <c r="X416" s="3">
        <f t="shared" si="148"/>
        <v>14850000</v>
      </c>
      <c r="Y416">
        <f t="shared" si="149"/>
        <v>0.24</v>
      </c>
      <c r="Z416">
        <f t="shared" si="150"/>
        <v>0.77435897435897438</v>
      </c>
      <c r="AA416" t="str">
        <f t="shared" si="151"/>
        <v>Tier 1 - Priority Fleet</v>
      </c>
      <c r="AB416" s="3">
        <f t="shared" si="152"/>
        <v>132000</v>
      </c>
      <c r="AC416" s="3">
        <f t="shared" si="153"/>
        <v>1650000</v>
      </c>
      <c r="AD416" s="3">
        <f t="shared" si="154"/>
        <v>585000</v>
      </c>
      <c r="AE416" s="5">
        <f t="shared" si="155"/>
        <v>3.6423841059602649</v>
      </c>
      <c r="AF416" s="10">
        <f t="shared" si="156"/>
        <v>982080</v>
      </c>
      <c r="AG416" s="10">
        <f t="shared" si="157"/>
        <v>316800</v>
      </c>
      <c r="AH416" s="10">
        <f t="shared" si="158"/>
        <v>158400</v>
      </c>
      <c r="AI416" s="10">
        <f t="shared" si="159"/>
        <v>79200</v>
      </c>
      <c r="AJ416" s="10">
        <f t="shared" si="160"/>
        <v>47520</v>
      </c>
    </row>
    <row r="417" spans="1:36" x14ac:dyDescent="0.3">
      <c r="A417" t="s">
        <v>1694</v>
      </c>
      <c r="B417" t="s">
        <v>1695</v>
      </c>
      <c r="C417" t="s">
        <v>1696</v>
      </c>
      <c r="D417" t="s">
        <v>111</v>
      </c>
      <c r="E417">
        <v>55422</v>
      </c>
      <c r="F417" t="s">
        <v>15</v>
      </c>
      <c r="G417">
        <v>8</v>
      </c>
      <c r="H417">
        <v>150</v>
      </c>
      <c r="I417" t="str" cm="1">
        <f t="array" ref="I417">_xlfn.IFS(H417&lt;=120,"V1",H417&lt;=150,"V2",H417&lt;=250,"V3", H417&lt;=350, "V4")</f>
        <v>V2</v>
      </c>
      <c r="J417" t="s">
        <v>1697</v>
      </c>
      <c r="K417" t="str">
        <f t="shared" si="138"/>
        <v>45.018928</v>
      </c>
      <c r="L417" t="str">
        <f t="shared" si="139"/>
        <v>-93.32583</v>
      </c>
      <c r="M417">
        <v>265</v>
      </c>
      <c r="N417" s="1">
        <v>43633</v>
      </c>
      <c r="O417" s="1">
        <v>46099</v>
      </c>
      <c r="P417" s="2">
        <f t="shared" si="140"/>
        <v>6.751540041067762</v>
      </c>
      <c r="Q417" s="2" t="str">
        <f t="shared" si="141"/>
        <v>Mid</v>
      </c>
      <c r="R417">
        <f t="shared" si="142"/>
        <v>1200</v>
      </c>
      <c r="S417" t="str">
        <f t="shared" si="143"/>
        <v>Small</v>
      </c>
      <c r="T417" t="str">
        <f t="shared" si="144"/>
        <v>Lower EV Adoption Corridor</v>
      </c>
      <c r="U417" s="3">
        <f t="shared" si="145"/>
        <v>1980000.0000000002</v>
      </c>
      <c r="V417" s="4">
        <f t="shared" si="146"/>
        <v>480000</v>
      </c>
      <c r="W417" s="3">
        <f t="shared" si="147"/>
        <v>6000000</v>
      </c>
      <c r="X417" s="3">
        <f t="shared" si="148"/>
        <v>3600000</v>
      </c>
      <c r="Y417">
        <f t="shared" si="149"/>
        <v>0.3</v>
      </c>
      <c r="Z417">
        <f t="shared" si="150"/>
        <v>0.75757575757575757</v>
      </c>
      <c r="AA417" t="str">
        <f t="shared" si="151"/>
        <v>Tier 4 - Stable Network</v>
      </c>
      <c r="AB417" s="3">
        <f t="shared" si="152"/>
        <v>60000</v>
      </c>
      <c r="AC417" s="3">
        <f t="shared" si="153"/>
        <v>750000</v>
      </c>
      <c r="AD417" s="3">
        <f t="shared" si="154"/>
        <v>247500.00000000003</v>
      </c>
      <c r="AE417" s="5">
        <f t="shared" si="155"/>
        <v>3.9999999999999996</v>
      </c>
      <c r="AF417" s="10">
        <f t="shared" si="156"/>
        <v>297600</v>
      </c>
      <c r="AG417" s="10">
        <f t="shared" si="157"/>
        <v>96000</v>
      </c>
      <c r="AH417" s="10">
        <f t="shared" si="158"/>
        <v>48000</v>
      </c>
      <c r="AI417" s="10">
        <f t="shared" si="159"/>
        <v>24000</v>
      </c>
      <c r="AJ417" s="10">
        <f t="shared" si="160"/>
        <v>14400</v>
      </c>
    </row>
    <row r="418" spans="1:36" x14ac:dyDescent="0.3">
      <c r="A418" t="s">
        <v>1698</v>
      </c>
      <c r="B418" t="s">
        <v>1699</v>
      </c>
      <c r="C418" t="s">
        <v>1700</v>
      </c>
      <c r="D418" t="s">
        <v>41</v>
      </c>
      <c r="E418">
        <v>32828</v>
      </c>
      <c r="F418" t="s">
        <v>15</v>
      </c>
      <c r="G418">
        <v>14</v>
      </c>
      <c r="H418">
        <v>120</v>
      </c>
      <c r="I418" t="str" cm="1">
        <f t="array" ref="I418">_xlfn.IFS(H418&lt;=120,"V1",H418&lt;=150,"V2",H418&lt;=250,"V3", H418&lt;=350, "V4")</f>
        <v>V1</v>
      </c>
      <c r="J418" t="s">
        <v>1701</v>
      </c>
      <c r="K418" t="str">
        <f t="shared" si="138"/>
        <v>28.555278</v>
      </c>
      <c r="L418" t="str">
        <f t="shared" si="139"/>
        <v>-81.198944</v>
      </c>
      <c r="M418">
        <v>26</v>
      </c>
      <c r="N418" s="1">
        <v>43515</v>
      </c>
      <c r="O418" s="1">
        <v>46099</v>
      </c>
      <c r="P418" s="2">
        <f t="shared" si="140"/>
        <v>7.0746064339493495</v>
      </c>
      <c r="Q418" s="2" t="str">
        <f t="shared" si="141"/>
        <v>Mid</v>
      </c>
      <c r="R418">
        <f t="shared" si="142"/>
        <v>1680</v>
      </c>
      <c r="S418" t="str">
        <f t="shared" si="143"/>
        <v>Small</v>
      </c>
      <c r="T418" t="str">
        <f t="shared" si="144"/>
        <v>High EV Adoption Corridor</v>
      </c>
      <c r="U418" s="3">
        <f t="shared" si="145"/>
        <v>3276000</v>
      </c>
      <c r="V418" s="4">
        <f t="shared" si="146"/>
        <v>725760</v>
      </c>
      <c r="W418" s="3">
        <f t="shared" si="147"/>
        <v>7392000.0000000009</v>
      </c>
      <c r="X418" s="3">
        <f t="shared" si="148"/>
        <v>6804000</v>
      </c>
      <c r="Y418">
        <f t="shared" si="149"/>
        <v>0.21530864197530863</v>
      </c>
      <c r="Z418">
        <f t="shared" si="150"/>
        <v>0.77846153846153843</v>
      </c>
      <c r="AA418" t="str">
        <f t="shared" si="151"/>
        <v>Tier 3 - Upgrade Pipeline</v>
      </c>
      <c r="AB418" s="3">
        <f t="shared" si="152"/>
        <v>51840</v>
      </c>
      <c r="AC418" s="3">
        <f t="shared" si="153"/>
        <v>528000.00000000012</v>
      </c>
      <c r="AD418" s="3">
        <f t="shared" si="154"/>
        <v>234000</v>
      </c>
      <c r="AE418" s="5">
        <f t="shared" si="155"/>
        <v>2.8985507246376816</v>
      </c>
      <c r="AF418" s="10">
        <f t="shared" si="156"/>
        <v>449971.20000000001</v>
      </c>
      <c r="AG418" s="10">
        <f t="shared" si="157"/>
        <v>145152</v>
      </c>
      <c r="AH418" s="10">
        <f t="shared" si="158"/>
        <v>72576</v>
      </c>
      <c r="AI418" s="10">
        <f t="shared" si="159"/>
        <v>36288</v>
      </c>
      <c r="AJ418" s="10">
        <f t="shared" si="160"/>
        <v>21772.799999999999</v>
      </c>
    </row>
    <row r="419" spans="1:36" x14ac:dyDescent="0.3">
      <c r="A419" t="s">
        <v>1702</v>
      </c>
      <c r="B419" t="s">
        <v>1703</v>
      </c>
      <c r="C419" t="s">
        <v>1704</v>
      </c>
      <c r="D419" t="s">
        <v>50</v>
      </c>
      <c r="E419">
        <v>76009</v>
      </c>
      <c r="F419" t="s">
        <v>15</v>
      </c>
      <c r="G419">
        <v>10</v>
      </c>
      <c r="H419">
        <v>150</v>
      </c>
      <c r="I419" t="str" cm="1">
        <f t="array" ref="I419">_xlfn.IFS(H419&lt;=120,"V1",H419&lt;=150,"V2",H419&lt;=250,"V3", H419&lt;=350, "V4")</f>
        <v>V2</v>
      </c>
      <c r="J419" t="s">
        <v>1705</v>
      </c>
      <c r="K419" t="str">
        <f t="shared" si="138"/>
        <v>32.464312</v>
      </c>
      <c r="L419" t="str">
        <f t="shared" si="139"/>
        <v>-97.264718</v>
      </c>
      <c r="M419">
        <v>257</v>
      </c>
      <c r="N419" s="1">
        <v>43814</v>
      </c>
      <c r="O419" s="1">
        <v>46099</v>
      </c>
      <c r="P419" s="2">
        <f t="shared" si="140"/>
        <v>6.2559890485968515</v>
      </c>
      <c r="Q419" s="2" t="str">
        <f t="shared" si="141"/>
        <v>Mid</v>
      </c>
      <c r="R419">
        <f t="shared" si="142"/>
        <v>1500</v>
      </c>
      <c r="S419" t="str">
        <f t="shared" si="143"/>
        <v>Small</v>
      </c>
      <c r="T419" t="str">
        <f t="shared" si="144"/>
        <v>High EV Adoption Corridor</v>
      </c>
      <c r="U419" s="3">
        <f t="shared" si="145"/>
        <v>3217500</v>
      </c>
      <c r="V419" s="4">
        <f t="shared" si="146"/>
        <v>720000</v>
      </c>
      <c r="W419" s="3">
        <f t="shared" si="147"/>
        <v>8250000.0000000009</v>
      </c>
      <c r="X419" s="3">
        <f t="shared" si="148"/>
        <v>6750000</v>
      </c>
      <c r="Y419">
        <f t="shared" si="149"/>
        <v>0.22888888888888889</v>
      </c>
      <c r="Z419">
        <f t="shared" si="150"/>
        <v>0.77622377622377625</v>
      </c>
      <c r="AA419" t="str">
        <f t="shared" si="151"/>
        <v>Tier 3 - Upgrade Pipeline</v>
      </c>
      <c r="AB419" s="3">
        <f t="shared" si="152"/>
        <v>72000</v>
      </c>
      <c r="AC419" s="3">
        <f t="shared" si="153"/>
        <v>825000.00000000012</v>
      </c>
      <c r="AD419" s="3">
        <f t="shared" si="154"/>
        <v>321750</v>
      </c>
      <c r="AE419" s="5">
        <f t="shared" si="155"/>
        <v>3.3033033033033035</v>
      </c>
      <c r="AF419" s="10">
        <f t="shared" si="156"/>
        <v>446400</v>
      </c>
      <c r="AG419" s="10">
        <f t="shared" si="157"/>
        <v>144000</v>
      </c>
      <c r="AH419" s="10">
        <f t="shared" si="158"/>
        <v>72000</v>
      </c>
      <c r="AI419" s="10">
        <f t="shared" si="159"/>
        <v>36000</v>
      </c>
      <c r="AJ419" s="10">
        <f t="shared" si="160"/>
        <v>21600</v>
      </c>
    </row>
    <row r="420" spans="1:36" x14ac:dyDescent="0.3">
      <c r="A420" t="s">
        <v>1706</v>
      </c>
      <c r="B420" t="s">
        <v>1707</v>
      </c>
      <c r="C420" t="s">
        <v>1708</v>
      </c>
      <c r="D420" t="s">
        <v>72</v>
      </c>
      <c r="E420">
        <v>86001</v>
      </c>
      <c r="F420" t="s">
        <v>15</v>
      </c>
      <c r="G420">
        <v>12</v>
      </c>
      <c r="H420">
        <v>150</v>
      </c>
      <c r="I420" t="str" cm="1">
        <f t="array" ref="I420">_xlfn.IFS(H420&lt;=120,"V1",H420&lt;=150,"V2",H420&lt;=250,"V3", H420&lt;=350, "V4")</f>
        <v>V2</v>
      </c>
      <c r="J420" t="s">
        <v>1709</v>
      </c>
      <c r="K420" t="str">
        <f t="shared" si="138"/>
        <v>35.174272</v>
      </c>
      <c r="L420" t="str">
        <f t="shared" si="139"/>
        <v>-111.66328</v>
      </c>
      <c r="M420">
        <v>2106</v>
      </c>
      <c r="N420" s="1">
        <v>41649</v>
      </c>
      <c r="O420" s="1">
        <v>46099</v>
      </c>
      <c r="P420" s="2">
        <f t="shared" si="140"/>
        <v>12.183436002737851</v>
      </c>
      <c r="Q420" s="2" t="str">
        <f t="shared" si="141"/>
        <v>Old</v>
      </c>
      <c r="R420">
        <f t="shared" si="142"/>
        <v>1800</v>
      </c>
      <c r="S420" t="str">
        <f t="shared" si="143"/>
        <v>Small</v>
      </c>
      <c r="T420" t="str">
        <f t="shared" si="144"/>
        <v>Lower EV Adoption Corridor</v>
      </c>
      <c r="U420" s="3">
        <f t="shared" si="145"/>
        <v>2970000.0000000005</v>
      </c>
      <c r="V420" s="4">
        <f t="shared" si="146"/>
        <v>720000</v>
      </c>
      <c r="W420" s="3">
        <f t="shared" si="147"/>
        <v>9000000</v>
      </c>
      <c r="X420" s="3">
        <f t="shared" si="148"/>
        <v>5400000</v>
      </c>
      <c r="Y420">
        <f t="shared" si="149"/>
        <v>0.3</v>
      </c>
      <c r="Z420">
        <f t="shared" si="150"/>
        <v>0.75757575757575757</v>
      </c>
      <c r="AA420" t="str">
        <f t="shared" si="151"/>
        <v>Tier 4 - Stable Network</v>
      </c>
      <c r="AB420" s="3">
        <f t="shared" si="152"/>
        <v>60000</v>
      </c>
      <c r="AC420" s="3">
        <f t="shared" si="153"/>
        <v>750000</v>
      </c>
      <c r="AD420" s="3">
        <f t="shared" si="154"/>
        <v>247500.00000000003</v>
      </c>
      <c r="AE420" s="5">
        <f t="shared" si="155"/>
        <v>3.9999999999999991</v>
      </c>
      <c r="AF420" s="10">
        <f t="shared" si="156"/>
        <v>446400</v>
      </c>
      <c r="AG420" s="10">
        <f t="shared" si="157"/>
        <v>144000</v>
      </c>
      <c r="AH420" s="10">
        <f t="shared" si="158"/>
        <v>72000</v>
      </c>
      <c r="AI420" s="10">
        <f t="shared" si="159"/>
        <v>36000</v>
      </c>
      <c r="AJ420" s="10">
        <f t="shared" si="160"/>
        <v>21600</v>
      </c>
    </row>
    <row r="421" spans="1:36" x14ac:dyDescent="0.3">
      <c r="A421" t="s">
        <v>1710</v>
      </c>
      <c r="B421" t="s">
        <v>1711</v>
      </c>
      <c r="C421" t="s">
        <v>1712</v>
      </c>
      <c r="D421" t="s">
        <v>189</v>
      </c>
      <c r="E421">
        <v>54904</v>
      </c>
      <c r="F421" t="s">
        <v>15</v>
      </c>
      <c r="G421">
        <v>6</v>
      </c>
      <c r="H421">
        <v>150</v>
      </c>
      <c r="I421" t="str" cm="1">
        <f t="array" ref="I421">_xlfn.IFS(H421&lt;=120,"V1",H421&lt;=150,"V2",H421&lt;=250,"V3", H421&lt;=350, "V4")</f>
        <v>V2</v>
      </c>
      <c r="J421" t="s">
        <v>1713</v>
      </c>
      <c r="K421" t="str">
        <f t="shared" si="138"/>
        <v>44.028779</v>
      </c>
      <c r="L421" t="str">
        <f t="shared" si="139"/>
        <v>-88.592508</v>
      </c>
      <c r="M421">
        <v>236</v>
      </c>
      <c r="N421" s="1">
        <v>43090</v>
      </c>
      <c r="O421" s="1">
        <v>46099</v>
      </c>
      <c r="P421" s="2">
        <f t="shared" si="140"/>
        <v>8.2381930184804926</v>
      </c>
      <c r="Q421" s="2" t="str">
        <f t="shared" si="141"/>
        <v>Old</v>
      </c>
      <c r="R421">
        <f t="shared" si="142"/>
        <v>900</v>
      </c>
      <c r="S421" t="str">
        <f t="shared" si="143"/>
        <v>Small</v>
      </c>
      <c r="T421" t="str">
        <f t="shared" si="144"/>
        <v>Lower EV Adoption Corridor</v>
      </c>
      <c r="U421" s="3">
        <f t="shared" si="145"/>
        <v>1485000.0000000002</v>
      </c>
      <c r="V421" s="4">
        <f t="shared" si="146"/>
        <v>360000</v>
      </c>
      <c r="W421" s="3">
        <f t="shared" si="147"/>
        <v>4500000</v>
      </c>
      <c r="X421" s="3">
        <f t="shared" si="148"/>
        <v>2700000</v>
      </c>
      <c r="Y421">
        <f t="shared" si="149"/>
        <v>0.3</v>
      </c>
      <c r="Z421">
        <f t="shared" si="150"/>
        <v>0.75757575757575757</v>
      </c>
      <c r="AA421" t="str">
        <f t="shared" si="151"/>
        <v>Tier 4 - Stable Network</v>
      </c>
      <c r="AB421" s="3">
        <f t="shared" si="152"/>
        <v>60000</v>
      </c>
      <c r="AC421" s="3">
        <f t="shared" si="153"/>
        <v>750000</v>
      </c>
      <c r="AD421" s="3">
        <f t="shared" si="154"/>
        <v>247500.00000000003</v>
      </c>
      <c r="AE421" s="5">
        <f t="shared" si="155"/>
        <v>3.9999999999999991</v>
      </c>
      <c r="AF421" s="10">
        <f t="shared" si="156"/>
        <v>223200</v>
      </c>
      <c r="AG421" s="10">
        <f t="shared" si="157"/>
        <v>72000</v>
      </c>
      <c r="AH421" s="10">
        <f t="shared" si="158"/>
        <v>36000</v>
      </c>
      <c r="AI421" s="10">
        <f t="shared" si="159"/>
        <v>18000</v>
      </c>
      <c r="AJ421" s="10">
        <f t="shared" si="160"/>
        <v>10800</v>
      </c>
    </row>
    <row r="422" spans="1:36" x14ac:dyDescent="0.3">
      <c r="A422" t="s">
        <v>1714</v>
      </c>
      <c r="B422" t="s">
        <v>1715</v>
      </c>
      <c r="C422" t="s">
        <v>1716</v>
      </c>
      <c r="D422" t="s">
        <v>158</v>
      </c>
      <c r="E422">
        <v>11901</v>
      </c>
      <c r="F422" t="s">
        <v>15</v>
      </c>
      <c r="G422">
        <v>8</v>
      </c>
      <c r="H422">
        <v>250</v>
      </c>
      <c r="I422" t="str" cm="1">
        <f t="array" ref="I422">_xlfn.IFS(H422&lt;=120,"V1",H422&lt;=150,"V2",H422&lt;=250,"V3", H422&lt;=350, "V4")</f>
        <v>V3</v>
      </c>
      <c r="J422" t="s">
        <v>1717</v>
      </c>
      <c r="K422" t="str">
        <f t="shared" si="138"/>
        <v>40.923322</v>
      </c>
      <c r="L422" t="str">
        <f t="shared" si="139"/>
        <v>-72.702788</v>
      </c>
      <c r="M422">
        <v>10</v>
      </c>
      <c r="N422" s="1">
        <v>44176</v>
      </c>
      <c r="O422" s="1">
        <v>46099</v>
      </c>
      <c r="P422" s="2">
        <f t="shared" si="140"/>
        <v>5.2648870636550305</v>
      </c>
      <c r="Q422" s="2" t="str">
        <f t="shared" si="141"/>
        <v>Mid</v>
      </c>
      <c r="R422">
        <f t="shared" si="142"/>
        <v>2000</v>
      </c>
      <c r="S422" t="str">
        <f t="shared" si="143"/>
        <v>Small</v>
      </c>
      <c r="T422" t="str">
        <f t="shared" si="144"/>
        <v>Lower EV Adoption Corridor</v>
      </c>
      <c r="U422" s="3">
        <f t="shared" si="145"/>
        <v>3600000</v>
      </c>
      <c r="V422" s="4">
        <f t="shared" si="146"/>
        <v>880000.00000000012</v>
      </c>
      <c r="W422" s="3">
        <f t="shared" si="147"/>
        <v>12000000</v>
      </c>
      <c r="X422" s="3">
        <f t="shared" si="148"/>
        <v>6600000.0000000009</v>
      </c>
      <c r="Y422">
        <f t="shared" si="149"/>
        <v>0.31515151515151513</v>
      </c>
      <c r="Z422">
        <f t="shared" si="150"/>
        <v>0.75555555555555554</v>
      </c>
      <c r="AA422" t="str">
        <f t="shared" si="151"/>
        <v>Tier 2 - Growth Markets</v>
      </c>
      <c r="AB422" s="3">
        <f t="shared" si="152"/>
        <v>110000.00000000001</v>
      </c>
      <c r="AC422" s="3">
        <f t="shared" si="153"/>
        <v>1500000</v>
      </c>
      <c r="AD422" s="3">
        <f t="shared" si="154"/>
        <v>450000</v>
      </c>
      <c r="AE422" s="5">
        <f t="shared" si="155"/>
        <v>4.4117647058823533</v>
      </c>
      <c r="AF422" s="10">
        <f t="shared" si="156"/>
        <v>545600.00000000012</v>
      </c>
      <c r="AG422" s="10">
        <f t="shared" si="157"/>
        <v>176000.00000000003</v>
      </c>
      <c r="AH422" s="10">
        <f t="shared" si="158"/>
        <v>88000.000000000015</v>
      </c>
      <c r="AI422" s="10">
        <f t="shared" si="159"/>
        <v>44000.000000000007</v>
      </c>
      <c r="AJ422" s="10">
        <f t="shared" si="160"/>
        <v>26400.000000000004</v>
      </c>
    </row>
    <row r="423" spans="1:36" x14ac:dyDescent="0.3">
      <c r="A423" t="s">
        <v>1718</v>
      </c>
      <c r="B423" t="s">
        <v>1719</v>
      </c>
      <c r="C423" t="s">
        <v>1720</v>
      </c>
      <c r="D423" t="s">
        <v>14</v>
      </c>
      <c r="E423">
        <v>92530</v>
      </c>
      <c r="F423" t="s">
        <v>15</v>
      </c>
      <c r="G423">
        <v>21</v>
      </c>
      <c r="H423">
        <v>150</v>
      </c>
      <c r="I423" t="str" cm="1">
        <f t="array" ref="I423">_xlfn.IFS(H423&lt;=120,"V1",H423&lt;=150,"V2",H423&lt;=250,"V3", H423&lt;=350, "V4")</f>
        <v>V2</v>
      </c>
      <c r="J423" t="s">
        <v>1721</v>
      </c>
      <c r="K423" t="str">
        <f t="shared" si="138"/>
        <v>33.698437</v>
      </c>
      <c r="L423" t="str">
        <f t="shared" si="139"/>
        <v>-117.349113</v>
      </c>
      <c r="M423">
        <v>388</v>
      </c>
      <c r="N423" s="1">
        <v>43160</v>
      </c>
      <c r="O423" s="1">
        <v>46099</v>
      </c>
      <c r="P423" s="2">
        <f t="shared" si="140"/>
        <v>8.046543463381246</v>
      </c>
      <c r="Q423" s="2" t="str">
        <f t="shared" si="141"/>
        <v>Old</v>
      </c>
      <c r="R423">
        <f t="shared" si="142"/>
        <v>3150</v>
      </c>
      <c r="S423" t="str">
        <f t="shared" si="143"/>
        <v>Small</v>
      </c>
      <c r="T423" t="str">
        <f t="shared" si="144"/>
        <v>High EV Adoption Corridor</v>
      </c>
      <c r="U423" s="3">
        <f t="shared" si="145"/>
        <v>6756750</v>
      </c>
      <c r="V423" s="4">
        <f t="shared" si="146"/>
        <v>1512000</v>
      </c>
      <c r="W423" s="3">
        <f t="shared" si="147"/>
        <v>17325000</v>
      </c>
      <c r="X423" s="3">
        <f t="shared" si="148"/>
        <v>14175000</v>
      </c>
      <c r="Y423">
        <f t="shared" si="149"/>
        <v>0.22888888888888889</v>
      </c>
      <c r="Z423">
        <f t="shared" si="150"/>
        <v>0.77622377622377625</v>
      </c>
      <c r="AA423" t="str">
        <f t="shared" si="151"/>
        <v>Tier 3 - Upgrade Pipeline</v>
      </c>
      <c r="AB423" s="3">
        <f t="shared" si="152"/>
        <v>72000</v>
      </c>
      <c r="AC423" s="3">
        <f t="shared" si="153"/>
        <v>825000</v>
      </c>
      <c r="AD423" s="3">
        <f t="shared" si="154"/>
        <v>321750</v>
      </c>
      <c r="AE423" s="5">
        <f t="shared" si="155"/>
        <v>3.3033033033033035</v>
      </c>
      <c r="AF423" s="10">
        <f t="shared" si="156"/>
        <v>937440</v>
      </c>
      <c r="AG423" s="10">
        <f t="shared" si="157"/>
        <v>302400</v>
      </c>
      <c r="AH423" s="10">
        <f t="shared" si="158"/>
        <v>151200</v>
      </c>
      <c r="AI423" s="10">
        <f t="shared" si="159"/>
        <v>75600</v>
      </c>
      <c r="AJ423" s="10">
        <f t="shared" si="160"/>
        <v>45360</v>
      </c>
    </row>
    <row r="424" spans="1:36" x14ac:dyDescent="0.3">
      <c r="A424" t="s">
        <v>1722</v>
      </c>
      <c r="B424" t="s">
        <v>1723</v>
      </c>
      <c r="C424" t="s">
        <v>1724</v>
      </c>
      <c r="D424" t="s">
        <v>1189</v>
      </c>
      <c r="E424">
        <v>26101</v>
      </c>
      <c r="F424" t="s">
        <v>15</v>
      </c>
      <c r="G424">
        <v>6</v>
      </c>
      <c r="H424">
        <v>120</v>
      </c>
      <c r="I424" t="str" cm="1">
        <f t="array" ref="I424">_xlfn.IFS(H424&lt;=120,"V1",H424&lt;=150,"V2",H424&lt;=250,"V3", H424&lt;=350, "V4")</f>
        <v>V1</v>
      </c>
      <c r="J424" t="s">
        <v>1725</v>
      </c>
      <c r="K424" t="str">
        <f t="shared" si="138"/>
        <v>39.2633181</v>
      </c>
      <c r="L424" t="str">
        <f t="shared" si="139"/>
        <v>-81.5446371</v>
      </c>
      <c r="M424">
        <v>198</v>
      </c>
      <c r="N424" s="1">
        <v>43530</v>
      </c>
      <c r="O424" s="1">
        <v>46099</v>
      </c>
      <c r="P424" s="2">
        <f t="shared" si="140"/>
        <v>7.0335386721423685</v>
      </c>
      <c r="Q424" s="2" t="str">
        <f t="shared" si="141"/>
        <v>Mid</v>
      </c>
      <c r="R424">
        <f t="shared" si="142"/>
        <v>720</v>
      </c>
      <c r="S424" t="str">
        <f t="shared" si="143"/>
        <v>Small</v>
      </c>
      <c r="T424" t="str">
        <f t="shared" si="144"/>
        <v>Lower EV Adoption Corridor</v>
      </c>
      <c r="U424" s="3">
        <f t="shared" si="145"/>
        <v>1080000</v>
      </c>
      <c r="V424" s="4">
        <f t="shared" si="146"/>
        <v>259200</v>
      </c>
      <c r="W424" s="3">
        <f t="shared" si="147"/>
        <v>2880000</v>
      </c>
      <c r="X424" s="3">
        <f t="shared" si="148"/>
        <v>1944000</v>
      </c>
      <c r="Y424">
        <f t="shared" si="149"/>
        <v>0.2814814814814815</v>
      </c>
      <c r="Z424">
        <f t="shared" si="150"/>
        <v>0.76</v>
      </c>
      <c r="AA424" t="str">
        <f t="shared" si="151"/>
        <v>Tier 5 - Retirement Pipeline</v>
      </c>
      <c r="AB424" s="3">
        <f t="shared" si="152"/>
        <v>43200</v>
      </c>
      <c r="AC424" s="3">
        <f t="shared" si="153"/>
        <v>480000</v>
      </c>
      <c r="AD424" s="3">
        <f t="shared" si="154"/>
        <v>180000</v>
      </c>
      <c r="AE424" s="5">
        <f t="shared" si="155"/>
        <v>3.5087719298245612</v>
      </c>
      <c r="AF424" s="10">
        <f t="shared" si="156"/>
        <v>160704</v>
      </c>
      <c r="AG424" s="10">
        <f t="shared" si="157"/>
        <v>51840</v>
      </c>
      <c r="AH424" s="10">
        <f t="shared" si="158"/>
        <v>25920</v>
      </c>
      <c r="AI424" s="10">
        <f t="shared" si="159"/>
        <v>12960</v>
      </c>
      <c r="AJ424" s="10">
        <f t="shared" si="160"/>
        <v>7776</v>
      </c>
    </row>
    <row r="425" spans="1:36" x14ac:dyDescent="0.3">
      <c r="A425" t="s">
        <v>1726</v>
      </c>
      <c r="B425" t="s">
        <v>1727</v>
      </c>
      <c r="C425" t="s">
        <v>1728</v>
      </c>
      <c r="D425" t="s">
        <v>299</v>
      </c>
      <c r="E425">
        <v>22192</v>
      </c>
      <c r="F425" t="s">
        <v>15</v>
      </c>
      <c r="G425">
        <v>10</v>
      </c>
      <c r="H425">
        <v>150</v>
      </c>
      <c r="I425" t="str" cm="1">
        <f t="array" ref="I425">_xlfn.IFS(H425&lt;=120,"V1",H425&lt;=150,"V2",H425&lt;=250,"V3", H425&lt;=350, "V4")</f>
        <v>V2</v>
      </c>
      <c r="J425" t="s">
        <v>1729</v>
      </c>
      <c r="K425" t="str">
        <f t="shared" si="138"/>
        <v>38.64082</v>
      </c>
      <c r="L425" t="str">
        <f t="shared" si="139"/>
        <v>-77.29633</v>
      </c>
      <c r="M425">
        <v>63</v>
      </c>
      <c r="N425" s="1">
        <v>41761</v>
      </c>
      <c r="O425" s="1">
        <v>46099</v>
      </c>
      <c r="P425" s="2">
        <f t="shared" si="140"/>
        <v>11.876796714579056</v>
      </c>
      <c r="Q425" s="2" t="str">
        <f t="shared" si="141"/>
        <v>Old</v>
      </c>
      <c r="R425">
        <f t="shared" si="142"/>
        <v>1500</v>
      </c>
      <c r="S425" t="str">
        <f t="shared" si="143"/>
        <v>Small</v>
      </c>
      <c r="T425" t="str">
        <f t="shared" si="144"/>
        <v>Lower EV Adoption Corridor</v>
      </c>
      <c r="U425" s="3">
        <f t="shared" si="145"/>
        <v>2475000</v>
      </c>
      <c r="V425" s="4">
        <f t="shared" si="146"/>
        <v>600000</v>
      </c>
      <c r="W425" s="3">
        <f t="shared" si="147"/>
        <v>7500000</v>
      </c>
      <c r="X425" s="3">
        <f t="shared" si="148"/>
        <v>4500000</v>
      </c>
      <c r="Y425">
        <f t="shared" si="149"/>
        <v>0.3</v>
      </c>
      <c r="Z425">
        <f t="shared" si="150"/>
        <v>0.75757575757575757</v>
      </c>
      <c r="AA425" t="str">
        <f t="shared" si="151"/>
        <v>Tier 4 - Stable Network</v>
      </c>
      <c r="AB425" s="3">
        <f t="shared" si="152"/>
        <v>60000</v>
      </c>
      <c r="AC425" s="3">
        <f t="shared" si="153"/>
        <v>750000</v>
      </c>
      <c r="AD425" s="3">
        <f t="shared" si="154"/>
        <v>247500</v>
      </c>
      <c r="AE425" s="5">
        <f t="shared" si="155"/>
        <v>4</v>
      </c>
      <c r="AF425" s="10">
        <f t="shared" si="156"/>
        <v>372000</v>
      </c>
      <c r="AG425" s="10">
        <f t="shared" si="157"/>
        <v>120000</v>
      </c>
      <c r="AH425" s="10">
        <f t="shared" si="158"/>
        <v>60000</v>
      </c>
      <c r="AI425" s="10">
        <f t="shared" si="159"/>
        <v>30000</v>
      </c>
      <c r="AJ425" s="10">
        <f t="shared" si="160"/>
        <v>18000</v>
      </c>
    </row>
    <row r="426" spans="1:36" x14ac:dyDescent="0.3">
      <c r="A426" t="s">
        <v>1730</v>
      </c>
      <c r="B426" t="s">
        <v>1731</v>
      </c>
      <c r="C426" t="s">
        <v>1732</v>
      </c>
      <c r="D426" t="s">
        <v>321</v>
      </c>
      <c r="E426">
        <v>2771</v>
      </c>
      <c r="F426" t="s">
        <v>15</v>
      </c>
      <c r="G426">
        <v>8</v>
      </c>
      <c r="H426">
        <v>250</v>
      </c>
      <c r="I426" t="str" cm="1">
        <f t="array" ref="I426">_xlfn.IFS(H426&lt;=120,"V1",H426&lt;=150,"V2",H426&lt;=250,"V3", H426&lt;=350, "V4")</f>
        <v>V3</v>
      </c>
      <c r="J426" t="s">
        <v>1733</v>
      </c>
      <c r="K426" t="str">
        <f t="shared" si="138"/>
        <v>41.799157</v>
      </c>
      <c r="L426" t="str">
        <f t="shared" si="139"/>
        <v>-71.331026</v>
      </c>
      <c r="M426">
        <v>13</v>
      </c>
      <c r="N426" s="1">
        <v>44589</v>
      </c>
      <c r="O426" s="1">
        <v>46099</v>
      </c>
      <c r="P426" s="2">
        <f t="shared" si="140"/>
        <v>4.1341546885694731</v>
      </c>
      <c r="Q426" s="2" t="str">
        <f t="shared" si="141"/>
        <v>Mid</v>
      </c>
      <c r="R426">
        <f t="shared" si="142"/>
        <v>2000</v>
      </c>
      <c r="S426" t="str">
        <f t="shared" si="143"/>
        <v>Small</v>
      </c>
      <c r="T426" t="str">
        <f t="shared" si="144"/>
        <v>Lower EV Adoption Corridor</v>
      </c>
      <c r="U426" s="3">
        <f t="shared" si="145"/>
        <v>3600000</v>
      </c>
      <c r="V426" s="4">
        <f t="shared" si="146"/>
        <v>880000.00000000012</v>
      </c>
      <c r="W426" s="3">
        <f t="shared" si="147"/>
        <v>12000000</v>
      </c>
      <c r="X426" s="3">
        <f t="shared" si="148"/>
        <v>6600000.0000000009</v>
      </c>
      <c r="Y426">
        <f t="shared" si="149"/>
        <v>0.31515151515151513</v>
      </c>
      <c r="Z426">
        <f t="shared" si="150"/>
        <v>0.75555555555555554</v>
      </c>
      <c r="AA426" t="str">
        <f t="shared" si="151"/>
        <v>Tier 2 - Growth Markets</v>
      </c>
      <c r="AB426" s="3">
        <f t="shared" si="152"/>
        <v>110000.00000000001</v>
      </c>
      <c r="AC426" s="3">
        <f t="shared" si="153"/>
        <v>1500000</v>
      </c>
      <c r="AD426" s="3">
        <f t="shared" si="154"/>
        <v>450000</v>
      </c>
      <c r="AE426" s="5">
        <f t="shared" si="155"/>
        <v>4.4117647058823533</v>
      </c>
      <c r="AF426" s="10">
        <f t="shared" si="156"/>
        <v>545600.00000000012</v>
      </c>
      <c r="AG426" s="10">
        <f t="shared" si="157"/>
        <v>176000.00000000003</v>
      </c>
      <c r="AH426" s="10">
        <f t="shared" si="158"/>
        <v>88000.000000000015</v>
      </c>
      <c r="AI426" s="10">
        <f t="shared" si="159"/>
        <v>44000.000000000007</v>
      </c>
      <c r="AJ426" s="10">
        <f t="shared" si="160"/>
        <v>26400.000000000004</v>
      </c>
    </row>
    <row r="427" spans="1:36" x14ac:dyDescent="0.3">
      <c r="A427" t="s">
        <v>1734</v>
      </c>
      <c r="B427" t="s">
        <v>1735</v>
      </c>
      <c r="C427" t="s">
        <v>1736</v>
      </c>
      <c r="D427" t="s">
        <v>14</v>
      </c>
      <c r="E427">
        <v>94558</v>
      </c>
      <c r="F427" t="s">
        <v>15</v>
      </c>
      <c r="G427">
        <v>12</v>
      </c>
      <c r="H427">
        <v>150</v>
      </c>
      <c r="I427" t="str" cm="1">
        <f t="array" ref="I427">_xlfn.IFS(H427&lt;=120,"V1",H427&lt;=150,"V2",H427&lt;=250,"V3", H427&lt;=350, "V4")</f>
        <v>V2</v>
      </c>
      <c r="J427" t="s">
        <v>1737</v>
      </c>
      <c r="K427" t="str">
        <f t="shared" si="138"/>
        <v>38.2356</v>
      </c>
      <c r="L427" t="str">
        <f t="shared" si="139"/>
        <v>-122.264</v>
      </c>
      <c r="M427">
        <v>15</v>
      </c>
      <c r="N427" s="1">
        <v>42560</v>
      </c>
      <c r="O427" s="1">
        <v>46099</v>
      </c>
      <c r="P427" s="2">
        <f t="shared" si="140"/>
        <v>9.6892539356605063</v>
      </c>
      <c r="Q427" s="2" t="str">
        <f t="shared" si="141"/>
        <v>Old</v>
      </c>
      <c r="R427">
        <f t="shared" si="142"/>
        <v>1800</v>
      </c>
      <c r="S427" t="str">
        <f t="shared" si="143"/>
        <v>Small</v>
      </c>
      <c r="T427" t="str">
        <f t="shared" si="144"/>
        <v>High EV Adoption Corridor</v>
      </c>
      <c r="U427" s="3">
        <f t="shared" si="145"/>
        <v>3861000.0000000009</v>
      </c>
      <c r="V427" s="4">
        <f t="shared" si="146"/>
        <v>864000</v>
      </c>
      <c r="W427" s="3">
        <f t="shared" si="147"/>
        <v>9900000</v>
      </c>
      <c r="X427" s="3">
        <f t="shared" si="148"/>
        <v>8100000</v>
      </c>
      <c r="Y427">
        <f t="shared" si="149"/>
        <v>0.22888888888888889</v>
      </c>
      <c r="Z427">
        <f t="shared" si="150"/>
        <v>0.77622377622377625</v>
      </c>
      <c r="AA427" t="str">
        <f t="shared" si="151"/>
        <v>Tier 3 - Upgrade Pipeline</v>
      </c>
      <c r="AB427" s="3">
        <f t="shared" si="152"/>
        <v>72000</v>
      </c>
      <c r="AC427" s="3">
        <f t="shared" si="153"/>
        <v>825000</v>
      </c>
      <c r="AD427" s="3">
        <f t="shared" si="154"/>
        <v>321750.00000000006</v>
      </c>
      <c r="AE427" s="5">
        <f t="shared" si="155"/>
        <v>3.3033033033033021</v>
      </c>
      <c r="AF427" s="10">
        <f t="shared" si="156"/>
        <v>535680</v>
      </c>
      <c r="AG427" s="10">
        <f t="shared" si="157"/>
        <v>172800</v>
      </c>
      <c r="AH427" s="10">
        <f t="shared" si="158"/>
        <v>86400</v>
      </c>
      <c r="AI427" s="10">
        <f t="shared" si="159"/>
        <v>43200</v>
      </c>
      <c r="AJ427" s="10">
        <f t="shared" si="160"/>
        <v>25920</v>
      </c>
    </row>
    <row r="428" spans="1:36" x14ac:dyDescent="0.3">
      <c r="A428" t="s">
        <v>1738</v>
      </c>
      <c r="B428" t="s">
        <v>1739</v>
      </c>
      <c r="C428" t="s">
        <v>174</v>
      </c>
      <c r="D428" t="s">
        <v>14</v>
      </c>
      <c r="E428">
        <v>93405</v>
      </c>
      <c r="F428" t="s">
        <v>15</v>
      </c>
      <c r="G428">
        <v>18</v>
      </c>
      <c r="H428">
        <v>250</v>
      </c>
      <c r="I428" t="str" cm="1">
        <f t="array" ref="I428">_xlfn.IFS(H428&lt;=120,"V1",H428&lt;=150,"V2",H428&lt;=250,"V3", H428&lt;=350, "V4")</f>
        <v>V3</v>
      </c>
      <c r="J428" t="s">
        <v>1740</v>
      </c>
      <c r="K428" t="str">
        <f t="shared" si="138"/>
        <v>35.265182</v>
      </c>
      <c r="L428" t="str">
        <f t="shared" si="139"/>
        <v>-120.676288</v>
      </c>
      <c r="M428">
        <v>47</v>
      </c>
      <c r="N428" s="1">
        <v>43226</v>
      </c>
      <c r="O428" s="1">
        <v>46099</v>
      </c>
      <c r="P428" s="2">
        <f t="shared" si="140"/>
        <v>7.8658453114305269</v>
      </c>
      <c r="Q428" s="2" t="str">
        <f t="shared" si="141"/>
        <v>Mid</v>
      </c>
      <c r="R428">
        <f t="shared" si="142"/>
        <v>4500</v>
      </c>
      <c r="S428" t="str">
        <f t="shared" si="143"/>
        <v>Small</v>
      </c>
      <c r="T428" t="str">
        <f t="shared" si="144"/>
        <v>High EV Adoption Corridor</v>
      </c>
      <c r="U428" s="3">
        <f t="shared" si="145"/>
        <v>10530000</v>
      </c>
      <c r="V428" s="4">
        <f t="shared" si="146"/>
        <v>2376000</v>
      </c>
      <c r="W428" s="3">
        <f t="shared" si="147"/>
        <v>29700000.000000004</v>
      </c>
      <c r="X428" s="3">
        <f t="shared" si="148"/>
        <v>22275000.000000004</v>
      </c>
      <c r="Y428">
        <f t="shared" si="149"/>
        <v>0.23999999999999996</v>
      </c>
      <c r="Z428">
        <f t="shared" si="150"/>
        <v>0.77435897435897438</v>
      </c>
      <c r="AA428" t="str">
        <f t="shared" si="151"/>
        <v>Tier 1 - Priority Fleet</v>
      </c>
      <c r="AB428" s="3">
        <f t="shared" si="152"/>
        <v>132000</v>
      </c>
      <c r="AC428" s="3">
        <f t="shared" si="153"/>
        <v>1650000.0000000002</v>
      </c>
      <c r="AD428" s="3">
        <f t="shared" si="154"/>
        <v>585000</v>
      </c>
      <c r="AE428" s="5">
        <f t="shared" si="155"/>
        <v>3.6423841059602653</v>
      </c>
      <c r="AF428" s="10">
        <f t="shared" si="156"/>
        <v>1473120</v>
      </c>
      <c r="AG428" s="10">
        <f t="shared" si="157"/>
        <v>475200</v>
      </c>
      <c r="AH428" s="10">
        <f t="shared" si="158"/>
        <v>237600</v>
      </c>
      <c r="AI428" s="10">
        <f t="shared" si="159"/>
        <v>118800</v>
      </c>
      <c r="AJ428" s="10">
        <f t="shared" si="160"/>
        <v>71280</v>
      </c>
    </row>
    <row r="429" spans="1:36" x14ac:dyDescent="0.3">
      <c r="A429" t="s">
        <v>1741</v>
      </c>
      <c r="B429" t="s">
        <v>1742</v>
      </c>
      <c r="C429" t="s">
        <v>1743</v>
      </c>
      <c r="D429" t="s">
        <v>153</v>
      </c>
      <c r="E429">
        <v>16066</v>
      </c>
      <c r="F429" t="s">
        <v>15</v>
      </c>
      <c r="G429">
        <v>12</v>
      </c>
      <c r="H429">
        <v>250</v>
      </c>
      <c r="I429" t="str" cm="1">
        <f t="array" ref="I429">_xlfn.IFS(H429&lt;=120,"V1",H429&lt;=150,"V2",H429&lt;=250,"V3", H429&lt;=350, "V4")</f>
        <v>V3</v>
      </c>
      <c r="J429" t="s">
        <v>1744</v>
      </c>
      <c r="K429" t="str">
        <f t="shared" si="138"/>
        <v>40.6821667</v>
      </c>
      <c r="L429" t="str">
        <f t="shared" si="139"/>
        <v>-80.1018333</v>
      </c>
      <c r="M429">
        <v>326</v>
      </c>
      <c r="N429" s="1">
        <v>44911</v>
      </c>
      <c r="O429" s="1">
        <v>46099</v>
      </c>
      <c r="P429" s="2">
        <f t="shared" si="140"/>
        <v>3.2525667351129361</v>
      </c>
      <c r="Q429" s="2" t="str">
        <f t="shared" si="141"/>
        <v>Mid</v>
      </c>
      <c r="R429">
        <f t="shared" si="142"/>
        <v>3000</v>
      </c>
      <c r="S429" t="str">
        <f t="shared" si="143"/>
        <v>Small</v>
      </c>
      <c r="T429" t="str">
        <f t="shared" si="144"/>
        <v>Lower EV Adoption Corridor</v>
      </c>
      <c r="U429" s="3">
        <f t="shared" si="145"/>
        <v>5400000</v>
      </c>
      <c r="V429" s="4">
        <f t="shared" si="146"/>
        <v>1320000</v>
      </c>
      <c r="W429" s="3">
        <f t="shared" si="147"/>
        <v>18000000</v>
      </c>
      <c r="X429" s="3">
        <f t="shared" si="148"/>
        <v>9900000</v>
      </c>
      <c r="Y429">
        <f t="shared" si="149"/>
        <v>0.31515151515151513</v>
      </c>
      <c r="Z429">
        <f t="shared" si="150"/>
        <v>0.75555555555555554</v>
      </c>
      <c r="AA429" t="str">
        <f t="shared" si="151"/>
        <v>Tier 2 - Growth Markets</v>
      </c>
      <c r="AB429" s="3">
        <f t="shared" si="152"/>
        <v>110000</v>
      </c>
      <c r="AC429" s="3">
        <f t="shared" si="153"/>
        <v>1500000</v>
      </c>
      <c r="AD429" s="3">
        <f t="shared" si="154"/>
        <v>450000</v>
      </c>
      <c r="AE429" s="5">
        <f t="shared" si="155"/>
        <v>4.4117647058823533</v>
      </c>
      <c r="AF429" s="10">
        <f t="shared" si="156"/>
        <v>818400</v>
      </c>
      <c r="AG429" s="10">
        <f t="shared" si="157"/>
        <v>264000</v>
      </c>
      <c r="AH429" s="10">
        <f t="shared" si="158"/>
        <v>132000</v>
      </c>
      <c r="AI429" s="10">
        <f t="shared" si="159"/>
        <v>66000</v>
      </c>
      <c r="AJ429" s="10">
        <f t="shared" si="160"/>
        <v>39600</v>
      </c>
    </row>
    <row r="430" spans="1:36" x14ac:dyDescent="0.3">
      <c r="A430" t="s">
        <v>1745</v>
      </c>
      <c r="B430" t="s">
        <v>1746</v>
      </c>
      <c r="C430" t="s">
        <v>1747</v>
      </c>
      <c r="D430" t="s">
        <v>28</v>
      </c>
      <c r="E430">
        <v>30909</v>
      </c>
      <c r="F430" t="s">
        <v>15</v>
      </c>
      <c r="G430">
        <v>10</v>
      </c>
      <c r="H430">
        <v>150</v>
      </c>
      <c r="I430" t="str" cm="1">
        <f t="array" ref="I430">_xlfn.IFS(H430&lt;=120,"V1",H430&lt;=150,"V2",H430&lt;=250,"V3", H430&lt;=350, "V4")</f>
        <v>V2</v>
      </c>
      <c r="J430" t="s">
        <v>1748</v>
      </c>
      <c r="K430" t="str">
        <f t="shared" si="138"/>
        <v>33.481657</v>
      </c>
      <c r="L430" t="str">
        <f t="shared" si="139"/>
        <v>-82.130253</v>
      </c>
      <c r="M430">
        <v>152</v>
      </c>
      <c r="N430" s="1">
        <v>43449</v>
      </c>
      <c r="O430" s="1">
        <v>46099</v>
      </c>
      <c r="P430" s="2">
        <f t="shared" si="140"/>
        <v>7.2553045859000687</v>
      </c>
      <c r="Q430" s="2" t="str">
        <f t="shared" si="141"/>
        <v>Mid</v>
      </c>
      <c r="R430">
        <f t="shared" si="142"/>
        <v>1500</v>
      </c>
      <c r="S430" t="str">
        <f t="shared" si="143"/>
        <v>Small</v>
      </c>
      <c r="T430" t="str">
        <f t="shared" si="144"/>
        <v>Lower EV Adoption Corridor</v>
      </c>
      <c r="U430" s="3">
        <f t="shared" si="145"/>
        <v>2475000</v>
      </c>
      <c r="V430" s="4">
        <f t="shared" si="146"/>
        <v>600000</v>
      </c>
      <c r="W430" s="3">
        <f t="shared" si="147"/>
        <v>7500000</v>
      </c>
      <c r="X430" s="3">
        <f t="shared" si="148"/>
        <v>4500000</v>
      </c>
      <c r="Y430">
        <f t="shared" si="149"/>
        <v>0.3</v>
      </c>
      <c r="Z430">
        <f t="shared" si="150"/>
        <v>0.75757575757575757</v>
      </c>
      <c r="AA430" t="str">
        <f t="shared" si="151"/>
        <v>Tier 4 - Stable Network</v>
      </c>
      <c r="AB430" s="3">
        <f t="shared" si="152"/>
        <v>60000</v>
      </c>
      <c r="AC430" s="3">
        <f t="shared" si="153"/>
        <v>750000</v>
      </c>
      <c r="AD430" s="3">
        <f t="shared" si="154"/>
        <v>247500</v>
      </c>
      <c r="AE430" s="5">
        <f t="shared" si="155"/>
        <v>4</v>
      </c>
      <c r="AF430" s="10">
        <f t="shared" si="156"/>
        <v>372000</v>
      </c>
      <c r="AG430" s="10">
        <f t="shared" si="157"/>
        <v>120000</v>
      </c>
      <c r="AH430" s="10">
        <f t="shared" si="158"/>
        <v>60000</v>
      </c>
      <c r="AI430" s="10">
        <f t="shared" si="159"/>
        <v>30000</v>
      </c>
      <c r="AJ430" s="10">
        <f t="shared" si="160"/>
        <v>18000</v>
      </c>
    </row>
    <row r="431" spans="1:36" x14ac:dyDescent="0.3">
      <c r="A431" t="s">
        <v>1749</v>
      </c>
      <c r="B431" t="s">
        <v>1750</v>
      </c>
      <c r="C431" t="s">
        <v>307</v>
      </c>
      <c r="D431" t="s">
        <v>14</v>
      </c>
      <c r="E431">
        <v>95118</v>
      </c>
      <c r="F431" t="s">
        <v>15</v>
      </c>
      <c r="G431">
        <v>18</v>
      </c>
      <c r="H431">
        <v>72</v>
      </c>
      <c r="I431" t="str" cm="1">
        <f t="array" ref="I431">_xlfn.IFS(H431&lt;=120,"V1",H431&lt;=150,"V2",H431&lt;=250,"V3", H431&lt;=350, "V4")</f>
        <v>V1</v>
      </c>
      <c r="J431" t="s">
        <v>1751</v>
      </c>
      <c r="K431" t="str">
        <f t="shared" si="138"/>
        <v>37.244638</v>
      </c>
      <c r="L431" t="str">
        <f t="shared" si="139"/>
        <v>-121.891141</v>
      </c>
      <c r="M431">
        <v>68</v>
      </c>
      <c r="N431" s="1">
        <v>43602</v>
      </c>
      <c r="O431" s="1">
        <v>46099</v>
      </c>
      <c r="P431" s="2">
        <f t="shared" si="140"/>
        <v>6.8364134154688569</v>
      </c>
      <c r="Q431" s="2" t="str">
        <f t="shared" si="141"/>
        <v>Mid</v>
      </c>
      <c r="R431">
        <f t="shared" si="142"/>
        <v>1296</v>
      </c>
      <c r="S431" t="str">
        <f t="shared" si="143"/>
        <v>Small</v>
      </c>
      <c r="T431" t="str">
        <f t="shared" si="144"/>
        <v>High EV Adoption Corridor</v>
      </c>
      <c r="U431" s="3">
        <f t="shared" si="145"/>
        <v>2527200</v>
      </c>
      <c r="V431" s="4">
        <f t="shared" si="146"/>
        <v>559872</v>
      </c>
      <c r="W431" s="3">
        <f t="shared" si="147"/>
        <v>5702400</v>
      </c>
      <c r="X431" s="3">
        <f t="shared" si="148"/>
        <v>5248800</v>
      </c>
      <c r="Y431">
        <f t="shared" si="149"/>
        <v>0.21530864197530863</v>
      </c>
      <c r="Z431">
        <f t="shared" si="150"/>
        <v>0.77846153846153843</v>
      </c>
      <c r="AA431" t="str">
        <f t="shared" si="151"/>
        <v>Tier 3 - Upgrade Pipeline</v>
      </c>
      <c r="AB431" s="3">
        <f t="shared" si="152"/>
        <v>31104</v>
      </c>
      <c r="AC431" s="3">
        <f t="shared" si="153"/>
        <v>316800</v>
      </c>
      <c r="AD431" s="3">
        <f t="shared" si="154"/>
        <v>140400</v>
      </c>
      <c r="AE431" s="5">
        <f t="shared" si="155"/>
        <v>2.8985507246376812</v>
      </c>
      <c r="AF431" s="10">
        <f t="shared" si="156"/>
        <v>347120.64000000001</v>
      </c>
      <c r="AG431" s="10">
        <f t="shared" si="157"/>
        <v>111974.40000000001</v>
      </c>
      <c r="AH431" s="10">
        <f t="shared" si="158"/>
        <v>55987.200000000004</v>
      </c>
      <c r="AI431" s="10">
        <f t="shared" si="159"/>
        <v>27993.600000000002</v>
      </c>
      <c r="AJ431" s="10">
        <f t="shared" si="160"/>
        <v>16796.16</v>
      </c>
    </row>
    <row r="432" spans="1:36" x14ac:dyDescent="0.3">
      <c r="A432" t="s">
        <v>1752</v>
      </c>
      <c r="B432" t="s">
        <v>1753</v>
      </c>
      <c r="C432" t="s">
        <v>1754</v>
      </c>
      <c r="D432" t="s">
        <v>50</v>
      </c>
      <c r="E432">
        <v>77494</v>
      </c>
      <c r="F432" t="s">
        <v>15</v>
      </c>
      <c r="G432">
        <v>24</v>
      </c>
      <c r="H432">
        <v>250</v>
      </c>
      <c r="I432" t="str" cm="1">
        <f t="array" ref="I432">_xlfn.IFS(H432&lt;=120,"V1",H432&lt;=150,"V2",H432&lt;=250,"V3", H432&lt;=350, "V4")</f>
        <v>V3</v>
      </c>
      <c r="J432" t="s">
        <v>1755</v>
      </c>
      <c r="K432" t="str">
        <f t="shared" si="138"/>
        <v>29.779001</v>
      </c>
      <c r="L432" t="str">
        <f t="shared" si="139"/>
        <v>-95.848797</v>
      </c>
      <c r="M432">
        <v>44</v>
      </c>
      <c r="N432" s="1">
        <v>44904</v>
      </c>
      <c r="O432" s="1">
        <v>46099</v>
      </c>
      <c r="P432" s="2">
        <f t="shared" si="140"/>
        <v>3.2717316906228611</v>
      </c>
      <c r="Q432" s="2" t="str">
        <f t="shared" si="141"/>
        <v>Mid</v>
      </c>
      <c r="R432">
        <f t="shared" si="142"/>
        <v>6000</v>
      </c>
      <c r="S432" t="str">
        <f t="shared" si="143"/>
        <v>Small</v>
      </c>
      <c r="T432" t="str">
        <f t="shared" si="144"/>
        <v>High EV Adoption Corridor</v>
      </c>
      <c r="U432" s="3">
        <f t="shared" si="145"/>
        <v>14040000</v>
      </c>
      <c r="V432" s="4">
        <f t="shared" si="146"/>
        <v>3168000</v>
      </c>
      <c r="W432" s="3">
        <f t="shared" si="147"/>
        <v>39600000</v>
      </c>
      <c r="X432" s="3">
        <f t="shared" si="148"/>
        <v>29700000</v>
      </c>
      <c r="Y432">
        <f t="shared" si="149"/>
        <v>0.24</v>
      </c>
      <c r="Z432">
        <f t="shared" si="150"/>
        <v>0.77435897435897438</v>
      </c>
      <c r="AA432" t="str">
        <f t="shared" si="151"/>
        <v>Tier 1 - Priority Fleet</v>
      </c>
      <c r="AB432" s="3">
        <f t="shared" si="152"/>
        <v>132000</v>
      </c>
      <c r="AC432" s="3">
        <f t="shared" si="153"/>
        <v>1650000</v>
      </c>
      <c r="AD432" s="3">
        <f t="shared" si="154"/>
        <v>585000</v>
      </c>
      <c r="AE432" s="5">
        <f t="shared" si="155"/>
        <v>3.6423841059602649</v>
      </c>
      <c r="AF432" s="10">
        <f t="shared" si="156"/>
        <v>1964160</v>
      </c>
      <c r="AG432" s="10">
        <f t="shared" si="157"/>
        <v>633600</v>
      </c>
      <c r="AH432" s="10">
        <f t="shared" si="158"/>
        <v>316800</v>
      </c>
      <c r="AI432" s="10">
        <f t="shared" si="159"/>
        <v>158400</v>
      </c>
      <c r="AJ432" s="10">
        <f t="shared" si="160"/>
        <v>95040</v>
      </c>
    </row>
    <row r="433" spans="1:36" x14ac:dyDescent="0.3">
      <c r="A433" t="s">
        <v>1756</v>
      </c>
      <c r="B433" t="s">
        <v>1757</v>
      </c>
      <c r="C433" t="s">
        <v>1758</v>
      </c>
      <c r="D433" t="s">
        <v>14</v>
      </c>
      <c r="E433">
        <v>91739</v>
      </c>
      <c r="F433" t="s">
        <v>15</v>
      </c>
      <c r="G433">
        <v>12</v>
      </c>
      <c r="H433">
        <v>150</v>
      </c>
      <c r="I433" t="str" cm="1">
        <f t="array" ref="I433">_xlfn.IFS(H433&lt;=120,"V1",H433&lt;=150,"V2",H433&lt;=250,"V3", H433&lt;=350, "V4")</f>
        <v>V2</v>
      </c>
      <c r="J433" t="s">
        <v>1759</v>
      </c>
      <c r="K433" t="str">
        <f t="shared" si="138"/>
        <v>34.113592</v>
      </c>
      <c r="L433" t="str">
        <f t="shared" si="139"/>
        <v>-117.529406</v>
      </c>
      <c r="M433">
        <v>381</v>
      </c>
      <c r="N433" s="1">
        <v>41963</v>
      </c>
      <c r="O433" s="1">
        <v>46099</v>
      </c>
      <c r="P433" s="2">
        <f t="shared" si="140"/>
        <v>11.323750855578371</v>
      </c>
      <c r="Q433" s="2" t="str">
        <f t="shared" si="141"/>
        <v>Old</v>
      </c>
      <c r="R433">
        <f t="shared" si="142"/>
        <v>1800</v>
      </c>
      <c r="S433" t="str">
        <f t="shared" si="143"/>
        <v>Small</v>
      </c>
      <c r="T433" t="str">
        <f t="shared" si="144"/>
        <v>High EV Adoption Corridor</v>
      </c>
      <c r="U433" s="3">
        <f t="shared" si="145"/>
        <v>3861000.0000000009</v>
      </c>
      <c r="V433" s="4">
        <f t="shared" si="146"/>
        <v>864000</v>
      </c>
      <c r="W433" s="3">
        <f t="shared" si="147"/>
        <v>9900000</v>
      </c>
      <c r="X433" s="3">
        <f t="shared" si="148"/>
        <v>8100000</v>
      </c>
      <c r="Y433">
        <f t="shared" si="149"/>
        <v>0.22888888888888889</v>
      </c>
      <c r="Z433">
        <f t="shared" si="150"/>
        <v>0.77622377622377625</v>
      </c>
      <c r="AA433" t="str">
        <f t="shared" si="151"/>
        <v>Tier 3 - Upgrade Pipeline</v>
      </c>
      <c r="AB433" s="3">
        <f t="shared" si="152"/>
        <v>72000</v>
      </c>
      <c r="AC433" s="3">
        <f t="shared" si="153"/>
        <v>825000</v>
      </c>
      <c r="AD433" s="3">
        <f t="shared" si="154"/>
        <v>321750.00000000006</v>
      </c>
      <c r="AE433" s="5">
        <f t="shared" si="155"/>
        <v>3.3033033033033021</v>
      </c>
      <c r="AF433" s="10">
        <f t="shared" si="156"/>
        <v>535680</v>
      </c>
      <c r="AG433" s="10">
        <f t="shared" si="157"/>
        <v>172800</v>
      </c>
      <c r="AH433" s="10">
        <f t="shared" si="158"/>
        <v>86400</v>
      </c>
      <c r="AI433" s="10">
        <f t="shared" si="159"/>
        <v>43200</v>
      </c>
      <c r="AJ433" s="10">
        <f t="shared" si="160"/>
        <v>25920</v>
      </c>
    </row>
    <row r="434" spans="1:36" x14ac:dyDescent="0.3">
      <c r="A434" t="s">
        <v>1760</v>
      </c>
      <c r="B434" t="s">
        <v>1761</v>
      </c>
      <c r="C434" t="s">
        <v>1762</v>
      </c>
      <c r="D434" t="s">
        <v>281</v>
      </c>
      <c r="E434">
        <v>59808</v>
      </c>
      <c r="F434" t="s">
        <v>15</v>
      </c>
      <c r="G434">
        <v>6</v>
      </c>
      <c r="H434">
        <v>150</v>
      </c>
      <c r="I434" t="str" cm="1">
        <f t="array" ref="I434">_xlfn.IFS(H434&lt;=120,"V1",H434&lt;=150,"V2",H434&lt;=250,"V3", H434&lt;=350, "V4")</f>
        <v>V2</v>
      </c>
      <c r="J434" t="s">
        <v>1763</v>
      </c>
      <c r="K434" t="str">
        <f t="shared" si="138"/>
        <v>46.914375</v>
      </c>
      <c r="L434" t="str">
        <f t="shared" si="139"/>
        <v>-114.031924</v>
      </c>
      <c r="M434">
        <v>1009</v>
      </c>
      <c r="N434" s="1">
        <v>41941</v>
      </c>
      <c r="O434" s="1">
        <v>46099</v>
      </c>
      <c r="P434" s="2">
        <f t="shared" si="140"/>
        <v>11.383983572895277</v>
      </c>
      <c r="Q434" s="2" t="str">
        <f t="shared" si="141"/>
        <v>Old</v>
      </c>
      <c r="R434">
        <f t="shared" si="142"/>
        <v>900</v>
      </c>
      <c r="S434" t="str">
        <f t="shared" si="143"/>
        <v>Small</v>
      </c>
      <c r="T434" t="str">
        <f t="shared" si="144"/>
        <v>Lower EV Adoption Corridor</v>
      </c>
      <c r="U434" s="3">
        <f t="shared" si="145"/>
        <v>1485000.0000000002</v>
      </c>
      <c r="V434" s="4">
        <f t="shared" si="146"/>
        <v>360000</v>
      </c>
      <c r="W434" s="3">
        <f t="shared" si="147"/>
        <v>4500000</v>
      </c>
      <c r="X434" s="3">
        <f t="shared" si="148"/>
        <v>2700000</v>
      </c>
      <c r="Y434">
        <f t="shared" si="149"/>
        <v>0.3</v>
      </c>
      <c r="Z434">
        <f t="shared" si="150"/>
        <v>0.75757575757575757</v>
      </c>
      <c r="AA434" t="str">
        <f t="shared" si="151"/>
        <v>Tier 4 - Stable Network</v>
      </c>
      <c r="AB434" s="3">
        <f t="shared" si="152"/>
        <v>60000</v>
      </c>
      <c r="AC434" s="3">
        <f t="shared" si="153"/>
        <v>750000</v>
      </c>
      <c r="AD434" s="3">
        <f t="shared" si="154"/>
        <v>247500.00000000003</v>
      </c>
      <c r="AE434" s="5">
        <f t="shared" si="155"/>
        <v>3.9999999999999991</v>
      </c>
      <c r="AF434" s="10">
        <f t="shared" si="156"/>
        <v>223200</v>
      </c>
      <c r="AG434" s="10">
        <f t="shared" si="157"/>
        <v>72000</v>
      </c>
      <c r="AH434" s="10">
        <f t="shared" si="158"/>
        <v>36000</v>
      </c>
      <c r="AI434" s="10">
        <f t="shared" si="159"/>
        <v>18000</v>
      </c>
      <c r="AJ434" s="10">
        <f t="shared" si="160"/>
        <v>10800</v>
      </c>
    </row>
    <row r="435" spans="1:36" x14ac:dyDescent="0.3">
      <c r="A435" t="s">
        <v>1764</v>
      </c>
      <c r="B435" t="s">
        <v>1765</v>
      </c>
      <c r="C435" t="s">
        <v>1619</v>
      </c>
      <c r="D435" t="s">
        <v>50</v>
      </c>
      <c r="E435">
        <v>78759</v>
      </c>
      <c r="F435" t="s">
        <v>15</v>
      </c>
      <c r="G435">
        <v>18</v>
      </c>
      <c r="H435">
        <v>72</v>
      </c>
      <c r="I435" t="str" cm="1">
        <f t="array" ref="I435">_xlfn.IFS(H435&lt;=120,"V1",H435&lt;=150,"V2",H435&lt;=250,"V3", H435&lt;=350, "V4")</f>
        <v>V1</v>
      </c>
      <c r="J435" t="s">
        <v>1766</v>
      </c>
      <c r="K435" t="str">
        <f t="shared" si="138"/>
        <v>30.389333</v>
      </c>
      <c r="L435" t="str">
        <f t="shared" si="139"/>
        <v>-97.73975</v>
      </c>
      <c r="M435">
        <v>261</v>
      </c>
      <c r="N435" s="1">
        <v>43705</v>
      </c>
      <c r="O435" s="1">
        <v>46099</v>
      </c>
      <c r="P435" s="2">
        <f t="shared" si="140"/>
        <v>6.5544147843942504</v>
      </c>
      <c r="Q435" s="2" t="str">
        <f t="shared" si="141"/>
        <v>Mid</v>
      </c>
      <c r="R435">
        <f t="shared" si="142"/>
        <v>1296</v>
      </c>
      <c r="S435" t="str">
        <f t="shared" si="143"/>
        <v>Small</v>
      </c>
      <c r="T435" t="str">
        <f t="shared" si="144"/>
        <v>High EV Adoption Corridor</v>
      </c>
      <c r="U435" s="3">
        <f t="shared" si="145"/>
        <v>2527200</v>
      </c>
      <c r="V435" s="4">
        <f t="shared" si="146"/>
        <v>559872</v>
      </c>
      <c r="W435" s="3">
        <f t="shared" si="147"/>
        <v>5702400</v>
      </c>
      <c r="X435" s="3">
        <f t="shared" si="148"/>
        <v>5248800</v>
      </c>
      <c r="Y435">
        <f t="shared" si="149"/>
        <v>0.21530864197530863</v>
      </c>
      <c r="Z435">
        <f t="shared" si="150"/>
        <v>0.77846153846153843</v>
      </c>
      <c r="AA435" t="str">
        <f t="shared" si="151"/>
        <v>Tier 3 - Upgrade Pipeline</v>
      </c>
      <c r="AB435" s="3">
        <f t="shared" si="152"/>
        <v>31104</v>
      </c>
      <c r="AC435" s="3">
        <f t="shared" si="153"/>
        <v>316800</v>
      </c>
      <c r="AD435" s="3">
        <f t="shared" si="154"/>
        <v>140400</v>
      </c>
      <c r="AE435" s="5">
        <f t="shared" si="155"/>
        <v>2.8985507246376812</v>
      </c>
      <c r="AF435" s="10">
        <f t="shared" si="156"/>
        <v>347120.64000000001</v>
      </c>
      <c r="AG435" s="10">
        <f t="shared" si="157"/>
        <v>111974.40000000001</v>
      </c>
      <c r="AH435" s="10">
        <f t="shared" si="158"/>
        <v>55987.200000000004</v>
      </c>
      <c r="AI435" s="10">
        <f t="shared" si="159"/>
        <v>27993.600000000002</v>
      </c>
      <c r="AJ435" s="10">
        <f t="shared" si="160"/>
        <v>16796.16</v>
      </c>
    </row>
    <row r="436" spans="1:36" x14ac:dyDescent="0.3">
      <c r="A436" t="s">
        <v>1767</v>
      </c>
      <c r="B436" t="s">
        <v>1768</v>
      </c>
      <c r="C436" t="s">
        <v>1769</v>
      </c>
      <c r="D436" t="s">
        <v>158</v>
      </c>
      <c r="E436">
        <v>10710</v>
      </c>
      <c r="F436" t="s">
        <v>15</v>
      </c>
      <c r="G436">
        <v>18</v>
      </c>
      <c r="H436">
        <v>72</v>
      </c>
      <c r="I436" t="str" cm="1">
        <f t="array" ref="I436">_xlfn.IFS(H436&lt;=120,"V1",H436&lt;=150,"V2",H436&lt;=250,"V3", H436&lt;=350, "V4")</f>
        <v>V1</v>
      </c>
      <c r="J436" t="s">
        <v>1770</v>
      </c>
      <c r="K436" t="str">
        <f t="shared" si="138"/>
        <v>40.963462</v>
      </c>
      <c r="L436" t="str">
        <f t="shared" si="139"/>
        <v>-73.855127</v>
      </c>
      <c r="M436">
        <v>86</v>
      </c>
      <c r="N436" s="1">
        <v>43283</v>
      </c>
      <c r="O436" s="1">
        <v>46099</v>
      </c>
      <c r="P436" s="2">
        <f t="shared" si="140"/>
        <v>7.7097878165639973</v>
      </c>
      <c r="Q436" s="2" t="str">
        <f t="shared" si="141"/>
        <v>Mid</v>
      </c>
      <c r="R436">
        <f t="shared" si="142"/>
        <v>1296</v>
      </c>
      <c r="S436" t="str">
        <f t="shared" si="143"/>
        <v>Small</v>
      </c>
      <c r="T436" t="str">
        <f t="shared" si="144"/>
        <v>Lower EV Adoption Corridor</v>
      </c>
      <c r="U436" s="3">
        <f t="shared" si="145"/>
        <v>1944000</v>
      </c>
      <c r="V436" s="4">
        <f t="shared" si="146"/>
        <v>466560</v>
      </c>
      <c r="W436" s="3">
        <f t="shared" si="147"/>
        <v>5184000</v>
      </c>
      <c r="X436" s="3">
        <f t="shared" si="148"/>
        <v>3499200</v>
      </c>
      <c r="Y436">
        <f t="shared" si="149"/>
        <v>0.2814814814814815</v>
      </c>
      <c r="Z436">
        <f t="shared" si="150"/>
        <v>0.76</v>
      </c>
      <c r="AA436" t="str">
        <f t="shared" si="151"/>
        <v>Tier 5 - Retirement Pipeline</v>
      </c>
      <c r="AB436" s="3">
        <f t="shared" si="152"/>
        <v>25920</v>
      </c>
      <c r="AC436" s="3">
        <f t="shared" si="153"/>
        <v>288000</v>
      </c>
      <c r="AD436" s="3">
        <f t="shared" si="154"/>
        <v>108000</v>
      </c>
      <c r="AE436" s="5">
        <f t="shared" si="155"/>
        <v>3.5087719298245612</v>
      </c>
      <c r="AF436" s="10">
        <f t="shared" si="156"/>
        <v>289267.20000000001</v>
      </c>
      <c r="AG436" s="10">
        <f t="shared" si="157"/>
        <v>93312</v>
      </c>
      <c r="AH436" s="10">
        <f t="shared" si="158"/>
        <v>46656</v>
      </c>
      <c r="AI436" s="10">
        <f t="shared" si="159"/>
        <v>23328</v>
      </c>
      <c r="AJ436" s="10">
        <f t="shared" si="160"/>
        <v>13996.8</v>
      </c>
    </row>
    <row r="437" spans="1:36" x14ac:dyDescent="0.3">
      <c r="A437" t="s">
        <v>1771</v>
      </c>
      <c r="B437" t="s">
        <v>1772</v>
      </c>
      <c r="C437" t="s">
        <v>138</v>
      </c>
      <c r="D437" t="s">
        <v>299</v>
      </c>
      <c r="E437">
        <v>23231</v>
      </c>
      <c r="F437" t="s">
        <v>15</v>
      </c>
      <c r="G437">
        <v>20</v>
      </c>
      <c r="H437">
        <v>120</v>
      </c>
      <c r="I437" t="str" cm="1">
        <f t="array" ref="I437">_xlfn.IFS(H437&lt;=120,"V1",H437&lt;=150,"V2",H437&lt;=250,"V3", H437&lt;=350, "V4")</f>
        <v>V1</v>
      </c>
      <c r="J437" t="s">
        <v>1773</v>
      </c>
      <c r="K437" t="str">
        <f t="shared" si="138"/>
        <v>37.529855</v>
      </c>
      <c r="L437" t="str">
        <f t="shared" si="139"/>
        <v>-77.353819</v>
      </c>
      <c r="M437">
        <v>46</v>
      </c>
      <c r="N437" s="1">
        <v>43094</v>
      </c>
      <c r="O437" s="1">
        <v>46099</v>
      </c>
      <c r="P437" s="2">
        <f t="shared" si="140"/>
        <v>8.2272416153319643</v>
      </c>
      <c r="Q437" s="2" t="str">
        <f t="shared" si="141"/>
        <v>Old</v>
      </c>
      <c r="R437">
        <f t="shared" si="142"/>
        <v>2400</v>
      </c>
      <c r="S437" t="str">
        <f t="shared" si="143"/>
        <v>Small</v>
      </c>
      <c r="T437" t="str">
        <f t="shared" si="144"/>
        <v>Lower EV Adoption Corridor</v>
      </c>
      <c r="U437" s="3">
        <f t="shared" si="145"/>
        <v>3600000</v>
      </c>
      <c r="V437" s="4">
        <f t="shared" si="146"/>
        <v>864000</v>
      </c>
      <c r="W437" s="3">
        <f t="shared" si="147"/>
        <v>9600000</v>
      </c>
      <c r="X437" s="3">
        <f t="shared" si="148"/>
        <v>6480000</v>
      </c>
      <c r="Y437">
        <f t="shared" si="149"/>
        <v>0.2814814814814815</v>
      </c>
      <c r="Z437">
        <f t="shared" si="150"/>
        <v>0.76</v>
      </c>
      <c r="AA437" t="str">
        <f t="shared" si="151"/>
        <v>Tier 5 - Retirement Pipeline</v>
      </c>
      <c r="AB437" s="3">
        <f t="shared" si="152"/>
        <v>43200</v>
      </c>
      <c r="AC437" s="3">
        <f t="shared" si="153"/>
        <v>480000</v>
      </c>
      <c r="AD437" s="3">
        <f t="shared" si="154"/>
        <v>180000</v>
      </c>
      <c r="AE437" s="5">
        <f t="shared" si="155"/>
        <v>3.5087719298245612</v>
      </c>
      <c r="AF437" s="10">
        <f t="shared" si="156"/>
        <v>535680</v>
      </c>
      <c r="AG437" s="10">
        <f t="shared" si="157"/>
        <v>172800</v>
      </c>
      <c r="AH437" s="10">
        <f t="shared" si="158"/>
        <v>86400</v>
      </c>
      <c r="AI437" s="10">
        <f t="shared" si="159"/>
        <v>43200</v>
      </c>
      <c r="AJ437" s="10">
        <f t="shared" si="160"/>
        <v>25920</v>
      </c>
    </row>
    <row r="438" spans="1:36" x14ac:dyDescent="0.3">
      <c r="A438" t="s">
        <v>1774</v>
      </c>
      <c r="B438" t="s">
        <v>1775</v>
      </c>
      <c r="C438" t="s">
        <v>1776</v>
      </c>
      <c r="D438" t="s">
        <v>59</v>
      </c>
      <c r="E438">
        <v>60077</v>
      </c>
      <c r="F438" t="s">
        <v>15</v>
      </c>
      <c r="G438">
        <v>20</v>
      </c>
      <c r="H438">
        <v>72</v>
      </c>
      <c r="I438" t="str" cm="1">
        <f t="array" ref="I438">_xlfn.IFS(H438&lt;=120,"V1",H438&lt;=150,"V2",H438&lt;=250,"V3", H438&lt;=350, "V4")</f>
        <v>V1</v>
      </c>
      <c r="J438" t="s">
        <v>1777</v>
      </c>
      <c r="K438" t="str">
        <f t="shared" si="138"/>
        <v>42.009459</v>
      </c>
      <c r="L438" t="str">
        <f t="shared" si="139"/>
        <v>-87.766164</v>
      </c>
      <c r="M438">
        <v>189</v>
      </c>
      <c r="N438" s="1">
        <v>43130</v>
      </c>
      <c r="O438" s="1">
        <v>46099</v>
      </c>
      <c r="P438" s="2">
        <f t="shared" si="140"/>
        <v>8.1286789869952081</v>
      </c>
      <c r="Q438" s="2" t="str">
        <f t="shared" si="141"/>
        <v>Old</v>
      </c>
      <c r="R438">
        <f t="shared" si="142"/>
        <v>1440</v>
      </c>
      <c r="S438" t="str">
        <f t="shared" si="143"/>
        <v>Small</v>
      </c>
      <c r="T438" t="str">
        <f t="shared" si="144"/>
        <v>Lower EV Adoption Corridor</v>
      </c>
      <c r="U438" s="3">
        <f t="shared" si="145"/>
        <v>2160000</v>
      </c>
      <c r="V438" s="4">
        <f t="shared" si="146"/>
        <v>518400</v>
      </c>
      <c r="W438" s="3">
        <f t="shared" si="147"/>
        <v>5760000</v>
      </c>
      <c r="X438" s="3">
        <f t="shared" si="148"/>
        <v>3888000</v>
      </c>
      <c r="Y438">
        <f t="shared" si="149"/>
        <v>0.2814814814814815</v>
      </c>
      <c r="Z438">
        <f t="shared" si="150"/>
        <v>0.76</v>
      </c>
      <c r="AA438" t="str">
        <f t="shared" si="151"/>
        <v>Tier 5 - Retirement Pipeline</v>
      </c>
      <c r="AB438" s="3">
        <f t="shared" si="152"/>
        <v>25920</v>
      </c>
      <c r="AC438" s="3">
        <f t="shared" si="153"/>
        <v>288000</v>
      </c>
      <c r="AD438" s="3">
        <f t="shared" si="154"/>
        <v>108000</v>
      </c>
      <c r="AE438" s="5">
        <f t="shared" si="155"/>
        <v>3.5087719298245612</v>
      </c>
      <c r="AF438" s="10">
        <f t="shared" si="156"/>
        <v>321408</v>
      </c>
      <c r="AG438" s="10">
        <f t="shared" si="157"/>
        <v>103680</v>
      </c>
      <c r="AH438" s="10">
        <f t="shared" si="158"/>
        <v>51840</v>
      </c>
      <c r="AI438" s="10">
        <f t="shared" si="159"/>
        <v>25920</v>
      </c>
      <c r="AJ438" s="10">
        <f t="shared" si="160"/>
        <v>15552</v>
      </c>
    </row>
    <row r="439" spans="1:36" x14ac:dyDescent="0.3">
      <c r="A439" t="s">
        <v>1778</v>
      </c>
      <c r="B439" t="s">
        <v>1779</v>
      </c>
      <c r="C439" t="s">
        <v>1440</v>
      </c>
      <c r="D439" t="s">
        <v>428</v>
      </c>
      <c r="E439">
        <v>3303</v>
      </c>
      <c r="F439" t="s">
        <v>15</v>
      </c>
      <c r="G439">
        <v>12</v>
      </c>
      <c r="H439">
        <v>250</v>
      </c>
      <c r="I439" t="str" cm="1">
        <f t="array" ref="I439">_xlfn.IFS(H439&lt;=120,"V1",H439&lt;=150,"V2",H439&lt;=250,"V3", H439&lt;=350, "V4")</f>
        <v>V3</v>
      </c>
      <c r="J439" t="s">
        <v>1780</v>
      </c>
      <c r="K439" t="str">
        <f t="shared" si="138"/>
        <v>43.289094</v>
      </c>
      <c r="L439" t="str">
        <f t="shared" si="139"/>
        <v>-71.579011</v>
      </c>
      <c r="M439">
        <v>92</v>
      </c>
      <c r="N439" s="1">
        <v>44607</v>
      </c>
      <c r="O439" s="1">
        <v>46099</v>
      </c>
      <c r="P439" s="2">
        <f t="shared" si="140"/>
        <v>4.084873374401095</v>
      </c>
      <c r="Q439" s="2" t="str">
        <f t="shared" si="141"/>
        <v>Mid</v>
      </c>
      <c r="R439">
        <f t="shared" si="142"/>
        <v>3000</v>
      </c>
      <c r="S439" t="str">
        <f t="shared" si="143"/>
        <v>Small</v>
      </c>
      <c r="T439" t="str">
        <f t="shared" si="144"/>
        <v>Lower EV Adoption Corridor</v>
      </c>
      <c r="U439" s="3">
        <f t="shared" si="145"/>
        <v>5400000</v>
      </c>
      <c r="V439" s="4">
        <f t="shared" si="146"/>
        <v>1320000</v>
      </c>
      <c r="W439" s="3">
        <f t="shared" si="147"/>
        <v>18000000</v>
      </c>
      <c r="X439" s="3">
        <f t="shared" si="148"/>
        <v>9900000</v>
      </c>
      <c r="Y439">
        <f t="shared" si="149"/>
        <v>0.31515151515151513</v>
      </c>
      <c r="Z439">
        <f t="shared" si="150"/>
        <v>0.75555555555555554</v>
      </c>
      <c r="AA439" t="str">
        <f t="shared" si="151"/>
        <v>Tier 2 - Growth Markets</v>
      </c>
      <c r="AB439" s="3">
        <f t="shared" si="152"/>
        <v>110000</v>
      </c>
      <c r="AC439" s="3">
        <f t="shared" si="153"/>
        <v>1500000</v>
      </c>
      <c r="AD439" s="3">
        <f t="shared" si="154"/>
        <v>450000</v>
      </c>
      <c r="AE439" s="5">
        <f t="shared" si="155"/>
        <v>4.4117647058823533</v>
      </c>
      <c r="AF439" s="10">
        <f t="shared" si="156"/>
        <v>818400</v>
      </c>
      <c r="AG439" s="10">
        <f t="shared" si="157"/>
        <v>264000</v>
      </c>
      <c r="AH439" s="10">
        <f t="shared" si="158"/>
        <v>132000</v>
      </c>
      <c r="AI439" s="10">
        <f t="shared" si="159"/>
        <v>66000</v>
      </c>
      <c r="AJ439" s="10">
        <f t="shared" si="160"/>
        <v>39600</v>
      </c>
    </row>
    <row r="440" spans="1:36" x14ac:dyDescent="0.3">
      <c r="A440" t="s">
        <v>1781</v>
      </c>
      <c r="B440" t="s">
        <v>1782</v>
      </c>
      <c r="C440" t="s">
        <v>1783</v>
      </c>
      <c r="D440" t="s">
        <v>98</v>
      </c>
      <c r="E440">
        <v>6042</v>
      </c>
      <c r="F440" t="s">
        <v>15</v>
      </c>
      <c r="G440">
        <v>16</v>
      </c>
      <c r="H440">
        <v>150</v>
      </c>
      <c r="I440" t="str" cm="1">
        <f t="array" ref="I440">_xlfn.IFS(H440&lt;=120,"V1",H440&lt;=150,"V2",H440&lt;=250,"V3", H440&lt;=350, "V4")</f>
        <v>V2</v>
      </c>
      <c r="J440" t="s">
        <v>1784</v>
      </c>
      <c r="K440" t="str">
        <f t="shared" si="138"/>
        <v>41.80455</v>
      </c>
      <c r="L440" t="str">
        <f t="shared" si="139"/>
        <v>-72.562267</v>
      </c>
      <c r="M440">
        <v>41</v>
      </c>
      <c r="N440" s="1">
        <v>43087</v>
      </c>
      <c r="O440" s="1">
        <v>46099</v>
      </c>
      <c r="P440" s="2">
        <f t="shared" si="140"/>
        <v>8.2464065708418897</v>
      </c>
      <c r="Q440" s="2" t="str">
        <f t="shared" si="141"/>
        <v>Old</v>
      </c>
      <c r="R440">
        <f t="shared" si="142"/>
        <v>2400</v>
      </c>
      <c r="S440" t="str">
        <f t="shared" si="143"/>
        <v>Small</v>
      </c>
      <c r="T440" t="str">
        <f t="shared" si="144"/>
        <v>Lower EV Adoption Corridor</v>
      </c>
      <c r="U440" s="3">
        <f t="shared" si="145"/>
        <v>3960000.0000000005</v>
      </c>
      <c r="V440" s="4">
        <f t="shared" si="146"/>
        <v>960000</v>
      </c>
      <c r="W440" s="3">
        <f t="shared" si="147"/>
        <v>12000000</v>
      </c>
      <c r="X440" s="3">
        <f t="shared" si="148"/>
        <v>7200000</v>
      </c>
      <c r="Y440">
        <f t="shared" si="149"/>
        <v>0.3</v>
      </c>
      <c r="Z440">
        <f t="shared" si="150"/>
        <v>0.75757575757575757</v>
      </c>
      <c r="AA440" t="str">
        <f t="shared" si="151"/>
        <v>Tier 4 - Stable Network</v>
      </c>
      <c r="AB440" s="3">
        <f t="shared" si="152"/>
        <v>60000</v>
      </c>
      <c r="AC440" s="3">
        <f t="shared" si="153"/>
        <v>750000</v>
      </c>
      <c r="AD440" s="3">
        <f t="shared" si="154"/>
        <v>247500.00000000003</v>
      </c>
      <c r="AE440" s="5">
        <f t="shared" si="155"/>
        <v>3.9999999999999996</v>
      </c>
      <c r="AF440" s="10">
        <f t="shared" si="156"/>
        <v>595200</v>
      </c>
      <c r="AG440" s="10">
        <f t="shared" si="157"/>
        <v>192000</v>
      </c>
      <c r="AH440" s="10">
        <f t="shared" si="158"/>
        <v>96000</v>
      </c>
      <c r="AI440" s="10">
        <f t="shared" si="159"/>
        <v>48000</v>
      </c>
      <c r="AJ440" s="10">
        <f t="shared" si="160"/>
        <v>28800</v>
      </c>
    </row>
    <row r="441" spans="1:36" x14ac:dyDescent="0.3">
      <c r="A441" t="s">
        <v>1785</v>
      </c>
      <c r="B441" t="s">
        <v>1786</v>
      </c>
      <c r="C441" t="s">
        <v>1787</v>
      </c>
      <c r="D441" t="s">
        <v>321</v>
      </c>
      <c r="E441">
        <v>1801</v>
      </c>
      <c r="F441" t="s">
        <v>15</v>
      </c>
      <c r="G441">
        <v>12</v>
      </c>
      <c r="H441">
        <v>250</v>
      </c>
      <c r="I441" t="str" cm="1">
        <f t="array" ref="I441">_xlfn.IFS(H441&lt;=120,"V1",H441&lt;=150,"V2",H441&lt;=250,"V3", H441&lt;=350, "V4")</f>
        <v>V3</v>
      </c>
      <c r="J441" t="s">
        <v>1788</v>
      </c>
      <c r="K441" t="str">
        <f t="shared" si="138"/>
        <v>42.518385</v>
      </c>
      <c r="L441" t="str">
        <f t="shared" si="139"/>
        <v>-71.137254</v>
      </c>
      <c r="M441">
        <v>22</v>
      </c>
      <c r="N441" s="1">
        <v>44497</v>
      </c>
      <c r="O441" s="1">
        <v>46099</v>
      </c>
      <c r="P441" s="2">
        <f t="shared" si="140"/>
        <v>4.386036960985626</v>
      </c>
      <c r="Q441" s="2" t="str">
        <f t="shared" si="141"/>
        <v>Mid</v>
      </c>
      <c r="R441">
        <f t="shared" si="142"/>
        <v>3000</v>
      </c>
      <c r="S441" t="str">
        <f t="shared" si="143"/>
        <v>Small</v>
      </c>
      <c r="T441" t="str">
        <f t="shared" si="144"/>
        <v>Lower EV Adoption Corridor</v>
      </c>
      <c r="U441" s="3">
        <f t="shared" si="145"/>
        <v>5400000</v>
      </c>
      <c r="V441" s="4">
        <f t="shared" si="146"/>
        <v>1320000</v>
      </c>
      <c r="W441" s="3">
        <f t="shared" si="147"/>
        <v>18000000</v>
      </c>
      <c r="X441" s="3">
        <f t="shared" si="148"/>
        <v>9900000</v>
      </c>
      <c r="Y441">
        <f t="shared" si="149"/>
        <v>0.31515151515151513</v>
      </c>
      <c r="Z441">
        <f t="shared" si="150"/>
        <v>0.75555555555555554</v>
      </c>
      <c r="AA441" t="str">
        <f t="shared" si="151"/>
        <v>Tier 2 - Growth Markets</v>
      </c>
      <c r="AB441" s="3">
        <f t="shared" si="152"/>
        <v>110000</v>
      </c>
      <c r="AC441" s="3">
        <f t="shared" si="153"/>
        <v>1500000</v>
      </c>
      <c r="AD441" s="3">
        <f t="shared" si="154"/>
        <v>450000</v>
      </c>
      <c r="AE441" s="5">
        <f t="shared" si="155"/>
        <v>4.4117647058823533</v>
      </c>
      <c r="AF441" s="10">
        <f t="shared" si="156"/>
        <v>818400</v>
      </c>
      <c r="AG441" s="10">
        <f t="shared" si="157"/>
        <v>264000</v>
      </c>
      <c r="AH441" s="10">
        <f t="shared" si="158"/>
        <v>132000</v>
      </c>
      <c r="AI441" s="10">
        <f t="shared" si="159"/>
        <v>66000</v>
      </c>
      <c r="AJ441" s="10">
        <f t="shared" si="160"/>
        <v>39600</v>
      </c>
    </row>
    <row r="442" spans="1:36" x14ac:dyDescent="0.3">
      <c r="A442" t="s">
        <v>1789</v>
      </c>
      <c r="B442" t="s">
        <v>1790</v>
      </c>
      <c r="C442" t="s">
        <v>1791</v>
      </c>
      <c r="D442" t="s">
        <v>120</v>
      </c>
      <c r="E442">
        <v>57790</v>
      </c>
      <c r="F442" t="s">
        <v>15</v>
      </c>
      <c r="G442">
        <v>8</v>
      </c>
      <c r="H442">
        <v>150</v>
      </c>
      <c r="I442" t="str" cm="1">
        <f t="array" ref="I442">_xlfn.IFS(H442&lt;=120,"V1",H442&lt;=150,"V2",H442&lt;=250,"V3", H442&lt;=350, "V4")</f>
        <v>V2</v>
      </c>
      <c r="J442" t="s">
        <v>1792</v>
      </c>
      <c r="K442" t="str">
        <f t="shared" si="138"/>
        <v>43.994145</v>
      </c>
      <c r="L442" t="str">
        <f t="shared" si="139"/>
        <v>-102.24214</v>
      </c>
      <c r="M442">
        <v>859</v>
      </c>
      <c r="N442" s="1">
        <v>43621</v>
      </c>
      <c r="O442" s="1">
        <v>46099</v>
      </c>
      <c r="P442" s="2">
        <f t="shared" si="140"/>
        <v>6.7843942505133468</v>
      </c>
      <c r="Q442" s="2" t="str">
        <f t="shared" si="141"/>
        <v>Mid</v>
      </c>
      <c r="R442">
        <f t="shared" si="142"/>
        <v>1200</v>
      </c>
      <c r="S442" t="str">
        <f t="shared" si="143"/>
        <v>Small</v>
      </c>
      <c r="T442" t="str">
        <f t="shared" si="144"/>
        <v>Lower EV Adoption Corridor</v>
      </c>
      <c r="U442" s="3">
        <f t="shared" si="145"/>
        <v>1980000.0000000002</v>
      </c>
      <c r="V442" s="4">
        <f t="shared" si="146"/>
        <v>480000</v>
      </c>
      <c r="W442" s="3">
        <f t="shared" si="147"/>
        <v>6000000</v>
      </c>
      <c r="X442" s="3">
        <f t="shared" si="148"/>
        <v>3600000</v>
      </c>
      <c r="Y442">
        <f t="shared" si="149"/>
        <v>0.3</v>
      </c>
      <c r="Z442">
        <f t="shared" si="150"/>
        <v>0.75757575757575757</v>
      </c>
      <c r="AA442" t="str">
        <f t="shared" si="151"/>
        <v>Tier 4 - Stable Network</v>
      </c>
      <c r="AB442" s="3">
        <f t="shared" si="152"/>
        <v>60000</v>
      </c>
      <c r="AC442" s="3">
        <f t="shared" si="153"/>
        <v>750000</v>
      </c>
      <c r="AD442" s="3">
        <f t="shared" si="154"/>
        <v>247500.00000000003</v>
      </c>
      <c r="AE442" s="5">
        <f t="shared" si="155"/>
        <v>3.9999999999999996</v>
      </c>
      <c r="AF442" s="10">
        <f t="shared" si="156"/>
        <v>297600</v>
      </c>
      <c r="AG442" s="10">
        <f t="shared" si="157"/>
        <v>96000</v>
      </c>
      <c r="AH442" s="10">
        <f t="shared" si="158"/>
        <v>48000</v>
      </c>
      <c r="AI442" s="10">
        <f t="shared" si="159"/>
        <v>24000</v>
      </c>
      <c r="AJ442" s="10">
        <f t="shared" si="160"/>
        <v>14400</v>
      </c>
    </row>
    <row r="443" spans="1:36" x14ac:dyDescent="0.3">
      <c r="A443" t="s">
        <v>1793</v>
      </c>
      <c r="B443" t="s">
        <v>1794</v>
      </c>
      <c r="C443" t="s">
        <v>1795</v>
      </c>
      <c r="D443" t="s">
        <v>321</v>
      </c>
      <c r="E443">
        <v>2649</v>
      </c>
      <c r="F443" t="s">
        <v>15</v>
      </c>
      <c r="G443">
        <v>10</v>
      </c>
      <c r="H443">
        <v>120</v>
      </c>
      <c r="I443" t="str" cm="1">
        <f t="array" ref="I443">_xlfn.IFS(H443&lt;=120,"V1",H443&lt;=150,"V2",H443&lt;=250,"V3", H443&lt;=350, "V4")</f>
        <v>V1</v>
      </c>
      <c r="J443" t="s">
        <v>1796</v>
      </c>
      <c r="K443" t="str">
        <f t="shared" si="138"/>
        <v>41.6175</v>
      </c>
      <c r="L443" t="str">
        <f t="shared" si="139"/>
        <v>-70.488528</v>
      </c>
      <c r="M443">
        <v>13</v>
      </c>
      <c r="N443" s="1">
        <v>43482</v>
      </c>
      <c r="O443" s="1">
        <v>46099</v>
      </c>
      <c r="P443" s="2">
        <f t="shared" si="140"/>
        <v>7.1649555099247095</v>
      </c>
      <c r="Q443" s="2" t="str">
        <f t="shared" si="141"/>
        <v>Mid</v>
      </c>
      <c r="R443">
        <f t="shared" si="142"/>
        <v>1200</v>
      </c>
      <c r="S443" t="str">
        <f t="shared" si="143"/>
        <v>Small</v>
      </c>
      <c r="T443" t="str">
        <f t="shared" si="144"/>
        <v>Lower EV Adoption Corridor</v>
      </c>
      <c r="U443" s="3">
        <f t="shared" si="145"/>
        <v>1800000</v>
      </c>
      <c r="V443" s="4">
        <f t="shared" si="146"/>
        <v>432000</v>
      </c>
      <c r="W443" s="3">
        <f t="shared" si="147"/>
        <v>4800000</v>
      </c>
      <c r="X443" s="3">
        <f t="shared" si="148"/>
        <v>3240000</v>
      </c>
      <c r="Y443">
        <f t="shared" si="149"/>
        <v>0.2814814814814815</v>
      </c>
      <c r="Z443">
        <f t="shared" si="150"/>
        <v>0.76</v>
      </c>
      <c r="AA443" t="str">
        <f t="shared" si="151"/>
        <v>Tier 5 - Retirement Pipeline</v>
      </c>
      <c r="AB443" s="3">
        <f t="shared" si="152"/>
        <v>43200</v>
      </c>
      <c r="AC443" s="3">
        <f t="shared" si="153"/>
        <v>480000</v>
      </c>
      <c r="AD443" s="3">
        <f t="shared" si="154"/>
        <v>180000</v>
      </c>
      <c r="AE443" s="5">
        <f t="shared" si="155"/>
        <v>3.5087719298245612</v>
      </c>
      <c r="AF443" s="10">
        <f t="shared" si="156"/>
        <v>267840</v>
      </c>
      <c r="AG443" s="10">
        <f t="shared" si="157"/>
        <v>86400</v>
      </c>
      <c r="AH443" s="10">
        <f t="shared" si="158"/>
        <v>43200</v>
      </c>
      <c r="AI443" s="10">
        <f t="shared" si="159"/>
        <v>21600</v>
      </c>
      <c r="AJ443" s="10">
        <f t="shared" si="160"/>
        <v>12960</v>
      </c>
    </row>
    <row r="444" spans="1:36" x14ac:dyDescent="0.3">
      <c r="A444" t="s">
        <v>1797</v>
      </c>
      <c r="B444" t="s">
        <v>1798</v>
      </c>
      <c r="C444" t="s">
        <v>216</v>
      </c>
      <c r="D444" t="s">
        <v>189</v>
      </c>
      <c r="E444">
        <v>53704</v>
      </c>
      <c r="F444" t="s">
        <v>15</v>
      </c>
      <c r="G444">
        <v>8</v>
      </c>
      <c r="H444">
        <v>150</v>
      </c>
      <c r="I444" t="str" cm="1">
        <f t="array" ref="I444">_xlfn.IFS(H444&lt;=120,"V1",H444&lt;=150,"V2",H444&lt;=250,"V3", H444&lt;=350, "V4")</f>
        <v>V2</v>
      </c>
      <c r="J444" t="s">
        <v>1799</v>
      </c>
      <c r="K444" t="str">
        <f t="shared" si="138"/>
        <v>43.119137</v>
      </c>
      <c r="L444" t="str">
        <f t="shared" si="139"/>
        <v>-89.319052</v>
      </c>
      <c r="M444">
        <v>265</v>
      </c>
      <c r="N444" s="1">
        <v>43089</v>
      </c>
      <c r="O444" s="1">
        <v>46099</v>
      </c>
      <c r="P444" s="2">
        <f t="shared" si="140"/>
        <v>8.2409308692676255</v>
      </c>
      <c r="Q444" s="2" t="str">
        <f t="shared" si="141"/>
        <v>Old</v>
      </c>
      <c r="R444">
        <f t="shared" si="142"/>
        <v>1200</v>
      </c>
      <c r="S444" t="str">
        <f t="shared" si="143"/>
        <v>Small</v>
      </c>
      <c r="T444" t="str">
        <f t="shared" si="144"/>
        <v>Lower EV Adoption Corridor</v>
      </c>
      <c r="U444" s="3">
        <f t="shared" si="145"/>
        <v>1980000.0000000002</v>
      </c>
      <c r="V444" s="4">
        <f t="shared" si="146"/>
        <v>480000</v>
      </c>
      <c r="W444" s="3">
        <f t="shared" si="147"/>
        <v>6000000</v>
      </c>
      <c r="X444" s="3">
        <f t="shared" si="148"/>
        <v>3600000</v>
      </c>
      <c r="Y444">
        <f t="shared" si="149"/>
        <v>0.3</v>
      </c>
      <c r="Z444">
        <f t="shared" si="150"/>
        <v>0.75757575757575757</v>
      </c>
      <c r="AA444" t="str">
        <f t="shared" si="151"/>
        <v>Tier 4 - Stable Network</v>
      </c>
      <c r="AB444" s="3">
        <f t="shared" si="152"/>
        <v>60000</v>
      </c>
      <c r="AC444" s="3">
        <f t="shared" si="153"/>
        <v>750000</v>
      </c>
      <c r="AD444" s="3">
        <f t="shared" si="154"/>
        <v>247500.00000000003</v>
      </c>
      <c r="AE444" s="5">
        <f t="shared" si="155"/>
        <v>3.9999999999999996</v>
      </c>
      <c r="AF444" s="10">
        <f t="shared" si="156"/>
        <v>297600</v>
      </c>
      <c r="AG444" s="10">
        <f t="shared" si="157"/>
        <v>96000</v>
      </c>
      <c r="AH444" s="10">
        <f t="shared" si="158"/>
        <v>48000</v>
      </c>
      <c r="AI444" s="10">
        <f t="shared" si="159"/>
        <v>24000</v>
      </c>
      <c r="AJ444" s="10">
        <f t="shared" si="160"/>
        <v>14400</v>
      </c>
    </row>
    <row r="445" spans="1:36" x14ac:dyDescent="0.3">
      <c r="A445" t="s">
        <v>1800</v>
      </c>
      <c r="B445" t="s">
        <v>1801</v>
      </c>
      <c r="C445" t="s">
        <v>456</v>
      </c>
      <c r="D445" t="s">
        <v>59</v>
      </c>
      <c r="E445">
        <v>60657</v>
      </c>
      <c r="F445" t="s">
        <v>15</v>
      </c>
      <c r="G445">
        <v>8</v>
      </c>
      <c r="H445">
        <v>72</v>
      </c>
      <c r="I445" t="str" cm="1">
        <f t="array" ref="I445">_xlfn.IFS(H445&lt;=120,"V1",H445&lt;=150,"V2",H445&lt;=250,"V3", H445&lt;=350, "V4")</f>
        <v>V1</v>
      </c>
      <c r="J445" t="s">
        <v>1802</v>
      </c>
      <c r="K445" t="str">
        <f t="shared" si="138"/>
        <v>41.937338</v>
      </c>
      <c r="L445" t="str">
        <f t="shared" si="139"/>
        <v>-87.644666</v>
      </c>
      <c r="M445">
        <v>179</v>
      </c>
      <c r="N445" s="1">
        <v>43131</v>
      </c>
      <c r="O445" s="1">
        <v>46099</v>
      </c>
      <c r="P445" s="2">
        <f t="shared" si="140"/>
        <v>8.1259411362080769</v>
      </c>
      <c r="Q445" s="2" t="str">
        <f t="shared" si="141"/>
        <v>Old</v>
      </c>
      <c r="R445">
        <f t="shared" si="142"/>
        <v>576</v>
      </c>
      <c r="S445" t="str">
        <f t="shared" si="143"/>
        <v>Small</v>
      </c>
      <c r="T445" t="str">
        <f t="shared" si="144"/>
        <v>Lower EV Adoption Corridor</v>
      </c>
      <c r="U445" s="3">
        <f t="shared" si="145"/>
        <v>864000</v>
      </c>
      <c r="V445" s="4">
        <f t="shared" si="146"/>
        <v>207360</v>
      </c>
      <c r="W445" s="3">
        <f t="shared" si="147"/>
        <v>2304000</v>
      </c>
      <c r="X445" s="3">
        <f t="shared" si="148"/>
        <v>1555200</v>
      </c>
      <c r="Y445">
        <f t="shared" si="149"/>
        <v>0.2814814814814815</v>
      </c>
      <c r="Z445">
        <f t="shared" si="150"/>
        <v>0.76</v>
      </c>
      <c r="AA445" t="str">
        <f t="shared" si="151"/>
        <v>Tier 5 - Retirement Pipeline</v>
      </c>
      <c r="AB445" s="3">
        <f t="shared" si="152"/>
        <v>25920</v>
      </c>
      <c r="AC445" s="3">
        <f t="shared" si="153"/>
        <v>288000</v>
      </c>
      <c r="AD445" s="3">
        <f t="shared" si="154"/>
        <v>108000</v>
      </c>
      <c r="AE445" s="5">
        <f t="shared" si="155"/>
        <v>3.5087719298245612</v>
      </c>
      <c r="AF445" s="10">
        <f t="shared" si="156"/>
        <v>128563.2</v>
      </c>
      <c r="AG445" s="10">
        <f t="shared" si="157"/>
        <v>41472</v>
      </c>
      <c r="AH445" s="10">
        <f t="shared" si="158"/>
        <v>20736</v>
      </c>
      <c r="AI445" s="10">
        <f t="shared" si="159"/>
        <v>10368</v>
      </c>
      <c r="AJ445" s="10">
        <f t="shared" si="160"/>
        <v>6220.8</v>
      </c>
    </row>
    <row r="446" spans="1:36" x14ac:dyDescent="0.3">
      <c r="A446" t="s">
        <v>1803</v>
      </c>
      <c r="B446" t="s">
        <v>1804</v>
      </c>
      <c r="C446" t="s">
        <v>1805</v>
      </c>
      <c r="D446" t="s">
        <v>484</v>
      </c>
      <c r="E446">
        <v>36401</v>
      </c>
      <c r="F446" t="s">
        <v>15</v>
      </c>
      <c r="G446">
        <v>12</v>
      </c>
      <c r="H446">
        <v>250</v>
      </c>
      <c r="I446" t="str" cm="1">
        <f t="array" ref="I446">_xlfn.IFS(H446&lt;=120,"V1",H446&lt;=150,"V2",H446&lt;=250,"V3", H446&lt;=350, "V4")</f>
        <v>V3</v>
      </c>
      <c r="J446" t="s">
        <v>1806</v>
      </c>
      <c r="K446" t="str">
        <f t="shared" si="138"/>
        <v>31.457228</v>
      </c>
      <c r="L446" t="str">
        <f t="shared" si="139"/>
        <v>-86.961555</v>
      </c>
      <c r="M446">
        <v>100</v>
      </c>
      <c r="N446" s="1">
        <v>44880</v>
      </c>
      <c r="O446" s="1">
        <v>46099</v>
      </c>
      <c r="P446" s="2">
        <f t="shared" si="140"/>
        <v>3.3374401095140316</v>
      </c>
      <c r="Q446" s="2" t="str">
        <f t="shared" si="141"/>
        <v>Mid</v>
      </c>
      <c r="R446">
        <f t="shared" si="142"/>
        <v>3000</v>
      </c>
      <c r="S446" t="str">
        <f t="shared" si="143"/>
        <v>Small</v>
      </c>
      <c r="T446" t="str">
        <f t="shared" si="144"/>
        <v>Lower EV Adoption Corridor</v>
      </c>
      <c r="U446" s="3">
        <f t="shared" si="145"/>
        <v>5400000</v>
      </c>
      <c r="V446" s="4">
        <f t="shared" si="146"/>
        <v>1320000</v>
      </c>
      <c r="W446" s="3">
        <f t="shared" si="147"/>
        <v>18000000</v>
      </c>
      <c r="X446" s="3">
        <f t="shared" si="148"/>
        <v>9900000</v>
      </c>
      <c r="Y446">
        <f t="shared" si="149"/>
        <v>0.31515151515151513</v>
      </c>
      <c r="Z446">
        <f t="shared" si="150"/>
        <v>0.75555555555555554</v>
      </c>
      <c r="AA446" t="str">
        <f t="shared" si="151"/>
        <v>Tier 2 - Growth Markets</v>
      </c>
      <c r="AB446" s="3">
        <f t="shared" si="152"/>
        <v>110000</v>
      </c>
      <c r="AC446" s="3">
        <f t="shared" si="153"/>
        <v>1500000</v>
      </c>
      <c r="AD446" s="3">
        <f t="shared" si="154"/>
        <v>450000</v>
      </c>
      <c r="AE446" s="5">
        <f t="shared" si="155"/>
        <v>4.4117647058823533</v>
      </c>
      <c r="AF446" s="10">
        <f t="shared" si="156"/>
        <v>818400</v>
      </c>
      <c r="AG446" s="10">
        <f t="shared" si="157"/>
        <v>264000</v>
      </c>
      <c r="AH446" s="10">
        <f t="shared" si="158"/>
        <v>132000</v>
      </c>
      <c r="AI446" s="10">
        <f t="shared" si="159"/>
        <v>66000</v>
      </c>
      <c r="AJ446" s="10">
        <f t="shared" si="160"/>
        <v>39600</v>
      </c>
    </row>
    <row r="447" spans="1:36" x14ac:dyDescent="0.3">
      <c r="A447" t="s">
        <v>1807</v>
      </c>
      <c r="B447" t="s">
        <v>1808</v>
      </c>
      <c r="C447" t="s">
        <v>1809</v>
      </c>
      <c r="D447" t="s">
        <v>14</v>
      </c>
      <c r="E447">
        <v>95531</v>
      </c>
      <c r="F447" t="s">
        <v>15</v>
      </c>
      <c r="G447">
        <v>6</v>
      </c>
      <c r="H447">
        <v>150</v>
      </c>
      <c r="I447" t="str" cm="1">
        <f t="array" ref="I447">_xlfn.IFS(H447&lt;=120,"V1",H447&lt;=150,"V2",H447&lt;=250,"V3", H447&lt;=350, "V4")</f>
        <v>V2</v>
      </c>
      <c r="J447" t="s">
        <v>1810</v>
      </c>
      <c r="K447" t="str">
        <f t="shared" si="138"/>
        <v>41.752393</v>
      </c>
      <c r="L447" t="str">
        <f t="shared" si="139"/>
        <v>-124.1944</v>
      </c>
      <c r="M447">
        <v>4</v>
      </c>
      <c r="N447" s="1">
        <v>42621</v>
      </c>
      <c r="O447" s="1">
        <v>46099</v>
      </c>
      <c r="P447" s="2">
        <f t="shared" si="140"/>
        <v>9.5222450376454475</v>
      </c>
      <c r="Q447" s="2" t="str">
        <f t="shared" si="141"/>
        <v>Old</v>
      </c>
      <c r="R447">
        <f t="shared" si="142"/>
        <v>900</v>
      </c>
      <c r="S447" t="str">
        <f t="shared" si="143"/>
        <v>Small</v>
      </c>
      <c r="T447" t="str">
        <f t="shared" si="144"/>
        <v>High EV Adoption Corridor</v>
      </c>
      <c r="U447" s="3">
        <f t="shared" si="145"/>
        <v>1930500.0000000005</v>
      </c>
      <c r="V447" s="4">
        <f t="shared" si="146"/>
        <v>432000</v>
      </c>
      <c r="W447" s="3">
        <f t="shared" si="147"/>
        <v>4950000</v>
      </c>
      <c r="X447" s="3">
        <f t="shared" si="148"/>
        <v>4050000</v>
      </c>
      <c r="Y447">
        <f t="shared" si="149"/>
        <v>0.22888888888888889</v>
      </c>
      <c r="Z447">
        <f t="shared" si="150"/>
        <v>0.77622377622377625</v>
      </c>
      <c r="AA447" t="str">
        <f t="shared" si="151"/>
        <v>Tier 3 - Upgrade Pipeline</v>
      </c>
      <c r="AB447" s="3">
        <f t="shared" si="152"/>
        <v>72000</v>
      </c>
      <c r="AC447" s="3">
        <f t="shared" si="153"/>
        <v>825000</v>
      </c>
      <c r="AD447" s="3">
        <f t="shared" si="154"/>
        <v>321750.00000000006</v>
      </c>
      <c r="AE447" s="5">
        <f t="shared" si="155"/>
        <v>3.3033033033033021</v>
      </c>
      <c r="AF447" s="10">
        <f t="shared" si="156"/>
        <v>267840</v>
      </c>
      <c r="AG447" s="10">
        <f t="shared" si="157"/>
        <v>86400</v>
      </c>
      <c r="AH447" s="10">
        <f t="shared" si="158"/>
        <v>43200</v>
      </c>
      <c r="AI447" s="10">
        <f t="shared" si="159"/>
        <v>21600</v>
      </c>
      <c r="AJ447" s="10">
        <f t="shared" si="160"/>
        <v>12960</v>
      </c>
    </row>
    <row r="448" spans="1:36" x14ac:dyDescent="0.3">
      <c r="A448" t="s">
        <v>1811</v>
      </c>
      <c r="B448" t="s">
        <v>1812</v>
      </c>
      <c r="C448" t="s">
        <v>1813</v>
      </c>
      <c r="D448" t="s">
        <v>428</v>
      </c>
      <c r="E448">
        <v>3867</v>
      </c>
      <c r="F448" t="s">
        <v>15</v>
      </c>
      <c r="G448">
        <v>8</v>
      </c>
      <c r="H448">
        <v>150</v>
      </c>
      <c r="I448" t="str" cm="1">
        <f t="array" ref="I448">_xlfn.IFS(H448&lt;=120,"V1",H448&lt;=150,"V2",H448&lt;=250,"V3", H448&lt;=350, "V4")</f>
        <v>V2</v>
      </c>
      <c r="J448" t="s">
        <v>1814</v>
      </c>
      <c r="K448" t="str">
        <f t="shared" si="138"/>
        <v>43.310917</v>
      </c>
      <c r="L448" t="str">
        <f t="shared" si="139"/>
        <v>-70.993265</v>
      </c>
      <c r="M448">
        <v>71</v>
      </c>
      <c r="N448" s="1">
        <v>43825</v>
      </c>
      <c r="O448" s="1">
        <v>46099</v>
      </c>
      <c r="P448" s="2">
        <f t="shared" si="140"/>
        <v>6.2258726899383987</v>
      </c>
      <c r="Q448" s="2" t="str">
        <f t="shared" si="141"/>
        <v>Mid</v>
      </c>
      <c r="R448">
        <f t="shared" si="142"/>
        <v>1200</v>
      </c>
      <c r="S448" t="str">
        <f t="shared" si="143"/>
        <v>Small</v>
      </c>
      <c r="T448" t="str">
        <f t="shared" si="144"/>
        <v>Lower EV Adoption Corridor</v>
      </c>
      <c r="U448" s="3">
        <f t="shared" si="145"/>
        <v>1980000.0000000002</v>
      </c>
      <c r="V448" s="4">
        <f t="shared" si="146"/>
        <v>480000</v>
      </c>
      <c r="W448" s="3">
        <f t="shared" si="147"/>
        <v>6000000</v>
      </c>
      <c r="X448" s="3">
        <f t="shared" si="148"/>
        <v>3600000</v>
      </c>
      <c r="Y448">
        <f t="shared" si="149"/>
        <v>0.3</v>
      </c>
      <c r="Z448">
        <f t="shared" si="150"/>
        <v>0.75757575757575757</v>
      </c>
      <c r="AA448" t="str">
        <f t="shared" si="151"/>
        <v>Tier 4 - Stable Network</v>
      </c>
      <c r="AB448" s="3">
        <f t="shared" si="152"/>
        <v>60000</v>
      </c>
      <c r="AC448" s="3">
        <f t="shared" si="153"/>
        <v>750000</v>
      </c>
      <c r="AD448" s="3">
        <f t="shared" si="154"/>
        <v>247500.00000000003</v>
      </c>
      <c r="AE448" s="5">
        <f t="shared" si="155"/>
        <v>3.9999999999999996</v>
      </c>
      <c r="AF448" s="10">
        <f t="shared" si="156"/>
        <v>297600</v>
      </c>
      <c r="AG448" s="10">
        <f t="shared" si="157"/>
        <v>96000</v>
      </c>
      <c r="AH448" s="10">
        <f t="shared" si="158"/>
        <v>48000</v>
      </c>
      <c r="AI448" s="10">
        <f t="shared" si="159"/>
        <v>24000</v>
      </c>
      <c r="AJ448" s="10">
        <f t="shared" si="160"/>
        <v>14400</v>
      </c>
    </row>
    <row r="449" spans="1:36" x14ac:dyDescent="0.3">
      <c r="A449" t="s">
        <v>1815</v>
      </c>
      <c r="B449" t="s">
        <v>1816</v>
      </c>
      <c r="C449" t="s">
        <v>307</v>
      </c>
      <c r="D449" t="s">
        <v>14</v>
      </c>
      <c r="E449">
        <v>95128</v>
      </c>
      <c r="F449" t="s">
        <v>15</v>
      </c>
      <c r="G449">
        <v>26</v>
      </c>
      <c r="H449">
        <v>72</v>
      </c>
      <c r="I449" t="str" cm="1">
        <f t="array" ref="I449">_xlfn.IFS(H449&lt;=120,"V1",H449&lt;=150,"V2",H449&lt;=250,"V3", H449&lt;=350, "V4")</f>
        <v>V1</v>
      </c>
      <c r="J449" t="s">
        <v>1817</v>
      </c>
      <c r="K449" t="str">
        <f t="shared" si="138"/>
        <v>37.322234</v>
      </c>
      <c r="L449" t="str">
        <f t="shared" si="139"/>
        <v>-121.949226</v>
      </c>
      <c r="M449">
        <v>41</v>
      </c>
      <c r="N449" s="1">
        <v>43498</v>
      </c>
      <c r="O449" s="1">
        <v>46099</v>
      </c>
      <c r="P449" s="2">
        <f t="shared" si="140"/>
        <v>7.1211498973305956</v>
      </c>
      <c r="Q449" s="2" t="str">
        <f t="shared" si="141"/>
        <v>Mid</v>
      </c>
      <c r="R449">
        <f t="shared" si="142"/>
        <v>1872</v>
      </c>
      <c r="S449" t="str">
        <f t="shared" si="143"/>
        <v>Small</v>
      </c>
      <c r="T449" t="str">
        <f t="shared" si="144"/>
        <v>High EV Adoption Corridor</v>
      </c>
      <c r="U449" s="3">
        <f t="shared" si="145"/>
        <v>3650400</v>
      </c>
      <c r="V449" s="4">
        <f t="shared" si="146"/>
        <v>808704</v>
      </c>
      <c r="W449" s="3">
        <f t="shared" si="147"/>
        <v>8236800.0000000009</v>
      </c>
      <c r="X449" s="3">
        <f t="shared" si="148"/>
        <v>7581600</v>
      </c>
      <c r="Y449">
        <f t="shared" si="149"/>
        <v>0.21530864197530863</v>
      </c>
      <c r="Z449">
        <f t="shared" si="150"/>
        <v>0.77846153846153843</v>
      </c>
      <c r="AA449" t="str">
        <f t="shared" si="151"/>
        <v>Tier 3 - Upgrade Pipeline</v>
      </c>
      <c r="AB449" s="3">
        <f t="shared" si="152"/>
        <v>31104</v>
      </c>
      <c r="AC449" s="3">
        <f t="shared" si="153"/>
        <v>316800.00000000006</v>
      </c>
      <c r="AD449" s="3">
        <f t="shared" si="154"/>
        <v>140400</v>
      </c>
      <c r="AE449" s="5">
        <f t="shared" si="155"/>
        <v>2.8985507246376816</v>
      </c>
      <c r="AF449" s="10">
        <f t="shared" si="156"/>
        <v>501396.47999999998</v>
      </c>
      <c r="AG449" s="10">
        <f t="shared" si="157"/>
        <v>161740.80000000002</v>
      </c>
      <c r="AH449" s="10">
        <f t="shared" si="158"/>
        <v>80870.400000000009</v>
      </c>
      <c r="AI449" s="10">
        <f t="shared" si="159"/>
        <v>40435.200000000004</v>
      </c>
      <c r="AJ449" s="10">
        <f t="shared" si="160"/>
        <v>24261.119999999999</v>
      </c>
    </row>
    <row r="450" spans="1:36" x14ac:dyDescent="0.3">
      <c r="A450" t="s">
        <v>1818</v>
      </c>
      <c r="B450" t="s">
        <v>1819</v>
      </c>
      <c r="C450" t="s">
        <v>1820</v>
      </c>
      <c r="D450" t="s">
        <v>50</v>
      </c>
      <c r="E450">
        <v>79932</v>
      </c>
      <c r="F450" t="s">
        <v>15</v>
      </c>
      <c r="G450">
        <v>8</v>
      </c>
      <c r="H450">
        <v>150</v>
      </c>
      <c r="I450" t="str" cm="1">
        <f t="array" ref="I450">_xlfn.IFS(H450&lt;=120,"V1",H450&lt;=150,"V2",H450&lt;=250,"V3", H450&lt;=350, "V4")</f>
        <v>V2</v>
      </c>
      <c r="J450" t="s">
        <v>1821</v>
      </c>
      <c r="K450" t="str">
        <f t="shared" si="138"/>
        <v>31.8839</v>
      </c>
      <c r="L450" t="str">
        <f t="shared" si="139"/>
        <v>-106.58379</v>
      </c>
      <c r="M450">
        <v>1180</v>
      </c>
      <c r="N450" s="1">
        <v>42847</v>
      </c>
      <c r="O450" s="1">
        <v>46099</v>
      </c>
      <c r="P450" s="2">
        <f t="shared" si="140"/>
        <v>8.9034907597535931</v>
      </c>
      <c r="Q450" s="2" t="str">
        <f t="shared" si="141"/>
        <v>Old</v>
      </c>
      <c r="R450">
        <f t="shared" si="142"/>
        <v>1200</v>
      </c>
      <c r="S450" t="str">
        <f t="shared" si="143"/>
        <v>Small</v>
      </c>
      <c r="T450" t="str">
        <f t="shared" si="144"/>
        <v>High EV Adoption Corridor</v>
      </c>
      <c r="U450" s="3">
        <f t="shared" si="145"/>
        <v>2574000.0000000005</v>
      </c>
      <c r="V450" s="4">
        <f t="shared" si="146"/>
        <v>576000</v>
      </c>
      <c r="W450" s="3">
        <f t="shared" si="147"/>
        <v>6600000.0000000009</v>
      </c>
      <c r="X450" s="3">
        <f t="shared" si="148"/>
        <v>5400000</v>
      </c>
      <c r="Y450">
        <f t="shared" si="149"/>
        <v>0.22888888888888889</v>
      </c>
      <c r="Z450">
        <f t="shared" si="150"/>
        <v>0.77622377622377625</v>
      </c>
      <c r="AA450" t="str">
        <f t="shared" si="151"/>
        <v>Tier 3 - Upgrade Pipeline</v>
      </c>
      <c r="AB450" s="3">
        <f t="shared" si="152"/>
        <v>72000</v>
      </c>
      <c r="AC450" s="3">
        <f t="shared" si="153"/>
        <v>825000.00000000012</v>
      </c>
      <c r="AD450" s="3">
        <f t="shared" si="154"/>
        <v>321750.00000000006</v>
      </c>
      <c r="AE450" s="5">
        <f t="shared" si="155"/>
        <v>3.303303303303303</v>
      </c>
      <c r="AF450" s="10">
        <f t="shared" si="156"/>
        <v>357120</v>
      </c>
      <c r="AG450" s="10">
        <f t="shared" si="157"/>
        <v>115200</v>
      </c>
      <c r="AH450" s="10">
        <f t="shared" si="158"/>
        <v>57600</v>
      </c>
      <c r="AI450" s="10">
        <f t="shared" si="159"/>
        <v>28800</v>
      </c>
      <c r="AJ450" s="10">
        <f t="shared" si="160"/>
        <v>17280</v>
      </c>
    </row>
    <row r="451" spans="1:36" x14ac:dyDescent="0.3">
      <c r="A451" t="s">
        <v>1822</v>
      </c>
      <c r="B451" t="s">
        <v>1823</v>
      </c>
      <c r="C451" t="s">
        <v>1824</v>
      </c>
      <c r="D451" t="s">
        <v>14</v>
      </c>
      <c r="E451">
        <v>91362</v>
      </c>
      <c r="F451" t="s">
        <v>15</v>
      </c>
      <c r="G451">
        <v>24</v>
      </c>
      <c r="H451">
        <v>150</v>
      </c>
      <c r="I451" t="str" cm="1">
        <f t="array" ref="I451">_xlfn.IFS(H451&lt;=120,"V1",H451&lt;=150,"V2",H451&lt;=250,"V3", H451&lt;=350, "V4")</f>
        <v>V2</v>
      </c>
      <c r="J451" t="s">
        <v>1825</v>
      </c>
      <c r="K451" t="str">
        <f t="shared" ref="K451:K514" si="161">TRIM(LEFT(J451, FIND(",", J451) - 1))</f>
        <v>34.158291</v>
      </c>
      <c r="L451" t="str">
        <f t="shared" ref="L451:L514" si="162">TRIM(MID(J451, FIND(",", J451) + 1, LEN(J451)))</f>
        <v>-118.82363</v>
      </c>
      <c r="M451">
        <v>289</v>
      </c>
      <c r="N451" s="1">
        <v>43180</v>
      </c>
      <c r="O451" s="1">
        <v>46099</v>
      </c>
      <c r="P451" s="2">
        <f t="shared" ref="P451:P514" si="163">(O451-N451)/365.25</f>
        <v>7.9917864476386038</v>
      </c>
      <c r="Q451" s="2" t="str">
        <f t="shared" ref="Q451:Q514" si="164">IF(P451&lt;3,"New",IF(P451&lt;=8,"Mid","Old"))</f>
        <v>Mid</v>
      </c>
      <c r="R451">
        <f t="shared" ref="R451:R514" si="165">G451*H451</f>
        <v>3600</v>
      </c>
      <c r="S451" t="str">
        <f t="shared" ref="S451:S514" si="166">IF(G451&lt;=30,"Small",IF(G451&lt;=60,"Medium","Large"))</f>
        <v>Small</v>
      </c>
      <c r="T451" t="str">
        <f t="shared" ref="T451:T514" si="167">IF(OR(D451="CA",D451="FL",D451="WA",D451="CO",D451="TX",D451="NJ"),"High EV Adoption Corridor","Lower EV Adoption Corridor")</f>
        <v>High EV Adoption Corridor</v>
      </c>
      <c r="U451" s="3">
        <f t="shared" ref="U451:U514" si="168" xml:space="preserve"> R451 * 1500 *
  IF(I451="V1",1,
     IF(I451="V2",1.1,1.2)) *
  IF(T451="High EV Adoption Corridor",1.3,1)</f>
        <v>7722000.0000000019</v>
      </c>
      <c r="V451" s="4">
        <f t="shared" ref="V451:V514" si="169" xml:space="preserve"> R451 * 400 *
  IF(I451="V1",0.9,
     IF(I451="V2",1,1.1)) *
  IF(T451="High EV Adoption Corridor",1.2,1)</f>
        <v>1728000</v>
      </c>
      <c r="W451" s="3">
        <f t="shared" ref="W451:W514" si="170" xml:space="preserve"> R451 * 5000 *
  IF(I451="V1",0.8,
     IF(I451="V2",1,1.2)) *
  IF(T451="High EV Adoption Corridor",1.1,1)</f>
        <v>19800000</v>
      </c>
      <c r="X451" s="3">
        <f t="shared" ref="X451:X514" si="171" xml:space="preserve"> R451 * 3000 *
  IF(I451="V1",0.9,
     IF(I451="V2",1,1.1)) *
  IF(T451="High EV Adoption Corridor",1.5,1)</f>
        <v>16200000</v>
      </c>
      <c r="Y451">
        <f t="shared" ref="Y451:Y514" si="172" xml:space="preserve"> ((W451/10) + V451) / X451</f>
        <v>0.22888888888888889</v>
      </c>
      <c r="Z451">
        <f t="shared" ref="Z451:Z514" si="173">(U451-V451)/U451</f>
        <v>0.77622377622377625</v>
      </c>
      <c r="AA451" t="str">
        <f t="shared" ref="AA451:AA514" si="174">IF(AND(I451="V3",T451="High EV Adoption Corridor"),
"Tier 1 - Priority Fleet",
IF(AND(I451="V3",T451="Lower EV Adoption Corridor"),
"Tier 2 - Growth Markets",
IF(AND(OR(I451="V1",I451="V2"),T451="High EV Adoption Corridor"),
"Tier 3 - Upgrade Pipeline",
IF(AND(I451="V2",T451="Lower EV Adoption Corridor"),
"Tier 4 - Stable Network",
"Tier 5 - Retirement Pipeline"))))</f>
        <v>Tier 3 - Upgrade Pipeline</v>
      </c>
      <c r="AB451" s="3">
        <f t="shared" ref="AB451:AB514" si="175">V451/G451</f>
        <v>72000</v>
      </c>
      <c r="AC451" s="3">
        <f t="shared" ref="AC451:AC514" si="176">W451/G451</f>
        <v>825000</v>
      </c>
      <c r="AD451" s="3">
        <f t="shared" ref="AD451:AD514" si="177">U451/G451</f>
        <v>321750.00000000006</v>
      </c>
      <c r="AE451" s="5">
        <f t="shared" ref="AE451:AE514" si="178">W451/(U451-V451)</f>
        <v>3.3033033033033021</v>
      </c>
      <c r="AF451" s="10">
        <f t="shared" ref="AF451:AF514" si="179">V451*0.62</f>
        <v>1071360</v>
      </c>
      <c r="AG451" s="10">
        <f t="shared" ref="AG451:AG514" si="180">V451*0.2</f>
        <v>345600</v>
      </c>
      <c r="AH451" s="10">
        <f t="shared" ref="AH451:AH514" si="181">V451*0.1</f>
        <v>172800</v>
      </c>
      <c r="AI451" s="10">
        <f t="shared" ref="AI451:AI514" si="182">V451*0.05</f>
        <v>86400</v>
      </c>
      <c r="AJ451" s="10">
        <f t="shared" ref="AJ451:AJ514" si="183">V451*0.03</f>
        <v>51840</v>
      </c>
    </row>
    <row r="452" spans="1:36" x14ac:dyDescent="0.3">
      <c r="A452" t="s">
        <v>1826</v>
      </c>
      <c r="B452" t="s">
        <v>1827</v>
      </c>
      <c r="C452" t="s">
        <v>1828</v>
      </c>
      <c r="D452" t="s">
        <v>14</v>
      </c>
      <c r="E452">
        <v>92612</v>
      </c>
      <c r="F452" t="s">
        <v>15</v>
      </c>
      <c r="G452">
        <v>12</v>
      </c>
      <c r="H452">
        <v>72</v>
      </c>
      <c r="I452" t="str" cm="1">
        <f t="array" ref="I452">_xlfn.IFS(H452&lt;=120,"V1",H452&lt;=150,"V2",H452&lt;=250,"V3", H452&lt;=350, "V4")</f>
        <v>V1</v>
      </c>
      <c r="J452" t="s">
        <v>1829</v>
      </c>
      <c r="K452" t="str">
        <f t="shared" si="161"/>
        <v>33.673394</v>
      </c>
      <c r="L452" t="str">
        <f t="shared" si="162"/>
        <v>-117.844666</v>
      </c>
      <c r="M452">
        <v>8</v>
      </c>
      <c r="N452" s="1">
        <v>43758</v>
      </c>
      <c r="O452" s="1">
        <v>46099</v>
      </c>
      <c r="P452" s="2">
        <f t="shared" si="163"/>
        <v>6.409308692676249</v>
      </c>
      <c r="Q452" s="2" t="str">
        <f t="shared" si="164"/>
        <v>Mid</v>
      </c>
      <c r="R452">
        <f t="shared" si="165"/>
        <v>864</v>
      </c>
      <c r="S452" t="str">
        <f t="shared" si="166"/>
        <v>Small</v>
      </c>
      <c r="T452" t="str">
        <f t="shared" si="167"/>
        <v>High EV Adoption Corridor</v>
      </c>
      <c r="U452" s="3">
        <f t="shared" si="168"/>
        <v>1684800</v>
      </c>
      <c r="V452" s="4">
        <f t="shared" si="169"/>
        <v>373248</v>
      </c>
      <c r="W452" s="3">
        <f t="shared" si="170"/>
        <v>3801600.0000000005</v>
      </c>
      <c r="X452" s="3">
        <f t="shared" si="171"/>
        <v>3499200</v>
      </c>
      <c r="Y452">
        <f t="shared" si="172"/>
        <v>0.21530864197530863</v>
      </c>
      <c r="Z452">
        <f t="shared" si="173"/>
        <v>0.77846153846153843</v>
      </c>
      <c r="AA452" t="str">
        <f t="shared" si="174"/>
        <v>Tier 3 - Upgrade Pipeline</v>
      </c>
      <c r="AB452" s="3">
        <f t="shared" si="175"/>
        <v>31104</v>
      </c>
      <c r="AC452" s="3">
        <f t="shared" si="176"/>
        <v>316800.00000000006</v>
      </c>
      <c r="AD452" s="3">
        <f t="shared" si="177"/>
        <v>140400</v>
      </c>
      <c r="AE452" s="5">
        <f t="shared" si="178"/>
        <v>2.8985507246376816</v>
      </c>
      <c r="AF452" s="10">
        <f t="shared" si="179"/>
        <v>231413.76000000001</v>
      </c>
      <c r="AG452" s="10">
        <f t="shared" si="180"/>
        <v>74649.600000000006</v>
      </c>
      <c r="AH452" s="10">
        <f t="shared" si="181"/>
        <v>37324.800000000003</v>
      </c>
      <c r="AI452" s="10">
        <f t="shared" si="182"/>
        <v>18662.400000000001</v>
      </c>
      <c r="AJ452" s="10">
        <f t="shared" si="183"/>
        <v>11197.439999999999</v>
      </c>
    </row>
    <row r="453" spans="1:36" x14ac:dyDescent="0.3">
      <c r="A453" t="s">
        <v>1830</v>
      </c>
      <c r="B453" t="s">
        <v>1831</v>
      </c>
      <c r="C453" t="s">
        <v>1832</v>
      </c>
      <c r="D453" t="s">
        <v>268</v>
      </c>
      <c r="E453">
        <v>80452</v>
      </c>
      <c r="F453" t="s">
        <v>15</v>
      </c>
      <c r="G453">
        <v>8</v>
      </c>
      <c r="H453">
        <v>250</v>
      </c>
      <c r="I453" t="str" cm="1">
        <f t="array" ref="I453">_xlfn.IFS(H453&lt;=120,"V1",H453&lt;=150,"V2",H453&lt;=250,"V3", H453&lt;=350, "V4")</f>
        <v>V3</v>
      </c>
      <c r="J453" t="s">
        <v>1833</v>
      </c>
      <c r="K453" t="str">
        <f t="shared" si="161"/>
        <v>39.741549</v>
      </c>
      <c r="L453" t="str">
        <f t="shared" si="162"/>
        <v>-105.518358</v>
      </c>
      <c r="M453">
        <v>2303</v>
      </c>
      <c r="N453" s="1">
        <v>43867</v>
      </c>
      <c r="O453" s="1">
        <v>46099</v>
      </c>
      <c r="P453" s="2">
        <f t="shared" si="163"/>
        <v>6.1108829568788501</v>
      </c>
      <c r="Q453" s="2" t="str">
        <f t="shared" si="164"/>
        <v>Mid</v>
      </c>
      <c r="R453">
        <f t="shared" si="165"/>
        <v>2000</v>
      </c>
      <c r="S453" t="str">
        <f t="shared" si="166"/>
        <v>Small</v>
      </c>
      <c r="T453" t="str">
        <f t="shared" si="167"/>
        <v>High EV Adoption Corridor</v>
      </c>
      <c r="U453" s="3">
        <f t="shared" si="168"/>
        <v>4680000</v>
      </c>
      <c r="V453" s="4">
        <f t="shared" si="169"/>
        <v>1056000</v>
      </c>
      <c r="W453" s="3">
        <f t="shared" si="170"/>
        <v>13200000.000000002</v>
      </c>
      <c r="X453" s="3">
        <f t="shared" si="171"/>
        <v>9900000.0000000019</v>
      </c>
      <c r="Y453">
        <f t="shared" si="172"/>
        <v>0.23999999999999996</v>
      </c>
      <c r="Z453">
        <f t="shared" si="173"/>
        <v>0.77435897435897438</v>
      </c>
      <c r="AA453" t="str">
        <f t="shared" si="174"/>
        <v>Tier 1 - Priority Fleet</v>
      </c>
      <c r="AB453" s="3">
        <f t="shared" si="175"/>
        <v>132000</v>
      </c>
      <c r="AC453" s="3">
        <f t="shared" si="176"/>
        <v>1650000.0000000002</v>
      </c>
      <c r="AD453" s="3">
        <f t="shared" si="177"/>
        <v>585000</v>
      </c>
      <c r="AE453" s="5">
        <f t="shared" si="178"/>
        <v>3.6423841059602653</v>
      </c>
      <c r="AF453" s="10">
        <f t="shared" si="179"/>
        <v>654720</v>
      </c>
      <c r="AG453" s="10">
        <f t="shared" si="180"/>
        <v>211200</v>
      </c>
      <c r="AH453" s="10">
        <f t="shared" si="181"/>
        <v>105600</v>
      </c>
      <c r="AI453" s="10">
        <f t="shared" si="182"/>
        <v>52800</v>
      </c>
      <c r="AJ453" s="10">
        <f t="shared" si="183"/>
        <v>31680</v>
      </c>
    </row>
    <row r="454" spans="1:36" x14ac:dyDescent="0.3">
      <c r="A454" t="s">
        <v>1834</v>
      </c>
      <c r="B454" t="s">
        <v>1835</v>
      </c>
      <c r="C454" t="s">
        <v>1836</v>
      </c>
      <c r="D454" t="s">
        <v>14</v>
      </c>
      <c r="E454">
        <v>90266</v>
      </c>
      <c r="F454" t="s">
        <v>15</v>
      </c>
      <c r="G454">
        <v>24</v>
      </c>
      <c r="H454">
        <v>72</v>
      </c>
      <c r="I454" t="str" cm="1">
        <f t="array" ref="I454">_xlfn.IFS(H454&lt;=120,"V1",H454&lt;=150,"V2",H454&lt;=250,"V3", H454&lt;=350, "V4")</f>
        <v>V1</v>
      </c>
      <c r="J454" t="s">
        <v>1837</v>
      </c>
      <c r="K454" t="str">
        <f t="shared" si="161"/>
        <v>33.901472</v>
      </c>
      <c r="L454" t="str">
        <f t="shared" si="162"/>
        <v>-118.393833</v>
      </c>
      <c r="M454">
        <v>37</v>
      </c>
      <c r="N454" s="1">
        <v>43440</v>
      </c>
      <c r="O454" s="1">
        <v>46099</v>
      </c>
      <c r="P454" s="2">
        <f t="shared" si="163"/>
        <v>7.2799452429842573</v>
      </c>
      <c r="Q454" s="2" t="str">
        <f t="shared" si="164"/>
        <v>Mid</v>
      </c>
      <c r="R454">
        <f t="shared" si="165"/>
        <v>1728</v>
      </c>
      <c r="S454" t="str">
        <f t="shared" si="166"/>
        <v>Small</v>
      </c>
      <c r="T454" t="str">
        <f t="shared" si="167"/>
        <v>High EV Adoption Corridor</v>
      </c>
      <c r="U454" s="3">
        <f t="shared" si="168"/>
        <v>3369600</v>
      </c>
      <c r="V454" s="4">
        <f t="shared" si="169"/>
        <v>746496</v>
      </c>
      <c r="W454" s="3">
        <f t="shared" si="170"/>
        <v>7603200.0000000009</v>
      </c>
      <c r="X454" s="3">
        <f t="shared" si="171"/>
        <v>6998400</v>
      </c>
      <c r="Y454">
        <f t="shared" si="172"/>
        <v>0.21530864197530863</v>
      </c>
      <c r="Z454">
        <f t="shared" si="173"/>
        <v>0.77846153846153843</v>
      </c>
      <c r="AA454" t="str">
        <f t="shared" si="174"/>
        <v>Tier 3 - Upgrade Pipeline</v>
      </c>
      <c r="AB454" s="3">
        <f t="shared" si="175"/>
        <v>31104</v>
      </c>
      <c r="AC454" s="3">
        <f t="shared" si="176"/>
        <v>316800.00000000006</v>
      </c>
      <c r="AD454" s="3">
        <f t="shared" si="177"/>
        <v>140400</v>
      </c>
      <c r="AE454" s="5">
        <f t="shared" si="178"/>
        <v>2.8985507246376816</v>
      </c>
      <c r="AF454" s="10">
        <f t="shared" si="179"/>
        <v>462827.52000000002</v>
      </c>
      <c r="AG454" s="10">
        <f t="shared" si="180"/>
        <v>149299.20000000001</v>
      </c>
      <c r="AH454" s="10">
        <f t="shared" si="181"/>
        <v>74649.600000000006</v>
      </c>
      <c r="AI454" s="10">
        <f t="shared" si="182"/>
        <v>37324.800000000003</v>
      </c>
      <c r="AJ454" s="10">
        <f t="shared" si="183"/>
        <v>22394.879999999997</v>
      </c>
    </row>
    <row r="455" spans="1:36" x14ac:dyDescent="0.3">
      <c r="A455" t="s">
        <v>1838</v>
      </c>
      <c r="B455" t="s">
        <v>1839</v>
      </c>
      <c r="C455" t="s">
        <v>1840</v>
      </c>
      <c r="D455" t="s">
        <v>41</v>
      </c>
      <c r="E455">
        <v>33619</v>
      </c>
      <c r="F455" t="s">
        <v>15</v>
      </c>
      <c r="G455">
        <v>8</v>
      </c>
      <c r="H455">
        <v>150</v>
      </c>
      <c r="I455" t="str" cm="1">
        <f t="array" ref="I455">_xlfn.IFS(H455&lt;=120,"V1",H455&lt;=150,"V2",H455&lt;=250,"V3", H455&lt;=350, "V4")</f>
        <v>V2</v>
      </c>
      <c r="J455" t="s">
        <v>1841</v>
      </c>
      <c r="K455" t="str">
        <f t="shared" si="161"/>
        <v>27.965757</v>
      </c>
      <c r="L455" t="str">
        <f t="shared" si="162"/>
        <v>-82.402577</v>
      </c>
      <c r="M455">
        <v>12</v>
      </c>
      <c r="N455" s="1">
        <v>43155</v>
      </c>
      <c r="O455" s="1">
        <v>46099</v>
      </c>
      <c r="P455" s="2">
        <f t="shared" si="163"/>
        <v>8.0602327173169055</v>
      </c>
      <c r="Q455" s="2" t="str">
        <f t="shared" si="164"/>
        <v>Old</v>
      </c>
      <c r="R455">
        <f t="shared" si="165"/>
        <v>1200</v>
      </c>
      <c r="S455" t="str">
        <f t="shared" si="166"/>
        <v>Small</v>
      </c>
      <c r="T455" t="str">
        <f t="shared" si="167"/>
        <v>High EV Adoption Corridor</v>
      </c>
      <c r="U455" s="3">
        <f t="shared" si="168"/>
        <v>2574000.0000000005</v>
      </c>
      <c r="V455" s="4">
        <f t="shared" si="169"/>
        <v>576000</v>
      </c>
      <c r="W455" s="3">
        <f t="shared" si="170"/>
        <v>6600000.0000000009</v>
      </c>
      <c r="X455" s="3">
        <f t="shared" si="171"/>
        <v>5400000</v>
      </c>
      <c r="Y455">
        <f t="shared" si="172"/>
        <v>0.22888888888888889</v>
      </c>
      <c r="Z455">
        <f t="shared" si="173"/>
        <v>0.77622377622377625</v>
      </c>
      <c r="AA455" t="str">
        <f t="shared" si="174"/>
        <v>Tier 3 - Upgrade Pipeline</v>
      </c>
      <c r="AB455" s="3">
        <f t="shared" si="175"/>
        <v>72000</v>
      </c>
      <c r="AC455" s="3">
        <f t="shared" si="176"/>
        <v>825000.00000000012</v>
      </c>
      <c r="AD455" s="3">
        <f t="shared" si="177"/>
        <v>321750.00000000006</v>
      </c>
      <c r="AE455" s="5">
        <f t="shared" si="178"/>
        <v>3.303303303303303</v>
      </c>
      <c r="AF455" s="10">
        <f t="shared" si="179"/>
        <v>357120</v>
      </c>
      <c r="AG455" s="10">
        <f t="shared" si="180"/>
        <v>115200</v>
      </c>
      <c r="AH455" s="10">
        <f t="shared" si="181"/>
        <v>57600</v>
      </c>
      <c r="AI455" s="10">
        <f t="shared" si="182"/>
        <v>28800</v>
      </c>
      <c r="AJ455" s="10">
        <f t="shared" si="183"/>
        <v>17280</v>
      </c>
    </row>
    <row r="456" spans="1:36" x14ac:dyDescent="0.3">
      <c r="A456" t="s">
        <v>1842</v>
      </c>
      <c r="B456" t="s">
        <v>1843</v>
      </c>
      <c r="C456" t="s">
        <v>1844</v>
      </c>
      <c r="D456" t="s">
        <v>268</v>
      </c>
      <c r="E456">
        <v>81052</v>
      </c>
      <c r="F456" t="s">
        <v>15</v>
      </c>
      <c r="G456">
        <v>8</v>
      </c>
      <c r="H456">
        <v>250</v>
      </c>
      <c r="I456" t="str" cm="1">
        <f t="array" ref="I456">_xlfn.IFS(H456&lt;=120,"V1",H456&lt;=150,"V2",H456&lt;=250,"V3", H456&lt;=350, "V4")</f>
        <v>V3</v>
      </c>
      <c r="J456" t="s">
        <v>1845</v>
      </c>
      <c r="K456" t="str">
        <f t="shared" si="161"/>
        <v>38.089378</v>
      </c>
      <c r="L456" t="str">
        <f t="shared" si="162"/>
        <v>-102.618303</v>
      </c>
      <c r="M456">
        <v>1103</v>
      </c>
      <c r="N456" s="1">
        <v>44702</v>
      </c>
      <c r="O456" s="1">
        <v>46099</v>
      </c>
      <c r="P456" s="2">
        <f t="shared" si="163"/>
        <v>3.8247775496235454</v>
      </c>
      <c r="Q456" s="2" t="str">
        <f t="shared" si="164"/>
        <v>Mid</v>
      </c>
      <c r="R456">
        <f t="shared" si="165"/>
        <v>2000</v>
      </c>
      <c r="S456" t="str">
        <f t="shared" si="166"/>
        <v>Small</v>
      </c>
      <c r="T456" t="str">
        <f t="shared" si="167"/>
        <v>High EV Adoption Corridor</v>
      </c>
      <c r="U456" s="3">
        <f t="shared" si="168"/>
        <v>4680000</v>
      </c>
      <c r="V456" s="4">
        <f t="shared" si="169"/>
        <v>1056000</v>
      </c>
      <c r="W456" s="3">
        <f t="shared" si="170"/>
        <v>13200000.000000002</v>
      </c>
      <c r="X456" s="3">
        <f t="shared" si="171"/>
        <v>9900000.0000000019</v>
      </c>
      <c r="Y456">
        <f t="shared" si="172"/>
        <v>0.23999999999999996</v>
      </c>
      <c r="Z456">
        <f t="shared" si="173"/>
        <v>0.77435897435897438</v>
      </c>
      <c r="AA456" t="str">
        <f t="shared" si="174"/>
        <v>Tier 1 - Priority Fleet</v>
      </c>
      <c r="AB456" s="3">
        <f t="shared" si="175"/>
        <v>132000</v>
      </c>
      <c r="AC456" s="3">
        <f t="shared" si="176"/>
        <v>1650000.0000000002</v>
      </c>
      <c r="AD456" s="3">
        <f t="shared" si="177"/>
        <v>585000</v>
      </c>
      <c r="AE456" s="5">
        <f t="shared" si="178"/>
        <v>3.6423841059602653</v>
      </c>
      <c r="AF456" s="10">
        <f t="shared" si="179"/>
        <v>654720</v>
      </c>
      <c r="AG456" s="10">
        <f t="shared" si="180"/>
        <v>211200</v>
      </c>
      <c r="AH456" s="10">
        <f t="shared" si="181"/>
        <v>105600</v>
      </c>
      <c r="AI456" s="10">
        <f t="shared" si="182"/>
        <v>52800</v>
      </c>
      <c r="AJ456" s="10">
        <f t="shared" si="183"/>
        <v>31680</v>
      </c>
    </row>
    <row r="457" spans="1:36" x14ac:dyDescent="0.3">
      <c r="A457" t="s">
        <v>1846</v>
      </c>
      <c r="B457" t="s">
        <v>1847</v>
      </c>
      <c r="C457" t="s">
        <v>354</v>
      </c>
      <c r="D457" t="s">
        <v>72</v>
      </c>
      <c r="E457">
        <v>85016</v>
      </c>
      <c r="F457" t="s">
        <v>15</v>
      </c>
      <c r="G457">
        <v>16</v>
      </c>
      <c r="H457">
        <v>72</v>
      </c>
      <c r="I457" t="str" cm="1">
        <f t="array" ref="I457">_xlfn.IFS(H457&lt;=120,"V1",H457&lt;=150,"V2",H457&lt;=250,"V3", H457&lt;=350, "V4")</f>
        <v>V1</v>
      </c>
      <c r="J457" t="s">
        <v>1848</v>
      </c>
      <c r="K457" t="str">
        <f t="shared" si="161"/>
        <v>33.511555</v>
      </c>
      <c r="L457" t="str">
        <f t="shared" si="162"/>
        <v>-112.026392</v>
      </c>
      <c r="M457">
        <v>360</v>
      </c>
      <c r="N457" s="1">
        <v>43186</v>
      </c>
      <c r="O457" s="1">
        <v>46099</v>
      </c>
      <c r="P457" s="2">
        <f t="shared" si="163"/>
        <v>7.9753593429158114</v>
      </c>
      <c r="Q457" s="2" t="str">
        <f t="shared" si="164"/>
        <v>Mid</v>
      </c>
      <c r="R457">
        <f t="shared" si="165"/>
        <v>1152</v>
      </c>
      <c r="S457" t="str">
        <f t="shared" si="166"/>
        <v>Small</v>
      </c>
      <c r="T457" t="str">
        <f t="shared" si="167"/>
        <v>Lower EV Adoption Corridor</v>
      </c>
      <c r="U457" s="3">
        <f t="shared" si="168"/>
        <v>1728000</v>
      </c>
      <c r="V457" s="4">
        <f t="shared" si="169"/>
        <v>414720</v>
      </c>
      <c r="W457" s="3">
        <f t="shared" si="170"/>
        <v>4608000</v>
      </c>
      <c r="X457" s="3">
        <f t="shared" si="171"/>
        <v>3110400</v>
      </c>
      <c r="Y457">
        <f t="shared" si="172"/>
        <v>0.2814814814814815</v>
      </c>
      <c r="Z457">
        <f t="shared" si="173"/>
        <v>0.76</v>
      </c>
      <c r="AA457" t="str">
        <f t="shared" si="174"/>
        <v>Tier 5 - Retirement Pipeline</v>
      </c>
      <c r="AB457" s="3">
        <f t="shared" si="175"/>
        <v>25920</v>
      </c>
      <c r="AC457" s="3">
        <f t="shared" si="176"/>
        <v>288000</v>
      </c>
      <c r="AD457" s="3">
        <f t="shared" si="177"/>
        <v>108000</v>
      </c>
      <c r="AE457" s="5">
        <f t="shared" si="178"/>
        <v>3.5087719298245612</v>
      </c>
      <c r="AF457" s="10">
        <f t="shared" si="179"/>
        <v>257126.39999999999</v>
      </c>
      <c r="AG457" s="10">
        <f t="shared" si="180"/>
        <v>82944</v>
      </c>
      <c r="AH457" s="10">
        <f t="shared" si="181"/>
        <v>41472</v>
      </c>
      <c r="AI457" s="10">
        <f t="shared" si="182"/>
        <v>20736</v>
      </c>
      <c r="AJ457" s="10">
        <f t="shared" si="183"/>
        <v>12441.6</v>
      </c>
    </row>
    <row r="458" spans="1:36" x14ac:dyDescent="0.3">
      <c r="A458" t="s">
        <v>1849</v>
      </c>
      <c r="B458" t="s">
        <v>1850</v>
      </c>
      <c r="C458" t="s">
        <v>1851</v>
      </c>
      <c r="D458" t="s">
        <v>14</v>
      </c>
      <c r="E458">
        <v>95037</v>
      </c>
      <c r="F458" t="s">
        <v>15</v>
      </c>
      <c r="G458">
        <v>14</v>
      </c>
      <c r="H458">
        <v>72</v>
      </c>
      <c r="I458" t="str" cm="1">
        <f t="array" ref="I458">_xlfn.IFS(H458&lt;=120,"V1",H458&lt;=150,"V2",H458&lt;=250,"V3", H458&lt;=350, "V4")</f>
        <v>V1</v>
      </c>
      <c r="J458" t="s">
        <v>1852</v>
      </c>
      <c r="K458" t="str">
        <f t="shared" si="161"/>
        <v>37.156827</v>
      </c>
      <c r="L458" t="str">
        <f t="shared" si="162"/>
        <v>-121.653693</v>
      </c>
      <c r="M458">
        <v>117</v>
      </c>
      <c r="N458" s="1">
        <v>43762</v>
      </c>
      <c r="O458" s="1">
        <v>46099</v>
      </c>
      <c r="P458" s="2">
        <f t="shared" si="163"/>
        <v>6.3983572895277208</v>
      </c>
      <c r="Q458" s="2" t="str">
        <f t="shared" si="164"/>
        <v>Mid</v>
      </c>
      <c r="R458">
        <f t="shared" si="165"/>
        <v>1008</v>
      </c>
      <c r="S458" t="str">
        <f t="shared" si="166"/>
        <v>Small</v>
      </c>
      <c r="T458" t="str">
        <f t="shared" si="167"/>
        <v>High EV Adoption Corridor</v>
      </c>
      <c r="U458" s="3">
        <f t="shared" si="168"/>
        <v>1965600</v>
      </c>
      <c r="V458" s="4">
        <f t="shared" si="169"/>
        <v>435456</v>
      </c>
      <c r="W458" s="3">
        <f t="shared" si="170"/>
        <v>4435200</v>
      </c>
      <c r="X458" s="3">
        <f t="shared" si="171"/>
        <v>4082400</v>
      </c>
      <c r="Y458">
        <f t="shared" si="172"/>
        <v>0.21530864197530863</v>
      </c>
      <c r="Z458">
        <f t="shared" si="173"/>
        <v>0.77846153846153843</v>
      </c>
      <c r="AA458" t="str">
        <f t="shared" si="174"/>
        <v>Tier 3 - Upgrade Pipeline</v>
      </c>
      <c r="AB458" s="3">
        <f t="shared" si="175"/>
        <v>31104</v>
      </c>
      <c r="AC458" s="3">
        <f t="shared" si="176"/>
        <v>316800</v>
      </c>
      <c r="AD458" s="3">
        <f t="shared" si="177"/>
        <v>140400</v>
      </c>
      <c r="AE458" s="5">
        <f t="shared" si="178"/>
        <v>2.8985507246376812</v>
      </c>
      <c r="AF458" s="10">
        <f t="shared" si="179"/>
        <v>269982.71999999997</v>
      </c>
      <c r="AG458" s="10">
        <f t="shared" si="180"/>
        <v>87091.200000000012</v>
      </c>
      <c r="AH458" s="10">
        <f t="shared" si="181"/>
        <v>43545.600000000006</v>
      </c>
      <c r="AI458" s="10">
        <f t="shared" si="182"/>
        <v>21772.800000000003</v>
      </c>
      <c r="AJ458" s="10">
        <f t="shared" si="183"/>
        <v>13063.68</v>
      </c>
    </row>
    <row r="459" spans="1:36" x14ac:dyDescent="0.3">
      <c r="A459" t="s">
        <v>1853</v>
      </c>
      <c r="B459" t="s">
        <v>1854</v>
      </c>
      <c r="C459" t="s">
        <v>1855</v>
      </c>
      <c r="D459" t="s">
        <v>153</v>
      </c>
      <c r="E459">
        <v>19107</v>
      </c>
      <c r="F459" t="s">
        <v>15</v>
      </c>
      <c r="G459">
        <v>6</v>
      </c>
      <c r="H459">
        <v>72</v>
      </c>
      <c r="I459" t="str" cm="1">
        <f t="array" ref="I459">_xlfn.IFS(H459&lt;=120,"V1",H459&lt;=150,"V2",H459&lt;=250,"V3", H459&lt;=350, "V4")</f>
        <v>V1</v>
      </c>
      <c r="J459" t="s">
        <v>1856</v>
      </c>
      <c r="K459" t="str">
        <f t="shared" si="161"/>
        <v>39.951276</v>
      </c>
      <c r="L459" t="str">
        <f t="shared" si="162"/>
        <v>-75.158667</v>
      </c>
      <c r="M459">
        <v>14</v>
      </c>
      <c r="N459" s="1">
        <v>43611</v>
      </c>
      <c r="O459" s="1">
        <v>46099</v>
      </c>
      <c r="P459" s="2">
        <f t="shared" si="163"/>
        <v>6.8117727583846683</v>
      </c>
      <c r="Q459" s="2" t="str">
        <f t="shared" si="164"/>
        <v>Mid</v>
      </c>
      <c r="R459">
        <f t="shared" si="165"/>
        <v>432</v>
      </c>
      <c r="S459" t="str">
        <f t="shared" si="166"/>
        <v>Small</v>
      </c>
      <c r="T459" t="str">
        <f t="shared" si="167"/>
        <v>Lower EV Adoption Corridor</v>
      </c>
      <c r="U459" s="3">
        <f t="shared" si="168"/>
        <v>648000</v>
      </c>
      <c r="V459" s="4">
        <f t="shared" si="169"/>
        <v>155520</v>
      </c>
      <c r="W459" s="3">
        <f t="shared" si="170"/>
        <v>1728000</v>
      </c>
      <c r="X459" s="3">
        <f t="shared" si="171"/>
        <v>1166400</v>
      </c>
      <c r="Y459">
        <f t="shared" si="172"/>
        <v>0.2814814814814815</v>
      </c>
      <c r="Z459">
        <f t="shared" si="173"/>
        <v>0.76</v>
      </c>
      <c r="AA459" t="str">
        <f t="shared" si="174"/>
        <v>Tier 5 - Retirement Pipeline</v>
      </c>
      <c r="AB459" s="3">
        <f t="shared" si="175"/>
        <v>25920</v>
      </c>
      <c r="AC459" s="3">
        <f t="shared" si="176"/>
        <v>288000</v>
      </c>
      <c r="AD459" s="3">
        <f t="shared" si="177"/>
        <v>108000</v>
      </c>
      <c r="AE459" s="5">
        <f t="shared" si="178"/>
        <v>3.5087719298245612</v>
      </c>
      <c r="AF459" s="10">
        <f t="shared" si="179"/>
        <v>96422.399999999994</v>
      </c>
      <c r="AG459" s="10">
        <f t="shared" si="180"/>
        <v>31104</v>
      </c>
      <c r="AH459" s="10">
        <f t="shared" si="181"/>
        <v>15552</v>
      </c>
      <c r="AI459" s="10">
        <f t="shared" si="182"/>
        <v>7776</v>
      </c>
      <c r="AJ459" s="10">
        <f t="shared" si="183"/>
        <v>4665.5999999999995</v>
      </c>
    </row>
    <row r="460" spans="1:36" x14ac:dyDescent="0.3">
      <c r="A460" t="s">
        <v>1857</v>
      </c>
      <c r="B460" t="s">
        <v>1858</v>
      </c>
      <c r="C460" t="s">
        <v>1859</v>
      </c>
      <c r="D460" t="s">
        <v>14</v>
      </c>
      <c r="E460">
        <v>90064</v>
      </c>
      <c r="F460" t="s">
        <v>15</v>
      </c>
      <c r="G460">
        <v>16</v>
      </c>
      <c r="H460">
        <v>250</v>
      </c>
      <c r="I460" t="str" cm="1">
        <f t="array" ref="I460">_xlfn.IFS(H460&lt;=120,"V1",H460&lt;=150,"V2",H460&lt;=250,"V3", H460&lt;=350, "V4")</f>
        <v>V3</v>
      </c>
      <c r="J460" t="s">
        <v>1860</v>
      </c>
      <c r="K460" t="str">
        <f t="shared" si="161"/>
        <v>34.03818</v>
      </c>
      <c r="L460" t="str">
        <f t="shared" si="162"/>
        <v>-118.443301</v>
      </c>
      <c r="M460">
        <v>58</v>
      </c>
      <c r="N460" s="1">
        <v>44884</v>
      </c>
      <c r="O460" s="1">
        <v>46099</v>
      </c>
      <c r="P460" s="2">
        <f t="shared" si="163"/>
        <v>3.3264887063655029</v>
      </c>
      <c r="Q460" s="2" t="str">
        <f t="shared" si="164"/>
        <v>Mid</v>
      </c>
      <c r="R460">
        <f t="shared" si="165"/>
        <v>4000</v>
      </c>
      <c r="S460" t="str">
        <f t="shared" si="166"/>
        <v>Small</v>
      </c>
      <c r="T460" t="str">
        <f t="shared" si="167"/>
        <v>High EV Adoption Corridor</v>
      </c>
      <c r="U460" s="3">
        <f t="shared" si="168"/>
        <v>9360000</v>
      </c>
      <c r="V460" s="4">
        <f t="shared" si="169"/>
        <v>2112000</v>
      </c>
      <c r="W460" s="3">
        <f t="shared" si="170"/>
        <v>26400000.000000004</v>
      </c>
      <c r="X460" s="3">
        <f t="shared" si="171"/>
        <v>19800000.000000004</v>
      </c>
      <c r="Y460">
        <f t="shared" si="172"/>
        <v>0.23999999999999996</v>
      </c>
      <c r="Z460">
        <f t="shared" si="173"/>
        <v>0.77435897435897438</v>
      </c>
      <c r="AA460" t="str">
        <f t="shared" si="174"/>
        <v>Tier 1 - Priority Fleet</v>
      </c>
      <c r="AB460" s="3">
        <f t="shared" si="175"/>
        <v>132000</v>
      </c>
      <c r="AC460" s="3">
        <f t="shared" si="176"/>
        <v>1650000.0000000002</v>
      </c>
      <c r="AD460" s="3">
        <f t="shared" si="177"/>
        <v>585000</v>
      </c>
      <c r="AE460" s="5">
        <f t="shared" si="178"/>
        <v>3.6423841059602653</v>
      </c>
      <c r="AF460" s="10">
        <f t="shared" si="179"/>
        <v>1309440</v>
      </c>
      <c r="AG460" s="10">
        <f t="shared" si="180"/>
        <v>422400</v>
      </c>
      <c r="AH460" s="10">
        <f t="shared" si="181"/>
        <v>211200</v>
      </c>
      <c r="AI460" s="10">
        <f t="shared" si="182"/>
        <v>105600</v>
      </c>
      <c r="AJ460" s="10">
        <f t="shared" si="183"/>
        <v>63360</v>
      </c>
    </row>
    <row r="461" spans="1:36" x14ac:dyDescent="0.3">
      <c r="A461" t="s">
        <v>1861</v>
      </c>
      <c r="B461" t="s">
        <v>1862</v>
      </c>
      <c r="C461" t="s">
        <v>1863</v>
      </c>
      <c r="D461" t="s">
        <v>852</v>
      </c>
      <c r="E461">
        <v>7728</v>
      </c>
      <c r="F461" t="s">
        <v>15</v>
      </c>
      <c r="G461">
        <v>8</v>
      </c>
      <c r="H461">
        <v>250</v>
      </c>
      <c r="I461" t="str" cm="1">
        <f t="array" ref="I461">_xlfn.IFS(H461&lt;=120,"V1",H461&lt;=150,"V2",H461&lt;=250,"V3", H461&lt;=350, "V4")</f>
        <v>V3</v>
      </c>
      <c r="J461" t="s">
        <v>1864</v>
      </c>
      <c r="K461" t="str">
        <f t="shared" si="161"/>
        <v>40.238319</v>
      </c>
      <c r="L461" t="str">
        <f t="shared" si="162"/>
        <v>-74.228021</v>
      </c>
      <c r="M461">
        <v>43</v>
      </c>
      <c r="N461" s="1">
        <v>44006</v>
      </c>
      <c r="O461" s="1">
        <v>46099</v>
      </c>
      <c r="P461" s="2">
        <f t="shared" si="163"/>
        <v>5.7303216974674882</v>
      </c>
      <c r="Q461" s="2" t="str">
        <f t="shared" si="164"/>
        <v>Mid</v>
      </c>
      <c r="R461">
        <f t="shared" si="165"/>
        <v>2000</v>
      </c>
      <c r="S461" t="str">
        <f t="shared" si="166"/>
        <v>Small</v>
      </c>
      <c r="T461" t="str">
        <f t="shared" si="167"/>
        <v>High EV Adoption Corridor</v>
      </c>
      <c r="U461" s="3">
        <f t="shared" si="168"/>
        <v>4680000</v>
      </c>
      <c r="V461" s="4">
        <f t="shared" si="169"/>
        <v>1056000</v>
      </c>
      <c r="W461" s="3">
        <f t="shared" si="170"/>
        <v>13200000.000000002</v>
      </c>
      <c r="X461" s="3">
        <f t="shared" si="171"/>
        <v>9900000.0000000019</v>
      </c>
      <c r="Y461">
        <f t="shared" si="172"/>
        <v>0.23999999999999996</v>
      </c>
      <c r="Z461">
        <f t="shared" si="173"/>
        <v>0.77435897435897438</v>
      </c>
      <c r="AA461" t="str">
        <f t="shared" si="174"/>
        <v>Tier 1 - Priority Fleet</v>
      </c>
      <c r="AB461" s="3">
        <f t="shared" si="175"/>
        <v>132000</v>
      </c>
      <c r="AC461" s="3">
        <f t="shared" si="176"/>
        <v>1650000.0000000002</v>
      </c>
      <c r="AD461" s="3">
        <f t="shared" si="177"/>
        <v>585000</v>
      </c>
      <c r="AE461" s="5">
        <f t="shared" si="178"/>
        <v>3.6423841059602653</v>
      </c>
      <c r="AF461" s="10">
        <f t="shared" si="179"/>
        <v>654720</v>
      </c>
      <c r="AG461" s="10">
        <f t="shared" si="180"/>
        <v>211200</v>
      </c>
      <c r="AH461" s="10">
        <f t="shared" si="181"/>
        <v>105600</v>
      </c>
      <c r="AI461" s="10">
        <f t="shared" si="182"/>
        <v>52800</v>
      </c>
      <c r="AJ461" s="10">
        <f t="shared" si="183"/>
        <v>31680</v>
      </c>
    </row>
    <row r="462" spans="1:36" x14ac:dyDescent="0.3">
      <c r="A462" t="s">
        <v>1865</v>
      </c>
      <c r="B462" t="s">
        <v>1866</v>
      </c>
      <c r="C462" t="s">
        <v>1867</v>
      </c>
      <c r="D462" t="s">
        <v>50</v>
      </c>
      <c r="E462">
        <v>78230</v>
      </c>
      <c r="F462" t="s">
        <v>15</v>
      </c>
      <c r="G462">
        <v>10</v>
      </c>
      <c r="H462">
        <v>122</v>
      </c>
      <c r="I462" t="str" cm="1">
        <f t="array" ref="I462">_xlfn.IFS(H462&lt;=120,"V1",H462&lt;=150,"V2",H462&lt;=250,"V3", H462&lt;=350, "V4")</f>
        <v>V2</v>
      </c>
      <c r="J462" t="s">
        <v>1868</v>
      </c>
      <c r="K462" t="str">
        <f t="shared" si="161"/>
        <v>29.549585</v>
      </c>
      <c r="L462" t="str">
        <f t="shared" si="162"/>
        <v>-98.582722</v>
      </c>
      <c r="M462">
        <v>305</v>
      </c>
      <c r="N462" s="1">
        <v>43699</v>
      </c>
      <c r="O462" s="1">
        <v>46099</v>
      </c>
      <c r="P462" s="2">
        <f t="shared" si="163"/>
        <v>6.5708418891170428</v>
      </c>
      <c r="Q462" s="2" t="str">
        <f t="shared" si="164"/>
        <v>Mid</v>
      </c>
      <c r="R462">
        <f t="shared" si="165"/>
        <v>1220</v>
      </c>
      <c r="S462" t="str">
        <f t="shared" si="166"/>
        <v>Small</v>
      </c>
      <c r="T462" t="str">
        <f t="shared" si="167"/>
        <v>High EV Adoption Corridor</v>
      </c>
      <c r="U462" s="3">
        <f t="shared" si="168"/>
        <v>2616900.0000000005</v>
      </c>
      <c r="V462" s="4">
        <f t="shared" si="169"/>
        <v>585600</v>
      </c>
      <c r="W462" s="3">
        <f t="shared" si="170"/>
        <v>6710000.0000000009</v>
      </c>
      <c r="X462" s="3">
        <f t="shared" si="171"/>
        <v>5490000</v>
      </c>
      <c r="Y462">
        <f t="shared" si="172"/>
        <v>0.22888888888888889</v>
      </c>
      <c r="Z462">
        <f t="shared" si="173"/>
        <v>0.77622377622377625</v>
      </c>
      <c r="AA462" t="str">
        <f t="shared" si="174"/>
        <v>Tier 3 - Upgrade Pipeline</v>
      </c>
      <c r="AB462" s="3">
        <f t="shared" si="175"/>
        <v>58560</v>
      </c>
      <c r="AC462" s="3">
        <f t="shared" si="176"/>
        <v>671000.00000000012</v>
      </c>
      <c r="AD462" s="3">
        <f t="shared" si="177"/>
        <v>261690.00000000006</v>
      </c>
      <c r="AE462" s="5">
        <f t="shared" si="178"/>
        <v>3.303303303303303</v>
      </c>
      <c r="AF462" s="10">
        <f t="shared" si="179"/>
        <v>363072</v>
      </c>
      <c r="AG462" s="10">
        <f t="shared" si="180"/>
        <v>117120</v>
      </c>
      <c r="AH462" s="10">
        <f t="shared" si="181"/>
        <v>58560</v>
      </c>
      <c r="AI462" s="10">
        <f t="shared" si="182"/>
        <v>29280</v>
      </c>
      <c r="AJ462" s="10">
        <f t="shared" si="183"/>
        <v>17568</v>
      </c>
    </row>
    <row r="463" spans="1:36" x14ac:dyDescent="0.3">
      <c r="A463" t="s">
        <v>1869</v>
      </c>
      <c r="B463" t="s">
        <v>1870</v>
      </c>
      <c r="C463" t="s">
        <v>1871</v>
      </c>
      <c r="D463" t="s">
        <v>1872</v>
      </c>
      <c r="E463">
        <v>20007</v>
      </c>
      <c r="F463" t="s">
        <v>15</v>
      </c>
      <c r="G463">
        <v>8</v>
      </c>
      <c r="H463">
        <v>72</v>
      </c>
      <c r="I463" t="str" cm="1">
        <f t="array" ref="I463">_xlfn.IFS(H463&lt;=120,"V1",H463&lt;=150,"V2",H463&lt;=250,"V3", H463&lt;=350, "V4")</f>
        <v>V1</v>
      </c>
      <c r="J463" t="s">
        <v>1873</v>
      </c>
      <c r="K463" t="str">
        <f t="shared" si="161"/>
        <v>38.91655</v>
      </c>
      <c r="L463" t="str">
        <f t="shared" si="162"/>
        <v>-77.066175</v>
      </c>
      <c r="M463">
        <v>51</v>
      </c>
      <c r="N463" s="1">
        <v>43896</v>
      </c>
      <c r="O463" s="1">
        <v>46099</v>
      </c>
      <c r="P463" s="2">
        <f t="shared" si="163"/>
        <v>6.0314852840520192</v>
      </c>
      <c r="Q463" s="2" t="str">
        <f t="shared" si="164"/>
        <v>Mid</v>
      </c>
      <c r="R463">
        <f t="shared" si="165"/>
        <v>576</v>
      </c>
      <c r="S463" t="str">
        <f t="shared" si="166"/>
        <v>Small</v>
      </c>
      <c r="T463" t="str">
        <f t="shared" si="167"/>
        <v>Lower EV Adoption Corridor</v>
      </c>
      <c r="U463" s="3">
        <f t="shared" si="168"/>
        <v>864000</v>
      </c>
      <c r="V463" s="4">
        <f t="shared" si="169"/>
        <v>207360</v>
      </c>
      <c r="W463" s="3">
        <f t="shared" si="170"/>
        <v>2304000</v>
      </c>
      <c r="X463" s="3">
        <f t="shared" si="171"/>
        <v>1555200</v>
      </c>
      <c r="Y463">
        <f t="shared" si="172"/>
        <v>0.2814814814814815</v>
      </c>
      <c r="Z463">
        <f t="shared" si="173"/>
        <v>0.76</v>
      </c>
      <c r="AA463" t="str">
        <f t="shared" si="174"/>
        <v>Tier 5 - Retirement Pipeline</v>
      </c>
      <c r="AB463" s="3">
        <f t="shared" si="175"/>
        <v>25920</v>
      </c>
      <c r="AC463" s="3">
        <f t="shared" si="176"/>
        <v>288000</v>
      </c>
      <c r="AD463" s="3">
        <f t="shared" si="177"/>
        <v>108000</v>
      </c>
      <c r="AE463" s="5">
        <f t="shared" si="178"/>
        <v>3.5087719298245612</v>
      </c>
      <c r="AF463" s="10">
        <f t="shared" si="179"/>
        <v>128563.2</v>
      </c>
      <c r="AG463" s="10">
        <f t="shared" si="180"/>
        <v>41472</v>
      </c>
      <c r="AH463" s="10">
        <f t="shared" si="181"/>
        <v>20736</v>
      </c>
      <c r="AI463" s="10">
        <f t="shared" si="182"/>
        <v>10368</v>
      </c>
      <c r="AJ463" s="10">
        <f t="shared" si="183"/>
        <v>6220.8</v>
      </c>
    </row>
    <row r="464" spans="1:36" x14ac:dyDescent="0.3">
      <c r="A464" t="s">
        <v>1874</v>
      </c>
      <c r="B464" t="s">
        <v>1875</v>
      </c>
      <c r="C464" t="s">
        <v>1876</v>
      </c>
      <c r="D464" t="s">
        <v>316</v>
      </c>
      <c r="E464">
        <v>97411</v>
      </c>
      <c r="F464" t="s">
        <v>15</v>
      </c>
      <c r="G464">
        <v>8</v>
      </c>
      <c r="H464">
        <v>150</v>
      </c>
      <c r="I464" t="str" cm="1">
        <f t="array" ref="I464">_xlfn.IFS(H464&lt;=120,"V1",H464&lt;=150,"V2",H464&lt;=250,"V3", H464&lt;=350, "V4")</f>
        <v>V2</v>
      </c>
      <c r="J464" t="s">
        <v>1877</v>
      </c>
      <c r="K464" t="str">
        <f t="shared" si="161"/>
        <v>43.121854</v>
      </c>
      <c r="L464" t="str">
        <f t="shared" si="162"/>
        <v>-124.398942</v>
      </c>
      <c r="M464">
        <v>23</v>
      </c>
      <c r="N464" s="1">
        <v>42678</v>
      </c>
      <c r="O464" s="1">
        <v>46099</v>
      </c>
      <c r="P464" s="2">
        <f t="shared" si="163"/>
        <v>9.3661875427789187</v>
      </c>
      <c r="Q464" s="2" t="str">
        <f t="shared" si="164"/>
        <v>Old</v>
      </c>
      <c r="R464">
        <f t="shared" si="165"/>
        <v>1200</v>
      </c>
      <c r="S464" t="str">
        <f t="shared" si="166"/>
        <v>Small</v>
      </c>
      <c r="T464" t="str">
        <f t="shared" si="167"/>
        <v>Lower EV Adoption Corridor</v>
      </c>
      <c r="U464" s="3">
        <f t="shared" si="168"/>
        <v>1980000.0000000002</v>
      </c>
      <c r="V464" s="4">
        <f t="shared" si="169"/>
        <v>480000</v>
      </c>
      <c r="W464" s="3">
        <f t="shared" si="170"/>
        <v>6000000</v>
      </c>
      <c r="X464" s="3">
        <f t="shared" si="171"/>
        <v>3600000</v>
      </c>
      <c r="Y464">
        <f t="shared" si="172"/>
        <v>0.3</v>
      </c>
      <c r="Z464">
        <f t="shared" si="173"/>
        <v>0.75757575757575757</v>
      </c>
      <c r="AA464" t="str">
        <f t="shared" si="174"/>
        <v>Tier 4 - Stable Network</v>
      </c>
      <c r="AB464" s="3">
        <f t="shared" si="175"/>
        <v>60000</v>
      </c>
      <c r="AC464" s="3">
        <f t="shared" si="176"/>
        <v>750000</v>
      </c>
      <c r="AD464" s="3">
        <f t="shared" si="177"/>
        <v>247500.00000000003</v>
      </c>
      <c r="AE464" s="5">
        <f t="shared" si="178"/>
        <v>3.9999999999999996</v>
      </c>
      <c r="AF464" s="10">
        <f t="shared" si="179"/>
        <v>297600</v>
      </c>
      <c r="AG464" s="10">
        <f t="shared" si="180"/>
        <v>96000</v>
      </c>
      <c r="AH464" s="10">
        <f t="shared" si="181"/>
        <v>48000</v>
      </c>
      <c r="AI464" s="10">
        <f t="shared" si="182"/>
        <v>24000</v>
      </c>
      <c r="AJ464" s="10">
        <f t="shared" si="183"/>
        <v>14400</v>
      </c>
    </row>
    <row r="465" spans="1:36" x14ac:dyDescent="0.3">
      <c r="A465" t="s">
        <v>1878</v>
      </c>
      <c r="B465" t="s">
        <v>1879</v>
      </c>
      <c r="C465" t="s">
        <v>1880</v>
      </c>
      <c r="D465" t="s">
        <v>415</v>
      </c>
      <c r="E465">
        <v>52241</v>
      </c>
      <c r="F465" t="s">
        <v>15</v>
      </c>
      <c r="G465">
        <v>8</v>
      </c>
      <c r="H465">
        <v>150</v>
      </c>
      <c r="I465" t="str" cm="1">
        <f t="array" ref="I465">_xlfn.IFS(H465&lt;=120,"V1",H465&lt;=150,"V2",H465&lt;=250,"V3", H465&lt;=350, "V4")</f>
        <v>V2</v>
      </c>
      <c r="J465" t="s">
        <v>1881</v>
      </c>
      <c r="K465" t="str">
        <f t="shared" si="161"/>
        <v>41.680372</v>
      </c>
      <c r="L465" t="str">
        <f t="shared" si="162"/>
        <v>-91.591467</v>
      </c>
      <c r="M465">
        <v>205</v>
      </c>
      <c r="N465" s="1">
        <v>42642</v>
      </c>
      <c r="O465" s="1">
        <v>46099</v>
      </c>
      <c r="P465" s="2">
        <f t="shared" si="163"/>
        <v>9.464750171115675</v>
      </c>
      <c r="Q465" s="2" t="str">
        <f t="shared" si="164"/>
        <v>Old</v>
      </c>
      <c r="R465">
        <f t="shared" si="165"/>
        <v>1200</v>
      </c>
      <c r="S465" t="str">
        <f t="shared" si="166"/>
        <v>Small</v>
      </c>
      <c r="T465" t="str">
        <f t="shared" si="167"/>
        <v>Lower EV Adoption Corridor</v>
      </c>
      <c r="U465" s="3">
        <f t="shared" si="168"/>
        <v>1980000.0000000002</v>
      </c>
      <c r="V465" s="4">
        <f t="shared" si="169"/>
        <v>480000</v>
      </c>
      <c r="W465" s="3">
        <f t="shared" si="170"/>
        <v>6000000</v>
      </c>
      <c r="X465" s="3">
        <f t="shared" si="171"/>
        <v>3600000</v>
      </c>
      <c r="Y465">
        <f t="shared" si="172"/>
        <v>0.3</v>
      </c>
      <c r="Z465">
        <f t="shared" si="173"/>
        <v>0.75757575757575757</v>
      </c>
      <c r="AA465" t="str">
        <f t="shared" si="174"/>
        <v>Tier 4 - Stable Network</v>
      </c>
      <c r="AB465" s="3">
        <f t="shared" si="175"/>
        <v>60000</v>
      </c>
      <c r="AC465" s="3">
        <f t="shared" si="176"/>
        <v>750000</v>
      </c>
      <c r="AD465" s="3">
        <f t="shared" si="177"/>
        <v>247500.00000000003</v>
      </c>
      <c r="AE465" s="5">
        <f t="shared" si="178"/>
        <v>3.9999999999999996</v>
      </c>
      <c r="AF465" s="10">
        <f t="shared" si="179"/>
        <v>297600</v>
      </c>
      <c r="AG465" s="10">
        <f t="shared" si="180"/>
        <v>96000</v>
      </c>
      <c r="AH465" s="10">
        <f t="shared" si="181"/>
        <v>48000</v>
      </c>
      <c r="AI465" s="10">
        <f t="shared" si="182"/>
        <v>24000</v>
      </c>
      <c r="AJ465" s="10">
        <f t="shared" si="183"/>
        <v>14400</v>
      </c>
    </row>
    <row r="466" spans="1:36" x14ac:dyDescent="0.3">
      <c r="A466" t="s">
        <v>1882</v>
      </c>
      <c r="B466" t="s">
        <v>1883</v>
      </c>
      <c r="C466" t="s">
        <v>1884</v>
      </c>
      <c r="D466" t="s">
        <v>50</v>
      </c>
      <c r="E466">
        <v>75482</v>
      </c>
      <c r="F466" t="s">
        <v>15</v>
      </c>
      <c r="G466">
        <v>8</v>
      </c>
      <c r="H466">
        <v>150</v>
      </c>
      <c r="I466" t="str" cm="1">
        <f t="array" ref="I466">_xlfn.IFS(H466&lt;=120,"V1",H466&lt;=150,"V2",H466&lt;=250,"V3", H466&lt;=350, "V4")</f>
        <v>V2</v>
      </c>
      <c r="J466" t="s">
        <v>1885</v>
      </c>
      <c r="K466" t="str">
        <f t="shared" si="161"/>
        <v>33.137172</v>
      </c>
      <c r="L466" t="str">
        <f t="shared" si="162"/>
        <v>-95.603239</v>
      </c>
      <c r="M466">
        <v>151</v>
      </c>
      <c r="N466" s="1">
        <v>42550</v>
      </c>
      <c r="O466" s="1">
        <v>46099</v>
      </c>
      <c r="P466" s="2">
        <f t="shared" si="163"/>
        <v>9.716632443531827</v>
      </c>
      <c r="Q466" s="2" t="str">
        <f t="shared" si="164"/>
        <v>Old</v>
      </c>
      <c r="R466">
        <f t="shared" si="165"/>
        <v>1200</v>
      </c>
      <c r="S466" t="str">
        <f t="shared" si="166"/>
        <v>Small</v>
      </c>
      <c r="T466" t="str">
        <f t="shared" si="167"/>
        <v>High EV Adoption Corridor</v>
      </c>
      <c r="U466" s="3">
        <f t="shared" si="168"/>
        <v>2574000.0000000005</v>
      </c>
      <c r="V466" s="4">
        <f t="shared" si="169"/>
        <v>576000</v>
      </c>
      <c r="W466" s="3">
        <f t="shared" si="170"/>
        <v>6600000.0000000009</v>
      </c>
      <c r="X466" s="3">
        <f t="shared" si="171"/>
        <v>5400000</v>
      </c>
      <c r="Y466">
        <f t="shared" si="172"/>
        <v>0.22888888888888889</v>
      </c>
      <c r="Z466">
        <f t="shared" si="173"/>
        <v>0.77622377622377625</v>
      </c>
      <c r="AA466" t="str">
        <f t="shared" si="174"/>
        <v>Tier 3 - Upgrade Pipeline</v>
      </c>
      <c r="AB466" s="3">
        <f t="shared" si="175"/>
        <v>72000</v>
      </c>
      <c r="AC466" s="3">
        <f t="shared" si="176"/>
        <v>825000.00000000012</v>
      </c>
      <c r="AD466" s="3">
        <f t="shared" si="177"/>
        <v>321750.00000000006</v>
      </c>
      <c r="AE466" s="5">
        <f t="shared" si="178"/>
        <v>3.303303303303303</v>
      </c>
      <c r="AF466" s="10">
        <f t="shared" si="179"/>
        <v>357120</v>
      </c>
      <c r="AG466" s="10">
        <f t="shared" si="180"/>
        <v>115200</v>
      </c>
      <c r="AH466" s="10">
        <f t="shared" si="181"/>
        <v>57600</v>
      </c>
      <c r="AI466" s="10">
        <f t="shared" si="182"/>
        <v>28800</v>
      </c>
      <c r="AJ466" s="10">
        <f t="shared" si="183"/>
        <v>17280</v>
      </c>
    </row>
    <row r="467" spans="1:36" x14ac:dyDescent="0.3">
      <c r="A467" t="s">
        <v>1886</v>
      </c>
      <c r="B467" t="s">
        <v>1887</v>
      </c>
      <c r="C467" t="s">
        <v>1888</v>
      </c>
      <c r="D467" t="s">
        <v>28</v>
      </c>
      <c r="E467">
        <v>31210</v>
      </c>
      <c r="F467" t="s">
        <v>15</v>
      </c>
      <c r="G467">
        <v>10</v>
      </c>
      <c r="H467">
        <v>150</v>
      </c>
      <c r="I467" t="str" cm="1">
        <f t="array" ref="I467">_xlfn.IFS(H467&lt;=120,"V1",H467&lt;=150,"V2",H467&lt;=250,"V3", H467&lt;=350, "V4")</f>
        <v>V2</v>
      </c>
      <c r="J467" t="s">
        <v>1889</v>
      </c>
      <c r="K467" t="str">
        <f t="shared" si="161"/>
        <v>32.897259</v>
      </c>
      <c r="L467" t="str">
        <f t="shared" si="162"/>
        <v>-83.689432</v>
      </c>
      <c r="M467">
        <v>113</v>
      </c>
      <c r="N467" s="1">
        <v>43457</v>
      </c>
      <c r="O467" s="1">
        <v>46099</v>
      </c>
      <c r="P467" s="2">
        <f t="shared" si="163"/>
        <v>7.2334017796030112</v>
      </c>
      <c r="Q467" s="2" t="str">
        <f t="shared" si="164"/>
        <v>Mid</v>
      </c>
      <c r="R467">
        <f t="shared" si="165"/>
        <v>1500</v>
      </c>
      <c r="S467" t="str">
        <f t="shared" si="166"/>
        <v>Small</v>
      </c>
      <c r="T467" t="str">
        <f t="shared" si="167"/>
        <v>Lower EV Adoption Corridor</v>
      </c>
      <c r="U467" s="3">
        <f t="shared" si="168"/>
        <v>2475000</v>
      </c>
      <c r="V467" s="4">
        <f t="shared" si="169"/>
        <v>600000</v>
      </c>
      <c r="W467" s="3">
        <f t="shared" si="170"/>
        <v>7500000</v>
      </c>
      <c r="X467" s="3">
        <f t="shared" si="171"/>
        <v>4500000</v>
      </c>
      <c r="Y467">
        <f t="shared" si="172"/>
        <v>0.3</v>
      </c>
      <c r="Z467">
        <f t="shared" si="173"/>
        <v>0.75757575757575757</v>
      </c>
      <c r="AA467" t="str">
        <f t="shared" si="174"/>
        <v>Tier 4 - Stable Network</v>
      </c>
      <c r="AB467" s="3">
        <f t="shared" si="175"/>
        <v>60000</v>
      </c>
      <c r="AC467" s="3">
        <f t="shared" si="176"/>
        <v>750000</v>
      </c>
      <c r="AD467" s="3">
        <f t="shared" si="177"/>
        <v>247500</v>
      </c>
      <c r="AE467" s="5">
        <f t="shared" si="178"/>
        <v>4</v>
      </c>
      <c r="AF467" s="10">
        <f t="shared" si="179"/>
        <v>372000</v>
      </c>
      <c r="AG467" s="10">
        <f t="shared" si="180"/>
        <v>120000</v>
      </c>
      <c r="AH467" s="10">
        <f t="shared" si="181"/>
        <v>60000</v>
      </c>
      <c r="AI467" s="10">
        <f t="shared" si="182"/>
        <v>30000</v>
      </c>
      <c r="AJ467" s="10">
        <f t="shared" si="183"/>
        <v>18000</v>
      </c>
    </row>
    <row r="468" spans="1:36" x14ac:dyDescent="0.3">
      <c r="A468" t="s">
        <v>1890</v>
      </c>
      <c r="B468" t="s">
        <v>1891</v>
      </c>
      <c r="C468" t="s">
        <v>1892</v>
      </c>
      <c r="D468" t="s">
        <v>41</v>
      </c>
      <c r="E468">
        <v>33324</v>
      </c>
      <c r="F468" t="s">
        <v>15</v>
      </c>
      <c r="G468">
        <v>16</v>
      </c>
      <c r="H468">
        <v>150</v>
      </c>
      <c r="I468" t="str" cm="1">
        <f t="array" ref="I468">_xlfn.IFS(H468&lt;=120,"V1",H468&lt;=150,"V2",H468&lt;=250,"V3", H468&lt;=350, "V4")</f>
        <v>V2</v>
      </c>
      <c r="J468" t="s">
        <v>1893</v>
      </c>
      <c r="K468" t="str">
        <f t="shared" si="161"/>
        <v>26.108614</v>
      </c>
      <c r="L468" t="str">
        <f t="shared" si="162"/>
        <v>-80.252268</v>
      </c>
      <c r="M468">
        <v>1</v>
      </c>
      <c r="N468" s="1">
        <v>42357</v>
      </c>
      <c r="O468" s="1">
        <v>46099</v>
      </c>
      <c r="P468" s="2">
        <f t="shared" si="163"/>
        <v>10.245037645448322</v>
      </c>
      <c r="Q468" s="2" t="str">
        <f t="shared" si="164"/>
        <v>Old</v>
      </c>
      <c r="R468">
        <f t="shared" si="165"/>
        <v>2400</v>
      </c>
      <c r="S468" t="str">
        <f t="shared" si="166"/>
        <v>Small</v>
      </c>
      <c r="T468" t="str">
        <f t="shared" si="167"/>
        <v>High EV Adoption Corridor</v>
      </c>
      <c r="U468" s="3">
        <f t="shared" si="168"/>
        <v>5148000.0000000009</v>
      </c>
      <c r="V468" s="4">
        <f t="shared" si="169"/>
        <v>1152000</v>
      </c>
      <c r="W468" s="3">
        <f t="shared" si="170"/>
        <v>13200000.000000002</v>
      </c>
      <c r="X468" s="3">
        <f t="shared" si="171"/>
        <v>10800000</v>
      </c>
      <c r="Y468">
        <f t="shared" si="172"/>
        <v>0.22888888888888889</v>
      </c>
      <c r="Z468">
        <f t="shared" si="173"/>
        <v>0.77622377622377625</v>
      </c>
      <c r="AA468" t="str">
        <f t="shared" si="174"/>
        <v>Tier 3 - Upgrade Pipeline</v>
      </c>
      <c r="AB468" s="3">
        <f t="shared" si="175"/>
        <v>72000</v>
      </c>
      <c r="AC468" s="3">
        <f t="shared" si="176"/>
        <v>825000.00000000012</v>
      </c>
      <c r="AD468" s="3">
        <f t="shared" si="177"/>
        <v>321750.00000000006</v>
      </c>
      <c r="AE468" s="5">
        <f t="shared" si="178"/>
        <v>3.303303303303303</v>
      </c>
      <c r="AF468" s="10">
        <f t="shared" si="179"/>
        <v>714240</v>
      </c>
      <c r="AG468" s="10">
        <f t="shared" si="180"/>
        <v>230400</v>
      </c>
      <c r="AH468" s="10">
        <f t="shared" si="181"/>
        <v>115200</v>
      </c>
      <c r="AI468" s="10">
        <f t="shared" si="182"/>
        <v>57600</v>
      </c>
      <c r="AJ468" s="10">
        <f t="shared" si="183"/>
        <v>34560</v>
      </c>
    </row>
    <row r="469" spans="1:36" x14ac:dyDescent="0.3">
      <c r="A469" t="s">
        <v>1894</v>
      </c>
      <c r="B469" t="s">
        <v>1895</v>
      </c>
      <c r="C469" t="s">
        <v>1495</v>
      </c>
      <c r="D469" t="s">
        <v>98</v>
      </c>
      <c r="E469">
        <v>6824</v>
      </c>
      <c r="F469" t="s">
        <v>15</v>
      </c>
      <c r="G469">
        <v>8</v>
      </c>
      <c r="H469">
        <v>250</v>
      </c>
      <c r="I469" t="str" cm="1">
        <f t="array" ref="I469">_xlfn.IFS(H469&lt;=120,"V1",H469&lt;=150,"V2",H469&lt;=250,"V3", H469&lt;=350, "V4")</f>
        <v>V3</v>
      </c>
      <c r="J469" t="s">
        <v>1896</v>
      </c>
      <c r="K469" t="str">
        <f t="shared" si="161"/>
        <v>41.148076</v>
      </c>
      <c r="L469" t="str">
        <f t="shared" si="162"/>
        <v>-73.255582</v>
      </c>
      <c r="M469">
        <v>14</v>
      </c>
      <c r="N469" s="1">
        <v>43819</v>
      </c>
      <c r="O469" s="1">
        <v>46099</v>
      </c>
      <c r="P469" s="2">
        <f t="shared" si="163"/>
        <v>6.2422997946611911</v>
      </c>
      <c r="Q469" s="2" t="str">
        <f t="shared" si="164"/>
        <v>Mid</v>
      </c>
      <c r="R469">
        <f t="shared" si="165"/>
        <v>2000</v>
      </c>
      <c r="S469" t="str">
        <f t="shared" si="166"/>
        <v>Small</v>
      </c>
      <c r="T469" t="str">
        <f t="shared" si="167"/>
        <v>Lower EV Adoption Corridor</v>
      </c>
      <c r="U469" s="3">
        <f t="shared" si="168"/>
        <v>3600000</v>
      </c>
      <c r="V469" s="4">
        <f t="shared" si="169"/>
        <v>880000.00000000012</v>
      </c>
      <c r="W469" s="3">
        <f t="shared" si="170"/>
        <v>12000000</v>
      </c>
      <c r="X469" s="3">
        <f t="shared" si="171"/>
        <v>6600000.0000000009</v>
      </c>
      <c r="Y469">
        <f t="shared" si="172"/>
        <v>0.31515151515151513</v>
      </c>
      <c r="Z469">
        <f t="shared" si="173"/>
        <v>0.75555555555555554</v>
      </c>
      <c r="AA469" t="str">
        <f t="shared" si="174"/>
        <v>Tier 2 - Growth Markets</v>
      </c>
      <c r="AB469" s="3">
        <f t="shared" si="175"/>
        <v>110000.00000000001</v>
      </c>
      <c r="AC469" s="3">
        <f t="shared" si="176"/>
        <v>1500000</v>
      </c>
      <c r="AD469" s="3">
        <f t="shared" si="177"/>
        <v>450000</v>
      </c>
      <c r="AE469" s="5">
        <f t="shared" si="178"/>
        <v>4.4117647058823533</v>
      </c>
      <c r="AF469" s="10">
        <f t="shared" si="179"/>
        <v>545600.00000000012</v>
      </c>
      <c r="AG469" s="10">
        <f t="shared" si="180"/>
        <v>176000.00000000003</v>
      </c>
      <c r="AH469" s="10">
        <f t="shared" si="181"/>
        <v>88000.000000000015</v>
      </c>
      <c r="AI469" s="10">
        <f t="shared" si="182"/>
        <v>44000.000000000007</v>
      </c>
      <c r="AJ469" s="10">
        <f t="shared" si="183"/>
        <v>26400.000000000004</v>
      </c>
    </row>
    <row r="470" spans="1:36" x14ac:dyDescent="0.3">
      <c r="A470" t="s">
        <v>1897</v>
      </c>
      <c r="B470" t="s">
        <v>1898</v>
      </c>
      <c r="C470" t="s">
        <v>1899</v>
      </c>
      <c r="D470" t="s">
        <v>14</v>
      </c>
      <c r="E470">
        <v>95076</v>
      </c>
      <c r="F470" t="s">
        <v>15</v>
      </c>
      <c r="G470">
        <v>18</v>
      </c>
      <c r="H470">
        <v>72</v>
      </c>
      <c r="I470" t="str" cm="1">
        <f t="array" ref="I470">_xlfn.IFS(H470&lt;=120,"V1",H470&lt;=150,"V2",H470&lt;=250,"V3", H470&lt;=350, "V4")</f>
        <v>V1</v>
      </c>
      <c r="J470" t="s">
        <v>1900</v>
      </c>
      <c r="K470" t="str">
        <f t="shared" si="161"/>
        <v>36.916349</v>
      </c>
      <c r="L470" t="str">
        <f t="shared" si="162"/>
        <v>-121.773512</v>
      </c>
      <c r="M470">
        <v>15</v>
      </c>
      <c r="N470" s="1">
        <v>43670</v>
      </c>
      <c r="O470" s="1">
        <v>46099</v>
      </c>
      <c r="P470" s="2">
        <f t="shared" si="163"/>
        <v>6.6502395619438737</v>
      </c>
      <c r="Q470" s="2" t="str">
        <f t="shared" si="164"/>
        <v>Mid</v>
      </c>
      <c r="R470">
        <f t="shared" si="165"/>
        <v>1296</v>
      </c>
      <c r="S470" t="str">
        <f t="shared" si="166"/>
        <v>Small</v>
      </c>
      <c r="T470" t="str">
        <f t="shared" si="167"/>
        <v>High EV Adoption Corridor</v>
      </c>
      <c r="U470" s="3">
        <f t="shared" si="168"/>
        <v>2527200</v>
      </c>
      <c r="V470" s="4">
        <f t="shared" si="169"/>
        <v>559872</v>
      </c>
      <c r="W470" s="3">
        <f t="shared" si="170"/>
        <v>5702400</v>
      </c>
      <c r="X470" s="3">
        <f t="shared" si="171"/>
        <v>5248800</v>
      </c>
      <c r="Y470">
        <f t="shared" si="172"/>
        <v>0.21530864197530863</v>
      </c>
      <c r="Z470">
        <f t="shared" si="173"/>
        <v>0.77846153846153843</v>
      </c>
      <c r="AA470" t="str">
        <f t="shared" si="174"/>
        <v>Tier 3 - Upgrade Pipeline</v>
      </c>
      <c r="AB470" s="3">
        <f t="shared" si="175"/>
        <v>31104</v>
      </c>
      <c r="AC470" s="3">
        <f t="shared" si="176"/>
        <v>316800</v>
      </c>
      <c r="AD470" s="3">
        <f t="shared" si="177"/>
        <v>140400</v>
      </c>
      <c r="AE470" s="5">
        <f t="shared" si="178"/>
        <v>2.8985507246376812</v>
      </c>
      <c r="AF470" s="10">
        <f t="shared" si="179"/>
        <v>347120.64000000001</v>
      </c>
      <c r="AG470" s="10">
        <f t="shared" si="180"/>
        <v>111974.40000000001</v>
      </c>
      <c r="AH470" s="10">
        <f t="shared" si="181"/>
        <v>55987.200000000004</v>
      </c>
      <c r="AI470" s="10">
        <f t="shared" si="182"/>
        <v>27993.600000000002</v>
      </c>
      <c r="AJ470" s="10">
        <f t="shared" si="183"/>
        <v>16796.16</v>
      </c>
    </row>
    <row r="471" spans="1:36" x14ac:dyDescent="0.3">
      <c r="A471" t="s">
        <v>1901</v>
      </c>
      <c r="B471" t="s">
        <v>1902</v>
      </c>
      <c r="C471" t="s">
        <v>1903</v>
      </c>
      <c r="D471" t="s">
        <v>120</v>
      </c>
      <c r="E471">
        <v>57730</v>
      </c>
      <c r="F471" t="s">
        <v>15</v>
      </c>
      <c r="G471">
        <v>8</v>
      </c>
      <c r="H471">
        <v>150</v>
      </c>
      <c r="I471" t="str" cm="1">
        <f t="array" ref="I471">_xlfn.IFS(H471&lt;=120,"V1",H471&lt;=150,"V2",H471&lt;=250,"V3", H471&lt;=350, "V4")</f>
        <v>V2</v>
      </c>
      <c r="J471" t="s">
        <v>1904</v>
      </c>
      <c r="K471" t="str">
        <f t="shared" si="161"/>
        <v>43.767498</v>
      </c>
      <c r="L471" t="str">
        <f t="shared" si="162"/>
        <v>-103.594306</v>
      </c>
      <c r="M471">
        <v>1615</v>
      </c>
      <c r="N471" s="1">
        <v>43231</v>
      </c>
      <c r="O471" s="1">
        <v>46099</v>
      </c>
      <c r="P471" s="2">
        <f t="shared" si="163"/>
        <v>7.8521560574948666</v>
      </c>
      <c r="Q471" s="2" t="str">
        <f t="shared" si="164"/>
        <v>Mid</v>
      </c>
      <c r="R471">
        <f t="shared" si="165"/>
        <v>1200</v>
      </c>
      <c r="S471" t="str">
        <f t="shared" si="166"/>
        <v>Small</v>
      </c>
      <c r="T471" t="str">
        <f t="shared" si="167"/>
        <v>Lower EV Adoption Corridor</v>
      </c>
      <c r="U471" s="3">
        <f t="shared" si="168"/>
        <v>1980000.0000000002</v>
      </c>
      <c r="V471" s="4">
        <f t="shared" si="169"/>
        <v>480000</v>
      </c>
      <c r="W471" s="3">
        <f t="shared" si="170"/>
        <v>6000000</v>
      </c>
      <c r="X471" s="3">
        <f t="shared" si="171"/>
        <v>3600000</v>
      </c>
      <c r="Y471">
        <f t="shared" si="172"/>
        <v>0.3</v>
      </c>
      <c r="Z471">
        <f t="shared" si="173"/>
        <v>0.75757575757575757</v>
      </c>
      <c r="AA471" t="str">
        <f t="shared" si="174"/>
        <v>Tier 4 - Stable Network</v>
      </c>
      <c r="AB471" s="3">
        <f t="shared" si="175"/>
        <v>60000</v>
      </c>
      <c r="AC471" s="3">
        <f t="shared" si="176"/>
        <v>750000</v>
      </c>
      <c r="AD471" s="3">
        <f t="shared" si="177"/>
        <v>247500.00000000003</v>
      </c>
      <c r="AE471" s="5">
        <f t="shared" si="178"/>
        <v>3.9999999999999996</v>
      </c>
      <c r="AF471" s="10">
        <f t="shared" si="179"/>
        <v>297600</v>
      </c>
      <c r="AG471" s="10">
        <f t="shared" si="180"/>
        <v>96000</v>
      </c>
      <c r="AH471" s="10">
        <f t="shared" si="181"/>
        <v>48000</v>
      </c>
      <c r="AI471" s="10">
        <f t="shared" si="182"/>
        <v>24000</v>
      </c>
      <c r="AJ471" s="10">
        <f t="shared" si="183"/>
        <v>14400</v>
      </c>
    </row>
    <row r="472" spans="1:36" x14ac:dyDescent="0.3">
      <c r="A472" t="s">
        <v>1905</v>
      </c>
      <c r="B472" t="s">
        <v>1906</v>
      </c>
      <c r="C472" t="s">
        <v>880</v>
      </c>
      <c r="D472" t="s">
        <v>14</v>
      </c>
      <c r="E472">
        <v>93108</v>
      </c>
      <c r="F472" t="s">
        <v>15</v>
      </c>
      <c r="G472">
        <v>8</v>
      </c>
      <c r="H472">
        <v>72</v>
      </c>
      <c r="I472" t="str" cm="1">
        <f t="array" ref="I472">_xlfn.IFS(H472&lt;=120,"V1",H472&lt;=150,"V2",H472&lt;=250,"V3", H472&lt;=350, "V4")</f>
        <v>V1</v>
      </c>
      <c r="J472" t="s">
        <v>1907</v>
      </c>
      <c r="K472" t="str">
        <f t="shared" si="161"/>
        <v>34.420561</v>
      </c>
      <c r="L472" t="str">
        <f t="shared" si="162"/>
        <v>-119.627239</v>
      </c>
      <c r="M472">
        <v>3</v>
      </c>
      <c r="N472" s="1">
        <v>44443</v>
      </c>
      <c r="O472" s="1">
        <v>46099</v>
      </c>
      <c r="P472" s="2">
        <f t="shared" si="163"/>
        <v>4.5338809034907595</v>
      </c>
      <c r="Q472" s="2" t="str">
        <f t="shared" si="164"/>
        <v>Mid</v>
      </c>
      <c r="R472">
        <f t="shared" si="165"/>
        <v>576</v>
      </c>
      <c r="S472" t="str">
        <f t="shared" si="166"/>
        <v>Small</v>
      </c>
      <c r="T472" t="str">
        <f t="shared" si="167"/>
        <v>High EV Adoption Corridor</v>
      </c>
      <c r="U472" s="3">
        <f t="shared" si="168"/>
        <v>1123200</v>
      </c>
      <c r="V472" s="4">
        <f t="shared" si="169"/>
        <v>248832</v>
      </c>
      <c r="W472" s="3">
        <f t="shared" si="170"/>
        <v>2534400</v>
      </c>
      <c r="X472" s="3">
        <f t="shared" si="171"/>
        <v>2332800</v>
      </c>
      <c r="Y472">
        <f t="shared" si="172"/>
        <v>0.21530864197530863</v>
      </c>
      <c r="Z472">
        <f t="shared" si="173"/>
        <v>0.77846153846153843</v>
      </c>
      <c r="AA472" t="str">
        <f t="shared" si="174"/>
        <v>Tier 3 - Upgrade Pipeline</v>
      </c>
      <c r="AB472" s="3">
        <f t="shared" si="175"/>
        <v>31104</v>
      </c>
      <c r="AC472" s="3">
        <f t="shared" si="176"/>
        <v>316800</v>
      </c>
      <c r="AD472" s="3">
        <f t="shared" si="177"/>
        <v>140400</v>
      </c>
      <c r="AE472" s="5">
        <f t="shared" si="178"/>
        <v>2.8985507246376812</v>
      </c>
      <c r="AF472" s="10">
        <f t="shared" si="179"/>
        <v>154275.84</v>
      </c>
      <c r="AG472" s="10">
        <f t="shared" si="180"/>
        <v>49766.400000000001</v>
      </c>
      <c r="AH472" s="10">
        <f t="shared" si="181"/>
        <v>24883.200000000001</v>
      </c>
      <c r="AI472" s="10">
        <f t="shared" si="182"/>
        <v>12441.6</v>
      </c>
      <c r="AJ472" s="10">
        <f t="shared" si="183"/>
        <v>7464.96</v>
      </c>
    </row>
    <row r="473" spans="1:36" x14ac:dyDescent="0.3">
      <c r="A473" t="s">
        <v>1908</v>
      </c>
      <c r="B473" t="s">
        <v>1909</v>
      </c>
      <c r="C473" t="s">
        <v>1910</v>
      </c>
      <c r="D473" t="s">
        <v>50</v>
      </c>
      <c r="E473">
        <v>76365</v>
      </c>
      <c r="F473" t="s">
        <v>15</v>
      </c>
      <c r="G473">
        <v>12</v>
      </c>
      <c r="H473">
        <v>150</v>
      </c>
      <c r="I473" t="str" cm="1">
        <f t="array" ref="I473">_xlfn.IFS(H473&lt;=120,"V1",H473&lt;=150,"V2",H473&lt;=250,"V3", H473&lt;=350, "V4")</f>
        <v>V2</v>
      </c>
      <c r="J473" t="s">
        <v>1911</v>
      </c>
      <c r="K473" t="str">
        <f t="shared" si="161"/>
        <v>33.80051</v>
      </c>
      <c r="L473" t="str">
        <f t="shared" si="162"/>
        <v>-98.196588</v>
      </c>
      <c r="M473">
        <v>266</v>
      </c>
      <c r="N473" s="1">
        <v>43743</v>
      </c>
      <c r="O473" s="1">
        <v>46099</v>
      </c>
      <c r="P473" s="2">
        <f t="shared" si="163"/>
        <v>6.4503764544832309</v>
      </c>
      <c r="Q473" s="2" t="str">
        <f t="shared" si="164"/>
        <v>Mid</v>
      </c>
      <c r="R473">
        <f t="shared" si="165"/>
        <v>1800</v>
      </c>
      <c r="S473" t="str">
        <f t="shared" si="166"/>
        <v>Small</v>
      </c>
      <c r="T473" t="str">
        <f t="shared" si="167"/>
        <v>High EV Adoption Corridor</v>
      </c>
      <c r="U473" s="3">
        <f t="shared" si="168"/>
        <v>3861000.0000000009</v>
      </c>
      <c r="V473" s="4">
        <f t="shared" si="169"/>
        <v>864000</v>
      </c>
      <c r="W473" s="3">
        <f t="shared" si="170"/>
        <v>9900000</v>
      </c>
      <c r="X473" s="3">
        <f t="shared" si="171"/>
        <v>8100000</v>
      </c>
      <c r="Y473">
        <f t="shared" si="172"/>
        <v>0.22888888888888889</v>
      </c>
      <c r="Z473">
        <f t="shared" si="173"/>
        <v>0.77622377622377625</v>
      </c>
      <c r="AA473" t="str">
        <f t="shared" si="174"/>
        <v>Tier 3 - Upgrade Pipeline</v>
      </c>
      <c r="AB473" s="3">
        <f t="shared" si="175"/>
        <v>72000</v>
      </c>
      <c r="AC473" s="3">
        <f t="shared" si="176"/>
        <v>825000</v>
      </c>
      <c r="AD473" s="3">
        <f t="shared" si="177"/>
        <v>321750.00000000006</v>
      </c>
      <c r="AE473" s="5">
        <f t="shared" si="178"/>
        <v>3.3033033033033021</v>
      </c>
      <c r="AF473" s="10">
        <f t="shared" si="179"/>
        <v>535680</v>
      </c>
      <c r="AG473" s="10">
        <f t="shared" si="180"/>
        <v>172800</v>
      </c>
      <c r="AH473" s="10">
        <f t="shared" si="181"/>
        <v>86400</v>
      </c>
      <c r="AI473" s="10">
        <f t="shared" si="182"/>
        <v>43200</v>
      </c>
      <c r="AJ473" s="10">
        <f t="shared" si="183"/>
        <v>25920</v>
      </c>
    </row>
    <row r="474" spans="1:36" x14ac:dyDescent="0.3">
      <c r="A474" t="s">
        <v>1912</v>
      </c>
      <c r="B474" t="s">
        <v>1913</v>
      </c>
      <c r="C474" t="s">
        <v>1914</v>
      </c>
      <c r="D474" t="s">
        <v>72</v>
      </c>
      <c r="E474">
        <v>86351</v>
      </c>
      <c r="F474" t="s">
        <v>15</v>
      </c>
      <c r="G474">
        <v>14</v>
      </c>
      <c r="H474">
        <v>72</v>
      </c>
      <c r="I474" t="str" cm="1">
        <f t="array" ref="I474">_xlfn.IFS(H474&lt;=120,"V1",H474&lt;=150,"V2",H474&lt;=250,"V3", H474&lt;=350, "V4")</f>
        <v>V1</v>
      </c>
      <c r="J474" t="s">
        <v>1915</v>
      </c>
      <c r="K474" t="str">
        <f t="shared" si="161"/>
        <v>34.775559</v>
      </c>
      <c r="L474" t="str">
        <f t="shared" si="162"/>
        <v>-111.764099</v>
      </c>
      <c r="M474">
        <v>1232</v>
      </c>
      <c r="N474" s="1">
        <v>43213</v>
      </c>
      <c r="O474" s="1">
        <v>46099</v>
      </c>
      <c r="P474" s="2">
        <f t="shared" si="163"/>
        <v>7.9014373716632447</v>
      </c>
      <c r="Q474" s="2" t="str">
        <f t="shared" si="164"/>
        <v>Mid</v>
      </c>
      <c r="R474">
        <f t="shared" si="165"/>
        <v>1008</v>
      </c>
      <c r="S474" t="str">
        <f t="shared" si="166"/>
        <v>Small</v>
      </c>
      <c r="T474" t="str">
        <f t="shared" si="167"/>
        <v>Lower EV Adoption Corridor</v>
      </c>
      <c r="U474" s="3">
        <f t="shared" si="168"/>
        <v>1512000</v>
      </c>
      <c r="V474" s="4">
        <f t="shared" si="169"/>
        <v>362880</v>
      </c>
      <c r="W474" s="3">
        <f t="shared" si="170"/>
        <v>4032000</v>
      </c>
      <c r="X474" s="3">
        <f t="shared" si="171"/>
        <v>2721600</v>
      </c>
      <c r="Y474">
        <f t="shared" si="172"/>
        <v>0.2814814814814815</v>
      </c>
      <c r="Z474">
        <f t="shared" si="173"/>
        <v>0.76</v>
      </c>
      <c r="AA474" t="str">
        <f t="shared" si="174"/>
        <v>Tier 5 - Retirement Pipeline</v>
      </c>
      <c r="AB474" s="3">
        <f t="shared" si="175"/>
        <v>25920</v>
      </c>
      <c r="AC474" s="3">
        <f t="shared" si="176"/>
        <v>288000</v>
      </c>
      <c r="AD474" s="3">
        <f t="shared" si="177"/>
        <v>108000</v>
      </c>
      <c r="AE474" s="5">
        <f t="shared" si="178"/>
        <v>3.5087719298245612</v>
      </c>
      <c r="AF474" s="10">
        <f t="shared" si="179"/>
        <v>224985.60000000001</v>
      </c>
      <c r="AG474" s="10">
        <f t="shared" si="180"/>
        <v>72576</v>
      </c>
      <c r="AH474" s="10">
        <f t="shared" si="181"/>
        <v>36288</v>
      </c>
      <c r="AI474" s="10">
        <f t="shared" si="182"/>
        <v>18144</v>
      </c>
      <c r="AJ474" s="10">
        <f t="shared" si="183"/>
        <v>10886.4</v>
      </c>
    </row>
    <row r="475" spans="1:36" x14ac:dyDescent="0.3">
      <c r="A475" t="s">
        <v>1916</v>
      </c>
      <c r="B475" t="s">
        <v>1917</v>
      </c>
      <c r="C475" t="s">
        <v>1855</v>
      </c>
      <c r="D475" t="s">
        <v>153</v>
      </c>
      <c r="E475">
        <v>19130</v>
      </c>
      <c r="F475" t="s">
        <v>15</v>
      </c>
      <c r="G475">
        <v>10</v>
      </c>
      <c r="H475">
        <v>72</v>
      </c>
      <c r="I475" t="str" cm="1">
        <f t="array" ref="I475">_xlfn.IFS(H475&lt;=120,"V1",H475&lt;=150,"V2",H475&lt;=250,"V3", H475&lt;=350, "V4")</f>
        <v>V1</v>
      </c>
      <c r="J475" t="s">
        <v>1918</v>
      </c>
      <c r="K475" t="str">
        <f t="shared" si="161"/>
        <v>39.962023</v>
      </c>
      <c r="L475" t="str">
        <f t="shared" si="162"/>
        <v>-75.172049</v>
      </c>
      <c r="M475">
        <v>17</v>
      </c>
      <c r="N475" s="1">
        <v>43455</v>
      </c>
      <c r="O475" s="1">
        <v>46099</v>
      </c>
      <c r="P475" s="2">
        <f t="shared" si="163"/>
        <v>7.2388774811772763</v>
      </c>
      <c r="Q475" s="2" t="str">
        <f t="shared" si="164"/>
        <v>Mid</v>
      </c>
      <c r="R475">
        <f t="shared" si="165"/>
        <v>720</v>
      </c>
      <c r="S475" t="str">
        <f t="shared" si="166"/>
        <v>Small</v>
      </c>
      <c r="T475" t="str">
        <f t="shared" si="167"/>
        <v>Lower EV Adoption Corridor</v>
      </c>
      <c r="U475" s="3">
        <f t="shared" si="168"/>
        <v>1080000</v>
      </c>
      <c r="V475" s="4">
        <f t="shared" si="169"/>
        <v>259200</v>
      </c>
      <c r="W475" s="3">
        <f t="shared" si="170"/>
        <v>2880000</v>
      </c>
      <c r="X475" s="3">
        <f t="shared" si="171"/>
        <v>1944000</v>
      </c>
      <c r="Y475">
        <f t="shared" si="172"/>
        <v>0.2814814814814815</v>
      </c>
      <c r="Z475">
        <f t="shared" si="173"/>
        <v>0.76</v>
      </c>
      <c r="AA475" t="str">
        <f t="shared" si="174"/>
        <v>Tier 5 - Retirement Pipeline</v>
      </c>
      <c r="AB475" s="3">
        <f t="shared" si="175"/>
        <v>25920</v>
      </c>
      <c r="AC475" s="3">
        <f t="shared" si="176"/>
        <v>288000</v>
      </c>
      <c r="AD475" s="3">
        <f t="shared" si="177"/>
        <v>108000</v>
      </c>
      <c r="AE475" s="5">
        <f t="shared" si="178"/>
        <v>3.5087719298245612</v>
      </c>
      <c r="AF475" s="10">
        <f t="shared" si="179"/>
        <v>160704</v>
      </c>
      <c r="AG475" s="10">
        <f t="shared" si="180"/>
        <v>51840</v>
      </c>
      <c r="AH475" s="10">
        <f t="shared" si="181"/>
        <v>25920</v>
      </c>
      <c r="AI475" s="10">
        <f t="shared" si="182"/>
        <v>12960</v>
      </c>
      <c r="AJ475" s="10">
        <f t="shared" si="183"/>
        <v>7776</v>
      </c>
    </row>
    <row r="476" spans="1:36" x14ac:dyDescent="0.3">
      <c r="A476" t="s">
        <v>1919</v>
      </c>
      <c r="B476" t="s">
        <v>1920</v>
      </c>
      <c r="C476" t="s">
        <v>1921</v>
      </c>
      <c r="D476" t="s">
        <v>14</v>
      </c>
      <c r="E476">
        <v>92009</v>
      </c>
      <c r="F476" t="s">
        <v>15</v>
      </c>
      <c r="G476">
        <v>26</v>
      </c>
      <c r="H476">
        <v>72</v>
      </c>
      <c r="I476" t="str" cm="1">
        <f t="array" ref="I476">_xlfn.IFS(H476&lt;=120,"V1",H476&lt;=150,"V2",H476&lt;=250,"V3", H476&lt;=350, "V4")</f>
        <v>V1</v>
      </c>
      <c r="J476" t="s">
        <v>1922</v>
      </c>
      <c r="K476" t="str">
        <f t="shared" si="161"/>
        <v>33.084189</v>
      </c>
      <c r="L476" t="str">
        <f t="shared" si="162"/>
        <v>-117.266384</v>
      </c>
      <c r="M476">
        <v>25</v>
      </c>
      <c r="N476" s="1">
        <v>43371</v>
      </c>
      <c r="O476" s="1">
        <v>46099</v>
      </c>
      <c r="P476" s="2">
        <f t="shared" si="163"/>
        <v>7.4688569472963726</v>
      </c>
      <c r="Q476" s="2" t="str">
        <f t="shared" si="164"/>
        <v>Mid</v>
      </c>
      <c r="R476">
        <f t="shared" si="165"/>
        <v>1872</v>
      </c>
      <c r="S476" t="str">
        <f t="shared" si="166"/>
        <v>Small</v>
      </c>
      <c r="T476" t="str">
        <f t="shared" si="167"/>
        <v>High EV Adoption Corridor</v>
      </c>
      <c r="U476" s="3">
        <f t="shared" si="168"/>
        <v>3650400</v>
      </c>
      <c r="V476" s="4">
        <f t="shared" si="169"/>
        <v>808704</v>
      </c>
      <c r="W476" s="3">
        <f t="shared" si="170"/>
        <v>8236800.0000000009</v>
      </c>
      <c r="X476" s="3">
        <f t="shared" si="171"/>
        <v>7581600</v>
      </c>
      <c r="Y476">
        <f t="shared" si="172"/>
        <v>0.21530864197530863</v>
      </c>
      <c r="Z476">
        <f t="shared" si="173"/>
        <v>0.77846153846153843</v>
      </c>
      <c r="AA476" t="str">
        <f t="shared" si="174"/>
        <v>Tier 3 - Upgrade Pipeline</v>
      </c>
      <c r="AB476" s="3">
        <f t="shared" si="175"/>
        <v>31104</v>
      </c>
      <c r="AC476" s="3">
        <f t="shared" si="176"/>
        <v>316800.00000000006</v>
      </c>
      <c r="AD476" s="3">
        <f t="shared" si="177"/>
        <v>140400</v>
      </c>
      <c r="AE476" s="5">
        <f t="shared" si="178"/>
        <v>2.8985507246376816</v>
      </c>
      <c r="AF476" s="10">
        <f t="shared" si="179"/>
        <v>501396.47999999998</v>
      </c>
      <c r="AG476" s="10">
        <f t="shared" si="180"/>
        <v>161740.80000000002</v>
      </c>
      <c r="AH476" s="10">
        <f t="shared" si="181"/>
        <v>80870.400000000009</v>
      </c>
      <c r="AI476" s="10">
        <f t="shared" si="182"/>
        <v>40435.200000000004</v>
      </c>
      <c r="AJ476" s="10">
        <f t="shared" si="183"/>
        <v>24261.119999999999</v>
      </c>
    </row>
    <row r="477" spans="1:36" x14ac:dyDescent="0.3">
      <c r="A477" t="s">
        <v>1923</v>
      </c>
      <c r="B477" t="s">
        <v>1924</v>
      </c>
      <c r="C477" t="s">
        <v>456</v>
      </c>
      <c r="D477" t="s">
        <v>59</v>
      </c>
      <c r="E477">
        <v>60642</v>
      </c>
      <c r="F477" t="s">
        <v>15</v>
      </c>
      <c r="G477">
        <v>10</v>
      </c>
      <c r="H477">
        <v>72</v>
      </c>
      <c r="I477" t="str" cm="1">
        <f t="array" ref="I477">_xlfn.IFS(H477&lt;=120,"V1",H477&lt;=150,"V2",H477&lt;=250,"V3", H477&lt;=350, "V4")</f>
        <v>V1</v>
      </c>
      <c r="J477" t="s">
        <v>1925</v>
      </c>
      <c r="K477" t="str">
        <f t="shared" si="161"/>
        <v>41.908043</v>
      </c>
      <c r="L477" t="str">
        <f t="shared" si="162"/>
        <v>-87.647839</v>
      </c>
      <c r="M477">
        <v>181</v>
      </c>
      <c r="N477" s="1">
        <v>43314</v>
      </c>
      <c r="O477" s="1">
        <v>46099</v>
      </c>
      <c r="P477" s="2">
        <f t="shared" si="163"/>
        <v>7.6249144421629023</v>
      </c>
      <c r="Q477" s="2" t="str">
        <f t="shared" si="164"/>
        <v>Mid</v>
      </c>
      <c r="R477">
        <f t="shared" si="165"/>
        <v>720</v>
      </c>
      <c r="S477" t="str">
        <f t="shared" si="166"/>
        <v>Small</v>
      </c>
      <c r="T477" t="str">
        <f t="shared" si="167"/>
        <v>Lower EV Adoption Corridor</v>
      </c>
      <c r="U477" s="3">
        <f t="shared" si="168"/>
        <v>1080000</v>
      </c>
      <c r="V477" s="4">
        <f t="shared" si="169"/>
        <v>259200</v>
      </c>
      <c r="W477" s="3">
        <f t="shared" si="170"/>
        <v>2880000</v>
      </c>
      <c r="X477" s="3">
        <f t="shared" si="171"/>
        <v>1944000</v>
      </c>
      <c r="Y477">
        <f t="shared" si="172"/>
        <v>0.2814814814814815</v>
      </c>
      <c r="Z477">
        <f t="shared" si="173"/>
        <v>0.76</v>
      </c>
      <c r="AA477" t="str">
        <f t="shared" si="174"/>
        <v>Tier 5 - Retirement Pipeline</v>
      </c>
      <c r="AB477" s="3">
        <f t="shared" si="175"/>
        <v>25920</v>
      </c>
      <c r="AC477" s="3">
        <f t="shared" si="176"/>
        <v>288000</v>
      </c>
      <c r="AD477" s="3">
        <f t="shared" si="177"/>
        <v>108000</v>
      </c>
      <c r="AE477" s="5">
        <f t="shared" si="178"/>
        <v>3.5087719298245612</v>
      </c>
      <c r="AF477" s="10">
        <f t="shared" si="179"/>
        <v>160704</v>
      </c>
      <c r="AG477" s="10">
        <f t="shared" si="180"/>
        <v>51840</v>
      </c>
      <c r="AH477" s="10">
        <f t="shared" si="181"/>
        <v>25920</v>
      </c>
      <c r="AI477" s="10">
        <f t="shared" si="182"/>
        <v>12960</v>
      </c>
      <c r="AJ477" s="10">
        <f t="shared" si="183"/>
        <v>7776</v>
      </c>
    </row>
    <row r="478" spans="1:36" x14ac:dyDescent="0.3">
      <c r="A478" t="s">
        <v>1926</v>
      </c>
      <c r="B478" t="s">
        <v>1927</v>
      </c>
      <c r="C478" t="s">
        <v>1928</v>
      </c>
      <c r="D478" t="s">
        <v>913</v>
      </c>
      <c r="E478">
        <v>21801</v>
      </c>
      <c r="F478" t="s">
        <v>15</v>
      </c>
      <c r="G478">
        <v>8</v>
      </c>
      <c r="H478">
        <v>250</v>
      </c>
      <c r="I478" t="str" cm="1">
        <f t="array" ref="I478">_xlfn.IFS(H478&lt;=120,"V1",H478&lt;=150,"V2",H478&lt;=250,"V3", H478&lt;=350, "V4")</f>
        <v>V3</v>
      </c>
      <c r="J478" t="s">
        <v>1929</v>
      </c>
      <c r="K478" t="str">
        <f t="shared" si="161"/>
        <v>38.420772</v>
      </c>
      <c r="L478" t="str">
        <f t="shared" si="162"/>
        <v>-75.56579</v>
      </c>
      <c r="M478">
        <v>14</v>
      </c>
      <c r="N478" s="1">
        <v>44633</v>
      </c>
      <c r="O478" s="1">
        <v>46099</v>
      </c>
      <c r="P478" s="2">
        <f t="shared" si="163"/>
        <v>4.0136892539356603</v>
      </c>
      <c r="Q478" s="2" t="str">
        <f t="shared" si="164"/>
        <v>Mid</v>
      </c>
      <c r="R478">
        <f t="shared" si="165"/>
        <v>2000</v>
      </c>
      <c r="S478" t="str">
        <f t="shared" si="166"/>
        <v>Small</v>
      </c>
      <c r="T478" t="str">
        <f t="shared" si="167"/>
        <v>Lower EV Adoption Corridor</v>
      </c>
      <c r="U478" s="3">
        <f t="shared" si="168"/>
        <v>3600000</v>
      </c>
      <c r="V478" s="4">
        <f t="shared" si="169"/>
        <v>880000.00000000012</v>
      </c>
      <c r="W478" s="3">
        <f t="shared" si="170"/>
        <v>12000000</v>
      </c>
      <c r="X478" s="3">
        <f t="shared" si="171"/>
        <v>6600000.0000000009</v>
      </c>
      <c r="Y478">
        <f t="shared" si="172"/>
        <v>0.31515151515151513</v>
      </c>
      <c r="Z478">
        <f t="shared" si="173"/>
        <v>0.75555555555555554</v>
      </c>
      <c r="AA478" t="str">
        <f t="shared" si="174"/>
        <v>Tier 2 - Growth Markets</v>
      </c>
      <c r="AB478" s="3">
        <f t="shared" si="175"/>
        <v>110000.00000000001</v>
      </c>
      <c r="AC478" s="3">
        <f t="shared" si="176"/>
        <v>1500000</v>
      </c>
      <c r="AD478" s="3">
        <f t="shared" si="177"/>
        <v>450000</v>
      </c>
      <c r="AE478" s="5">
        <f t="shared" si="178"/>
        <v>4.4117647058823533</v>
      </c>
      <c r="AF478" s="10">
        <f t="shared" si="179"/>
        <v>545600.00000000012</v>
      </c>
      <c r="AG478" s="10">
        <f t="shared" si="180"/>
        <v>176000.00000000003</v>
      </c>
      <c r="AH478" s="10">
        <f t="shared" si="181"/>
        <v>88000.000000000015</v>
      </c>
      <c r="AI478" s="10">
        <f t="shared" si="182"/>
        <v>44000.000000000007</v>
      </c>
      <c r="AJ478" s="10">
        <f t="shared" si="183"/>
        <v>26400.000000000004</v>
      </c>
    </row>
    <row r="479" spans="1:36" x14ac:dyDescent="0.3">
      <c r="A479" t="s">
        <v>1930</v>
      </c>
      <c r="B479" t="s">
        <v>1931</v>
      </c>
      <c r="C479" t="s">
        <v>456</v>
      </c>
      <c r="D479" t="s">
        <v>59</v>
      </c>
      <c r="E479">
        <v>60607</v>
      </c>
      <c r="F479" t="s">
        <v>15</v>
      </c>
      <c r="G479">
        <v>14</v>
      </c>
      <c r="H479">
        <v>72</v>
      </c>
      <c r="I479" t="str" cm="1">
        <f t="array" ref="I479">_xlfn.IFS(H479&lt;=120,"V1",H479&lt;=150,"V2",H479&lt;=250,"V3", H479&lt;=350, "V4")</f>
        <v>V1</v>
      </c>
      <c r="J479" t="s">
        <v>1932</v>
      </c>
      <c r="K479" t="str">
        <f t="shared" si="161"/>
        <v>41.869126</v>
      </c>
      <c r="L479" t="str">
        <f t="shared" si="162"/>
        <v>-87.639971</v>
      </c>
      <c r="M479">
        <v>181</v>
      </c>
      <c r="N479" s="1">
        <v>43133</v>
      </c>
      <c r="O479" s="1">
        <v>46099</v>
      </c>
      <c r="P479" s="2">
        <f t="shared" si="163"/>
        <v>8.1204654346338128</v>
      </c>
      <c r="Q479" s="2" t="str">
        <f t="shared" si="164"/>
        <v>Old</v>
      </c>
      <c r="R479">
        <f t="shared" si="165"/>
        <v>1008</v>
      </c>
      <c r="S479" t="str">
        <f t="shared" si="166"/>
        <v>Small</v>
      </c>
      <c r="T479" t="str">
        <f t="shared" si="167"/>
        <v>Lower EV Adoption Corridor</v>
      </c>
      <c r="U479" s="3">
        <f t="shared" si="168"/>
        <v>1512000</v>
      </c>
      <c r="V479" s="4">
        <f t="shared" si="169"/>
        <v>362880</v>
      </c>
      <c r="W479" s="3">
        <f t="shared" si="170"/>
        <v>4032000</v>
      </c>
      <c r="X479" s="3">
        <f t="shared" si="171"/>
        <v>2721600</v>
      </c>
      <c r="Y479">
        <f t="shared" si="172"/>
        <v>0.2814814814814815</v>
      </c>
      <c r="Z479">
        <f t="shared" si="173"/>
        <v>0.76</v>
      </c>
      <c r="AA479" t="str">
        <f t="shared" si="174"/>
        <v>Tier 5 - Retirement Pipeline</v>
      </c>
      <c r="AB479" s="3">
        <f t="shared" si="175"/>
        <v>25920</v>
      </c>
      <c r="AC479" s="3">
        <f t="shared" si="176"/>
        <v>288000</v>
      </c>
      <c r="AD479" s="3">
        <f t="shared" si="177"/>
        <v>108000</v>
      </c>
      <c r="AE479" s="5">
        <f t="shared" si="178"/>
        <v>3.5087719298245612</v>
      </c>
      <c r="AF479" s="10">
        <f t="shared" si="179"/>
        <v>224985.60000000001</v>
      </c>
      <c r="AG479" s="10">
        <f t="shared" si="180"/>
        <v>72576</v>
      </c>
      <c r="AH479" s="10">
        <f t="shared" si="181"/>
        <v>36288</v>
      </c>
      <c r="AI479" s="10">
        <f t="shared" si="182"/>
        <v>18144</v>
      </c>
      <c r="AJ479" s="10">
        <f t="shared" si="183"/>
        <v>10886.4</v>
      </c>
    </row>
    <row r="480" spans="1:36" x14ac:dyDescent="0.3">
      <c r="A480" t="s">
        <v>1933</v>
      </c>
      <c r="B480" t="s">
        <v>1934</v>
      </c>
      <c r="C480" t="s">
        <v>1193</v>
      </c>
      <c r="D480" t="s">
        <v>130</v>
      </c>
      <c r="E480">
        <v>46225</v>
      </c>
      <c r="F480" t="s">
        <v>15</v>
      </c>
      <c r="G480">
        <v>12</v>
      </c>
      <c r="H480">
        <v>72</v>
      </c>
      <c r="I480" t="str" cm="1">
        <f t="array" ref="I480">_xlfn.IFS(H480&lt;=120,"V1",H480&lt;=150,"V2",H480&lt;=250,"V3", H480&lt;=350, "V4")</f>
        <v>V1</v>
      </c>
      <c r="J480" t="s">
        <v>1935</v>
      </c>
      <c r="K480" t="str">
        <f t="shared" si="161"/>
        <v>39.765443</v>
      </c>
      <c r="L480" t="str">
        <f t="shared" si="162"/>
        <v>-86.161222</v>
      </c>
      <c r="M480">
        <v>217</v>
      </c>
      <c r="N480" s="1">
        <v>43544</v>
      </c>
      <c r="O480" s="1">
        <v>46099</v>
      </c>
      <c r="P480" s="2">
        <f t="shared" si="163"/>
        <v>6.9952087611225187</v>
      </c>
      <c r="Q480" s="2" t="str">
        <f t="shared" si="164"/>
        <v>Mid</v>
      </c>
      <c r="R480">
        <f t="shared" si="165"/>
        <v>864</v>
      </c>
      <c r="S480" t="str">
        <f t="shared" si="166"/>
        <v>Small</v>
      </c>
      <c r="T480" t="str">
        <f t="shared" si="167"/>
        <v>Lower EV Adoption Corridor</v>
      </c>
      <c r="U480" s="3">
        <f t="shared" si="168"/>
        <v>1296000</v>
      </c>
      <c r="V480" s="4">
        <f t="shared" si="169"/>
        <v>311040</v>
      </c>
      <c r="W480" s="3">
        <f t="shared" si="170"/>
        <v>3456000</v>
      </c>
      <c r="X480" s="3">
        <f t="shared" si="171"/>
        <v>2332800</v>
      </c>
      <c r="Y480">
        <f t="shared" si="172"/>
        <v>0.2814814814814815</v>
      </c>
      <c r="Z480">
        <f t="shared" si="173"/>
        <v>0.76</v>
      </c>
      <c r="AA480" t="str">
        <f t="shared" si="174"/>
        <v>Tier 5 - Retirement Pipeline</v>
      </c>
      <c r="AB480" s="3">
        <f t="shared" si="175"/>
        <v>25920</v>
      </c>
      <c r="AC480" s="3">
        <f t="shared" si="176"/>
        <v>288000</v>
      </c>
      <c r="AD480" s="3">
        <f t="shared" si="177"/>
        <v>108000</v>
      </c>
      <c r="AE480" s="5">
        <f t="shared" si="178"/>
        <v>3.5087719298245612</v>
      </c>
      <c r="AF480" s="10">
        <f t="shared" si="179"/>
        <v>192844.79999999999</v>
      </c>
      <c r="AG480" s="10">
        <f t="shared" si="180"/>
        <v>62208</v>
      </c>
      <c r="AH480" s="10">
        <f t="shared" si="181"/>
        <v>31104</v>
      </c>
      <c r="AI480" s="10">
        <f t="shared" si="182"/>
        <v>15552</v>
      </c>
      <c r="AJ480" s="10">
        <f t="shared" si="183"/>
        <v>9331.1999999999989</v>
      </c>
    </row>
    <row r="481" spans="1:36" x14ac:dyDescent="0.3">
      <c r="A481" t="s">
        <v>1936</v>
      </c>
      <c r="B481" t="s">
        <v>1937</v>
      </c>
      <c r="C481" t="s">
        <v>1938</v>
      </c>
      <c r="D481" t="s">
        <v>130</v>
      </c>
      <c r="E481">
        <v>46038</v>
      </c>
      <c r="F481" t="s">
        <v>15</v>
      </c>
      <c r="G481">
        <v>10</v>
      </c>
      <c r="H481">
        <v>72</v>
      </c>
      <c r="I481" t="str" cm="1">
        <f t="array" ref="I481">_xlfn.IFS(H481&lt;=120,"V1",H481&lt;=150,"V2",H481&lt;=250,"V3", H481&lt;=350, "V4")</f>
        <v>V1</v>
      </c>
      <c r="J481" t="s">
        <v>1939</v>
      </c>
      <c r="K481" t="str">
        <f t="shared" si="161"/>
        <v>39.957683</v>
      </c>
      <c r="L481" t="str">
        <f t="shared" si="162"/>
        <v>-86.016131</v>
      </c>
      <c r="M481">
        <v>249</v>
      </c>
      <c r="N481" s="1">
        <v>43176</v>
      </c>
      <c r="O481" s="1">
        <v>46099</v>
      </c>
      <c r="P481" s="2">
        <f t="shared" si="163"/>
        <v>8.002737850787133</v>
      </c>
      <c r="Q481" s="2" t="str">
        <f t="shared" si="164"/>
        <v>Old</v>
      </c>
      <c r="R481">
        <f t="shared" si="165"/>
        <v>720</v>
      </c>
      <c r="S481" t="str">
        <f t="shared" si="166"/>
        <v>Small</v>
      </c>
      <c r="T481" t="str">
        <f t="shared" si="167"/>
        <v>Lower EV Adoption Corridor</v>
      </c>
      <c r="U481" s="3">
        <f t="shared" si="168"/>
        <v>1080000</v>
      </c>
      <c r="V481" s="4">
        <f t="shared" si="169"/>
        <v>259200</v>
      </c>
      <c r="W481" s="3">
        <f t="shared" si="170"/>
        <v>2880000</v>
      </c>
      <c r="X481" s="3">
        <f t="shared" si="171"/>
        <v>1944000</v>
      </c>
      <c r="Y481">
        <f t="shared" si="172"/>
        <v>0.2814814814814815</v>
      </c>
      <c r="Z481">
        <f t="shared" si="173"/>
        <v>0.76</v>
      </c>
      <c r="AA481" t="str">
        <f t="shared" si="174"/>
        <v>Tier 5 - Retirement Pipeline</v>
      </c>
      <c r="AB481" s="3">
        <f t="shared" si="175"/>
        <v>25920</v>
      </c>
      <c r="AC481" s="3">
        <f t="shared" si="176"/>
        <v>288000</v>
      </c>
      <c r="AD481" s="3">
        <f t="shared" si="177"/>
        <v>108000</v>
      </c>
      <c r="AE481" s="5">
        <f t="shared" si="178"/>
        <v>3.5087719298245612</v>
      </c>
      <c r="AF481" s="10">
        <f t="shared" si="179"/>
        <v>160704</v>
      </c>
      <c r="AG481" s="10">
        <f t="shared" si="180"/>
        <v>51840</v>
      </c>
      <c r="AH481" s="10">
        <f t="shared" si="181"/>
        <v>25920</v>
      </c>
      <c r="AI481" s="10">
        <f t="shared" si="182"/>
        <v>12960</v>
      </c>
      <c r="AJ481" s="10">
        <f t="shared" si="183"/>
        <v>7776</v>
      </c>
    </row>
    <row r="482" spans="1:36" x14ac:dyDescent="0.3">
      <c r="A482" t="s">
        <v>1940</v>
      </c>
      <c r="B482" t="s">
        <v>1941</v>
      </c>
      <c r="C482" t="s">
        <v>1942</v>
      </c>
      <c r="D482" t="s">
        <v>14</v>
      </c>
      <c r="E482">
        <v>95030</v>
      </c>
      <c r="F482" t="s">
        <v>15</v>
      </c>
      <c r="G482">
        <v>20</v>
      </c>
      <c r="H482">
        <v>72</v>
      </c>
      <c r="I482" t="str" cm="1">
        <f t="array" ref="I482">_xlfn.IFS(H482&lt;=120,"V1",H482&lt;=150,"V2",H482&lt;=250,"V3", H482&lt;=350, "V4")</f>
        <v>V1</v>
      </c>
      <c r="J482" t="s">
        <v>1943</v>
      </c>
      <c r="K482" t="str">
        <f t="shared" si="161"/>
        <v>37.229926</v>
      </c>
      <c r="L482" t="str">
        <f t="shared" si="162"/>
        <v>-121.979384</v>
      </c>
      <c r="M482">
        <v>116</v>
      </c>
      <c r="N482" s="1">
        <v>43367</v>
      </c>
      <c r="O482" s="1">
        <v>46099</v>
      </c>
      <c r="P482" s="2">
        <f t="shared" si="163"/>
        <v>7.4798083504449009</v>
      </c>
      <c r="Q482" s="2" t="str">
        <f t="shared" si="164"/>
        <v>Mid</v>
      </c>
      <c r="R482">
        <f t="shared" si="165"/>
        <v>1440</v>
      </c>
      <c r="S482" t="str">
        <f t="shared" si="166"/>
        <v>Small</v>
      </c>
      <c r="T482" t="str">
        <f t="shared" si="167"/>
        <v>High EV Adoption Corridor</v>
      </c>
      <c r="U482" s="3">
        <f t="shared" si="168"/>
        <v>2808000</v>
      </c>
      <c r="V482" s="4">
        <f t="shared" si="169"/>
        <v>622080</v>
      </c>
      <c r="W482" s="3">
        <f t="shared" si="170"/>
        <v>6336000.0000000009</v>
      </c>
      <c r="X482" s="3">
        <f t="shared" si="171"/>
        <v>5832000</v>
      </c>
      <c r="Y482">
        <f t="shared" si="172"/>
        <v>0.21530864197530863</v>
      </c>
      <c r="Z482">
        <f t="shared" si="173"/>
        <v>0.77846153846153843</v>
      </c>
      <c r="AA482" t="str">
        <f t="shared" si="174"/>
        <v>Tier 3 - Upgrade Pipeline</v>
      </c>
      <c r="AB482" s="3">
        <f t="shared" si="175"/>
        <v>31104</v>
      </c>
      <c r="AC482" s="3">
        <f t="shared" si="176"/>
        <v>316800.00000000006</v>
      </c>
      <c r="AD482" s="3">
        <f t="shared" si="177"/>
        <v>140400</v>
      </c>
      <c r="AE482" s="5">
        <f t="shared" si="178"/>
        <v>2.8985507246376816</v>
      </c>
      <c r="AF482" s="10">
        <f t="shared" si="179"/>
        <v>385689.59999999998</v>
      </c>
      <c r="AG482" s="10">
        <f t="shared" si="180"/>
        <v>124416</v>
      </c>
      <c r="AH482" s="10">
        <f t="shared" si="181"/>
        <v>62208</v>
      </c>
      <c r="AI482" s="10">
        <f t="shared" si="182"/>
        <v>31104</v>
      </c>
      <c r="AJ482" s="10">
        <f t="shared" si="183"/>
        <v>18662.399999999998</v>
      </c>
    </row>
    <row r="483" spans="1:36" x14ac:dyDescent="0.3">
      <c r="A483" t="s">
        <v>1944</v>
      </c>
      <c r="B483" t="s">
        <v>1945</v>
      </c>
      <c r="C483" t="s">
        <v>1946</v>
      </c>
      <c r="D483" t="s">
        <v>14</v>
      </c>
      <c r="E483">
        <v>90240</v>
      </c>
      <c r="F483" t="s">
        <v>15</v>
      </c>
      <c r="G483">
        <v>12</v>
      </c>
      <c r="H483">
        <v>72</v>
      </c>
      <c r="I483" t="str" cm="1">
        <f t="array" ref="I483">_xlfn.IFS(H483&lt;=120,"V1",H483&lt;=150,"V2",H483&lt;=250,"V3", H483&lt;=350, "V4")</f>
        <v>V1</v>
      </c>
      <c r="J483" t="s">
        <v>1947</v>
      </c>
      <c r="K483" t="str">
        <f t="shared" si="161"/>
        <v>33.953335</v>
      </c>
      <c r="L483" t="str">
        <f t="shared" si="162"/>
        <v>-118.112914</v>
      </c>
      <c r="M483">
        <v>42</v>
      </c>
      <c r="N483" s="1">
        <v>43244</v>
      </c>
      <c r="O483" s="1">
        <v>46099</v>
      </c>
      <c r="P483" s="2">
        <f t="shared" si="163"/>
        <v>7.8165639972621488</v>
      </c>
      <c r="Q483" s="2" t="str">
        <f t="shared" si="164"/>
        <v>Mid</v>
      </c>
      <c r="R483">
        <f t="shared" si="165"/>
        <v>864</v>
      </c>
      <c r="S483" t="str">
        <f t="shared" si="166"/>
        <v>Small</v>
      </c>
      <c r="T483" t="str">
        <f t="shared" si="167"/>
        <v>High EV Adoption Corridor</v>
      </c>
      <c r="U483" s="3">
        <f t="shared" si="168"/>
        <v>1684800</v>
      </c>
      <c r="V483" s="4">
        <f t="shared" si="169"/>
        <v>373248</v>
      </c>
      <c r="W483" s="3">
        <f t="shared" si="170"/>
        <v>3801600.0000000005</v>
      </c>
      <c r="X483" s="3">
        <f t="shared" si="171"/>
        <v>3499200</v>
      </c>
      <c r="Y483">
        <f t="shared" si="172"/>
        <v>0.21530864197530863</v>
      </c>
      <c r="Z483">
        <f t="shared" si="173"/>
        <v>0.77846153846153843</v>
      </c>
      <c r="AA483" t="str">
        <f t="shared" si="174"/>
        <v>Tier 3 - Upgrade Pipeline</v>
      </c>
      <c r="AB483" s="3">
        <f t="shared" si="175"/>
        <v>31104</v>
      </c>
      <c r="AC483" s="3">
        <f t="shared" si="176"/>
        <v>316800.00000000006</v>
      </c>
      <c r="AD483" s="3">
        <f t="shared" si="177"/>
        <v>140400</v>
      </c>
      <c r="AE483" s="5">
        <f t="shared" si="178"/>
        <v>2.8985507246376816</v>
      </c>
      <c r="AF483" s="10">
        <f t="shared" si="179"/>
        <v>231413.76000000001</v>
      </c>
      <c r="AG483" s="10">
        <f t="shared" si="180"/>
        <v>74649.600000000006</v>
      </c>
      <c r="AH483" s="10">
        <f t="shared" si="181"/>
        <v>37324.800000000003</v>
      </c>
      <c r="AI483" s="10">
        <f t="shared" si="182"/>
        <v>18662.400000000001</v>
      </c>
      <c r="AJ483" s="10">
        <f t="shared" si="183"/>
        <v>11197.439999999999</v>
      </c>
    </row>
    <row r="484" spans="1:36" x14ac:dyDescent="0.3">
      <c r="A484" t="s">
        <v>1948</v>
      </c>
      <c r="B484" t="s">
        <v>1949</v>
      </c>
      <c r="C484" t="s">
        <v>1950</v>
      </c>
      <c r="D484" t="s">
        <v>41</v>
      </c>
      <c r="E484">
        <v>32771</v>
      </c>
      <c r="F484" t="s">
        <v>15</v>
      </c>
      <c r="G484">
        <v>12</v>
      </c>
      <c r="H484">
        <v>250</v>
      </c>
      <c r="I484" t="str" cm="1">
        <f t="array" ref="I484">_xlfn.IFS(H484&lt;=120,"V1",H484&lt;=150,"V2",H484&lt;=250,"V3", H484&lt;=350, "V4")</f>
        <v>V3</v>
      </c>
      <c r="J484" t="s">
        <v>1951</v>
      </c>
      <c r="K484" t="str">
        <f t="shared" si="161"/>
        <v>28.799264</v>
      </c>
      <c r="L484" t="str">
        <f t="shared" si="162"/>
        <v>-81.338224</v>
      </c>
      <c r="M484">
        <v>17</v>
      </c>
      <c r="N484" s="1">
        <v>45014</v>
      </c>
      <c r="O484" s="1">
        <v>46099</v>
      </c>
      <c r="P484" s="2">
        <f t="shared" si="163"/>
        <v>2.97056810403833</v>
      </c>
      <c r="Q484" s="2" t="str">
        <f t="shared" si="164"/>
        <v>New</v>
      </c>
      <c r="R484">
        <f t="shared" si="165"/>
        <v>3000</v>
      </c>
      <c r="S484" t="str">
        <f t="shared" si="166"/>
        <v>Small</v>
      </c>
      <c r="T484" t="str">
        <f t="shared" si="167"/>
        <v>High EV Adoption Corridor</v>
      </c>
      <c r="U484" s="3">
        <f t="shared" si="168"/>
        <v>7020000</v>
      </c>
      <c r="V484" s="4">
        <f t="shared" si="169"/>
        <v>1584000</v>
      </c>
      <c r="W484" s="3">
        <f t="shared" si="170"/>
        <v>19800000</v>
      </c>
      <c r="X484" s="3">
        <f t="shared" si="171"/>
        <v>14850000</v>
      </c>
      <c r="Y484">
        <f t="shared" si="172"/>
        <v>0.24</v>
      </c>
      <c r="Z484">
        <f t="shared" si="173"/>
        <v>0.77435897435897438</v>
      </c>
      <c r="AA484" t="str">
        <f t="shared" si="174"/>
        <v>Tier 1 - Priority Fleet</v>
      </c>
      <c r="AB484" s="3">
        <f t="shared" si="175"/>
        <v>132000</v>
      </c>
      <c r="AC484" s="3">
        <f t="shared" si="176"/>
        <v>1650000</v>
      </c>
      <c r="AD484" s="3">
        <f t="shared" si="177"/>
        <v>585000</v>
      </c>
      <c r="AE484" s="5">
        <f t="shared" si="178"/>
        <v>3.6423841059602649</v>
      </c>
      <c r="AF484" s="10">
        <f t="shared" si="179"/>
        <v>982080</v>
      </c>
      <c r="AG484" s="10">
        <f t="shared" si="180"/>
        <v>316800</v>
      </c>
      <c r="AH484" s="10">
        <f t="shared" si="181"/>
        <v>158400</v>
      </c>
      <c r="AI484" s="10">
        <f t="shared" si="182"/>
        <v>79200</v>
      </c>
      <c r="AJ484" s="10">
        <f t="shared" si="183"/>
        <v>47520</v>
      </c>
    </row>
    <row r="485" spans="1:36" x14ac:dyDescent="0.3">
      <c r="A485" t="s">
        <v>1952</v>
      </c>
      <c r="B485" t="s">
        <v>1953</v>
      </c>
      <c r="C485" t="s">
        <v>1954</v>
      </c>
      <c r="D485" t="s">
        <v>77</v>
      </c>
      <c r="E485">
        <v>27536</v>
      </c>
      <c r="F485" t="s">
        <v>15</v>
      </c>
      <c r="G485">
        <v>8</v>
      </c>
      <c r="H485">
        <v>150</v>
      </c>
      <c r="I485" t="str" cm="1">
        <f t="array" ref="I485">_xlfn.IFS(H485&lt;=120,"V1",H485&lt;=150,"V2",H485&lt;=250,"V3", H485&lt;=350, "V4")</f>
        <v>V2</v>
      </c>
      <c r="J485" t="s">
        <v>1955</v>
      </c>
      <c r="K485" t="str">
        <f t="shared" si="161"/>
        <v>36.329537</v>
      </c>
      <c r="L485" t="str">
        <f t="shared" si="162"/>
        <v>-78.447534</v>
      </c>
      <c r="M485">
        <v>139</v>
      </c>
      <c r="N485" s="1">
        <v>43638</v>
      </c>
      <c r="O485" s="1">
        <v>46099</v>
      </c>
      <c r="P485" s="2">
        <f t="shared" si="163"/>
        <v>6.7378507871321016</v>
      </c>
      <c r="Q485" s="2" t="str">
        <f t="shared" si="164"/>
        <v>Mid</v>
      </c>
      <c r="R485">
        <f t="shared" si="165"/>
        <v>1200</v>
      </c>
      <c r="S485" t="str">
        <f t="shared" si="166"/>
        <v>Small</v>
      </c>
      <c r="T485" t="str">
        <f t="shared" si="167"/>
        <v>Lower EV Adoption Corridor</v>
      </c>
      <c r="U485" s="3">
        <f t="shared" si="168"/>
        <v>1980000.0000000002</v>
      </c>
      <c r="V485" s="4">
        <f t="shared" si="169"/>
        <v>480000</v>
      </c>
      <c r="W485" s="3">
        <f t="shared" si="170"/>
        <v>6000000</v>
      </c>
      <c r="X485" s="3">
        <f t="shared" si="171"/>
        <v>3600000</v>
      </c>
      <c r="Y485">
        <f t="shared" si="172"/>
        <v>0.3</v>
      </c>
      <c r="Z485">
        <f t="shared" si="173"/>
        <v>0.75757575757575757</v>
      </c>
      <c r="AA485" t="str">
        <f t="shared" si="174"/>
        <v>Tier 4 - Stable Network</v>
      </c>
      <c r="AB485" s="3">
        <f t="shared" si="175"/>
        <v>60000</v>
      </c>
      <c r="AC485" s="3">
        <f t="shared" si="176"/>
        <v>750000</v>
      </c>
      <c r="AD485" s="3">
        <f t="shared" si="177"/>
        <v>247500.00000000003</v>
      </c>
      <c r="AE485" s="5">
        <f t="shared" si="178"/>
        <v>3.9999999999999996</v>
      </c>
      <c r="AF485" s="10">
        <f t="shared" si="179"/>
        <v>297600</v>
      </c>
      <c r="AG485" s="10">
        <f t="shared" si="180"/>
        <v>96000</v>
      </c>
      <c r="AH485" s="10">
        <f t="shared" si="181"/>
        <v>48000</v>
      </c>
      <c r="AI485" s="10">
        <f t="shared" si="182"/>
        <v>24000</v>
      </c>
      <c r="AJ485" s="10">
        <f t="shared" si="183"/>
        <v>14400</v>
      </c>
    </row>
    <row r="486" spans="1:36" x14ac:dyDescent="0.3">
      <c r="A486" t="s">
        <v>1956</v>
      </c>
      <c r="B486" t="s">
        <v>1957</v>
      </c>
      <c r="C486" t="s">
        <v>1958</v>
      </c>
      <c r="D486" t="s">
        <v>14</v>
      </c>
      <c r="E486">
        <v>91105</v>
      </c>
      <c r="F486" t="s">
        <v>15</v>
      </c>
      <c r="G486">
        <v>24</v>
      </c>
      <c r="H486">
        <v>72</v>
      </c>
      <c r="I486" t="str" cm="1">
        <f t="array" ref="I486">_xlfn.IFS(H486&lt;=120,"V1",H486&lt;=150,"V2",H486&lt;=250,"V3", H486&lt;=350, "V4")</f>
        <v>V1</v>
      </c>
      <c r="J486" t="s">
        <v>1959</v>
      </c>
      <c r="K486" t="str">
        <f t="shared" si="161"/>
        <v>34.144835</v>
      </c>
      <c r="L486" t="str">
        <f t="shared" si="162"/>
        <v>-118.146609</v>
      </c>
      <c r="M486">
        <v>258</v>
      </c>
      <c r="N486" s="1">
        <v>43795</v>
      </c>
      <c r="O486" s="1">
        <v>46099</v>
      </c>
      <c r="P486" s="2">
        <f t="shared" si="163"/>
        <v>6.3080082135523616</v>
      </c>
      <c r="Q486" s="2" t="str">
        <f t="shared" si="164"/>
        <v>Mid</v>
      </c>
      <c r="R486">
        <f t="shared" si="165"/>
        <v>1728</v>
      </c>
      <c r="S486" t="str">
        <f t="shared" si="166"/>
        <v>Small</v>
      </c>
      <c r="T486" t="str">
        <f t="shared" si="167"/>
        <v>High EV Adoption Corridor</v>
      </c>
      <c r="U486" s="3">
        <f t="shared" si="168"/>
        <v>3369600</v>
      </c>
      <c r="V486" s="4">
        <f t="shared" si="169"/>
        <v>746496</v>
      </c>
      <c r="W486" s="3">
        <f t="shared" si="170"/>
        <v>7603200.0000000009</v>
      </c>
      <c r="X486" s="3">
        <f t="shared" si="171"/>
        <v>6998400</v>
      </c>
      <c r="Y486">
        <f t="shared" si="172"/>
        <v>0.21530864197530863</v>
      </c>
      <c r="Z486">
        <f t="shared" si="173"/>
        <v>0.77846153846153843</v>
      </c>
      <c r="AA486" t="str">
        <f t="shared" si="174"/>
        <v>Tier 3 - Upgrade Pipeline</v>
      </c>
      <c r="AB486" s="3">
        <f t="shared" si="175"/>
        <v>31104</v>
      </c>
      <c r="AC486" s="3">
        <f t="shared" si="176"/>
        <v>316800.00000000006</v>
      </c>
      <c r="AD486" s="3">
        <f t="shared" si="177"/>
        <v>140400</v>
      </c>
      <c r="AE486" s="5">
        <f t="shared" si="178"/>
        <v>2.8985507246376816</v>
      </c>
      <c r="AF486" s="10">
        <f t="shared" si="179"/>
        <v>462827.52000000002</v>
      </c>
      <c r="AG486" s="10">
        <f t="shared" si="180"/>
        <v>149299.20000000001</v>
      </c>
      <c r="AH486" s="10">
        <f t="shared" si="181"/>
        <v>74649.600000000006</v>
      </c>
      <c r="AI486" s="10">
        <f t="shared" si="182"/>
        <v>37324.800000000003</v>
      </c>
      <c r="AJ486" s="10">
        <f t="shared" si="183"/>
        <v>22394.879999999997</v>
      </c>
    </row>
    <row r="487" spans="1:36" x14ac:dyDescent="0.3">
      <c r="A487" t="s">
        <v>1960</v>
      </c>
      <c r="B487" t="s">
        <v>1961</v>
      </c>
      <c r="C487" t="s">
        <v>1962</v>
      </c>
      <c r="D487" t="s">
        <v>158</v>
      </c>
      <c r="E487">
        <v>11726</v>
      </c>
      <c r="F487" t="s">
        <v>15</v>
      </c>
      <c r="G487">
        <v>8</v>
      </c>
      <c r="H487">
        <v>250</v>
      </c>
      <c r="I487" t="str" cm="1">
        <f t="array" ref="I487">_xlfn.IFS(H487&lt;=120,"V1",H487&lt;=150,"V2",H487&lt;=250,"V3", H487&lt;=350, "V4")</f>
        <v>V3</v>
      </c>
      <c r="J487" t="s">
        <v>1963</v>
      </c>
      <c r="K487" t="str">
        <f t="shared" si="161"/>
        <v>40.688444</v>
      </c>
      <c r="L487" t="str">
        <f t="shared" si="162"/>
        <v>-73.4055</v>
      </c>
      <c r="M487">
        <v>9</v>
      </c>
      <c r="N487" s="1">
        <v>43888</v>
      </c>
      <c r="O487" s="1">
        <v>46099</v>
      </c>
      <c r="P487" s="2">
        <f t="shared" si="163"/>
        <v>6.0533880903490758</v>
      </c>
      <c r="Q487" s="2" t="str">
        <f t="shared" si="164"/>
        <v>Mid</v>
      </c>
      <c r="R487">
        <f t="shared" si="165"/>
        <v>2000</v>
      </c>
      <c r="S487" t="str">
        <f t="shared" si="166"/>
        <v>Small</v>
      </c>
      <c r="T487" t="str">
        <f t="shared" si="167"/>
        <v>Lower EV Adoption Corridor</v>
      </c>
      <c r="U487" s="3">
        <f t="shared" si="168"/>
        <v>3600000</v>
      </c>
      <c r="V487" s="4">
        <f t="shared" si="169"/>
        <v>880000.00000000012</v>
      </c>
      <c r="W487" s="3">
        <f t="shared" si="170"/>
        <v>12000000</v>
      </c>
      <c r="X487" s="3">
        <f t="shared" si="171"/>
        <v>6600000.0000000009</v>
      </c>
      <c r="Y487">
        <f t="shared" si="172"/>
        <v>0.31515151515151513</v>
      </c>
      <c r="Z487">
        <f t="shared" si="173"/>
        <v>0.75555555555555554</v>
      </c>
      <c r="AA487" t="str">
        <f t="shared" si="174"/>
        <v>Tier 2 - Growth Markets</v>
      </c>
      <c r="AB487" s="3">
        <f t="shared" si="175"/>
        <v>110000.00000000001</v>
      </c>
      <c r="AC487" s="3">
        <f t="shared" si="176"/>
        <v>1500000</v>
      </c>
      <c r="AD487" s="3">
        <f t="shared" si="177"/>
        <v>450000</v>
      </c>
      <c r="AE487" s="5">
        <f t="shared" si="178"/>
        <v>4.4117647058823533</v>
      </c>
      <c r="AF487" s="10">
        <f t="shared" si="179"/>
        <v>545600.00000000012</v>
      </c>
      <c r="AG487" s="10">
        <f t="shared" si="180"/>
        <v>176000.00000000003</v>
      </c>
      <c r="AH487" s="10">
        <f t="shared" si="181"/>
        <v>88000.000000000015</v>
      </c>
      <c r="AI487" s="10">
        <f t="shared" si="182"/>
        <v>44000.000000000007</v>
      </c>
      <c r="AJ487" s="10">
        <f t="shared" si="183"/>
        <v>26400.000000000004</v>
      </c>
    </row>
    <row r="488" spans="1:36" x14ac:dyDescent="0.3">
      <c r="A488" t="s">
        <v>1964</v>
      </c>
      <c r="B488" t="s">
        <v>1965</v>
      </c>
      <c r="C488" t="s">
        <v>1966</v>
      </c>
      <c r="D488" t="s">
        <v>130</v>
      </c>
      <c r="E488">
        <v>46077</v>
      </c>
      <c r="F488" t="s">
        <v>15</v>
      </c>
      <c r="G488">
        <v>10</v>
      </c>
      <c r="H488">
        <v>120</v>
      </c>
      <c r="I488" t="str" cm="1">
        <f t="array" ref="I488">_xlfn.IFS(H488&lt;=120,"V1",H488&lt;=150,"V2",H488&lt;=250,"V3", H488&lt;=350, "V4")</f>
        <v>V1</v>
      </c>
      <c r="J488" t="s">
        <v>1967</v>
      </c>
      <c r="K488" t="str">
        <f t="shared" si="161"/>
        <v>39.950563</v>
      </c>
      <c r="L488" t="str">
        <f t="shared" si="162"/>
        <v>-86.343779</v>
      </c>
      <c r="M488">
        <v>283</v>
      </c>
      <c r="N488" s="1">
        <v>43595</v>
      </c>
      <c r="O488" s="1">
        <v>46099</v>
      </c>
      <c r="P488" s="2">
        <f t="shared" si="163"/>
        <v>6.8555783709787814</v>
      </c>
      <c r="Q488" s="2" t="str">
        <f t="shared" si="164"/>
        <v>Mid</v>
      </c>
      <c r="R488">
        <f t="shared" si="165"/>
        <v>1200</v>
      </c>
      <c r="S488" t="str">
        <f t="shared" si="166"/>
        <v>Small</v>
      </c>
      <c r="T488" t="str">
        <f t="shared" si="167"/>
        <v>Lower EV Adoption Corridor</v>
      </c>
      <c r="U488" s="3">
        <f t="shared" si="168"/>
        <v>1800000</v>
      </c>
      <c r="V488" s="4">
        <f t="shared" si="169"/>
        <v>432000</v>
      </c>
      <c r="W488" s="3">
        <f t="shared" si="170"/>
        <v>4800000</v>
      </c>
      <c r="X488" s="3">
        <f t="shared" si="171"/>
        <v>3240000</v>
      </c>
      <c r="Y488">
        <f t="shared" si="172"/>
        <v>0.2814814814814815</v>
      </c>
      <c r="Z488">
        <f t="shared" si="173"/>
        <v>0.76</v>
      </c>
      <c r="AA488" t="str">
        <f t="shared" si="174"/>
        <v>Tier 5 - Retirement Pipeline</v>
      </c>
      <c r="AB488" s="3">
        <f t="shared" si="175"/>
        <v>43200</v>
      </c>
      <c r="AC488" s="3">
        <f t="shared" si="176"/>
        <v>480000</v>
      </c>
      <c r="AD488" s="3">
        <f t="shared" si="177"/>
        <v>180000</v>
      </c>
      <c r="AE488" s="5">
        <f t="shared" si="178"/>
        <v>3.5087719298245612</v>
      </c>
      <c r="AF488" s="10">
        <f t="shared" si="179"/>
        <v>267840</v>
      </c>
      <c r="AG488" s="10">
        <f t="shared" si="180"/>
        <v>86400</v>
      </c>
      <c r="AH488" s="10">
        <f t="shared" si="181"/>
        <v>43200</v>
      </c>
      <c r="AI488" s="10">
        <f t="shared" si="182"/>
        <v>21600</v>
      </c>
      <c r="AJ488" s="10">
        <f t="shared" si="183"/>
        <v>12960</v>
      </c>
    </row>
    <row r="489" spans="1:36" x14ac:dyDescent="0.3">
      <c r="A489" t="s">
        <v>1968</v>
      </c>
      <c r="B489" t="s">
        <v>1969</v>
      </c>
      <c r="C489" t="s">
        <v>1970</v>
      </c>
      <c r="D489" t="s">
        <v>14</v>
      </c>
      <c r="E489">
        <v>94928</v>
      </c>
      <c r="F489" t="s">
        <v>15</v>
      </c>
      <c r="G489">
        <v>12</v>
      </c>
      <c r="H489">
        <v>150</v>
      </c>
      <c r="I489" t="str" cm="1">
        <f t="array" ref="I489">_xlfn.IFS(H489&lt;=120,"V1",H489&lt;=150,"V2",H489&lt;=250,"V3", H489&lt;=350, "V4")</f>
        <v>V2</v>
      </c>
      <c r="J489" t="s">
        <v>1971</v>
      </c>
      <c r="K489" t="str">
        <f t="shared" si="161"/>
        <v>38.3475</v>
      </c>
      <c r="L489" t="str">
        <f t="shared" si="162"/>
        <v>-122.720944</v>
      </c>
      <c r="M489">
        <v>30</v>
      </c>
      <c r="N489" s="1">
        <v>43594</v>
      </c>
      <c r="O489" s="1">
        <v>46099</v>
      </c>
      <c r="P489" s="2">
        <f t="shared" si="163"/>
        <v>6.8583162217659135</v>
      </c>
      <c r="Q489" s="2" t="str">
        <f t="shared" si="164"/>
        <v>Mid</v>
      </c>
      <c r="R489">
        <f t="shared" si="165"/>
        <v>1800</v>
      </c>
      <c r="S489" t="str">
        <f t="shared" si="166"/>
        <v>Small</v>
      </c>
      <c r="T489" t="str">
        <f t="shared" si="167"/>
        <v>High EV Adoption Corridor</v>
      </c>
      <c r="U489" s="3">
        <f t="shared" si="168"/>
        <v>3861000.0000000009</v>
      </c>
      <c r="V489" s="4">
        <f t="shared" si="169"/>
        <v>864000</v>
      </c>
      <c r="W489" s="3">
        <f t="shared" si="170"/>
        <v>9900000</v>
      </c>
      <c r="X489" s="3">
        <f t="shared" si="171"/>
        <v>8100000</v>
      </c>
      <c r="Y489">
        <f t="shared" si="172"/>
        <v>0.22888888888888889</v>
      </c>
      <c r="Z489">
        <f t="shared" si="173"/>
        <v>0.77622377622377625</v>
      </c>
      <c r="AA489" t="str">
        <f t="shared" si="174"/>
        <v>Tier 3 - Upgrade Pipeline</v>
      </c>
      <c r="AB489" s="3">
        <f t="shared" si="175"/>
        <v>72000</v>
      </c>
      <c r="AC489" s="3">
        <f t="shared" si="176"/>
        <v>825000</v>
      </c>
      <c r="AD489" s="3">
        <f t="shared" si="177"/>
        <v>321750.00000000006</v>
      </c>
      <c r="AE489" s="5">
        <f t="shared" si="178"/>
        <v>3.3033033033033021</v>
      </c>
      <c r="AF489" s="10">
        <f t="shared" si="179"/>
        <v>535680</v>
      </c>
      <c r="AG489" s="10">
        <f t="shared" si="180"/>
        <v>172800</v>
      </c>
      <c r="AH489" s="10">
        <f t="shared" si="181"/>
        <v>86400</v>
      </c>
      <c r="AI489" s="10">
        <f t="shared" si="182"/>
        <v>43200</v>
      </c>
      <c r="AJ489" s="10">
        <f t="shared" si="183"/>
        <v>25920</v>
      </c>
    </row>
    <row r="490" spans="1:36" x14ac:dyDescent="0.3">
      <c r="A490" t="s">
        <v>1972</v>
      </c>
      <c r="B490" t="s">
        <v>1973</v>
      </c>
      <c r="C490" t="s">
        <v>1974</v>
      </c>
      <c r="D490" t="s">
        <v>852</v>
      </c>
      <c r="E490">
        <v>8005</v>
      </c>
      <c r="F490" t="s">
        <v>15</v>
      </c>
      <c r="G490">
        <v>8</v>
      </c>
      <c r="H490">
        <v>150</v>
      </c>
      <c r="I490" t="str" cm="1">
        <f t="array" ref="I490">_xlfn.IFS(H490&lt;=120,"V1",H490&lt;=150,"V2",H490&lt;=250,"V3", H490&lt;=350, "V4")</f>
        <v>V2</v>
      </c>
      <c r="J490" t="s">
        <v>1975</v>
      </c>
      <c r="K490" t="str">
        <f t="shared" si="161"/>
        <v>39.759418</v>
      </c>
      <c r="L490" t="str">
        <f t="shared" si="162"/>
        <v>-74.253461</v>
      </c>
      <c r="M490">
        <v>37</v>
      </c>
      <c r="N490" s="1">
        <v>43608</v>
      </c>
      <c r="O490" s="1">
        <v>46099</v>
      </c>
      <c r="P490" s="2">
        <f t="shared" si="163"/>
        <v>6.8199863107460645</v>
      </c>
      <c r="Q490" s="2" t="str">
        <f t="shared" si="164"/>
        <v>Mid</v>
      </c>
      <c r="R490">
        <f t="shared" si="165"/>
        <v>1200</v>
      </c>
      <c r="S490" t="str">
        <f t="shared" si="166"/>
        <v>Small</v>
      </c>
      <c r="T490" t="str">
        <f t="shared" si="167"/>
        <v>High EV Adoption Corridor</v>
      </c>
      <c r="U490" s="3">
        <f t="shared" si="168"/>
        <v>2574000.0000000005</v>
      </c>
      <c r="V490" s="4">
        <f t="shared" si="169"/>
        <v>576000</v>
      </c>
      <c r="W490" s="3">
        <f t="shared" si="170"/>
        <v>6600000.0000000009</v>
      </c>
      <c r="X490" s="3">
        <f t="shared" si="171"/>
        <v>5400000</v>
      </c>
      <c r="Y490">
        <f t="shared" si="172"/>
        <v>0.22888888888888889</v>
      </c>
      <c r="Z490">
        <f t="shared" si="173"/>
        <v>0.77622377622377625</v>
      </c>
      <c r="AA490" t="str">
        <f t="shared" si="174"/>
        <v>Tier 3 - Upgrade Pipeline</v>
      </c>
      <c r="AB490" s="3">
        <f t="shared" si="175"/>
        <v>72000</v>
      </c>
      <c r="AC490" s="3">
        <f t="shared" si="176"/>
        <v>825000.00000000012</v>
      </c>
      <c r="AD490" s="3">
        <f t="shared" si="177"/>
        <v>321750.00000000006</v>
      </c>
      <c r="AE490" s="5">
        <f t="shared" si="178"/>
        <v>3.303303303303303</v>
      </c>
      <c r="AF490" s="10">
        <f t="shared" si="179"/>
        <v>357120</v>
      </c>
      <c r="AG490" s="10">
        <f t="shared" si="180"/>
        <v>115200</v>
      </c>
      <c r="AH490" s="10">
        <f t="shared" si="181"/>
        <v>57600</v>
      </c>
      <c r="AI490" s="10">
        <f t="shared" si="182"/>
        <v>28800</v>
      </c>
      <c r="AJ490" s="10">
        <f t="shared" si="183"/>
        <v>17280</v>
      </c>
    </row>
    <row r="491" spans="1:36" x14ac:dyDescent="0.3">
      <c r="A491" t="s">
        <v>1976</v>
      </c>
      <c r="B491" t="s">
        <v>1977</v>
      </c>
      <c r="C491" t="s">
        <v>1383</v>
      </c>
      <c r="D491" t="s">
        <v>72</v>
      </c>
      <c r="E491">
        <v>85718</v>
      </c>
      <c r="F491" t="s">
        <v>15</v>
      </c>
      <c r="G491">
        <v>10</v>
      </c>
      <c r="H491">
        <v>72</v>
      </c>
      <c r="I491" t="str" cm="1">
        <f t="array" ref="I491">_xlfn.IFS(H491&lt;=120,"V1",H491&lt;=150,"V2",H491&lt;=250,"V3", H491&lt;=350, "V4")</f>
        <v>V1</v>
      </c>
      <c r="J491" t="s">
        <v>1978</v>
      </c>
      <c r="K491" t="str">
        <f t="shared" si="161"/>
        <v>32.32555</v>
      </c>
      <c r="L491" t="str">
        <f t="shared" si="162"/>
        <v>-110.930936</v>
      </c>
      <c r="M491">
        <v>842</v>
      </c>
      <c r="N491" s="1">
        <v>43219</v>
      </c>
      <c r="O491" s="1">
        <v>46099</v>
      </c>
      <c r="P491" s="2">
        <f t="shared" si="163"/>
        <v>7.8850102669404514</v>
      </c>
      <c r="Q491" s="2" t="str">
        <f t="shared" si="164"/>
        <v>Mid</v>
      </c>
      <c r="R491">
        <f t="shared" si="165"/>
        <v>720</v>
      </c>
      <c r="S491" t="str">
        <f t="shared" si="166"/>
        <v>Small</v>
      </c>
      <c r="T491" t="str">
        <f t="shared" si="167"/>
        <v>Lower EV Adoption Corridor</v>
      </c>
      <c r="U491" s="3">
        <f t="shared" si="168"/>
        <v>1080000</v>
      </c>
      <c r="V491" s="4">
        <f t="shared" si="169"/>
        <v>259200</v>
      </c>
      <c r="W491" s="3">
        <f t="shared" si="170"/>
        <v>2880000</v>
      </c>
      <c r="X491" s="3">
        <f t="shared" si="171"/>
        <v>1944000</v>
      </c>
      <c r="Y491">
        <f t="shared" si="172"/>
        <v>0.2814814814814815</v>
      </c>
      <c r="Z491">
        <f t="shared" si="173"/>
        <v>0.76</v>
      </c>
      <c r="AA491" t="str">
        <f t="shared" si="174"/>
        <v>Tier 5 - Retirement Pipeline</v>
      </c>
      <c r="AB491" s="3">
        <f t="shared" si="175"/>
        <v>25920</v>
      </c>
      <c r="AC491" s="3">
        <f t="shared" si="176"/>
        <v>288000</v>
      </c>
      <c r="AD491" s="3">
        <f t="shared" si="177"/>
        <v>108000</v>
      </c>
      <c r="AE491" s="5">
        <f t="shared" si="178"/>
        <v>3.5087719298245612</v>
      </c>
      <c r="AF491" s="10">
        <f t="shared" si="179"/>
        <v>160704</v>
      </c>
      <c r="AG491" s="10">
        <f t="shared" si="180"/>
        <v>51840</v>
      </c>
      <c r="AH491" s="10">
        <f t="shared" si="181"/>
        <v>25920</v>
      </c>
      <c r="AI491" s="10">
        <f t="shared" si="182"/>
        <v>12960</v>
      </c>
      <c r="AJ491" s="10">
        <f t="shared" si="183"/>
        <v>7776</v>
      </c>
    </row>
    <row r="492" spans="1:36" x14ac:dyDescent="0.3">
      <c r="A492" t="s">
        <v>1979</v>
      </c>
      <c r="B492" t="s">
        <v>1980</v>
      </c>
      <c r="C492" t="s">
        <v>1981</v>
      </c>
      <c r="D492" t="s">
        <v>852</v>
      </c>
      <c r="E492">
        <v>7054</v>
      </c>
      <c r="F492" t="s">
        <v>15</v>
      </c>
      <c r="G492">
        <v>8</v>
      </c>
      <c r="H492">
        <v>150</v>
      </c>
      <c r="I492" t="str" cm="1">
        <f t="array" ref="I492">_xlfn.IFS(H492&lt;=120,"V1",H492&lt;=150,"V2",H492&lt;=250,"V3", H492&lt;=350, "V4")</f>
        <v>V2</v>
      </c>
      <c r="J492" t="s">
        <v>1982</v>
      </c>
      <c r="K492" t="str">
        <f t="shared" si="161"/>
        <v>40.850095</v>
      </c>
      <c r="L492" t="str">
        <f t="shared" si="162"/>
        <v>-74.350835</v>
      </c>
      <c r="M492">
        <v>55</v>
      </c>
      <c r="N492" s="1">
        <v>43530</v>
      </c>
      <c r="O492" s="1">
        <v>46099</v>
      </c>
      <c r="P492" s="2">
        <f t="shared" si="163"/>
        <v>7.0335386721423685</v>
      </c>
      <c r="Q492" s="2" t="str">
        <f t="shared" si="164"/>
        <v>Mid</v>
      </c>
      <c r="R492">
        <f t="shared" si="165"/>
        <v>1200</v>
      </c>
      <c r="S492" t="str">
        <f t="shared" si="166"/>
        <v>Small</v>
      </c>
      <c r="T492" t="str">
        <f t="shared" si="167"/>
        <v>High EV Adoption Corridor</v>
      </c>
      <c r="U492" s="3">
        <f t="shared" si="168"/>
        <v>2574000.0000000005</v>
      </c>
      <c r="V492" s="4">
        <f t="shared" si="169"/>
        <v>576000</v>
      </c>
      <c r="W492" s="3">
        <f t="shared" si="170"/>
        <v>6600000.0000000009</v>
      </c>
      <c r="X492" s="3">
        <f t="shared" si="171"/>
        <v>5400000</v>
      </c>
      <c r="Y492">
        <f t="shared" si="172"/>
        <v>0.22888888888888889</v>
      </c>
      <c r="Z492">
        <f t="shared" si="173"/>
        <v>0.77622377622377625</v>
      </c>
      <c r="AA492" t="str">
        <f t="shared" si="174"/>
        <v>Tier 3 - Upgrade Pipeline</v>
      </c>
      <c r="AB492" s="3">
        <f t="shared" si="175"/>
        <v>72000</v>
      </c>
      <c r="AC492" s="3">
        <f t="shared" si="176"/>
        <v>825000.00000000012</v>
      </c>
      <c r="AD492" s="3">
        <f t="shared" si="177"/>
        <v>321750.00000000006</v>
      </c>
      <c r="AE492" s="5">
        <f t="shared" si="178"/>
        <v>3.303303303303303</v>
      </c>
      <c r="AF492" s="10">
        <f t="shared" si="179"/>
        <v>357120</v>
      </c>
      <c r="AG492" s="10">
        <f t="shared" si="180"/>
        <v>115200</v>
      </c>
      <c r="AH492" s="10">
        <f t="shared" si="181"/>
        <v>57600</v>
      </c>
      <c r="AI492" s="10">
        <f t="shared" si="182"/>
        <v>28800</v>
      </c>
      <c r="AJ492" s="10">
        <f t="shared" si="183"/>
        <v>17280</v>
      </c>
    </row>
    <row r="493" spans="1:36" x14ac:dyDescent="0.3">
      <c r="A493" t="s">
        <v>1983</v>
      </c>
      <c r="B493" t="s">
        <v>1984</v>
      </c>
      <c r="C493" t="s">
        <v>1985</v>
      </c>
      <c r="D493" t="s">
        <v>852</v>
      </c>
      <c r="E493">
        <v>7047</v>
      </c>
      <c r="F493" t="s">
        <v>15</v>
      </c>
      <c r="G493">
        <v>8</v>
      </c>
      <c r="H493">
        <v>250</v>
      </c>
      <c r="I493" t="str" cm="1">
        <f t="array" ref="I493">_xlfn.IFS(H493&lt;=120,"V1",H493&lt;=150,"V2",H493&lt;=250,"V3", H493&lt;=350, "V4")</f>
        <v>V3</v>
      </c>
      <c r="J493" t="s">
        <v>1986</v>
      </c>
      <c r="K493" t="str">
        <f t="shared" si="161"/>
        <v>40.77386</v>
      </c>
      <c r="L493" t="str">
        <f t="shared" si="162"/>
        <v>-74.03814</v>
      </c>
      <c r="M493">
        <v>41</v>
      </c>
      <c r="N493" s="1">
        <v>44911</v>
      </c>
      <c r="O493" s="1">
        <v>46099</v>
      </c>
      <c r="P493" s="2">
        <f t="shared" si="163"/>
        <v>3.2525667351129361</v>
      </c>
      <c r="Q493" s="2" t="str">
        <f t="shared" si="164"/>
        <v>Mid</v>
      </c>
      <c r="R493">
        <f t="shared" si="165"/>
        <v>2000</v>
      </c>
      <c r="S493" t="str">
        <f t="shared" si="166"/>
        <v>Small</v>
      </c>
      <c r="T493" t="str">
        <f t="shared" si="167"/>
        <v>High EV Adoption Corridor</v>
      </c>
      <c r="U493" s="3">
        <f t="shared" si="168"/>
        <v>4680000</v>
      </c>
      <c r="V493" s="4">
        <f t="shared" si="169"/>
        <v>1056000</v>
      </c>
      <c r="W493" s="3">
        <f t="shared" si="170"/>
        <v>13200000.000000002</v>
      </c>
      <c r="X493" s="3">
        <f t="shared" si="171"/>
        <v>9900000.0000000019</v>
      </c>
      <c r="Y493">
        <f t="shared" si="172"/>
        <v>0.23999999999999996</v>
      </c>
      <c r="Z493">
        <f t="shared" si="173"/>
        <v>0.77435897435897438</v>
      </c>
      <c r="AA493" t="str">
        <f t="shared" si="174"/>
        <v>Tier 1 - Priority Fleet</v>
      </c>
      <c r="AB493" s="3">
        <f t="shared" si="175"/>
        <v>132000</v>
      </c>
      <c r="AC493" s="3">
        <f t="shared" si="176"/>
        <v>1650000.0000000002</v>
      </c>
      <c r="AD493" s="3">
        <f t="shared" si="177"/>
        <v>585000</v>
      </c>
      <c r="AE493" s="5">
        <f t="shared" si="178"/>
        <v>3.6423841059602653</v>
      </c>
      <c r="AF493" s="10">
        <f t="shared" si="179"/>
        <v>654720</v>
      </c>
      <c r="AG493" s="10">
        <f t="shared" si="180"/>
        <v>211200</v>
      </c>
      <c r="AH493" s="10">
        <f t="shared" si="181"/>
        <v>105600</v>
      </c>
      <c r="AI493" s="10">
        <f t="shared" si="182"/>
        <v>52800</v>
      </c>
      <c r="AJ493" s="10">
        <f t="shared" si="183"/>
        <v>31680</v>
      </c>
    </row>
    <row r="494" spans="1:36" x14ac:dyDescent="0.3">
      <c r="A494" t="s">
        <v>1987</v>
      </c>
      <c r="B494" t="s">
        <v>1988</v>
      </c>
      <c r="C494" t="s">
        <v>1989</v>
      </c>
      <c r="D494" t="s">
        <v>14</v>
      </c>
      <c r="E494">
        <v>92881</v>
      </c>
      <c r="F494" t="s">
        <v>15</v>
      </c>
      <c r="G494">
        <v>20</v>
      </c>
      <c r="H494">
        <v>72</v>
      </c>
      <c r="I494" t="str" cm="1">
        <f t="array" ref="I494">_xlfn.IFS(H494&lt;=120,"V1",H494&lt;=150,"V2",H494&lt;=250,"V3", H494&lt;=350, "V4")</f>
        <v>V1</v>
      </c>
      <c r="J494" t="s">
        <v>1990</v>
      </c>
      <c r="K494" t="str">
        <f t="shared" si="161"/>
        <v>33.826338</v>
      </c>
      <c r="L494" t="str">
        <f t="shared" si="162"/>
        <v>-117.515411</v>
      </c>
      <c r="M494">
        <v>258</v>
      </c>
      <c r="N494" s="1">
        <v>43554</v>
      </c>
      <c r="O494" s="1">
        <v>46099</v>
      </c>
      <c r="P494" s="2">
        <f t="shared" si="163"/>
        <v>6.967830253251198</v>
      </c>
      <c r="Q494" s="2" t="str">
        <f t="shared" si="164"/>
        <v>Mid</v>
      </c>
      <c r="R494">
        <f t="shared" si="165"/>
        <v>1440</v>
      </c>
      <c r="S494" t="str">
        <f t="shared" si="166"/>
        <v>Small</v>
      </c>
      <c r="T494" t="str">
        <f t="shared" si="167"/>
        <v>High EV Adoption Corridor</v>
      </c>
      <c r="U494" s="3">
        <f t="shared" si="168"/>
        <v>2808000</v>
      </c>
      <c r="V494" s="4">
        <f t="shared" si="169"/>
        <v>622080</v>
      </c>
      <c r="W494" s="3">
        <f t="shared" si="170"/>
        <v>6336000.0000000009</v>
      </c>
      <c r="X494" s="3">
        <f t="shared" si="171"/>
        <v>5832000</v>
      </c>
      <c r="Y494">
        <f t="shared" si="172"/>
        <v>0.21530864197530863</v>
      </c>
      <c r="Z494">
        <f t="shared" si="173"/>
        <v>0.77846153846153843</v>
      </c>
      <c r="AA494" t="str">
        <f t="shared" si="174"/>
        <v>Tier 3 - Upgrade Pipeline</v>
      </c>
      <c r="AB494" s="3">
        <f t="shared" si="175"/>
        <v>31104</v>
      </c>
      <c r="AC494" s="3">
        <f t="shared" si="176"/>
        <v>316800.00000000006</v>
      </c>
      <c r="AD494" s="3">
        <f t="shared" si="177"/>
        <v>140400</v>
      </c>
      <c r="AE494" s="5">
        <f t="shared" si="178"/>
        <v>2.8985507246376816</v>
      </c>
      <c r="AF494" s="10">
        <f t="shared" si="179"/>
        <v>385689.59999999998</v>
      </c>
      <c r="AG494" s="10">
        <f t="shared" si="180"/>
        <v>124416</v>
      </c>
      <c r="AH494" s="10">
        <f t="shared" si="181"/>
        <v>62208</v>
      </c>
      <c r="AI494" s="10">
        <f t="shared" si="182"/>
        <v>31104</v>
      </c>
      <c r="AJ494" s="10">
        <f t="shared" si="183"/>
        <v>18662.399999999998</v>
      </c>
    </row>
    <row r="495" spans="1:36" x14ac:dyDescent="0.3">
      <c r="A495" t="s">
        <v>1991</v>
      </c>
      <c r="B495" t="s">
        <v>1992</v>
      </c>
      <c r="C495" t="s">
        <v>1993</v>
      </c>
      <c r="D495" t="s">
        <v>14</v>
      </c>
      <c r="E495">
        <v>92336</v>
      </c>
      <c r="F495" t="s">
        <v>15</v>
      </c>
      <c r="G495">
        <v>24</v>
      </c>
      <c r="H495">
        <v>72</v>
      </c>
      <c r="I495" t="str" cm="1">
        <f t="array" ref="I495">_xlfn.IFS(H495&lt;=120,"V1",H495&lt;=150,"V2",H495&lt;=250,"V3", H495&lt;=350, "V4")</f>
        <v>V1</v>
      </c>
      <c r="J495" t="s">
        <v>1994</v>
      </c>
      <c r="K495" t="str">
        <f t="shared" si="161"/>
        <v>34.151177</v>
      </c>
      <c r="L495" t="str">
        <f t="shared" si="162"/>
        <v>-117.471412</v>
      </c>
      <c r="M495">
        <v>480</v>
      </c>
      <c r="N495" s="1">
        <v>43553</v>
      </c>
      <c r="O495" s="1">
        <v>46099</v>
      </c>
      <c r="P495" s="2">
        <f t="shared" si="163"/>
        <v>6.97056810403833</v>
      </c>
      <c r="Q495" s="2" t="str">
        <f t="shared" si="164"/>
        <v>Mid</v>
      </c>
      <c r="R495">
        <f t="shared" si="165"/>
        <v>1728</v>
      </c>
      <c r="S495" t="str">
        <f t="shared" si="166"/>
        <v>Small</v>
      </c>
      <c r="T495" t="str">
        <f t="shared" si="167"/>
        <v>High EV Adoption Corridor</v>
      </c>
      <c r="U495" s="3">
        <f t="shared" si="168"/>
        <v>3369600</v>
      </c>
      <c r="V495" s="4">
        <f t="shared" si="169"/>
        <v>746496</v>
      </c>
      <c r="W495" s="3">
        <f t="shared" si="170"/>
        <v>7603200.0000000009</v>
      </c>
      <c r="X495" s="3">
        <f t="shared" si="171"/>
        <v>6998400</v>
      </c>
      <c r="Y495">
        <f t="shared" si="172"/>
        <v>0.21530864197530863</v>
      </c>
      <c r="Z495">
        <f t="shared" si="173"/>
        <v>0.77846153846153843</v>
      </c>
      <c r="AA495" t="str">
        <f t="shared" si="174"/>
        <v>Tier 3 - Upgrade Pipeline</v>
      </c>
      <c r="AB495" s="3">
        <f t="shared" si="175"/>
        <v>31104</v>
      </c>
      <c r="AC495" s="3">
        <f t="shared" si="176"/>
        <v>316800.00000000006</v>
      </c>
      <c r="AD495" s="3">
        <f t="shared" si="177"/>
        <v>140400</v>
      </c>
      <c r="AE495" s="5">
        <f t="shared" si="178"/>
        <v>2.8985507246376816</v>
      </c>
      <c r="AF495" s="10">
        <f t="shared" si="179"/>
        <v>462827.52000000002</v>
      </c>
      <c r="AG495" s="10">
        <f t="shared" si="180"/>
        <v>149299.20000000001</v>
      </c>
      <c r="AH495" s="10">
        <f t="shared" si="181"/>
        <v>74649.600000000006</v>
      </c>
      <c r="AI495" s="10">
        <f t="shared" si="182"/>
        <v>37324.800000000003</v>
      </c>
      <c r="AJ495" s="10">
        <f t="shared" si="183"/>
        <v>22394.879999999997</v>
      </c>
    </row>
    <row r="496" spans="1:36" x14ac:dyDescent="0.3">
      <c r="A496" t="s">
        <v>1995</v>
      </c>
      <c r="B496" t="s">
        <v>1996</v>
      </c>
      <c r="C496" t="s">
        <v>1997</v>
      </c>
      <c r="D496" t="s">
        <v>14</v>
      </c>
      <c r="E496">
        <v>94588</v>
      </c>
      <c r="F496" t="s">
        <v>15</v>
      </c>
      <c r="G496">
        <v>10</v>
      </c>
      <c r="H496">
        <v>72</v>
      </c>
      <c r="I496" t="str" cm="1">
        <f t="array" ref="I496">_xlfn.IFS(H496&lt;=120,"V1",H496&lt;=150,"V2",H496&lt;=250,"V3", H496&lt;=350, "V4")</f>
        <v>V1</v>
      </c>
      <c r="J496" t="s">
        <v>1998</v>
      </c>
      <c r="K496" t="str">
        <f t="shared" si="161"/>
        <v>37.700508</v>
      </c>
      <c r="L496" t="str">
        <f t="shared" si="162"/>
        <v>-121.908364</v>
      </c>
      <c r="M496">
        <v>100</v>
      </c>
      <c r="N496" s="1">
        <v>43586</v>
      </c>
      <c r="O496" s="1">
        <v>46099</v>
      </c>
      <c r="P496" s="2">
        <f t="shared" si="163"/>
        <v>6.8802190280629709</v>
      </c>
      <c r="Q496" s="2" t="str">
        <f t="shared" si="164"/>
        <v>Mid</v>
      </c>
      <c r="R496">
        <f t="shared" si="165"/>
        <v>720</v>
      </c>
      <c r="S496" t="str">
        <f t="shared" si="166"/>
        <v>Small</v>
      </c>
      <c r="T496" t="str">
        <f t="shared" si="167"/>
        <v>High EV Adoption Corridor</v>
      </c>
      <c r="U496" s="3">
        <f t="shared" si="168"/>
        <v>1404000</v>
      </c>
      <c r="V496" s="4">
        <f t="shared" si="169"/>
        <v>311040</v>
      </c>
      <c r="W496" s="3">
        <f t="shared" si="170"/>
        <v>3168000.0000000005</v>
      </c>
      <c r="X496" s="3">
        <f t="shared" si="171"/>
        <v>2916000</v>
      </c>
      <c r="Y496">
        <f t="shared" si="172"/>
        <v>0.21530864197530863</v>
      </c>
      <c r="Z496">
        <f t="shared" si="173"/>
        <v>0.77846153846153843</v>
      </c>
      <c r="AA496" t="str">
        <f t="shared" si="174"/>
        <v>Tier 3 - Upgrade Pipeline</v>
      </c>
      <c r="AB496" s="3">
        <f t="shared" si="175"/>
        <v>31104</v>
      </c>
      <c r="AC496" s="3">
        <f t="shared" si="176"/>
        <v>316800.00000000006</v>
      </c>
      <c r="AD496" s="3">
        <f t="shared" si="177"/>
        <v>140400</v>
      </c>
      <c r="AE496" s="5">
        <f t="shared" si="178"/>
        <v>2.8985507246376816</v>
      </c>
      <c r="AF496" s="10">
        <f t="shared" si="179"/>
        <v>192844.79999999999</v>
      </c>
      <c r="AG496" s="10">
        <f t="shared" si="180"/>
        <v>62208</v>
      </c>
      <c r="AH496" s="10">
        <f t="shared" si="181"/>
        <v>31104</v>
      </c>
      <c r="AI496" s="10">
        <f t="shared" si="182"/>
        <v>15552</v>
      </c>
      <c r="AJ496" s="10">
        <f t="shared" si="183"/>
        <v>9331.1999999999989</v>
      </c>
    </row>
    <row r="497" spans="1:36" x14ac:dyDescent="0.3">
      <c r="A497" t="s">
        <v>1999</v>
      </c>
      <c r="B497" t="s">
        <v>2000</v>
      </c>
      <c r="C497" t="s">
        <v>2001</v>
      </c>
      <c r="D497" t="s">
        <v>14</v>
      </c>
      <c r="E497">
        <v>95035</v>
      </c>
      <c r="F497" t="s">
        <v>15</v>
      </c>
      <c r="G497">
        <v>16</v>
      </c>
      <c r="H497">
        <v>150</v>
      </c>
      <c r="I497" t="str" cm="1">
        <f t="array" ref="I497">_xlfn.IFS(H497&lt;=120,"V1",H497&lt;=150,"V2",H497&lt;=250,"V3", H497&lt;=350, "V4")</f>
        <v>V2</v>
      </c>
      <c r="J497" t="s">
        <v>2002</v>
      </c>
      <c r="K497" t="str">
        <f t="shared" si="161"/>
        <v>37.434536</v>
      </c>
      <c r="L497" t="str">
        <f t="shared" si="162"/>
        <v>-121.891387</v>
      </c>
      <c r="M497">
        <v>10</v>
      </c>
      <c r="N497" s="1">
        <v>43420</v>
      </c>
      <c r="O497" s="1">
        <v>46099</v>
      </c>
      <c r="P497" s="2">
        <f t="shared" si="163"/>
        <v>7.3347022587268995</v>
      </c>
      <c r="Q497" s="2" t="str">
        <f t="shared" si="164"/>
        <v>Mid</v>
      </c>
      <c r="R497">
        <f t="shared" si="165"/>
        <v>2400</v>
      </c>
      <c r="S497" t="str">
        <f t="shared" si="166"/>
        <v>Small</v>
      </c>
      <c r="T497" t="str">
        <f t="shared" si="167"/>
        <v>High EV Adoption Corridor</v>
      </c>
      <c r="U497" s="3">
        <f t="shared" si="168"/>
        <v>5148000.0000000009</v>
      </c>
      <c r="V497" s="4">
        <f t="shared" si="169"/>
        <v>1152000</v>
      </c>
      <c r="W497" s="3">
        <f t="shared" si="170"/>
        <v>13200000.000000002</v>
      </c>
      <c r="X497" s="3">
        <f t="shared" si="171"/>
        <v>10800000</v>
      </c>
      <c r="Y497">
        <f t="shared" si="172"/>
        <v>0.22888888888888889</v>
      </c>
      <c r="Z497">
        <f t="shared" si="173"/>
        <v>0.77622377622377625</v>
      </c>
      <c r="AA497" t="str">
        <f t="shared" si="174"/>
        <v>Tier 3 - Upgrade Pipeline</v>
      </c>
      <c r="AB497" s="3">
        <f t="shared" si="175"/>
        <v>72000</v>
      </c>
      <c r="AC497" s="3">
        <f t="shared" si="176"/>
        <v>825000.00000000012</v>
      </c>
      <c r="AD497" s="3">
        <f t="shared" si="177"/>
        <v>321750.00000000006</v>
      </c>
      <c r="AE497" s="5">
        <f t="shared" si="178"/>
        <v>3.303303303303303</v>
      </c>
      <c r="AF497" s="10">
        <f t="shared" si="179"/>
        <v>714240</v>
      </c>
      <c r="AG497" s="10">
        <f t="shared" si="180"/>
        <v>230400</v>
      </c>
      <c r="AH497" s="10">
        <f t="shared" si="181"/>
        <v>115200</v>
      </c>
      <c r="AI497" s="10">
        <f t="shared" si="182"/>
        <v>57600</v>
      </c>
      <c r="AJ497" s="10">
        <f t="shared" si="183"/>
        <v>34560</v>
      </c>
    </row>
    <row r="498" spans="1:36" x14ac:dyDescent="0.3">
      <c r="A498" t="s">
        <v>2003</v>
      </c>
      <c r="B498" t="s">
        <v>2004</v>
      </c>
      <c r="C498" t="s">
        <v>1859</v>
      </c>
      <c r="D498" t="s">
        <v>14</v>
      </c>
      <c r="E498">
        <v>90015</v>
      </c>
      <c r="F498" t="s">
        <v>15</v>
      </c>
      <c r="G498">
        <v>10</v>
      </c>
      <c r="H498">
        <v>72</v>
      </c>
      <c r="I498" t="str" cm="1">
        <f t="array" ref="I498">_xlfn.IFS(H498&lt;=120,"V1",H498&lt;=150,"V2",H498&lt;=250,"V3", H498&lt;=350, "V4")</f>
        <v>V1</v>
      </c>
      <c r="J498" t="s">
        <v>2005</v>
      </c>
      <c r="K498" t="str">
        <f t="shared" si="161"/>
        <v>34.047424</v>
      </c>
      <c r="L498" t="str">
        <f t="shared" si="162"/>
        <v>-118.264589</v>
      </c>
      <c r="M498">
        <v>77</v>
      </c>
      <c r="N498" s="1">
        <v>43531</v>
      </c>
      <c r="O498" s="1">
        <v>46099</v>
      </c>
      <c r="P498" s="2">
        <f t="shared" si="163"/>
        <v>7.0308008213552364</v>
      </c>
      <c r="Q498" s="2" t="str">
        <f t="shared" si="164"/>
        <v>Mid</v>
      </c>
      <c r="R498">
        <f t="shared" si="165"/>
        <v>720</v>
      </c>
      <c r="S498" t="str">
        <f t="shared" si="166"/>
        <v>Small</v>
      </c>
      <c r="T498" t="str">
        <f t="shared" si="167"/>
        <v>High EV Adoption Corridor</v>
      </c>
      <c r="U498" s="3">
        <f t="shared" si="168"/>
        <v>1404000</v>
      </c>
      <c r="V498" s="4">
        <f t="shared" si="169"/>
        <v>311040</v>
      </c>
      <c r="W498" s="3">
        <f t="shared" si="170"/>
        <v>3168000.0000000005</v>
      </c>
      <c r="X498" s="3">
        <f t="shared" si="171"/>
        <v>2916000</v>
      </c>
      <c r="Y498">
        <f t="shared" si="172"/>
        <v>0.21530864197530863</v>
      </c>
      <c r="Z498">
        <f t="shared" si="173"/>
        <v>0.77846153846153843</v>
      </c>
      <c r="AA498" t="str">
        <f t="shared" si="174"/>
        <v>Tier 3 - Upgrade Pipeline</v>
      </c>
      <c r="AB498" s="3">
        <f t="shared" si="175"/>
        <v>31104</v>
      </c>
      <c r="AC498" s="3">
        <f t="shared" si="176"/>
        <v>316800.00000000006</v>
      </c>
      <c r="AD498" s="3">
        <f t="shared" si="177"/>
        <v>140400</v>
      </c>
      <c r="AE498" s="5">
        <f t="shared" si="178"/>
        <v>2.8985507246376816</v>
      </c>
      <c r="AF498" s="10">
        <f t="shared" si="179"/>
        <v>192844.79999999999</v>
      </c>
      <c r="AG498" s="10">
        <f t="shared" si="180"/>
        <v>62208</v>
      </c>
      <c r="AH498" s="10">
        <f t="shared" si="181"/>
        <v>31104</v>
      </c>
      <c r="AI498" s="10">
        <f t="shared" si="182"/>
        <v>15552</v>
      </c>
      <c r="AJ498" s="10">
        <f t="shared" si="183"/>
        <v>9331.1999999999989</v>
      </c>
    </row>
    <row r="499" spans="1:36" x14ac:dyDescent="0.3">
      <c r="A499" t="s">
        <v>2006</v>
      </c>
      <c r="B499" t="s">
        <v>2007</v>
      </c>
      <c r="C499" t="s">
        <v>2008</v>
      </c>
      <c r="D499" t="s">
        <v>14</v>
      </c>
      <c r="E499">
        <v>93023</v>
      </c>
      <c r="F499" t="s">
        <v>15</v>
      </c>
      <c r="G499">
        <v>12</v>
      </c>
      <c r="H499">
        <v>72</v>
      </c>
      <c r="I499" t="str" cm="1">
        <f t="array" ref="I499">_xlfn.IFS(H499&lt;=120,"V1",H499&lt;=150,"V2",H499&lt;=250,"V3", H499&lt;=350, "V4")</f>
        <v>V1</v>
      </c>
      <c r="J499" t="s">
        <v>2009</v>
      </c>
      <c r="K499" t="str">
        <f t="shared" si="161"/>
        <v>34.441994</v>
      </c>
      <c r="L499" t="str">
        <f t="shared" si="162"/>
        <v>-119.258898</v>
      </c>
      <c r="M499">
        <v>236</v>
      </c>
      <c r="N499" s="1">
        <v>43669</v>
      </c>
      <c r="O499" s="1">
        <v>46099</v>
      </c>
      <c r="P499" s="2">
        <f t="shared" si="163"/>
        <v>6.6529774127310057</v>
      </c>
      <c r="Q499" s="2" t="str">
        <f t="shared" si="164"/>
        <v>Mid</v>
      </c>
      <c r="R499">
        <f t="shared" si="165"/>
        <v>864</v>
      </c>
      <c r="S499" t="str">
        <f t="shared" si="166"/>
        <v>Small</v>
      </c>
      <c r="T499" t="str">
        <f t="shared" si="167"/>
        <v>High EV Adoption Corridor</v>
      </c>
      <c r="U499" s="3">
        <f t="shared" si="168"/>
        <v>1684800</v>
      </c>
      <c r="V499" s="4">
        <f t="shared" si="169"/>
        <v>373248</v>
      </c>
      <c r="W499" s="3">
        <f t="shared" si="170"/>
        <v>3801600.0000000005</v>
      </c>
      <c r="X499" s="3">
        <f t="shared" si="171"/>
        <v>3499200</v>
      </c>
      <c r="Y499">
        <f t="shared" si="172"/>
        <v>0.21530864197530863</v>
      </c>
      <c r="Z499">
        <f t="shared" si="173"/>
        <v>0.77846153846153843</v>
      </c>
      <c r="AA499" t="str">
        <f t="shared" si="174"/>
        <v>Tier 3 - Upgrade Pipeline</v>
      </c>
      <c r="AB499" s="3">
        <f t="shared" si="175"/>
        <v>31104</v>
      </c>
      <c r="AC499" s="3">
        <f t="shared" si="176"/>
        <v>316800.00000000006</v>
      </c>
      <c r="AD499" s="3">
        <f t="shared" si="177"/>
        <v>140400</v>
      </c>
      <c r="AE499" s="5">
        <f t="shared" si="178"/>
        <v>2.8985507246376816</v>
      </c>
      <c r="AF499" s="10">
        <f t="shared" si="179"/>
        <v>231413.76000000001</v>
      </c>
      <c r="AG499" s="10">
        <f t="shared" si="180"/>
        <v>74649.600000000006</v>
      </c>
      <c r="AH499" s="10">
        <f t="shared" si="181"/>
        <v>37324.800000000003</v>
      </c>
      <c r="AI499" s="10">
        <f t="shared" si="182"/>
        <v>18662.400000000001</v>
      </c>
      <c r="AJ499" s="10">
        <f t="shared" si="183"/>
        <v>11197.439999999999</v>
      </c>
    </row>
    <row r="500" spans="1:36" x14ac:dyDescent="0.3">
      <c r="A500" t="s">
        <v>2010</v>
      </c>
      <c r="B500" t="s">
        <v>2011</v>
      </c>
      <c r="C500" t="s">
        <v>2012</v>
      </c>
      <c r="D500" t="s">
        <v>2013</v>
      </c>
      <c r="E500">
        <v>58503</v>
      </c>
      <c r="F500" t="s">
        <v>15</v>
      </c>
      <c r="G500">
        <v>8</v>
      </c>
      <c r="H500">
        <v>250</v>
      </c>
      <c r="I500" t="str" cm="1">
        <f t="array" ref="I500">_xlfn.IFS(H500&lt;=120,"V1",H500&lt;=150,"V2",H500&lt;=250,"V3", H500&lt;=350, "V4")</f>
        <v>V3</v>
      </c>
      <c r="J500" t="s">
        <v>2014</v>
      </c>
      <c r="K500" t="str">
        <f t="shared" si="161"/>
        <v>46.832972</v>
      </c>
      <c r="L500" t="str">
        <f t="shared" si="162"/>
        <v>-100.807222</v>
      </c>
      <c r="M500">
        <v>557</v>
      </c>
      <c r="N500" s="1">
        <v>44002</v>
      </c>
      <c r="O500" s="1">
        <v>46099</v>
      </c>
      <c r="P500" s="2">
        <f t="shared" si="163"/>
        <v>5.7412731006160165</v>
      </c>
      <c r="Q500" s="2" t="str">
        <f t="shared" si="164"/>
        <v>Mid</v>
      </c>
      <c r="R500">
        <f t="shared" si="165"/>
        <v>2000</v>
      </c>
      <c r="S500" t="str">
        <f t="shared" si="166"/>
        <v>Small</v>
      </c>
      <c r="T500" t="str">
        <f t="shared" si="167"/>
        <v>Lower EV Adoption Corridor</v>
      </c>
      <c r="U500" s="3">
        <f t="shared" si="168"/>
        <v>3600000</v>
      </c>
      <c r="V500" s="4">
        <f t="shared" si="169"/>
        <v>880000.00000000012</v>
      </c>
      <c r="W500" s="3">
        <f t="shared" si="170"/>
        <v>12000000</v>
      </c>
      <c r="X500" s="3">
        <f t="shared" si="171"/>
        <v>6600000.0000000009</v>
      </c>
      <c r="Y500">
        <f t="shared" si="172"/>
        <v>0.31515151515151513</v>
      </c>
      <c r="Z500">
        <f t="shared" si="173"/>
        <v>0.75555555555555554</v>
      </c>
      <c r="AA500" t="str">
        <f t="shared" si="174"/>
        <v>Tier 2 - Growth Markets</v>
      </c>
      <c r="AB500" s="3">
        <f t="shared" si="175"/>
        <v>110000.00000000001</v>
      </c>
      <c r="AC500" s="3">
        <f t="shared" si="176"/>
        <v>1500000</v>
      </c>
      <c r="AD500" s="3">
        <f t="shared" si="177"/>
        <v>450000</v>
      </c>
      <c r="AE500" s="5">
        <f t="shared" si="178"/>
        <v>4.4117647058823533</v>
      </c>
      <c r="AF500" s="10">
        <f t="shared" si="179"/>
        <v>545600.00000000012</v>
      </c>
      <c r="AG500" s="10">
        <f t="shared" si="180"/>
        <v>176000.00000000003</v>
      </c>
      <c r="AH500" s="10">
        <f t="shared" si="181"/>
        <v>88000.000000000015</v>
      </c>
      <c r="AI500" s="10">
        <f t="shared" si="182"/>
        <v>44000.000000000007</v>
      </c>
      <c r="AJ500" s="10">
        <f t="shared" si="183"/>
        <v>26400.000000000004</v>
      </c>
    </row>
    <row r="501" spans="1:36" x14ac:dyDescent="0.3">
      <c r="A501" t="s">
        <v>2015</v>
      </c>
      <c r="B501" t="s">
        <v>2016</v>
      </c>
      <c r="C501" t="s">
        <v>2017</v>
      </c>
      <c r="D501" t="s">
        <v>72</v>
      </c>
      <c r="E501">
        <v>85390</v>
      </c>
      <c r="F501" t="s">
        <v>15</v>
      </c>
      <c r="G501">
        <v>8</v>
      </c>
      <c r="H501">
        <v>150</v>
      </c>
      <c r="I501" t="str" cm="1">
        <f t="array" ref="I501">_xlfn.IFS(H501&lt;=120,"V1",H501&lt;=150,"V2",H501&lt;=250,"V3", H501&lt;=350, "V4")</f>
        <v>V2</v>
      </c>
      <c r="J501" t="s">
        <v>2018</v>
      </c>
      <c r="K501" t="str">
        <f t="shared" si="161"/>
        <v>33.9702333</v>
      </c>
      <c r="L501" t="str">
        <f t="shared" si="162"/>
        <v>-112.73165</v>
      </c>
      <c r="M501">
        <v>628</v>
      </c>
      <c r="N501" s="1">
        <v>41831</v>
      </c>
      <c r="O501" s="1">
        <v>46099</v>
      </c>
      <c r="P501" s="2">
        <f t="shared" si="163"/>
        <v>11.685147159479808</v>
      </c>
      <c r="Q501" s="2" t="str">
        <f t="shared" si="164"/>
        <v>Old</v>
      </c>
      <c r="R501">
        <f t="shared" si="165"/>
        <v>1200</v>
      </c>
      <c r="S501" t="str">
        <f t="shared" si="166"/>
        <v>Small</v>
      </c>
      <c r="T501" t="str">
        <f t="shared" si="167"/>
        <v>Lower EV Adoption Corridor</v>
      </c>
      <c r="U501" s="3">
        <f t="shared" si="168"/>
        <v>1980000.0000000002</v>
      </c>
      <c r="V501" s="4">
        <f t="shared" si="169"/>
        <v>480000</v>
      </c>
      <c r="W501" s="3">
        <f t="shared" si="170"/>
        <v>6000000</v>
      </c>
      <c r="X501" s="3">
        <f t="shared" si="171"/>
        <v>3600000</v>
      </c>
      <c r="Y501">
        <f t="shared" si="172"/>
        <v>0.3</v>
      </c>
      <c r="Z501">
        <f t="shared" si="173"/>
        <v>0.75757575757575757</v>
      </c>
      <c r="AA501" t="str">
        <f t="shared" si="174"/>
        <v>Tier 4 - Stable Network</v>
      </c>
      <c r="AB501" s="3">
        <f t="shared" si="175"/>
        <v>60000</v>
      </c>
      <c r="AC501" s="3">
        <f t="shared" si="176"/>
        <v>750000</v>
      </c>
      <c r="AD501" s="3">
        <f t="shared" si="177"/>
        <v>247500.00000000003</v>
      </c>
      <c r="AE501" s="5">
        <f t="shared" si="178"/>
        <v>3.9999999999999996</v>
      </c>
      <c r="AF501" s="10">
        <f t="shared" si="179"/>
        <v>297600</v>
      </c>
      <c r="AG501" s="10">
        <f t="shared" si="180"/>
        <v>96000</v>
      </c>
      <c r="AH501" s="10">
        <f t="shared" si="181"/>
        <v>48000</v>
      </c>
      <c r="AI501" s="10">
        <f t="shared" si="182"/>
        <v>24000</v>
      </c>
      <c r="AJ501" s="10">
        <f t="shared" si="183"/>
        <v>14400</v>
      </c>
    </row>
    <row r="502" spans="1:36" x14ac:dyDescent="0.3">
      <c r="A502" t="s">
        <v>2019</v>
      </c>
      <c r="B502" t="s">
        <v>2020</v>
      </c>
      <c r="C502" t="s">
        <v>2021</v>
      </c>
      <c r="D502" t="s">
        <v>98</v>
      </c>
      <c r="E502">
        <v>6905</v>
      </c>
      <c r="F502" t="s">
        <v>15</v>
      </c>
      <c r="G502">
        <v>12</v>
      </c>
      <c r="H502">
        <v>72</v>
      </c>
      <c r="I502" t="str" cm="1">
        <f t="array" ref="I502">_xlfn.IFS(H502&lt;=120,"V1",H502&lt;=150,"V2",H502&lt;=250,"V3", H502&lt;=350, "V4")</f>
        <v>V1</v>
      </c>
      <c r="J502" t="s">
        <v>2022</v>
      </c>
      <c r="K502" t="str">
        <f t="shared" si="161"/>
        <v>41.067836</v>
      </c>
      <c r="L502" t="str">
        <f t="shared" si="162"/>
        <v>-73.545266</v>
      </c>
      <c r="M502">
        <v>10</v>
      </c>
      <c r="N502" s="1">
        <v>43686</v>
      </c>
      <c r="O502" s="1">
        <v>46099</v>
      </c>
      <c r="P502" s="2">
        <f t="shared" si="163"/>
        <v>6.6064339493497606</v>
      </c>
      <c r="Q502" s="2" t="str">
        <f t="shared" si="164"/>
        <v>Mid</v>
      </c>
      <c r="R502">
        <f t="shared" si="165"/>
        <v>864</v>
      </c>
      <c r="S502" t="str">
        <f t="shared" si="166"/>
        <v>Small</v>
      </c>
      <c r="T502" t="str">
        <f t="shared" si="167"/>
        <v>Lower EV Adoption Corridor</v>
      </c>
      <c r="U502" s="3">
        <f t="shared" si="168"/>
        <v>1296000</v>
      </c>
      <c r="V502" s="4">
        <f t="shared" si="169"/>
        <v>311040</v>
      </c>
      <c r="W502" s="3">
        <f t="shared" si="170"/>
        <v>3456000</v>
      </c>
      <c r="X502" s="3">
        <f t="shared" si="171"/>
        <v>2332800</v>
      </c>
      <c r="Y502">
        <f t="shared" si="172"/>
        <v>0.2814814814814815</v>
      </c>
      <c r="Z502">
        <f t="shared" si="173"/>
        <v>0.76</v>
      </c>
      <c r="AA502" t="str">
        <f t="shared" si="174"/>
        <v>Tier 5 - Retirement Pipeline</v>
      </c>
      <c r="AB502" s="3">
        <f t="shared" si="175"/>
        <v>25920</v>
      </c>
      <c r="AC502" s="3">
        <f t="shared" si="176"/>
        <v>288000</v>
      </c>
      <c r="AD502" s="3">
        <f t="shared" si="177"/>
        <v>108000</v>
      </c>
      <c r="AE502" s="5">
        <f t="shared" si="178"/>
        <v>3.5087719298245612</v>
      </c>
      <c r="AF502" s="10">
        <f t="shared" si="179"/>
        <v>192844.79999999999</v>
      </c>
      <c r="AG502" s="10">
        <f t="shared" si="180"/>
        <v>62208</v>
      </c>
      <c r="AH502" s="10">
        <f t="shared" si="181"/>
        <v>31104</v>
      </c>
      <c r="AI502" s="10">
        <f t="shared" si="182"/>
        <v>15552</v>
      </c>
      <c r="AJ502" s="10">
        <f t="shared" si="183"/>
        <v>9331.1999999999989</v>
      </c>
    </row>
    <row r="503" spans="1:36" x14ac:dyDescent="0.3">
      <c r="A503" t="s">
        <v>2023</v>
      </c>
      <c r="B503" t="s">
        <v>2024</v>
      </c>
      <c r="C503" t="s">
        <v>2025</v>
      </c>
      <c r="D503" t="s">
        <v>913</v>
      </c>
      <c r="E503">
        <v>21076</v>
      </c>
      <c r="F503" t="s">
        <v>15</v>
      </c>
      <c r="G503">
        <v>8</v>
      </c>
      <c r="H503">
        <v>72</v>
      </c>
      <c r="I503" t="str" cm="1">
        <f t="array" ref="I503">_xlfn.IFS(H503&lt;=120,"V1",H503&lt;=150,"V2",H503&lt;=250,"V3", H503&lt;=350, "V4")</f>
        <v>V1</v>
      </c>
      <c r="J503" t="s">
        <v>2026</v>
      </c>
      <c r="K503" t="str">
        <f t="shared" si="161"/>
        <v>39.153272</v>
      </c>
      <c r="L503" t="str">
        <f t="shared" si="162"/>
        <v>-76.743717</v>
      </c>
      <c r="M503">
        <v>51</v>
      </c>
      <c r="N503" s="1">
        <v>43783</v>
      </c>
      <c r="O503" s="1">
        <v>46099</v>
      </c>
      <c r="P503" s="2">
        <f t="shared" si="163"/>
        <v>6.3408624229979464</v>
      </c>
      <c r="Q503" s="2" t="str">
        <f t="shared" si="164"/>
        <v>Mid</v>
      </c>
      <c r="R503">
        <f t="shared" si="165"/>
        <v>576</v>
      </c>
      <c r="S503" t="str">
        <f t="shared" si="166"/>
        <v>Small</v>
      </c>
      <c r="T503" t="str">
        <f t="shared" si="167"/>
        <v>Lower EV Adoption Corridor</v>
      </c>
      <c r="U503" s="3">
        <f t="shared" si="168"/>
        <v>864000</v>
      </c>
      <c r="V503" s="4">
        <f t="shared" si="169"/>
        <v>207360</v>
      </c>
      <c r="W503" s="3">
        <f t="shared" si="170"/>
        <v>2304000</v>
      </c>
      <c r="X503" s="3">
        <f t="shared" si="171"/>
        <v>1555200</v>
      </c>
      <c r="Y503">
        <f t="shared" si="172"/>
        <v>0.2814814814814815</v>
      </c>
      <c r="Z503">
        <f t="shared" si="173"/>
        <v>0.76</v>
      </c>
      <c r="AA503" t="str">
        <f t="shared" si="174"/>
        <v>Tier 5 - Retirement Pipeline</v>
      </c>
      <c r="AB503" s="3">
        <f t="shared" si="175"/>
        <v>25920</v>
      </c>
      <c r="AC503" s="3">
        <f t="shared" si="176"/>
        <v>288000</v>
      </c>
      <c r="AD503" s="3">
        <f t="shared" si="177"/>
        <v>108000</v>
      </c>
      <c r="AE503" s="5">
        <f t="shared" si="178"/>
        <v>3.5087719298245612</v>
      </c>
      <c r="AF503" s="10">
        <f t="shared" si="179"/>
        <v>128563.2</v>
      </c>
      <c r="AG503" s="10">
        <f t="shared" si="180"/>
        <v>41472</v>
      </c>
      <c r="AH503" s="10">
        <f t="shared" si="181"/>
        <v>20736</v>
      </c>
      <c r="AI503" s="10">
        <f t="shared" si="182"/>
        <v>10368</v>
      </c>
      <c r="AJ503" s="10">
        <f t="shared" si="183"/>
        <v>6220.8</v>
      </c>
    </row>
    <row r="504" spans="1:36" x14ac:dyDescent="0.3">
      <c r="A504" t="s">
        <v>2027</v>
      </c>
      <c r="B504" t="s">
        <v>2028</v>
      </c>
      <c r="C504" t="s">
        <v>2029</v>
      </c>
      <c r="D504" t="s">
        <v>230</v>
      </c>
      <c r="E504">
        <v>98230</v>
      </c>
      <c r="F504" t="s">
        <v>15</v>
      </c>
      <c r="G504">
        <v>14</v>
      </c>
      <c r="H504">
        <v>150</v>
      </c>
      <c r="I504" t="str" cm="1">
        <f t="array" ref="I504">_xlfn.IFS(H504&lt;=120,"V1",H504&lt;=150,"V2",H504&lt;=250,"V3", H504&lt;=350, "V4")</f>
        <v>V2</v>
      </c>
      <c r="J504" t="s">
        <v>2030</v>
      </c>
      <c r="K504" t="str">
        <f t="shared" si="161"/>
        <v>48.937851</v>
      </c>
      <c r="L504" t="str">
        <f t="shared" si="162"/>
        <v>-122.667679</v>
      </c>
      <c r="M504">
        <v>18</v>
      </c>
      <c r="N504" s="1">
        <v>43749</v>
      </c>
      <c r="O504" s="1">
        <v>46099</v>
      </c>
      <c r="P504" s="2">
        <f t="shared" si="163"/>
        <v>6.4339493497604376</v>
      </c>
      <c r="Q504" s="2" t="str">
        <f t="shared" si="164"/>
        <v>Mid</v>
      </c>
      <c r="R504">
        <f t="shared" si="165"/>
        <v>2100</v>
      </c>
      <c r="S504" t="str">
        <f t="shared" si="166"/>
        <v>Small</v>
      </c>
      <c r="T504" t="str">
        <f t="shared" si="167"/>
        <v>High EV Adoption Corridor</v>
      </c>
      <c r="U504" s="3">
        <f t="shared" si="168"/>
        <v>4504500.0000000009</v>
      </c>
      <c r="V504" s="4">
        <f t="shared" si="169"/>
        <v>1008000</v>
      </c>
      <c r="W504" s="3">
        <f t="shared" si="170"/>
        <v>11550000.000000002</v>
      </c>
      <c r="X504" s="3">
        <f t="shared" si="171"/>
        <v>9450000</v>
      </c>
      <c r="Y504">
        <f t="shared" si="172"/>
        <v>0.22888888888888889</v>
      </c>
      <c r="Z504">
        <f t="shared" si="173"/>
        <v>0.77622377622377625</v>
      </c>
      <c r="AA504" t="str">
        <f t="shared" si="174"/>
        <v>Tier 3 - Upgrade Pipeline</v>
      </c>
      <c r="AB504" s="3">
        <f t="shared" si="175"/>
        <v>72000</v>
      </c>
      <c r="AC504" s="3">
        <f t="shared" si="176"/>
        <v>825000.00000000012</v>
      </c>
      <c r="AD504" s="3">
        <f t="shared" si="177"/>
        <v>321750.00000000006</v>
      </c>
      <c r="AE504" s="5">
        <f t="shared" si="178"/>
        <v>3.303303303303303</v>
      </c>
      <c r="AF504" s="10">
        <f t="shared" si="179"/>
        <v>624960</v>
      </c>
      <c r="AG504" s="10">
        <f t="shared" si="180"/>
        <v>201600</v>
      </c>
      <c r="AH504" s="10">
        <f t="shared" si="181"/>
        <v>100800</v>
      </c>
      <c r="AI504" s="10">
        <f t="shared" si="182"/>
        <v>50400</v>
      </c>
      <c r="AJ504" s="10">
        <f t="shared" si="183"/>
        <v>30240</v>
      </c>
    </row>
    <row r="505" spans="1:36" x14ac:dyDescent="0.3">
      <c r="A505" t="s">
        <v>2031</v>
      </c>
      <c r="B505" t="s">
        <v>2032</v>
      </c>
      <c r="C505" t="s">
        <v>2033</v>
      </c>
      <c r="D505" t="s">
        <v>913</v>
      </c>
      <c r="E505">
        <v>20737</v>
      </c>
      <c r="F505" t="s">
        <v>15</v>
      </c>
      <c r="G505">
        <v>8</v>
      </c>
      <c r="H505">
        <v>72</v>
      </c>
      <c r="I505" t="str" cm="1">
        <f t="array" ref="I505">_xlfn.IFS(H505&lt;=120,"V1",H505&lt;=150,"V2",H505&lt;=250,"V3", H505&lt;=350, "V4")</f>
        <v>V1</v>
      </c>
      <c r="J505" t="s">
        <v>2034</v>
      </c>
      <c r="K505" t="str">
        <f t="shared" si="161"/>
        <v>38.970361</v>
      </c>
      <c r="L505" t="str">
        <f t="shared" si="162"/>
        <v>-76.937333</v>
      </c>
      <c r="M505">
        <v>38</v>
      </c>
      <c r="N505" s="1">
        <v>43665</v>
      </c>
      <c r="O505" s="1">
        <v>46099</v>
      </c>
      <c r="P505" s="2">
        <f t="shared" si="163"/>
        <v>6.6639288158795349</v>
      </c>
      <c r="Q505" s="2" t="str">
        <f t="shared" si="164"/>
        <v>Mid</v>
      </c>
      <c r="R505">
        <f t="shared" si="165"/>
        <v>576</v>
      </c>
      <c r="S505" t="str">
        <f t="shared" si="166"/>
        <v>Small</v>
      </c>
      <c r="T505" t="str">
        <f t="shared" si="167"/>
        <v>Lower EV Adoption Corridor</v>
      </c>
      <c r="U505" s="3">
        <f t="shared" si="168"/>
        <v>864000</v>
      </c>
      <c r="V505" s="4">
        <f t="shared" si="169"/>
        <v>207360</v>
      </c>
      <c r="W505" s="3">
        <f t="shared" si="170"/>
        <v>2304000</v>
      </c>
      <c r="X505" s="3">
        <f t="shared" si="171"/>
        <v>1555200</v>
      </c>
      <c r="Y505">
        <f t="shared" si="172"/>
        <v>0.2814814814814815</v>
      </c>
      <c r="Z505">
        <f t="shared" si="173"/>
        <v>0.76</v>
      </c>
      <c r="AA505" t="str">
        <f t="shared" si="174"/>
        <v>Tier 5 - Retirement Pipeline</v>
      </c>
      <c r="AB505" s="3">
        <f t="shared" si="175"/>
        <v>25920</v>
      </c>
      <c r="AC505" s="3">
        <f t="shared" si="176"/>
        <v>288000</v>
      </c>
      <c r="AD505" s="3">
        <f t="shared" si="177"/>
        <v>108000</v>
      </c>
      <c r="AE505" s="5">
        <f t="shared" si="178"/>
        <v>3.5087719298245612</v>
      </c>
      <c r="AF505" s="10">
        <f t="shared" si="179"/>
        <v>128563.2</v>
      </c>
      <c r="AG505" s="10">
        <f t="shared" si="180"/>
        <v>41472</v>
      </c>
      <c r="AH505" s="10">
        <f t="shared" si="181"/>
        <v>20736</v>
      </c>
      <c r="AI505" s="10">
        <f t="shared" si="182"/>
        <v>10368</v>
      </c>
      <c r="AJ505" s="10">
        <f t="shared" si="183"/>
        <v>6220.8</v>
      </c>
    </row>
    <row r="506" spans="1:36" x14ac:dyDescent="0.3">
      <c r="A506" t="s">
        <v>2035</v>
      </c>
      <c r="B506" t="s">
        <v>2036</v>
      </c>
      <c r="C506" t="s">
        <v>2037</v>
      </c>
      <c r="D506" t="s">
        <v>852</v>
      </c>
      <c r="E506">
        <v>8691</v>
      </c>
      <c r="F506" t="s">
        <v>15</v>
      </c>
      <c r="G506">
        <v>8</v>
      </c>
      <c r="H506">
        <v>150</v>
      </c>
      <c r="I506" t="str" cm="1">
        <f t="array" ref="I506">_xlfn.IFS(H506&lt;=120,"V1",H506&lt;=150,"V2",H506&lt;=250,"V3", H506&lt;=350, "V4")</f>
        <v>V2</v>
      </c>
      <c r="J506" t="s">
        <v>2038</v>
      </c>
      <c r="K506" t="str">
        <f t="shared" si="161"/>
        <v>40.1941978</v>
      </c>
      <c r="L506" t="str">
        <f t="shared" si="162"/>
        <v>-74.5953015</v>
      </c>
      <c r="M506">
        <v>336</v>
      </c>
      <c r="N506" s="1">
        <v>43659</v>
      </c>
      <c r="O506" s="1">
        <v>46099</v>
      </c>
      <c r="P506" s="2">
        <f t="shared" si="163"/>
        <v>6.6803559206023273</v>
      </c>
      <c r="Q506" s="2" t="str">
        <f t="shared" si="164"/>
        <v>Mid</v>
      </c>
      <c r="R506">
        <f t="shared" si="165"/>
        <v>1200</v>
      </c>
      <c r="S506" t="str">
        <f t="shared" si="166"/>
        <v>Small</v>
      </c>
      <c r="T506" t="str">
        <f t="shared" si="167"/>
        <v>High EV Adoption Corridor</v>
      </c>
      <c r="U506" s="3">
        <f t="shared" si="168"/>
        <v>2574000.0000000005</v>
      </c>
      <c r="V506" s="4">
        <f t="shared" si="169"/>
        <v>576000</v>
      </c>
      <c r="W506" s="3">
        <f t="shared" si="170"/>
        <v>6600000.0000000009</v>
      </c>
      <c r="X506" s="3">
        <f t="shared" si="171"/>
        <v>5400000</v>
      </c>
      <c r="Y506">
        <f t="shared" si="172"/>
        <v>0.22888888888888889</v>
      </c>
      <c r="Z506">
        <f t="shared" si="173"/>
        <v>0.77622377622377625</v>
      </c>
      <c r="AA506" t="str">
        <f t="shared" si="174"/>
        <v>Tier 3 - Upgrade Pipeline</v>
      </c>
      <c r="AB506" s="3">
        <f t="shared" si="175"/>
        <v>72000</v>
      </c>
      <c r="AC506" s="3">
        <f t="shared" si="176"/>
        <v>825000.00000000012</v>
      </c>
      <c r="AD506" s="3">
        <f t="shared" si="177"/>
        <v>321750.00000000006</v>
      </c>
      <c r="AE506" s="5">
        <f t="shared" si="178"/>
        <v>3.303303303303303</v>
      </c>
      <c r="AF506" s="10">
        <f t="shared" si="179"/>
        <v>357120</v>
      </c>
      <c r="AG506" s="10">
        <f t="shared" si="180"/>
        <v>115200</v>
      </c>
      <c r="AH506" s="10">
        <f t="shared" si="181"/>
        <v>57600</v>
      </c>
      <c r="AI506" s="10">
        <f t="shared" si="182"/>
        <v>28800</v>
      </c>
      <c r="AJ506" s="10">
        <f t="shared" si="183"/>
        <v>17280</v>
      </c>
    </row>
    <row r="507" spans="1:36" x14ac:dyDescent="0.3">
      <c r="A507" t="s">
        <v>2039</v>
      </c>
      <c r="B507" t="s">
        <v>2040</v>
      </c>
      <c r="C507" t="s">
        <v>2041</v>
      </c>
      <c r="D507" t="s">
        <v>522</v>
      </c>
      <c r="E507">
        <v>64424</v>
      </c>
      <c r="F507" t="s">
        <v>15</v>
      </c>
      <c r="G507">
        <v>6</v>
      </c>
      <c r="H507">
        <v>150</v>
      </c>
      <c r="I507" t="str" cm="1">
        <f t="array" ref="I507">_xlfn.IFS(H507&lt;=120,"V1",H507&lt;=150,"V2",H507&lt;=250,"V3", H507&lt;=350, "V4")</f>
        <v>V2</v>
      </c>
      <c r="J507" t="s">
        <v>2042</v>
      </c>
      <c r="K507" t="str">
        <f t="shared" si="161"/>
        <v>40.265916</v>
      </c>
      <c r="L507" t="str">
        <f t="shared" si="162"/>
        <v>-94.015705</v>
      </c>
      <c r="M507">
        <v>309</v>
      </c>
      <c r="N507" s="1">
        <v>43441</v>
      </c>
      <c r="O507" s="1">
        <v>46099</v>
      </c>
      <c r="P507" s="2">
        <f t="shared" si="163"/>
        <v>7.2772073921971252</v>
      </c>
      <c r="Q507" s="2" t="str">
        <f t="shared" si="164"/>
        <v>Mid</v>
      </c>
      <c r="R507">
        <f t="shared" si="165"/>
        <v>900</v>
      </c>
      <c r="S507" t="str">
        <f t="shared" si="166"/>
        <v>Small</v>
      </c>
      <c r="T507" t="str">
        <f t="shared" si="167"/>
        <v>Lower EV Adoption Corridor</v>
      </c>
      <c r="U507" s="3">
        <f t="shared" si="168"/>
        <v>1485000.0000000002</v>
      </c>
      <c r="V507" s="4">
        <f t="shared" si="169"/>
        <v>360000</v>
      </c>
      <c r="W507" s="3">
        <f t="shared" si="170"/>
        <v>4500000</v>
      </c>
      <c r="X507" s="3">
        <f t="shared" si="171"/>
        <v>2700000</v>
      </c>
      <c r="Y507">
        <f t="shared" si="172"/>
        <v>0.3</v>
      </c>
      <c r="Z507">
        <f t="shared" si="173"/>
        <v>0.75757575757575757</v>
      </c>
      <c r="AA507" t="str">
        <f t="shared" si="174"/>
        <v>Tier 4 - Stable Network</v>
      </c>
      <c r="AB507" s="3">
        <f t="shared" si="175"/>
        <v>60000</v>
      </c>
      <c r="AC507" s="3">
        <f t="shared" si="176"/>
        <v>750000</v>
      </c>
      <c r="AD507" s="3">
        <f t="shared" si="177"/>
        <v>247500.00000000003</v>
      </c>
      <c r="AE507" s="5">
        <f t="shared" si="178"/>
        <v>3.9999999999999991</v>
      </c>
      <c r="AF507" s="10">
        <f t="shared" si="179"/>
        <v>223200</v>
      </c>
      <c r="AG507" s="10">
        <f t="shared" si="180"/>
        <v>72000</v>
      </c>
      <c r="AH507" s="10">
        <f t="shared" si="181"/>
        <v>36000</v>
      </c>
      <c r="AI507" s="10">
        <f t="shared" si="182"/>
        <v>18000</v>
      </c>
      <c r="AJ507" s="10">
        <f t="shared" si="183"/>
        <v>10800</v>
      </c>
    </row>
    <row r="508" spans="1:36" x14ac:dyDescent="0.3">
      <c r="A508" t="s">
        <v>2043</v>
      </c>
      <c r="B508" t="s">
        <v>2044</v>
      </c>
      <c r="C508" t="s">
        <v>2045</v>
      </c>
      <c r="D508" t="s">
        <v>852</v>
      </c>
      <c r="E508">
        <v>8066</v>
      </c>
      <c r="F508" t="s">
        <v>15</v>
      </c>
      <c r="G508">
        <v>8</v>
      </c>
      <c r="H508">
        <v>150</v>
      </c>
      <c r="I508" t="str" cm="1">
        <f t="array" ref="I508">_xlfn.IFS(H508&lt;=120,"V1",H508&lt;=150,"V2",H508&lt;=250,"V3", H508&lt;=350, "V4")</f>
        <v>V2</v>
      </c>
      <c r="J508" t="s">
        <v>2046</v>
      </c>
      <c r="K508" t="str">
        <f t="shared" si="161"/>
        <v>39.822355</v>
      </c>
      <c r="L508" t="str">
        <f t="shared" si="162"/>
        <v>-75.240447</v>
      </c>
      <c r="M508">
        <v>5</v>
      </c>
      <c r="N508" s="1">
        <v>43477</v>
      </c>
      <c r="O508" s="1">
        <v>46099</v>
      </c>
      <c r="P508" s="2">
        <f t="shared" si="163"/>
        <v>7.1786447638603699</v>
      </c>
      <c r="Q508" s="2" t="str">
        <f t="shared" si="164"/>
        <v>Mid</v>
      </c>
      <c r="R508">
        <f t="shared" si="165"/>
        <v>1200</v>
      </c>
      <c r="S508" t="str">
        <f t="shared" si="166"/>
        <v>Small</v>
      </c>
      <c r="T508" t="str">
        <f t="shared" si="167"/>
        <v>High EV Adoption Corridor</v>
      </c>
      <c r="U508" s="3">
        <f t="shared" si="168"/>
        <v>2574000.0000000005</v>
      </c>
      <c r="V508" s="4">
        <f t="shared" si="169"/>
        <v>576000</v>
      </c>
      <c r="W508" s="3">
        <f t="shared" si="170"/>
        <v>6600000.0000000009</v>
      </c>
      <c r="X508" s="3">
        <f t="shared" si="171"/>
        <v>5400000</v>
      </c>
      <c r="Y508">
        <f t="shared" si="172"/>
        <v>0.22888888888888889</v>
      </c>
      <c r="Z508">
        <f t="shared" si="173"/>
        <v>0.77622377622377625</v>
      </c>
      <c r="AA508" t="str">
        <f t="shared" si="174"/>
        <v>Tier 3 - Upgrade Pipeline</v>
      </c>
      <c r="AB508" s="3">
        <f t="shared" si="175"/>
        <v>72000</v>
      </c>
      <c r="AC508" s="3">
        <f t="shared" si="176"/>
        <v>825000.00000000012</v>
      </c>
      <c r="AD508" s="3">
        <f t="shared" si="177"/>
        <v>321750.00000000006</v>
      </c>
      <c r="AE508" s="5">
        <f t="shared" si="178"/>
        <v>3.303303303303303</v>
      </c>
      <c r="AF508" s="10">
        <f t="shared" si="179"/>
        <v>357120</v>
      </c>
      <c r="AG508" s="10">
        <f t="shared" si="180"/>
        <v>115200</v>
      </c>
      <c r="AH508" s="10">
        <f t="shared" si="181"/>
        <v>57600</v>
      </c>
      <c r="AI508" s="10">
        <f t="shared" si="182"/>
        <v>28800</v>
      </c>
      <c r="AJ508" s="10">
        <f t="shared" si="183"/>
        <v>17280</v>
      </c>
    </row>
    <row r="509" spans="1:36" x14ac:dyDescent="0.3">
      <c r="A509" t="s">
        <v>2047</v>
      </c>
      <c r="B509" t="s">
        <v>2048</v>
      </c>
      <c r="C509" t="s">
        <v>2049</v>
      </c>
      <c r="D509" t="s">
        <v>268</v>
      </c>
      <c r="E509">
        <v>80233</v>
      </c>
      <c r="F509" t="s">
        <v>15</v>
      </c>
      <c r="G509">
        <v>8</v>
      </c>
      <c r="H509">
        <v>250</v>
      </c>
      <c r="I509" t="str" cm="1">
        <f t="array" ref="I509">_xlfn.IFS(H509&lt;=120,"V1",H509&lt;=150,"V2",H509&lt;=250,"V3", H509&lt;=350, "V4")</f>
        <v>V3</v>
      </c>
      <c r="J509" t="s">
        <v>2050</v>
      </c>
      <c r="K509" t="str">
        <f t="shared" si="161"/>
        <v>39.914711</v>
      </c>
      <c r="L509" t="str">
        <f t="shared" si="162"/>
        <v>-104.986758</v>
      </c>
      <c r="M509">
        <v>1635</v>
      </c>
      <c r="N509" s="1">
        <v>43889</v>
      </c>
      <c r="O509" s="1">
        <v>46099</v>
      </c>
      <c r="P509" s="2">
        <f t="shared" si="163"/>
        <v>6.0506502395619437</v>
      </c>
      <c r="Q509" s="2" t="str">
        <f t="shared" si="164"/>
        <v>Mid</v>
      </c>
      <c r="R509">
        <f t="shared" si="165"/>
        <v>2000</v>
      </c>
      <c r="S509" t="str">
        <f t="shared" si="166"/>
        <v>Small</v>
      </c>
      <c r="T509" t="str">
        <f t="shared" si="167"/>
        <v>High EV Adoption Corridor</v>
      </c>
      <c r="U509" s="3">
        <f t="shared" si="168"/>
        <v>4680000</v>
      </c>
      <c r="V509" s="4">
        <f t="shared" si="169"/>
        <v>1056000</v>
      </c>
      <c r="W509" s="3">
        <f t="shared" si="170"/>
        <v>13200000.000000002</v>
      </c>
      <c r="X509" s="3">
        <f t="shared" si="171"/>
        <v>9900000.0000000019</v>
      </c>
      <c r="Y509">
        <f t="shared" si="172"/>
        <v>0.23999999999999996</v>
      </c>
      <c r="Z509">
        <f t="shared" si="173"/>
        <v>0.77435897435897438</v>
      </c>
      <c r="AA509" t="str">
        <f t="shared" si="174"/>
        <v>Tier 1 - Priority Fleet</v>
      </c>
      <c r="AB509" s="3">
        <f t="shared" si="175"/>
        <v>132000</v>
      </c>
      <c r="AC509" s="3">
        <f t="shared" si="176"/>
        <v>1650000.0000000002</v>
      </c>
      <c r="AD509" s="3">
        <f t="shared" si="177"/>
        <v>585000</v>
      </c>
      <c r="AE509" s="5">
        <f t="shared" si="178"/>
        <v>3.6423841059602653</v>
      </c>
      <c r="AF509" s="10">
        <f t="shared" si="179"/>
        <v>654720</v>
      </c>
      <c r="AG509" s="10">
        <f t="shared" si="180"/>
        <v>211200</v>
      </c>
      <c r="AH509" s="10">
        <f t="shared" si="181"/>
        <v>105600</v>
      </c>
      <c r="AI509" s="10">
        <f t="shared" si="182"/>
        <v>52800</v>
      </c>
      <c r="AJ509" s="10">
        <f t="shared" si="183"/>
        <v>31680</v>
      </c>
    </row>
    <row r="510" spans="1:36" x14ac:dyDescent="0.3">
      <c r="A510" t="s">
        <v>2051</v>
      </c>
      <c r="B510" t="s">
        <v>2052</v>
      </c>
      <c r="C510" t="s">
        <v>2053</v>
      </c>
      <c r="D510" t="s">
        <v>59</v>
      </c>
      <c r="E510">
        <v>60025</v>
      </c>
      <c r="F510" t="s">
        <v>15</v>
      </c>
      <c r="G510">
        <v>10</v>
      </c>
      <c r="H510">
        <v>72</v>
      </c>
      <c r="I510" t="str" cm="1">
        <f t="array" ref="I510">_xlfn.IFS(H510&lt;=120,"V1",H510&lt;=150,"V2",H510&lt;=250,"V3", H510&lt;=350, "V4")</f>
        <v>V1</v>
      </c>
      <c r="J510" t="s">
        <v>2054</v>
      </c>
      <c r="K510" t="str">
        <f t="shared" si="161"/>
        <v>42.077128</v>
      </c>
      <c r="L510" t="str">
        <f t="shared" si="162"/>
        <v>-87.860788</v>
      </c>
      <c r="M510">
        <v>204</v>
      </c>
      <c r="N510" s="1">
        <v>43210</v>
      </c>
      <c r="O510" s="1">
        <v>46099</v>
      </c>
      <c r="P510" s="2">
        <f t="shared" si="163"/>
        <v>7.9096509240246409</v>
      </c>
      <c r="Q510" s="2" t="str">
        <f t="shared" si="164"/>
        <v>Mid</v>
      </c>
      <c r="R510">
        <f t="shared" si="165"/>
        <v>720</v>
      </c>
      <c r="S510" t="str">
        <f t="shared" si="166"/>
        <v>Small</v>
      </c>
      <c r="T510" t="str">
        <f t="shared" si="167"/>
        <v>Lower EV Adoption Corridor</v>
      </c>
      <c r="U510" s="3">
        <f t="shared" si="168"/>
        <v>1080000</v>
      </c>
      <c r="V510" s="4">
        <f t="shared" si="169"/>
        <v>259200</v>
      </c>
      <c r="W510" s="3">
        <f t="shared" si="170"/>
        <v>2880000</v>
      </c>
      <c r="X510" s="3">
        <f t="shared" si="171"/>
        <v>1944000</v>
      </c>
      <c r="Y510">
        <f t="shared" si="172"/>
        <v>0.2814814814814815</v>
      </c>
      <c r="Z510">
        <f t="shared" si="173"/>
        <v>0.76</v>
      </c>
      <c r="AA510" t="str">
        <f t="shared" si="174"/>
        <v>Tier 5 - Retirement Pipeline</v>
      </c>
      <c r="AB510" s="3">
        <f t="shared" si="175"/>
        <v>25920</v>
      </c>
      <c r="AC510" s="3">
        <f t="shared" si="176"/>
        <v>288000</v>
      </c>
      <c r="AD510" s="3">
        <f t="shared" si="177"/>
        <v>108000</v>
      </c>
      <c r="AE510" s="5">
        <f t="shared" si="178"/>
        <v>3.5087719298245612</v>
      </c>
      <c r="AF510" s="10">
        <f t="shared" si="179"/>
        <v>160704</v>
      </c>
      <c r="AG510" s="10">
        <f t="shared" si="180"/>
        <v>51840</v>
      </c>
      <c r="AH510" s="10">
        <f t="shared" si="181"/>
        <v>25920</v>
      </c>
      <c r="AI510" s="10">
        <f t="shared" si="182"/>
        <v>12960</v>
      </c>
      <c r="AJ510" s="10">
        <f t="shared" si="183"/>
        <v>7776</v>
      </c>
    </row>
    <row r="511" spans="1:36" x14ac:dyDescent="0.3">
      <c r="A511" t="s">
        <v>2055</v>
      </c>
      <c r="B511" t="s">
        <v>2056</v>
      </c>
      <c r="C511" t="s">
        <v>2057</v>
      </c>
      <c r="D511" t="s">
        <v>41</v>
      </c>
      <c r="E511">
        <v>34266</v>
      </c>
      <c r="F511" t="s">
        <v>15</v>
      </c>
      <c r="G511">
        <v>8</v>
      </c>
      <c r="H511">
        <v>250</v>
      </c>
      <c r="I511" t="str" cm="1">
        <f t="array" ref="I511">_xlfn.IFS(H511&lt;=120,"V1",H511&lt;=150,"V2",H511&lt;=250,"V3", H511&lt;=350, "V4")</f>
        <v>V3</v>
      </c>
      <c r="J511" t="s">
        <v>2058</v>
      </c>
      <c r="K511" t="str">
        <f t="shared" si="161"/>
        <v>27.209511</v>
      </c>
      <c r="L511" t="str">
        <f t="shared" si="162"/>
        <v>-81.837752</v>
      </c>
      <c r="M511">
        <v>19</v>
      </c>
      <c r="N511" s="1">
        <v>44548</v>
      </c>
      <c r="O511" s="1">
        <v>46099</v>
      </c>
      <c r="P511" s="2">
        <f t="shared" si="163"/>
        <v>4.2464065708418888</v>
      </c>
      <c r="Q511" s="2" t="str">
        <f t="shared" si="164"/>
        <v>Mid</v>
      </c>
      <c r="R511">
        <f t="shared" si="165"/>
        <v>2000</v>
      </c>
      <c r="S511" t="str">
        <f t="shared" si="166"/>
        <v>Small</v>
      </c>
      <c r="T511" t="str">
        <f t="shared" si="167"/>
        <v>High EV Adoption Corridor</v>
      </c>
      <c r="U511" s="3">
        <f t="shared" si="168"/>
        <v>4680000</v>
      </c>
      <c r="V511" s="4">
        <f t="shared" si="169"/>
        <v>1056000</v>
      </c>
      <c r="W511" s="3">
        <f t="shared" si="170"/>
        <v>13200000.000000002</v>
      </c>
      <c r="X511" s="3">
        <f t="shared" si="171"/>
        <v>9900000.0000000019</v>
      </c>
      <c r="Y511">
        <f t="shared" si="172"/>
        <v>0.23999999999999996</v>
      </c>
      <c r="Z511">
        <f t="shared" si="173"/>
        <v>0.77435897435897438</v>
      </c>
      <c r="AA511" t="str">
        <f t="shared" si="174"/>
        <v>Tier 1 - Priority Fleet</v>
      </c>
      <c r="AB511" s="3">
        <f t="shared" si="175"/>
        <v>132000</v>
      </c>
      <c r="AC511" s="3">
        <f t="shared" si="176"/>
        <v>1650000.0000000002</v>
      </c>
      <c r="AD511" s="3">
        <f t="shared" si="177"/>
        <v>585000</v>
      </c>
      <c r="AE511" s="5">
        <f t="shared" si="178"/>
        <v>3.6423841059602653</v>
      </c>
      <c r="AF511" s="10">
        <f t="shared" si="179"/>
        <v>654720</v>
      </c>
      <c r="AG511" s="10">
        <f t="shared" si="180"/>
        <v>211200</v>
      </c>
      <c r="AH511" s="10">
        <f t="shared" si="181"/>
        <v>105600</v>
      </c>
      <c r="AI511" s="10">
        <f t="shared" si="182"/>
        <v>52800</v>
      </c>
      <c r="AJ511" s="10">
        <f t="shared" si="183"/>
        <v>31680</v>
      </c>
    </row>
    <row r="512" spans="1:36" x14ac:dyDescent="0.3">
      <c r="A512" t="s">
        <v>2059</v>
      </c>
      <c r="B512" t="s">
        <v>2060</v>
      </c>
      <c r="C512" t="s">
        <v>1783</v>
      </c>
      <c r="D512" t="s">
        <v>294</v>
      </c>
      <c r="E512">
        <v>37355</v>
      </c>
      <c r="F512" t="s">
        <v>15</v>
      </c>
      <c r="G512">
        <v>10</v>
      </c>
      <c r="H512">
        <v>150</v>
      </c>
      <c r="I512" t="str" cm="1">
        <f t="array" ref="I512">_xlfn.IFS(H512&lt;=120,"V1",H512&lt;=150,"V2",H512&lt;=250,"V3", H512&lt;=350, "V4")</f>
        <v>V2</v>
      </c>
      <c r="J512" t="s">
        <v>2061</v>
      </c>
      <c r="K512" t="str">
        <f t="shared" si="161"/>
        <v>35.458583</v>
      </c>
      <c r="L512" t="str">
        <f t="shared" si="162"/>
        <v>-86.057316</v>
      </c>
      <c r="M512">
        <v>327</v>
      </c>
      <c r="N512" s="1">
        <v>43283</v>
      </c>
      <c r="O512" s="1">
        <v>46099</v>
      </c>
      <c r="P512" s="2">
        <f t="shared" si="163"/>
        <v>7.7097878165639973</v>
      </c>
      <c r="Q512" s="2" t="str">
        <f t="shared" si="164"/>
        <v>Mid</v>
      </c>
      <c r="R512">
        <f t="shared" si="165"/>
        <v>1500</v>
      </c>
      <c r="S512" t="str">
        <f t="shared" si="166"/>
        <v>Small</v>
      </c>
      <c r="T512" t="str">
        <f t="shared" si="167"/>
        <v>Lower EV Adoption Corridor</v>
      </c>
      <c r="U512" s="3">
        <f t="shared" si="168"/>
        <v>2475000</v>
      </c>
      <c r="V512" s="4">
        <f t="shared" si="169"/>
        <v>600000</v>
      </c>
      <c r="W512" s="3">
        <f t="shared" si="170"/>
        <v>7500000</v>
      </c>
      <c r="X512" s="3">
        <f t="shared" si="171"/>
        <v>4500000</v>
      </c>
      <c r="Y512">
        <f t="shared" si="172"/>
        <v>0.3</v>
      </c>
      <c r="Z512">
        <f t="shared" si="173"/>
        <v>0.75757575757575757</v>
      </c>
      <c r="AA512" t="str">
        <f t="shared" si="174"/>
        <v>Tier 4 - Stable Network</v>
      </c>
      <c r="AB512" s="3">
        <f t="shared" si="175"/>
        <v>60000</v>
      </c>
      <c r="AC512" s="3">
        <f t="shared" si="176"/>
        <v>750000</v>
      </c>
      <c r="AD512" s="3">
        <f t="shared" si="177"/>
        <v>247500</v>
      </c>
      <c r="AE512" s="5">
        <f t="shared" si="178"/>
        <v>4</v>
      </c>
      <c r="AF512" s="10">
        <f t="shared" si="179"/>
        <v>372000</v>
      </c>
      <c r="AG512" s="10">
        <f t="shared" si="180"/>
        <v>120000</v>
      </c>
      <c r="AH512" s="10">
        <f t="shared" si="181"/>
        <v>60000</v>
      </c>
      <c r="AI512" s="10">
        <f t="shared" si="182"/>
        <v>30000</v>
      </c>
      <c r="AJ512" s="10">
        <f t="shared" si="183"/>
        <v>18000</v>
      </c>
    </row>
    <row r="513" spans="1:36" x14ac:dyDescent="0.3">
      <c r="A513" t="s">
        <v>2062</v>
      </c>
      <c r="B513" t="s">
        <v>2063</v>
      </c>
      <c r="C513" t="s">
        <v>2064</v>
      </c>
      <c r="D513" t="s">
        <v>14</v>
      </c>
      <c r="E513">
        <v>94530</v>
      </c>
      <c r="F513" t="s">
        <v>15</v>
      </c>
      <c r="G513">
        <v>14</v>
      </c>
      <c r="H513">
        <v>72</v>
      </c>
      <c r="I513" t="str" cm="1">
        <f t="array" ref="I513">_xlfn.IFS(H513&lt;=120,"V1",H513&lt;=150,"V2",H513&lt;=250,"V3", H513&lt;=350, "V4")</f>
        <v>V1</v>
      </c>
      <c r="J513" t="s">
        <v>2065</v>
      </c>
      <c r="K513" t="str">
        <f t="shared" si="161"/>
        <v>37.898575</v>
      </c>
      <c r="L513" t="str">
        <f t="shared" si="162"/>
        <v>-122.30073</v>
      </c>
      <c r="M513">
        <v>10</v>
      </c>
      <c r="N513" s="1">
        <v>44015</v>
      </c>
      <c r="O513" s="1">
        <v>46099</v>
      </c>
      <c r="P513" s="2">
        <f t="shared" si="163"/>
        <v>5.7056810403832987</v>
      </c>
      <c r="Q513" s="2" t="str">
        <f t="shared" si="164"/>
        <v>Mid</v>
      </c>
      <c r="R513">
        <f t="shared" si="165"/>
        <v>1008</v>
      </c>
      <c r="S513" t="str">
        <f t="shared" si="166"/>
        <v>Small</v>
      </c>
      <c r="T513" t="str">
        <f t="shared" si="167"/>
        <v>High EV Adoption Corridor</v>
      </c>
      <c r="U513" s="3">
        <f t="shared" si="168"/>
        <v>1965600</v>
      </c>
      <c r="V513" s="4">
        <f t="shared" si="169"/>
        <v>435456</v>
      </c>
      <c r="W513" s="3">
        <f t="shared" si="170"/>
        <v>4435200</v>
      </c>
      <c r="X513" s="3">
        <f t="shared" si="171"/>
        <v>4082400</v>
      </c>
      <c r="Y513">
        <f t="shared" si="172"/>
        <v>0.21530864197530863</v>
      </c>
      <c r="Z513">
        <f t="shared" si="173"/>
        <v>0.77846153846153843</v>
      </c>
      <c r="AA513" t="str">
        <f t="shared" si="174"/>
        <v>Tier 3 - Upgrade Pipeline</v>
      </c>
      <c r="AB513" s="3">
        <f t="shared" si="175"/>
        <v>31104</v>
      </c>
      <c r="AC513" s="3">
        <f t="shared" si="176"/>
        <v>316800</v>
      </c>
      <c r="AD513" s="3">
        <f t="shared" si="177"/>
        <v>140400</v>
      </c>
      <c r="AE513" s="5">
        <f t="shared" si="178"/>
        <v>2.8985507246376812</v>
      </c>
      <c r="AF513" s="10">
        <f t="shared" si="179"/>
        <v>269982.71999999997</v>
      </c>
      <c r="AG513" s="10">
        <f t="shared" si="180"/>
        <v>87091.200000000012</v>
      </c>
      <c r="AH513" s="10">
        <f t="shared" si="181"/>
        <v>43545.600000000006</v>
      </c>
      <c r="AI513" s="10">
        <f t="shared" si="182"/>
        <v>21772.800000000003</v>
      </c>
      <c r="AJ513" s="10">
        <f t="shared" si="183"/>
        <v>13063.68</v>
      </c>
    </row>
    <row r="514" spans="1:36" x14ac:dyDescent="0.3">
      <c r="A514" t="s">
        <v>2066</v>
      </c>
      <c r="B514" t="s">
        <v>2067</v>
      </c>
      <c r="C514" t="s">
        <v>2068</v>
      </c>
      <c r="D514" t="s">
        <v>14</v>
      </c>
      <c r="E514">
        <v>95987</v>
      </c>
      <c r="F514" t="s">
        <v>15</v>
      </c>
      <c r="G514">
        <v>12</v>
      </c>
      <c r="H514">
        <v>250</v>
      </c>
      <c r="I514" t="str" cm="1">
        <f t="array" ref="I514">_xlfn.IFS(H514&lt;=120,"V1",H514&lt;=150,"V2",H514&lt;=250,"V3", H514&lt;=350, "V4")</f>
        <v>V3</v>
      </c>
      <c r="J514" t="s">
        <v>2069</v>
      </c>
      <c r="K514" t="str">
        <f t="shared" si="161"/>
        <v>39.15608</v>
      </c>
      <c r="L514" t="str">
        <f t="shared" si="162"/>
        <v>-122.149408</v>
      </c>
      <c r="M514">
        <v>25</v>
      </c>
      <c r="N514" s="1">
        <v>43818</v>
      </c>
      <c r="O514" s="1">
        <v>46099</v>
      </c>
      <c r="P514" s="2">
        <f t="shared" si="163"/>
        <v>6.2450376454483232</v>
      </c>
      <c r="Q514" s="2" t="str">
        <f t="shared" si="164"/>
        <v>Mid</v>
      </c>
      <c r="R514">
        <f t="shared" si="165"/>
        <v>3000</v>
      </c>
      <c r="S514" t="str">
        <f t="shared" si="166"/>
        <v>Small</v>
      </c>
      <c r="T514" t="str">
        <f t="shared" si="167"/>
        <v>High EV Adoption Corridor</v>
      </c>
      <c r="U514" s="3">
        <f t="shared" si="168"/>
        <v>7020000</v>
      </c>
      <c r="V514" s="4">
        <f t="shared" si="169"/>
        <v>1584000</v>
      </c>
      <c r="W514" s="3">
        <f t="shared" si="170"/>
        <v>19800000</v>
      </c>
      <c r="X514" s="3">
        <f t="shared" si="171"/>
        <v>14850000</v>
      </c>
      <c r="Y514">
        <f t="shared" si="172"/>
        <v>0.24</v>
      </c>
      <c r="Z514">
        <f t="shared" si="173"/>
        <v>0.77435897435897438</v>
      </c>
      <c r="AA514" t="str">
        <f t="shared" si="174"/>
        <v>Tier 1 - Priority Fleet</v>
      </c>
      <c r="AB514" s="3">
        <f t="shared" si="175"/>
        <v>132000</v>
      </c>
      <c r="AC514" s="3">
        <f t="shared" si="176"/>
        <v>1650000</v>
      </c>
      <c r="AD514" s="3">
        <f t="shared" si="177"/>
        <v>585000</v>
      </c>
      <c r="AE514" s="5">
        <f t="shared" si="178"/>
        <v>3.6423841059602649</v>
      </c>
      <c r="AF514" s="10">
        <f t="shared" si="179"/>
        <v>982080</v>
      </c>
      <c r="AG514" s="10">
        <f t="shared" si="180"/>
        <v>316800</v>
      </c>
      <c r="AH514" s="10">
        <f t="shared" si="181"/>
        <v>158400</v>
      </c>
      <c r="AI514" s="10">
        <f t="shared" si="182"/>
        <v>79200</v>
      </c>
      <c r="AJ514" s="10">
        <f t="shared" si="183"/>
        <v>47520</v>
      </c>
    </row>
    <row r="515" spans="1:36" x14ac:dyDescent="0.3">
      <c r="A515" t="s">
        <v>2070</v>
      </c>
      <c r="B515" t="s">
        <v>2071</v>
      </c>
      <c r="C515" t="s">
        <v>2072</v>
      </c>
      <c r="D515" t="s">
        <v>321</v>
      </c>
      <c r="E515">
        <v>2601</v>
      </c>
      <c r="F515" t="s">
        <v>15</v>
      </c>
      <c r="G515">
        <v>12</v>
      </c>
      <c r="H515">
        <v>250</v>
      </c>
      <c r="I515" t="str" cm="1">
        <f t="array" ref="I515">_xlfn.IFS(H515&lt;=120,"V1",H515&lt;=150,"V2",H515&lt;=250,"V3", H515&lt;=350, "V4")</f>
        <v>V3</v>
      </c>
      <c r="J515" t="s">
        <v>2073</v>
      </c>
      <c r="K515" t="str">
        <f t="shared" ref="K515:K578" si="184">TRIM(LEFT(J515, FIND(",", J515) - 1))</f>
        <v>41.676619</v>
      </c>
      <c r="L515" t="str">
        <f t="shared" ref="L515:L578" si="185">TRIM(MID(J515, FIND(",", J515) + 1, LEN(J515)))</f>
        <v>-70.307049</v>
      </c>
      <c r="M515">
        <v>21</v>
      </c>
      <c r="N515" s="1">
        <v>43971</v>
      </c>
      <c r="O515" s="1">
        <v>46099</v>
      </c>
      <c r="P515" s="2">
        <f t="shared" ref="P515:P578" si="186">(O515-N515)/365.25</f>
        <v>5.8261464750171115</v>
      </c>
      <c r="Q515" s="2" t="str">
        <f t="shared" ref="Q515:Q578" si="187">IF(P515&lt;3,"New",IF(P515&lt;=8,"Mid","Old"))</f>
        <v>Mid</v>
      </c>
      <c r="R515">
        <f t="shared" ref="R515:R578" si="188">G515*H515</f>
        <v>3000</v>
      </c>
      <c r="S515" t="str">
        <f t="shared" ref="S515:S578" si="189">IF(G515&lt;=30,"Small",IF(G515&lt;=60,"Medium","Large"))</f>
        <v>Small</v>
      </c>
      <c r="T515" t="str">
        <f t="shared" ref="T515:T578" si="190">IF(OR(D515="CA",D515="FL",D515="WA",D515="CO",D515="TX",D515="NJ"),"High EV Adoption Corridor","Lower EV Adoption Corridor")</f>
        <v>Lower EV Adoption Corridor</v>
      </c>
      <c r="U515" s="3">
        <f t="shared" ref="U515:U578" si="191" xml:space="preserve"> R515 * 1500 *
  IF(I515="V1",1,
     IF(I515="V2",1.1,1.2)) *
  IF(T515="High EV Adoption Corridor",1.3,1)</f>
        <v>5400000</v>
      </c>
      <c r="V515" s="4">
        <f t="shared" ref="V515:V578" si="192" xml:space="preserve"> R515 * 400 *
  IF(I515="V1",0.9,
     IF(I515="V2",1,1.1)) *
  IF(T515="High EV Adoption Corridor",1.2,1)</f>
        <v>1320000</v>
      </c>
      <c r="W515" s="3">
        <f t="shared" ref="W515:W578" si="193" xml:space="preserve"> R515 * 5000 *
  IF(I515="V1",0.8,
     IF(I515="V2",1,1.2)) *
  IF(T515="High EV Adoption Corridor",1.1,1)</f>
        <v>18000000</v>
      </c>
      <c r="X515" s="3">
        <f t="shared" ref="X515:X578" si="194" xml:space="preserve"> R515 * 3000 *
  IF(I515="V1",0.9,
     IF(I515="V2",1,1.1)) *
  IF(T515="High EV Adoption Corridor",1.5,1)</f>
        <v>9900000</v>
      </c>
      <c r="Y515">
        <f t="shared" ref="Y515:Y578" si="195" xml:space="preserve"> ((W515/10) + V515) / X515</f>
        <v>0.31515151515151513</v>
      </c>
      <c r="Z515">
        <f t="shared" ref="Z515:Z578" si="196">(U515-V515)/U515</f>
        <v>0.75555555555555554</v>
      </c>
      <c r="AA515" t="str">
        <f t="shared" ref="AA515:AA578" si="197">IF(AND(I515="V3",T515="High EV Adoption Corridor"),
"Tier 1 - Priority Fleet",
IF(AND(I515="V3",T515="Lower EV Adoption Corridor"),
"Tier 2 - Growth Markets",
IF(AND(OR(I515="V1",I515="V2"),T515="High EV Adoption Corridor"),
"Tier 3 - Upgrade Pipeline",
IF(AND(I515="V2",T515="Lower EV Adoption Corridor"),
"Tier 4 - Stable Network",
"Tier 5 - Retirement Pipeline"))))</f>
        <v>Tier 2 - Growth Markets</v>
      </c>
      <c r="AB515" s="3">
        <f t="shared" ref="AB515:AB578" si="198">V515/G515</f>
        <v>110000</v>
      </c>
      <c r="AC515" s="3">
        <f t="shared" ref="AC515:AC578" si="199">W515/G515</f>
        <v>1500000</v>
      </c>
      <c r="AD515" s="3">
        <f t="shared" ref="AD515:AD578" si="200">U515/G515</f>
        <v>450000</v>
      </c>
      <c r="AE515" s="5">
        <f t="shared" ref="AE515:AE578" si="201">W515/(U515-V515)</f>
        <v>4.4117647058823533</v>
      </c>
      <c r="AF515" s="10">
        <f t="shared" ref="AF515:AF578" si="202">V515*0.62</f>
        <v>818400</v>
      </c>
      <c r="AG515" s="10">
        <f t="shared" ref="AG515:AG578" si="203">V515*0.2</f>
        <v>264000</v>
      </c>
      <c r="AH515" s="10">
        <f t="shared" ref="AH515:AH578" si="204">V515*0.1</f>
        <v>132000</v>
      </c>
      <c r="AI515" s="10">
        <f t="shared" ref="AI515:AI578" si="205">V515*0.05</f>
        <v>66000</v>
      </c>
      <c r="AJ515" s="10">
        <f t="shared" ref="AJ515:AJ578" si="206">V515*0.03</f>
        <v>39600</v>
      </c>
    </row>
    <row r="516" spans="1:36" x14ac:dyDescent="0.3">
      <c r="A516" t="s">
        <v>2074</v>
      </c>
      <c r="B516" t="s">
        <v>2075</v>
      </c>
      <c r="C516" t="s">
        <v>2076</v>
      </c>
      <c r="D516" t="s">
        <v>14</v>
      </c>
      <c r="E516">
        <v>94945</v>
      </c>
      <c r="F516" t="s">
        <v>15</v>
      </c>
      <c r="G516">
        <v>20</v>
      </c>
      <c r="H516">
        <v>150</v>
      </c>
      <c r="I516" t="str" cm="1">
        <f t="array" ref="I516">_xlfn.IFS(H516&lt;=120,"V1",H516&lt;=150,"V2",H516&lt;=250,"V3", H516&lt;=350, "V4")</f>
        <v>V2</v>
      </c>
      <c r="J516" t="s">
        <v>2077</v>
      </c>
      <c r="K516" t="str">
        <f t="shared" si="184"/>
        <v>38.089447</v>
      </c>
      <c r="L516" t="str">
        <f t="shared" si="185"/>
        <v>-122.551755</v>
      </c>
      <c r="M516">
        <v>3</v>
      </c>
      <c r="N516" s="1">
        <v>43918</v>
      </c>
      <c r="O516" s="1">
        <v>46099</v>
      </c>
      <c r="P516" s="2">
        <f t="shared" si="186"/>
        <v>5.9712525667351128</v>
      </c>
      <c r="Q516" s="2" t="str">
        <f t="shared" si="187"/>
        <v>Mid</v>
      </c>
      <c r="R516">
        <f t="shared" si="188"/>
        <v>3000</v>
      </c>
      <c r="S516" t="str">
        <f t="shared" si="189"/>
        <v>Small</v>
      </c>
      <c r="T516" t="str">
        <f t="shared" si="190"/>
        <v>High EV Adoption Corridor</v>
      </c>
      <c r="U516" s="3">
        <f t="shared" si="191"/>
        <v>6435000</v>
      </c>
      <c r="V516" s="4">
        <f t="shared" si="192"/>
        <v>1440000</v>
      </c>
      <c r="W516" s="3">
        <f t="shared" si="193"/>
        <v>16500000.000000002</v>
      </c>
      <c r="X516" s="3">
        <f t="shared" si="194"/>
        <v>13500000</v>
      </c>
      <c r="Y516">
        <f t="shared" si="195"/>
        <v>0.22888888888888889</v>
      </c>
      <c r="Z516">
        <f t="shared" si="196"/>
        <v>0.77622377622377625</v>
      </c>
      <c r="AA516" t="str">
        <f t="shared" si="197"/>
        <v>Tier 3 - Upgrade Pipeline</v>
      </c>
      <c r="AB516" s="3">
        <f t="shared" si="198"/>
        <v>72000</v>
      </c>
      <c r="AC516" s="3">
        <f t="shared" si="199"/>
        <v>825000.00000000012</v>
      </c>
      <c r="AD516" s="3">
        <f t="shared" si="200"/>
        <v>321750</v>
      </c>
      <c r="AE516" s="5">
        <f t="shared" si="201"/>
        <v>3.3033033033033035</v>
      </c>
      <c r="AF516" s="10">
        <f t="shared" si="202"/>
        <v>892800</v>
      </c>
      <c r="AG516" s="10">
        <f t="shared" si="203"/>
        <v>288000</v>
      </c>
      <c r="AH516" s="10">
        <f t="shared" si="204"/>
        <v>144000</v>
      </c>
      <c r="AI516" s="10">
        <f t="shared" si="205"/>
        <v>72000</v>
      </c>
      <c r="AJ516" s="10">
        <f t="shared" si="206"/>
        <v>43200</v>
      </c>
    </row>
    <row r="517" spans="1:36" x14ac:dyDescent="0.3">
      <c r="A517" t="s">
        <v>2078</v>
      </c>
      <c r="B517" t="s">
        <v>2079</v>
      </c>
      <c r="C517" t="s">
        <v>2080</v>
      </c>
      <c r="D517" t="s">
        <v>14</v>
      </c>
      <c r="E517">
        <v>94129</v>
      </c>
      <c r="F517" t="s">
        <v>15</v>
      </c>
      <c r="G517">
        <v>6</v>
      </c>
      <c r="H517">
        <v>72</v>
      </c>
      <c r="I517" t="str" cm="1">
        <f t="array" ref="I517">_xlfn.IFS(H517&lt;=120,"V1",H517&lt;=150,"V2",H517&lt;=250,"V3", H517&lt;=350, "V4")</f>
        <v>V1</v>
      </c>
      <c r="J517" t="s">
        <v>2081</v>
      </c>
      <c r="K517" t="str">
        <f t="shared" si="184"/>
        <v>37.798513</v>
      </c>
      <c r="L517" t="str">
        <f t="shared" si="185"/>
        <v>-122.449846</v>
      </c>
      <c r="M517">
        <v>19</v>
      </c>
      <c r="N517" s="1">
        <v>43608</v>
      </c>
      <c r="O517" s="1">
        <v>46099</v>
      </c>
      <c r="P517" s="2">
        <f t="shared" si="186"/>
        <v>6.8199863107460645</v>
      </c>
      <c r="Q517" s="2" t="str">
        <f t="shared" si="187"/>
        <v>Mid</v>
      </c>
      <c r="R517">
        <f t="shared" si="188"/>
        <v>432</v>
      </c>
      <c r="S517" t="str">
        <f t="shared" si="189"/>
        <v>Small</v>
      </c>
      <c r="T517" t="str">
        <f t="shared" si="190"/>
        <v>High EV Adoption Corridor</v>
      </c>
      <c r="U517" s="3">
        <f t="shared" si="191"/>
        <v>842400</v>
      </c>
      <c r="V517" s="4">
        <f t="shared" si="192"/>
        <v>186624</v>
      </c>
      <c r="W517" s="3">
        <f t="shared" si="193"/>
        <v>1900800.0000000002</v>
      </c>
      <c r="X517" s="3">
        <f t="shared" si="194"/>
        <v>1749600</v>
      </c>
      <c r="Y517">
        <f t="shared" si="195"/>
        <v>0.21530864197530863</v>
      </c>
      <c r="Z517">
        <f t="shared" si="196"/>
        <v>0.77846153846153843</v>
      </c>
      <c r="AA517" t="str">
        <f t="shared" si="197"/>
        <v>Tier 3 - Upgrade Pipeline</v>
      </c>
      <c r="AB517" s="3">
        <f t="shared" si="198"/>
        <v>31104</v>
      </c>
      <c r="AC517" s="3">
        <f t="shared" si="199"/>
        <v>316800.00000000006</v>
      </c>
      <c r="AD517" s="3">
        <f t="shared" si="200"/>
        <v>140400</v>
      </c>
      <c r="AE517" s="5">
        <f t="shared" si="201"/>
        <v>2.8985507246376816</v>
      </c>
      <c r="AF517" s="10">
        <f t="shared" si="202"/>
        <v>115706.88</v>
      </c>
      <c r="AG517" s="10">
        <f t="shared" si="203"/>
        <v>37324.800000000003</v>
      </c>
      <c r="AH517" s="10">
        <f t="shared" si="204"/>
        <v>18662.400000000001</v>
      </c>
      <c r="AI517" s="10">
        <f t="shared" si="205"/>
        <v>9331.2000000000007</v>
      </c>
      <c r="AJ517" s="10">
        <f t="shared" si="206"/>
        <v>5598.7199999999993</v>
      </c>
    </row>
    <row r="518" spans="1:36" x14ac:dyDescent="0.3">
      <c r="A518" t="s">
        <v>2082</v>
      </c>
      <c r="B518" t="s">
        <v>2083</v>
      </c>
      <c r="C518" t="s">
        <v>1638</v>
      </c>
      <c r="D518" t="s">
        <v>14</v>
      </c>
      <c r="E518">
        <v>91210</v>
      </c>
      <c r="F518" t="s">
        <v>15</v>
      </c>
      <c r="G518">
        <v>20</v>
      </c>
      <c r="H518">
        <v>72</v>
      </c>
      <c r="I518" t="str" cm="1">
        <f t="array" ref="I518">_xlfn.IFS(H518&lt;=120,"V1",H518&lt;=150,"V2",H518&lt;=250,"V3", H518&lt;=350, "V4")</f>
        <v>V1</v>
      </c>
      <c r="J518" t="s">
        <v>2084</v>
      </c>
      <c r="K518" t="str">
        <f t="shared" si="184"/>
        <v>34.145099</v>
      </c>
      <c r="L518" t="str">
        <f t="shared" si="185"/>
        <v>-118.256433</v>
      </c>
      <c r="M518">
        <v>161</v>
      </c>
      <c r="N518" s="1">
        <v>43189</v>
      </c>
      <c r="O518" s="1">
        <v>46099</v>
      </c>
      <c r="P518" s="2">
        <f t="shared" si="186"/>
        <v>7.9671457905544152</v>
      </c>
      <c r="Q518" s="2" t="str">
        <f t="shared" si="187"/>
        <v>Mid</v>
      </c>
      <c r="R518">
        <f t="shared" si="188"/>
        <v>1440</v>
      </c>
      <c r="S518" t="str">
        <f t="shared" si="189"/>
        <v>Small</v>
      </c>
      <c r="T518" t="str">
        <f t="shared" si="190"/>
        <v>High EV Adoption Corridor</v>
      </c>
      <c r="U518" s="3">
        <f t="shared" si="191"/>
        <v>2808000</v>
      </c>
      <c r="V518" s="4">
        <f t="shared" si="192"/>
        <v>622080</v>
      </c>
      <c r="W518" s="3">
        <f t="shared" si="193"/>
        <v>6336000.0000000009</v>
      </c>
      <c r="X518" s="3">
        <f t="shared" si="194"/>
        <v>5832000</v>
      </c>
      <c r="Y518">
        <f t="shared" si="195"/>
        <v>0.21530864197530863</v>
      </c>
      <c r="Z518">
        <f t="shared" si="196"/>
        <v>0.77846153846153843</v>
      </c>
      <c r="AA518" t="str">
        <f t="shared" si="197"/>
        <v>Tier 3 - Upgrade Pipeline</v>
      </c>
      <c r="AB518" s="3">
        <f t="shared" si="198"/>
        <v>31104</v>
      </c>
      <c r="AC518" s="3">
        <f t="shared" si="199"/>
        <v>316800.00000000006</v>
      </c>
      <c r="AD518" s="3">
        <f t="shared" si="200"/>
        <v>140400</v>
      </c>
      <c r="AE518" s="5">
        <f t="shared" si="201"/>
        <v>2.8985507246376816</v>
      </c>
      <c r="AF518" s="10">
        <f t="shared" si="202"/>
        <v>385689.59999999998</v>
      </c>
      <c r="AG518" s="10">
        <f t="shared" si="203"/>
        <v>124416</v>
      </c>
      <c r="AH518" s="10">
        <f t="shared" si="204"/>
        <v>62208</v>
      </c>
      <c r="AI518" s="10">
        <f t="shared" si="205"/>
        <v>31104</v>
      </c>
      <c r="AJ518" s="10">
        <f t="shared" si="206"/>
        <v>18662.399999999998</v>
      </c>
    </row>
    <row r="519" spans="1:36" x14ac:dyDescent="0.3">
      <c r="A519" t="s">
        <v>2085</v>
      </c>
      <c r="B519" t="s">
        <v>2086</v>
      </c>
      <c r="C519" t="s">
        <v>1371</v>
      </c>
      <c r="D519" t="s">
        <v>41</v>
      </c>
      <c r="E519">
        <v>33130</v>
      </c>
      <c r="F519" t="s">
        <v>15</v>
      </c>
      <c r="G519">
        <v>13</v>
      </c>
      <c r="H519">
        <v>72</v>
      </c>
      <c r="I519" t="str" cm="1">
        <f t="array" ref="I519">_xlfn.IFS(H519&lt;=120,"V1",H519&lt;=150,"V2",H519&lt;=250,"V3", H519&lt;=350, "V4")</f>
        <v>V1</v>
      </c>
      <c r="J519" t="s">
        <v>2087</v>
      </c>
      <c r="K519" t="str">
        <f t="shared" si="184"/>
        <v>25.76768</v>
      </c>
      <c r="L519" t="str">
        <f t="shared" si="185"/>
        <v>-80.192467</v>
      </c>
      <c r="M519">
        <v>2</v>
      </c>
      <c r="N519" s="1">
        <v>43175</v>
      </c>
      <c r="O519" s="1">
        <v>46099</v>
      </c>
      <c r="P519" s="2">
        <f t="shared" si="186"/>
        <v>8.0054757015742641</v>
      </c>
      <c r="Q519" s="2" t="str">
        <f t="shared" si="187"/>
        <v>Old</v>
      </c>
      <c r="R519">
        <f t="shared" si="188"/>
        <v>936</v>
      </c>
      <c r="S519" t="str">
        <f t="shared" si="189"/>
        <v>Small</v>
      </c>
      <c r="T519" t="str">
        <f t="shared" si="190"/>
        <v>High EV Adoption Corridor</v>
      </c>
      <c r="U519" s="3">
        <f t="shared" si="191"/>
        <v>1825200</v>
      </c>
      <c r="V519" s="4">
        <f t="shared" si="192"/>
        <v>404352</v>
      </c>
      <c r="W519" s="3">
        <f t="shared" si="193"/>
        <v>4118400.0000000005</v>
      </c>
      <c r="X519" s="3">
        <f t="shared" si="194"/>
        <v>3790800</v>
      </c>
      <c r="Y519">
        <f t="shared" si="195"/>
        <v>0.21530864197530863</v>
      </c>
      <c r="Z519">
        <f t="shared" si="196"/>
        <v>0.77846153846153843</v>
      </c>
      <c r="AA519" t="str">
        <f t="shared" si="197"/>
        <v>Tier 3 - Upgrade Pipeline</v>
      </c>
      <c r="AB519" s="3">
        <f t="shared" si="198"/>
        <v>31104</v>
      </c>
      <c r="AC519" s="3">
        <f t="shared" si="199"/>
        <v>316800.00000000006</v>
      </c>
      <c r="AD519" s="3">
        <f t="shared" si="200"/>
        <v>140400</v>
      </c>
      <c r="AE519" s="5">
        <f t="shared" si="201"/>
        <v>2.8985507246376816</v>
      </c>
      <c r="AF519" s="10">
        <f t="shared" si="202"/>
        <v>250698.23999999999</v>
      </c>
      <c r="AG519" s="10">
        <f t="shared" si="203"/>
        <v>80870.400000000009</v>
      </c>
      <c r="AH519" s="10">
        <f t="shared" si="204"/>
        <v>40435.200000000004</v>
      </c>
      <c r="AI519" s="10">
        <f t="shared" si="205"/>
        <v>20217.600000000002</v>
      </c>
      <c r="AJ519" s="10">
        <f t="shared" si="206"/>
        <v>12130.56</v>
      </c>
    </row>
    <row r="520" spans="1:36" x14ac:dyDescent="0.3">
      <c r="A520" t="s">
        <v>2088</v>
      </c>
      <c r="B520" t="s">
        <v>2089</v>
      </c>
      <c r="C520" t="s">
        <v>2090</v>
      </c>
      <c r="D520" t="s">
        <v>77</v>
      </c>
      <c r="E520">
        <v>27519</v>
      </c>
      <c r="F520" t="s">
        <v>15</v>
      </c>
      <c r="G520">
        <v>12</v>
      </c>
      <c r="H520">
        <v>150</v>
      </c>
      <c r="I520" t="str" cm="1">
        <f t="array" ref="I520">_xlfn.IFS(H520&lt;=120,"V1",H520&lt;=150,"V2",H520&lt;=250,"V3", H520&lt;=350, "V4")</f>
        <v>V2</v>
      </c>
      <c r="J520" t="s">
        <v>2091</v>
      </c>
      <c r="K520" t="str">
        <f t="shared" si="184"/>
        <v>35.843605</v>
      </c>
      <c r="L520" t="str">
        <f t="shared" si="185"/>
        <v>-78.886448</v>
      </c>
      <c r="M520">
        <v>103</v>
      </c>
      <c r="N520" s="1">
        <v>43791</v>
      </c>
      <c r="O520" s="1">
        <v>46099</v>
      </c>
      <c r="P520" s="2">
        <f t="shared" si="186"/>
        <v>6.3189596167008899</v>
      </c>
      <c r="Q520" s="2" t="str">
        <f t="shared" si="187"/>
        <v>Mid</v>
      </c>
      <c r="R520">
        <f t="shared" si="188"/>
        <v>1800</v>
      </c>
      <c r="S520" t="str">
        <f t="shared" si="189"/>
        <v>Small</v>
      </c>
      <c r="T520" t="str">
        <f t="shared" si="190"/>
        <v>Lower EV Adoption Corridor</v>
      </c>
      <c r="U520" s="3">
        <f t="shared" si="191"/>
        <v>2970000.0000000005</v>
      </c>
      <c r="V520" s="4">
        <f t="shared" si="192"/>
        <v>720000</v>
      </c>
      <c r="W520" s="3">
        <f t="shared" si="193"/>
        <v>9000000</v>
      </c>
      <c r="X520" s="3">
        <f t="shared" si="194"/>
        <v>5400000</v>
      </c>
      <c r="Y520">
        <f t="shared" si="195"/>
        <v>0.3</v>
      </c>
      <c r="Z520">
        <f t="shared" si="196"/>
        <v>0.75757575757575757</v>
      </c>
      <c r="AA520" t="str">
        <f t="shared" si="197"/>
        <v>Tier 4 - Stable Network</v>
      </c>
      <c r="AB520" s="3">
        <f t="shared" si="198"/>
        <v>60000</v>
      </c>
      <c r="AC520" s="3">
        <f t="shared" si="199"/>
        <v>750000</v>
      </c>
      <c r="AD520" s="3">
        <f t="shared" si="200"/>
        <v>247500.00000000003</v>
      </c>
      <c r="AE520" s="5">
        <f t="shared" si="201"/>
        <v>3.9999999999999991</v>
      </c>
      <c r="AF520" s="10">
        <f t="shared" si="202"/>
        <v>446400</v>
      </c>
      <c r="AG520" s="10">
        <f t="shared" si="203"/>
        <v>144000</v>
      </c>
      <c r="AH520" s="10">
        <f t="shared" si="204"/>
        <v>72000</v>
      </c>
      <c r="AI520" s="10">
        <f t="shared" si="205"/>
        <v>36000</v>
      </c>
      <c r="AJ520" s="10">
        <f t="shared" si="206"/>
        <v>21600</v>
      </c>
    </row>
    <row r="521" spans="1:36" x14ac:dyDescent="0.3">
      <c r="A521" t="s">
        <v>2092</v>
      </c>
      <c r="B521" t="s">
        <v>2093</v>
      </c>
      <c r="C521" t="s">
        <v>2094</v>
      </c>
      <c r="D521" t="s">
        <v>852</v>
      </c>
      <c r="E521">
        <v>7920</v>
      </c>
      <c r="F521" t="s">
        <v>15</v>
      </c>
      <c r="G521">
        <v>8</v>
      </c>
      <c r="H521">
        <v>150</v>
      </c>
      <c r="I521" t="str" cm="1">
        <f t="array" ref="I521">_xlfn.IFS(H521&lt;=120,"V1",H521&lt;=150,"V2",H521&lt;=250,"V3", H521&lt;=350, "V4")</f>
        <v>V2</v>
      </c>
      <c r="J521" t="s">
        <v>2095</v>
      </c>
      <c r="K521" t="str">
        <f t="shared" si="184"/>
        <v>40.655361</v>
      </c>
      <c r="L521" t="str">
        <f t="shared" si="185"/>
        <v>-74.529919</v>
      </c>
      <c r="M521">
        <v>67</v>
      </c>
      <c r="N521" s="1">
        <v>43659</v>
      </c>
      <c r="O521" s="1">
        <v>46099</v>
      </c>
      <c r="P521" s="2">
        <f t="shared" si="186"/>
        <v>6.6803559206023273</v>
      </c>
      <c r="Q521" s="2" t="str">
        <f t="shared" si="187"/>
        <v>Mid</v>
      </c>
      <c r="R521">
        <f t="shared" si="188"/>
        <v>1200</v>
      </c>
      <c r="S521" t="str">
        <f t="shared" si="189"/>
        <v>Small</v>
      </c>
      <c r="T521" t="str">
        <f t="shared" si="190"/>
        <v>High EV Adoption Corridor</v>
      </c>
      <c r="U521" s="3">
        <f t="shared" si="191"/>
        <v>2574000.0000000005</v>
      </c>
      <c r="V521" s="4">
        <f t="shared" si="192"/>
        <v>576000</v>
      </c>
      <c r="W521" s="3">
        <f t="shared" si="193"/>
        <v>6600000.0000000009</v>
      </c>
      <c r="X521" s="3">
        <f t="shared" si="194"/>
        <v>5400000</v>
      </c>
      <c r="Y521">
        <f t="shared" si="195"/>
        <v>0.22888888888888889</v>
      </c>
      <c r="Z521">
        <f t="shared" si="196"/>
        <v>0.77622377622377625</v>
      </c>
      <c r="AA521" t="str">
        <f t="shared" si="197"/>
        <v>Tier 3 - Upgrade Pipeline</v>
      </c>
      <c r="AB521" s="3">
        <f t="shared" si="198"/>
        <v>72000</v>
      </c>
      <c r="AC521" s="3">
        <f t="shared" si="199"/>
        <v>825000.00000000012</v>
      </c>
      <c r="AD521" s="3">
        <f t="shared" si="200"/>
        <v>321750.00000000006</v>
      </c>
      <c r="AE521" s="5">
        <f t="shared" si="201"/>
        <v>3.303303303303303</v>
      </c>
      <c r="AF521" s="10">
        <f t="shared" si="202"/>
        <v>357120</v>
      </c>
      <c r="AG521" s="10">
        <f t="shared" si="203"/>
        <v>115200</v>
      </c>
      <c r="AH521" s="10">
        <f t="shared" si="204"/>
        <v>57600</v>
      </c>
      <c r="AI521" s="10">
        <f t="shared" si="205"/>
        <v>28800</v>
      </c>
      <c r="AJ521" s="10">
        <f t="shared" si="206"/>
        <v>17280</v>
      </c>
    </row>
    <row r="522" spans="1:36" x14ac:dyDescent="0.3">
      <c r="A522" t="s">
        <v>2096</v>
      </c>
      <c r="B522" t="s">
        <v>2097</v>
      </c>
      <c r="C522" t="s">
        <v>1657</v>
      </c>
      <c r="D522" t="s">
        <v>14</v>
      </c>
      <c r="E522">
        <v>94583</v>
      </c>
      <c r="F522" t="s">
        <v>15</v>
      </c>
      <c r="G522">
        <v>16</v>
      </c>
      <c r="H522">
        <v>150</v>
      </c>
      <c r="I522" t="str" cm="1">
        <f t="array" ref="I522">_xlfn.IFS(H522&lt;=120,"V1",H522&lt;=150,"V2",H522&lt;=250,"V3", H522&lt;=350, "V4")</f>
        <v>V2</v>
      </c>
      <c r="J522" t="s">
        <v>2098</v>
      </c>
      <c r="K522" t="str">
        <f t="shared" si="184"/>
        <v>37.76292</v>
      </c>
      <c r="L522" t="str">
        <f t="shared" si="185"/>
        <v>-121.963662</v>
      </c>
      <c r="M522">
        <v>140</v>
      </c>
      <c r="N522" s="1">
        <v>43342</v>
      </c>
      <c r="O522" s="1">
        <v>46099</v>
      </c>
      <c r="P522" s="2">
        <f t="shared" si="186"/>
        <v>7.5482546201232035</v>
      </c>
      <c r="Q522" s="2" t="str">
        <f t="shared" si="187"/>
        <v>Mid</v>
      </c>
      <c r="R522">
        <f t="shared" si="188"/>
        <v>2400</v>
      </c>
      <c r="S522" t="str">
        <f t="shared" si="189"/>
        <v>Small</v>
      </c>
      <c r="T522" t="str">
        <f t="shared" si="190"/>
        <v>High EV Adoption Corridor</v>
      </c>
      <c r="U522" s="3">
        <f t="shared" si="191"/>
        <v>5148000.0000000009</v>
      </c>
      <c r="V522" s="4">
        <f t="shared" si="192"/>
        <v>1152000</v>
      </c>
      <c r="W522" s="3">
        <f t="shared" si="193"/>
        <v>13200000.000000002</v>
      </c>
      <c r="X522" s="3">
        <f t="shared" si="194"/>
        <v>10800000</v>
      </c>
      <c r="Y522">
        <f t="shared" si="195"/>
        <v>0.22888888888888889</v>
      </c>
      <c r="Z522">
        <f t="shared" si="196"/>
        <v>0.77622377622377625</v>
      </c>
      <c r="AA522" t="str">
        <f t="shared" si="197"/>
        <v>Tier 3 - Upgrade Pipeline</v>
      </c>
      <c r="AB522" s="3">
        <f t="shared" si="198"/>
        <v>72000</v>
      </c>
      <c r="AC522" s="3">
        <f t="shared" si="199"/>
        <v>825000.00000000012</v>
      </c>
      <c r="AD522" s="3">
        <f t="shared" si="200"/>
        <v>321750.00000000006</v>
      </c>
      <c r="AE522" s="5">
        <f t="shared" si="201"/>
        <v>3.303303303303303</v>
      </c>
      <c r="AF522" s="10">
        <f t="shared" si="202"/>
        <v>714240</v>
      </c>
      <c r="AG522" s="10">
        <f t="shared" si="203"/>
        <v>230400</v>
      </c>
      <c r="AH522" s="10">
        <f t="shared" si="204"/>
        <v>115200</v>
      </c>
      <c r="AI522" s="10">
        <f t="shared" si="205"/>
        <v>57600</v>
      </c>
      <c r="AJ522" s="10">
        <f t="shared" si="206"/>
        <v>34560</v>
      </c>
    </row>
    <row r="523" spans="1:36" x14ac:dyDescent="0.3">
      <c r="A523" t="s">
        <v>2099</v>
      </c>
      <c r="B523" t="s">
        <v>2100</v>
      </c>
      <c r="C523" t="s">
        <v>513</v>
      </c>
      <c r="D523" t="s">
        <v>14</v>
      </c>
      <c r="E523">
        <v>95401</v>
      </c>
      <c r="F523" t="s">
        <v>15</v>
      </c>
      <c r="G523">
        <v>20</v>
      </c>
      <c r="H523">
        <v>250</v>
      </c>
      <c r="I523" t="str" cm="1">
        <f t="array" ref="I523">_xlfn.IFS(H523&lt;=120,"V1",H523&lt;=150,"V2",H523&lt;=250,"V3", H523&lt;=350, "V4")</f>
        <v>V3</v>
      </c>
      <c r="J523" t="s">
        <v>2101</v>
      </c>
      <c r="K523" t="str">
        <f t="shared" si="184"/>
        <v>38.459554</v>
      </c>
      <c r="L523" t="str">
        <f t="shared" si="185"/>
        <v>-122.73023</v>
      </c>
      <c r="M523">
        <v>45</v>
      </c>
      <c r="N523" s="1">
        <v>43789</v>
      </c>
      <c r="O523" s="1">
        <v>46099</v>
      </c>
      <c r="P523" s="2">
        <f t="shared" si="186"/>
        <v>6.324435318275154</v>
      </c>
      <c r="Q523" s="2" t="str">
        <f t="shared" si="187"/>
        <v>Mid</v>
      </c>
      <c r="R523">
        <f t="shared" si="188"/>
        <v>5000</v>
      </c>
      <c r="S523" t="str">
        <f t="shared" si="189"/>
        <v>Small</v>
      </c>
      <c r="T523" t="str">
        <f t="shared" si="190"/>
        <v>High EV Adoption Corridor</v>
      </c>
      <c r="U523" s="3">
        <f t="shared" si="191"/>
        <v>11700000</v>
      </c>
      <c r="V523" s="4">
        <f t="shared" si="192"/>
        <v>2640000</v>
      </c>
      <c r="W523" s="3">
        <f t="shared" si="193"/>
        <v>33000000.000000004</v>
      </c>
      <c r="X523" s="3">
        <f t="shared" si="194"/>
        <v>24750000.000000004</v>
      </c>
      <c r="Y523">
        <f t="shared" si="195"/>
        <v>0.23999999999999996</v>
      </c>
      <c r="Z523">
        <f t="shared" si="196"/>
        <v>0.77435897435897438</v>
      </c>
      <c r="AA523" t="str">
        <f t="shared" si="197"/>
        <v>Tier 1 - Priority Fleet</v>
      </c>
      <c r="AB523" s="3">
        <f t="shared" si="198"/>
        <v>132000</v>
      </c>
      <c r="AC523" s="3">
        <f t="shared" si="199"/>
        <v>1650000.0000000002</v>
      </c>
      <c r="AD523" s="3">
        <f t="shared" si="200"/>
        <v>585000</v>
      </c>
      <c r="AE523" s="5">
        <f t="shared" si="201"/>
        <v>3.6423841059602653</v>
      </c>
      <c r="AF523" s="10">
        <f t="shared" si="202"/>
        <v>1636800</v>
      </c>
      <c r="AG523" s="10">
        <f t="shared" si="203"/>
        <v>528000</v>
      </c>
      <c r="AH523" s="10">
        <f t="shared" si="204"/>
        <v>264000</v>
      </c>
      <c r="AI523" s="10">
        <f t="shared" si="205"/>
        <v>132000</v>
      </c>
      <c r="AJ523" s="10">
        <f t="shared" si="206"/>
        <v>79200</v>
      </c>
    </row>
    <row r="524" spans="1:36" x14ac:dyDescent="0.3">
      <c r="A524" t="s">
        <v>2102</v>
      </c>
      <c r="B524" t="s">
        <v>2103</v>
      </c>
      <c r="C524" t="s">
        <v>2021</v>
      </c>
      <c r="D524" t="s">
        <v>98</v>
      </c>
      <c r="E524">
        <v>6905</v>
      </c>
      <c r="F524" t="s">
        <v>15</v>
      </c>
      <c r="G524">
        <v>8</v>
      </c>
      <c r="H524">
        <v>150</v>
      </c>
      <c r="I524" t="str" cm="1">
        <f t="array" ref="I524">_xlfn.IFS(H524&lt;=120,"V1",H524&lt;=150,"V2",H524&lt;=250,"V3", H524&lt;=350, "V4")</f>
        <v>V2</v>
      </c>
      <c r="J524" t="s">
        <v>2104</v>
      </c>
      <c r="K524" t="str">
        <f t="shared" si="184"/>
        <v>41.107885</v>
      </c>
      <c r="L524" t="str">
        <f t="shared" si="185"/>
        <v>-73.5469602</v>
      </c>
      <c r="M524">
        <v>45</v>
      </c>
      <c r="N524" s="1">
        <v>43686</v>
      </c>
      <c r="O524" s="1">
        <v>46099</v>
      </c>
      <c r="P524" s="2">
        <f t="shared" si="186"/>
        <v>6.6064339493497606</v>
      </c>
      <c r="Q524" s="2" t="str">
        <f t="shared" si="187"/>
        <v>Mid</v>
      </c>
      <c r="R524">
        <f t="shared" si="188"/>
        <v>1200</v>
      </c>
      <c r="S524" t="str">
        <f t="shared" si="189"/>
        <v>Small</v>
      </c>
      <c r="T524" t="str">
        <f t="shared" si="190"/>
        <v>Lower EV Adoption Corridor</v>
      </c>
      <c r="U524" s="3">
        <f t="shared" si="191"/>
        <v>1980000.0000000002</v>
      </c>
      <c r="V524" s="4">
        <f t="shared" si="192"/>
        <v>480000</v>
      </c>
      <c r="W524" s="3">
        <f t="shared" si="193"/>
        <v>6000000</v>
      </c>
      <c r="X524" s="3">
        <f t="shared" si="194"/>
        <v>3600000</v>
      </c>
      <c r="Y524">
        <f t="shared" si="195"/>
        <v>0.3</v>
      </c>
      <c r="Z524">
        <f t="shared" si="196"/>
        <v>0.75757575757575757</v>
      </c>
      <c r="AA524" t="str">
        <f t="shared" si="197"/>
        <v>Tier 4 - Stable Network</v>
      </c>
      <c r="AB524" s="3">
        <f t="shared" si="198"/>
        <v>60000</v>
      </c>
      <c r="AC524" s="3">
        <f t="shared" si="199"/>
        <v>750000</v>
      </c>
      <c r="AD524" s="3">
        <f t="shared" si="200"/>
        <v>247500.00000000003</v>
      </c>
      <c r="AE524" s="5">
        <f t="shared" si="201"/>
        <v>3.9999999999999996</v>
      </c>
      <c r="AF524" s="10">
        <f t="shared" si="202"/>
        <v>297600</v>
      </c>
      <c r="AG524" s="10">
        <f t="shared" si="203"/>
        <v>96000</v>
      </c>
      <c r="AH524" s="10">
        <f t="shared" si="204"/>
        <v>48000</v>
      </c>
      <c r="AI524" s="10">
        <f t="shared" si="205"/>
        <v>24000</v>
      </c>
      <c r="AJ524" s="10">
        <f t="shared" si="206"/>
        <v>14400</v>
      </c>
    </row>
    <row r="525" spans="1:36" x14ac:dyDescent="0.3">
      <c r="A525" t="s">
        <v>2105</v>
      </c>
      <c r="B525" t="s">
        <v>2106</v>
      </c>
      <c r="C525" t="s">
        <v>2107</v>
      </c>
      <c r="D525" t="s">
        <v>59</v>
      </c>
      <c r="E525">
        <v>60805</v>
      </c>
      <c r="F525" t="s">
        <v>15</v>
      </c>
      <c r="G525">
        <v>10</v>
      </c>
      <c r="H525">
        <v>150</v>
      </c>
      <c r="I525" t="str" cm="1">
        <f t="array" ref="I525">_xlfn.IFS(H525&lt;=120,"V1",H525&lt;=150,"V2",H525&lt;=250,"V3", H525&lt;=350, "V4")</f>
        <v>V2</v>
      </c>
      <c r="J525" t="s">
        <v>2108</v>
      </c>
      <c r="K525" t="str">
        <f t="shared" si="184"/>
        <v>41.725315</v>
      </c>
      <c r="L525" t="str">
        <f t="shared" si="185"/>
        <v>-87.683693</v>
      </c>
      <c r="M525">
        <v>201</v>
      </c>
      <c r="N525" s="1">
        <v>43632</v>
      </c>
      <c r="O525" s="1">
        <v>46099</v>
      </c>
      <c r="P525" s="2">
        <f t="shared" si="186"/>
        <v>6.754277891854894</v>
      </c>
      <c r="Q525" s="2" t="str">
        <f t="shared" si="187"/>
        <v>Mid</v>
      </c>
      <c r="R525">
        <f t="shared" si="188"/>
        <v>1500</v>
      </c>
      <c r="S525" t="str">
        <f t="shared" si="189"/>
        <v>Small</v>
      </c>
      <c r="T525" t="str">
        <f t="shared" si="190"/>
        <v>Lower EV Adoption Corridor</v>
      </c>
      <c r="U525" s="3">
        <f t="shared" si="191"/>
        <v>2475000</v>
      </c>
      <c r="V525" s="4">
        <f t="shared" si="192"/>
        <v>600000</v>
      </c>
      <c r="W525" s="3">
        <f t="shared" si="193"/>
        <v>7500000</v>
      </c>
      <c r="X525" s="3">
        <f t="shared" si="194"/>
        <v>4500000</v>
      </c>
      <c r="Y525">
        <f t="shared" si="195"/>
        <v>0.3</v>
      </c>
      <c r="Z525">
        <f t="shared" si="196"/>
        <v>0.75757575757575757</v>
      </c>
      <c r="AA525" t="str">
        <f t="shared" si="197"/>
        <v>Tier 4 - Stable Network</v>
      </c>
      <c r="AB525" s="3">
        <f t="shared" si="198"/>
        <v>60000</v>
      </c>
      <c r="AC525" s="3">
        <f t="shared" si="199"/>
        <v>750000</v>
      </c>
      <c r="AD525" s="3">
        <f t="shared" si="200"/>
        <v>247500</v>
      </c>
      <c r="AE525" s="5">
        <f t="shared" si="201"/>
        <v>4</v>
      </c>
      <c r="AF525" s="10">
        <f t="shared" si="202"/>
        <v>372000</v>
      </c>
      <c r="AG525" s="10">
        <f t="shared" si="203"/>
        <v>120000</v>
      </c>
      <c r="AH525" s="10">
        <f t="shared" si="204"/>
        <v>60000</v>
      </c>
      <c r="AI525" s="10">
        <f t="shared" si="205"/>
        <v>30000</v>
      </c>
      <c r="AJ525" s="10">
        <f t="shared" si="206"/>
        <v>18000</v>
      </c>
    </row>
    <row r="526" spans="1:36" x14ac:dyDescent="0.3">
      <c r="A526" t="s">
        <v>2109</v>
      </c>
      <c r="B526" t="s">
        <v>2110</v>
      </c>
      <c r="C526" t="s">
        <v>2111</v>
      </c>
      <c r="D526" t="s">
        <v>130</v>
      </c>
      <c r="E526">
        <v>46410</v>
      </c>
      <c r="F526" t="s">
        <v>15</v>
      </c>
      <c r="G526">
        <v>10</v>
      </c>
      <c r="H526">
        <v>150</v>
      </c>
      <c r="I526" t="str" cm="1">
        <f t="array" ref="I526">_xlfn.IFS(H526&lt;=120,"V1",H526&lt;=150,"V2",H526&lt;=250,"V3", H526&lt;=350, "V4")</f>
        <v>V2</v>
      </c>
      <c r="J526" t="s">
        <v>2112</v>
      </c>
      <c r="K526" t="str">
        <f t="shared" si="184"/>
        <v>41.468444</v>
      </c>
      <c r="L526" t="str">
        <f t="shared" si="185"/>
        <v>-87.343613</v>
      </c>
      <c r="M526">
        <v>208</v>
      </c>
      <c r="N526" s="1">
        <v>43229</v>
      </c>
      <c r="O526" s="1">
        <v>46099</v>
      </c>
      <c r="P526" s="2">
        <f t="shared" si="186"/>
        <v>7.8576317590691307</v>
      </c>
      <c r="Q526" s="2" t="str">
        <f t="shared" si="187"/>
        <v>Mid</v>
      </c>
      <c r="R526">
        <f t="shared" si="188"/>
        <v>1500</v>
      </c>
      <c r="S526" t="str">
        <f t="shared" si="189"/>
        <v>Small</v>
      </c>
      <c r="T526" t="str">
        <f t="shared" si="190"/>
        <v>Lower EV Adoption Corridor</v>
      </c>
      <c r="U526" s="3">
        <f t="shared" si="191"/>
        <v>2475000</v>
      </c>
      <c r="V526" s="4">
        <f t="shared" si="192"/>
        <v>600000</v>
      </c>
      <c r="W526" s="3">
        <f t="shared" si="193"/>
        <v>7500000</v>
      </c>
      <c r="X526" s="3">
        <f t="shared" si="194"/>
        <v>4500000</v>
      </c>
      <c r="Y526">
        <f t="shared" si="195"/>
        <v>0.3</v>
      </c>
      <c r="Z526">
        <f t="shared" si="196"/>
        <v>0.75757575757575757</v>
      </c>
      <c r="AA526" t="str">
        <f t="shared" si="197"/>
        <v>Tier 4 - Stable Network</v>
      </c>
      <c r="AB526" s="3">
        <f t="shared" si="198"/>
        <v>60000</v>
      </c>
      <c r="AC526" s="3">
        <f t="shared" si="199"/>
        <v>750000</v>
      </c>
      <c r="AD526" s="3">
        <f t="shared" si="200"/>
        <v>247500</v>
      </c>
      <c r="AE526" s="5">
        <f t="shared" si="201"/>
        <v>4</v>
      </c>
      <c r="AF526" s="10">
        <f t="shared" si="202"/>
        <v>372000</v>
      </c>
      <c r="AG526" s="10">
        <f t="shared" si="203"/>
        <v>120000</v>
      </c>
      <c r="AH526" s="10">
        <f t="shared" si="204"/>
        <v>60000</v>
      </c>
      <c r="AI526" s="10">
        <f t="shared" si="205"/>
        <v>30000</v>
      </c>
      <c r="AJ526" s="10">
        <f t="shared" si="206"/>
        <v>18000</v>
      </c>
    </row>
    <row r="527" spans="1:36" x14ac:dyDescent="0.3">
      <c r="A527" t="s">
        <v>2113</v>
      </c>
      <c r="B527" t="s">
        <v>2114</v>
      </c>
      <c r="C527" t="s">
        <v>2115</v>
      </c>
      <c r="D527" t="s">
        <v>230</v>
      </c>
      <c r="E527">
        <v>98208</v>
      </c>
      <c r="F527" t="s">
        <v>15</v>
      </c>
      <c r="G527">
        <v>12</v>
      </c>
      <c r="H527">
        <v>250</v>
      </c>
      <c r="I527" t="str" cm="1">
        <f t="array" ref="I527">_xlfn.IFS(H527&lt;=120,"V1",H527&lt;=150,"V2",H527&lt;=250,"V3", H527&lt;=350, "V4")</f>
        <v>V3</v>
      </c>
      <c r="J527" t="s">
        <v>2116</v>
      </c>
      <c r="K527" t="str">
        <f t="shared" si="184"/>
        <v>47.90934</v>
      </c>
      <c r="L527" t="str">
        <f t="shared" si="185"/>
        <v>-122.225824</v>
      </c>
      <c r="M527">
        <v>155</v>
      </c>
      <c r="N527" s="1">
        <v>44981</v>
      </c>
      <c r="O527" s="1">
        <v>46099</v>
      </c>
      <c r="P527" s="2">
        <f t="shared" si="186"/>
        <v>3.0609171800136892</v>
      </c>
      <c r="Q527" s="2" t="str">
        <f t="shared" si="187"/>
        <v>Mid</v>
      </c>
      <c r="R527">
        <f t="shared" si="188"/>
        <v>3000</v>
      </c>
      <c r="S527" t="str">
        <f t="shared" si="189"/>
        <v>Small</v>
      </c>
      <c r="T527" t="str">
        <f t="shared" si="190"/>
        <v>High EV Adoption Corridor</v>
      </c>
      <c r="U527" s="3">
        <f t="shared" si="191"/>
        <v>7020000</v>
      </c>
      <c r="V527" s="4">
        <f t="shared" si="192"/>
        <v>1584000</v>
      </c>
      <c r="W527" s="3">
        <f t="shared" si="193"/>
        <v>19800000</v>
      </c>
      <c r="X527" s="3">
        <f t="shared" si="194"/>
        <v>14850000</v>
      </c>
      <c r="Y527">
        <f t="shared" si="195"/>
        <v>0.24</v>
      </c>
      <c r="Z527">
        <f t="shared" si="196"/>
        <v>0.77435897435897438</v>
      </c>
      <c r="AA527" t="str">
        <f t="shared" si="197"/>
        <v>Tier 1 - Priority Fleet</v>
      </c>
      <c r="AB527" s="3">
        <f t="shared" si="198"/>
        <v>132000</v>
      </c>
      <c r="AC527" s="3">
        <f t="shared" si="199"/>
        <v>1650000</v>
      </c>
      <c r="AD527" s="3">
        <f t="shared" si="200"/>
        <v>585000</v>
      </c>
      <c r="AE527" s="5">
        <f t="shared" si="201"/>
        <v>3.6423841059602649</v>
      </c>
      <c r="AF527" s="10">
        <f t="shared" si="202"/>
        <v>982080</v>
      </c>
      <c r="AG527" s="10">
        <f t="shared" si="203"/>
        <v>316800</v>
      </c>
      <c r="AH527" s="10">
        <f t="shared" si="204"/>
        <v>158400</v>
      </c>
      <c r="AI527" s="10">
        <f t="shared" si="205"/>
        <v>79200</v>
      </c>
      <c r="AJ527" s="10">
        <f t="shared" si="206"/>
        <v>47520</v>
      </c>
    </row>
    <row r="528" spans="1:36" x14ac:dyDescent="0.3">
      <c r="A528" t="s">
        <v>2117</v>
      </c>
      <c r="B528" t="s">
        <v>2118</v>
      </c>
      <c r="C528" t="s">
        <v>2119</v>
      </c>
      <c r="D528" t="s">
        <v>2013</v>
      </c>
      <c r="E528">
        <v>58601</v>
      </c>
      <c r="F528" t="s">
        <v>15</v>
      </c>
      <c r="G528">
        <v>8</v>
      </c>
      <c r="H528">
        <v>250</v>
      </c>
      <c r="I528" t="str" cm="1">
        <f t="array" ref="I528">_xlfn.IFS(H528&lt;=120,"V1",H528&lt;=150,"V2",H528&lt;=250,"V3", H528&lt;=350, "V4")</f>
        <v>V3</v>
      </c>
      <c r="J528" t="s">
        <v>2120</v>
      </c>
      <c r="K528" t="str">
        <f t="shared" si="184"/>
        <v>46.901222</v>
      </c>
      <c r="L528" t="str">
        <f t="shared" si="185"/>
        <v>-102.790822</v>
      </c>
      <c r="M528">
        <v>758</v>
      </c>
      <c r="N528" s="1">
        <v>43999</v>
      </c>
      <c r="O528" s="1">
        <v>46099</v>
      </c>
      <c r="P528" s="2">
        <f t="shared" si="186"/>
        <v>5.7494866529774127</v>
      </c>
      <c r="Q528" s="2" t="str">
        <f t="shared" si="187"/>
        <v>Mid</v>
      </c>
      <c r="R528">
        <f t="shared" si="188"/>
        <v>2000</v>
      </c>
      <c r="S528" t="str">
        <f t="shared" si="189"/>
        <v>Small</v>
      </c>
      <c r="T528" t="str">
        <f t="shared" si="190"/>
        <v>Lower EV Adoption Corridor</v>
      </c>
      <c r="U528" s="3">
        <f t="shared" si="191"/>
        <v>3600000</v>
      </c>
      <c r="V528" s="4">
        <f t="shared" si="192"/>
        <v>880000.00000000012</v>
      </c>
      <c r="W528" s="3">
        <f t="shared" si="193"/>
        <v>12000000</v>
      </c>
      <c r="X528" s="3">
        <f t="shared" si="194"/>
        <v>6600000.0000000009</v>
      </c>
      <c r="Y528">
        <f t="shared" si="195"/>
        <v>0.31515151515151513</v>
      </c>
      <c r="Z528">
        <f t="shared" si="196"/>
        <v>0.75555555555555554</v>
      </c>
      <c r="AA528" t="str">
        <f t="shared" si="197"/>
        <v>Tier 2 - Growth Markets</v>
      </c>
      <c r="AB528" s="3">
        <f t="shared" si="198"/>
        <v>110000.00000000001</v>
      </c>
      <c r="AC528" s="3">
        <f t="shared" si="199"/>
        <v>1500000</v>
      </c>
      <c r="AD528" s="3">
        <f t="shared" si="200"/>
        <v>450000</v>
      </c>
      <c r="AE528" s="5">
        <f t="shared" si="201"/>
        <v>4.4117647058823533</v>
      </c>
      <c r="AF528" s="10">
        <f t="shared" si="202"/>
        <v>545600.00000000012</v>
      </c>
      <c r="AG528" s="10">
        <f t="shared" si="203"/>
        <v>176000.00000000003</v>
      </c>
      <c r="AH528" s="10">
        <f t="shared" si="204"/>
        <v>88000.000000000015</v>
      </c>
      <c r="AI528" s="10">
        <f t="shared" si="205"/>
        <v>44000.000000000007</v>
      </c>
      <c r="AJ528" s="10">
        <f t="shared" si="206"/>
        <v>26400.000000000004</v>
      </c>
    </row>
    <row r="529" spans="1:36" x14ac:dyDescent="0.3">
      <c r="A529" t="s">
        <v>2121</v>
      </c>
      <c r="B529" t="s">
        <v>2122</v>
      </c>
      <c r="C529" t="s">
        <v>1954</v>
      </c>
      <c r="D529" t="s">
        <v>433</v>
      </c>
      <c r="E529">
        <v>89002</v>
      </c>
      <c r="F529" t="s">
        <v>15</v>
      </c>
      <c r="G529">
        <v>12</v>
      </c>
      <c r="H529">
        <v>150</v>
      </c>
      <c r="I529" t="str" cm="1">
        <f t="array" ref="I529">_xlfn.IFS(H529&lt;=120,"V1",H529&lt;=150,"V2",H529&lt;=250,"V3", H529&lt;=350, "V4")</f>
        <v>V2</v>
      </c>
      <c r="J529" t="s">
        <v>2123</v>
      </c>
      <c r="K529" t="str">
        <f t="shared" si="184"/>
        <v>35.97141</v>
      </c>
      <c r="L529" t="str">
        <f t="shared" si="185"/>
        <v>-114.911332</v>
      </c>
      <c r="M529">
        <v>694</v>
      </c>
      <c r="N529" s="1">
        <v>43274</v>
      </c>
      <c r="O529" s="1">
        <v>46099</v>
      </c>
      <c r="P529" s="2">
        <f t="shared" si="186"/>
        <v>7.7344284736481859</v>
      </c>
      <c r="Q529" s="2" t="str">
        <f t="shared" si="187"/>
        <v>Mid</v>
      </c>
      <c r="R529">
        <f t="shared" si="188"/>
        <v>1800</v>
      </c>
      <c r="S529" t="str">
        <f t="shared" si="189"/>
        <v>Small</v>
      </c>
      <c r="T529" t="str">
        <f t="shared" si="190"/>
        <v>Lower EV Adoption Corridor</v>
      </c>
      <c r="U529" s="3">
        <f t="shared" si="191"/>
        <v>2970000.0000000005</v>
      </c>
      <c r="V529" s="4">
        <f t="shared" si="192"/>
        <v>720000</v>
      </c>
      <c r="W529" s="3">
        <f t="shared" si="193"/>
        <v>9000000</v>
      </c>
      <c r="X529" s="3">
        <f t="shared" si="194"/>
        <v>5400000</v>
      </c>
      <c r="Y529">
        <f t="shared" si="195"/>
        <v>0.3</v>
      </c>
      <c r="Z529">
        <f t="shared" si="196"/>
        <v>0.75757575757575757</v>
      </c>
      <c r="AA529" t="str">
        <f t="shared" si="197"/>
        <v>Tier 4 - Stable Network</v>
      </c>
      <c r="AB529" s="3">
        <f t="shared" si="198"/>
        <v>60000</v>
      </c>
      <c r="AC529" s="3">
        <f t="shared" si="199"/>
        <v>750000</v>
      </c>
      <c r="AD529" s="3">
        <f t="shared" si="200"/>
        <v>247500.00000000003</v>
      </c>
      <c r="AE529" s="5">
        <f t="shared" si="201"/>
        <v>3.9999999999999991</v>
      </c>
      <c r="AF529" s="10">
        <f t="shared" si="202"/>
        <v>446400</v>
      </c>
      <c r="AG529" s="10">
        <f t="shared" si="203"/>
        <v>144000</v>
      </c>
      <c r="AH529" s="10">
        <f t="shared" si="204"/>
        <v>72000</v>
      </c>
      <c r="AI529" s="10">
        <f t="shared" si="205"/>
        <v>36000</v>
      </c>
      <c r="AJ529" s="10">
        <f t="shared" si="206"/>
        <v>21600</v>
      </c>
    </row>
    <row r="530" spans="1:36" x14ac:dyDescent="0.3">
      <c r="A530" t="s">
        <v>2124</v>
      </c>
      <c r="B530" t="s">
        <v>2125</v>
      </c>
      <c r="C530" t="s">
        <v>2126</v>
      </c>
      <c r="D530" t="s">
        <v>316</v>
      </c>
      <c r="E530">
        <v>97223</v>
      </c>
      <c r="F530" t="s">
        <v>15</v>
      </c>
      <c r="G530">
        <v>10</v>
      </c>
      <c r="H530">
        <v>72</v>
      </c>
      <c r="I530" t="str" cm="1">
        <f t="array" ref="I530">_xlfn.IFS(H530&lt;=120,"V1",H530&lt;=150,"V2",H530&lt;=250,"V3", H530&lt;=350, "V4")</f>
        <v>V1</v>
      </c>
      <c r="J530" t="s">
        <v>2127</v>
      </c>
      <c r="K530" t="str">
        <f t="shared" si="184"/>
        <v>45.451608</v>
      </c>
      <c r="L530" t="str">
        <f t="shared" si="185"/>
        <v>-122.782599</v>
      </c>
      <c r="M530">
        <v>71</v>
      </c>
      <c r="N530" s="1">
        <v>43227</v>
      </c>
      <c r="O530" s="1">
        <v>46099</v>
      </c>
      <c r="P530" s="2">
        <f t="shared" si="186"/>
        <v>7.8631074606433948</v>
      </c>
      <c r="Q530" s="2" t="str">
        <f t="shared" si="187"/>
        <v>Mid</v>
      </c>
      <c r="R530">
        <f t="shared" si="188"/>
        <v>720</v>
      </c>
      <c r="S530" t="str">
        <f t="shared" si="189"/>
        <v>Small</v>
      </c>
      <c r="T530" t="str">
        <f t="shared" si="190"/>
        <v>Lower EV Adoption Corridor</v>
      </c>
      <c r="U530" s="3">
        <f t="shared" si="191"/>
        <v>1080000</v>
      </c>
      <c r="V530" s="4">
        <f t="shared" si="192"/>
        <v>259200</v>
      </c>
      <c r="W530" s="3">
        <f t="shared" si="193"/>
        <v>2880000</v>
      </c>
      <c r="X530" s="3">
        <f t="shared" si="194"/>
        <v>1944000</v>
      </c>
      <c r="Y530">
        <f t="shared" si="195"/>
        <v>0.2814814814814815</v>
      </c>
      <c r="Z530">
        <f t="shared" si="196"/>
        <v>0.76</v>
      </c>
      <c r="AA530" t="str">
        <f t="shared" si="197"/>
        <v>Tier 5 - Retirement Pipeline</v>
      </c>
      <c r="AB530" s="3">
        <f t="shared" si="198"/>
        <v>25920</v>
      </c>
      <c r="AC530" s="3">
        <f t="shared" si="199"/>
        <v>288000</v>
      </c>
      <c r="AD530" s="3">
        <f t="shared" si="200"/>
        <v>108000</v>
      </c>
      <c r="AE530" s="5">
        <f t="shared" si="201"/>
        <v>3.5087719298245612</v>
      </c>
      <c r="AF530" s="10">
        <f t="shared" si="202"/>
        <v>160704</v>
      </c>
      <c r="AG530" s="10">
        <f t="shared" si="203"/>
        <v>51840</v>
      </c>
      <c r="AH530" s="10">
        <f t="shared" si="204"/>
        <v>25920</v>
      </c>
      <c r="AI530" s="10">
        <f t="shared" si="205"/>
        <v>12960</v>
      </c>
      <c r="AJ530" s="10">
        <f t="shared" si="206"/>
        <v>7776</v>
      </c>
    </row>
    <row r="531" spans="1:36" x14ac:dyDescent="0.3">
      <c r="A531" t="s">
        <v>2128</v>
      </c>
      <c r="B531" t="s">
        <v>2129</v>
      </c>
      <c r="C531" t="s">
        <v>856</v>
      </c>
      <c r="D531" t="s">
        <v>299</v>
      </c>
      <c r="E531">
        <v>22150</v>
      </c>
      <c r="F531" t="s">
        <v>15</v>
      </c>
      <c r="G531">
        <v>18</v>
      </c>
      <c r="H531">
        <v>150</v>
      </c>
      <c r="I531" t="str" cm="1">
        <f t="array" ref="I531">_xlfn.IFS(H531&lt;=120,"V1",H531&lt;=150,"V2",H531&lt;=250,"V3", H531&lt;=350, "V4")</f>
        <v>V2</v>
      </c>
      <c r="J531" t="s">
        <v>2130</v>
      </c>
      <c r="K531" t="str">
        <f t="shared" si="184"/>
        <v>38.774412</v>
      </c>
      <c r="L531" t="str">
        <f t="shared" si="185"/>
        <v>-77.177566</v>
      </c>
      <c r="M531">
        <v>72</v>
      </c>
      <c r="N531" s="1">
        <v>43272</v>
      </c>
      <c r="O531" s="1">
        <v>46099</v>
      </c>
      <c r="P531" s="2">
        <f t="shared" si="186"/>
        <v>7.73990417522245</v>
      </c>
      <c r="Q531" s="2" t="str">
        <f t="shared" si="187"/>
        <v>Mid</v>
      </c>
      <c r="R531">
        <f t="shared" si="188"/>
        <v>2700</v>
      </c>
      <c r="S531" t="str">
        <f t="shared" si="189"/>
        <v>Small</v>
      </c>
      <c r="T531" t="str">
        <f t="shared" si="190"/>
        <v>Lower EV Adoption Corridor</v>
      </c>
      <c r="U531" s="3">
        <f t="shared" si="191"/>
        <v>4455000</v>
      </c>
      <c r="V531" s="4">
        <f t="shared" si="192"/>
        <v>1080000</v>
      </c>
      <c r="W531" s="3">
        <f t="shared" si="193"/>
        <v>13500000</v>
      </c>
      <c r="X531" s="3">
        <f t="shared" si="194"/>
        <v>8100000</v>
      </c>
      <c r="Y531">
        <f t="shared" si="195"/>
        <v>0.3</v>
      </c>
      <c r="Z531">
        <f t="shared" si="196"/>
        <v>0.75757575757575757</v>
      </c>
      <c r="AA531" t="str">
        <f t="shared" si="197"/>
        <v>Tier 4 - Stable Network</v>
      </c>
      <c r="AB531" s="3">
        <f t="shared" si="198"/>
        <v>60000</v>
      </c>
      <c r="AC531" s="3">
        <f t="shared" si="199"/>
        <v>750000</v>
      </c>
      <c r="AD531" s="3">
        <f t="shared" si="200"/>
        <v>247500</v>
      </c>
      <c r="AE531" s="5">
        <f t="shared" si="201"/>
        <v>4</v>
      </c>
      <c r="AF531" s="10">
        <f t="shared" si="202"/>
        <v>669600</v>
      </c>
      <c r="AG531" s="10">
        <f t="shared" si="203"/>
        <v>216000</v>
      </c>
      <c r="AH531" s="10">
        <f t="shared" si="204"/>
        <v>108000</v>
      </c>
      <c r="AI531" s="10">
        <f t="shared" si="205"/>
        <v>54000</v>
      </c>
      <c r="AJ531" s="10">
        <f t="shared" si="206"/>
        <v>32400</v>
      </c>
    </row>
    <row r="532" spans="1:36" x14ac:dyDescent="0.3">
      <c r="A532" t="s">
        <v>2131</v>
      </c>
      <c r="B532" t="s">
        <v>2132</v>
      </c>
      <c r="C532" t="s">
        <v>2133</v>
      </c>
      <c r="D532" t="s">
        <v>522</v>
      </c>
      <c r="E532">
        <v>64151</v>
      </c>
      <c r="F532" t="s">
        <v>15</v>
      </c>
      <c r="G532">
        <v>8</v>
      </c>
      <c r="H532">
        <v>72</v>
      </c>
      <c r="I532" t="str" cm="1">
        <f t="array" ref="I532">_xlfn.IFS(H532&lt;=120,"V1",H532&lt;=150,"V2",H532&lt;=250,"V3", H532&lt;=350, "V4")</f>
        <v>V1</v>
      </c>
      <c r="J532" t="s">
        <v>2134</v>
      </c>
      <c r="K532" t="str">
        <f t="shared" si="184"/>
        <v>39.24629</v>
      </c>
      <c r="L532" t="str">
        <f t="shared" si="185"/>
        <v>-94.644943</v>
      </c>
      <c r="M532">
        <v>315</v>
      </c>
      <c r="N532" s="1">
        <v>43246</v>
      </c>
      <c r="O532" s="1">
        <v>46099</v>
      </c>
      <c r="P532" s="2">
        <f t="shared" si="186"/>
        <v>7.8110882956878847</v>
      </c>
      <c r="Q532" s="2" t="str">
        <f t="shared" si="187"/>
        <v>Mid</v>
      </c>
      <c r="R532">
        <f t="shared" si="188"/>
        <v>576</v>
      </c>
      <c r="S532" t="str">
        <f t="shared" si="189"/>
        <v>Small</v>
      </c>
      <c r="T532" t="str">
        <f t="shared" si="190"/>
        <v>Lower EV Adoption Corridor</v>
      </c>
      <c r="U532" s="3">
        <f t="shared" si="191"/>
        <v>864000</v>
      </c>
      <c r="V532" s="4">
        <f t="shared" si="192"/>
        <v>207360</v>
      </c>
      <c r="W532" s="3">
        <f t="shared" si="193"/>
        <v>2304000</v>
      </c>
      <c r="X532" s="3">
        <f t="shared" si="194"/>
        <v>1555200</v>
      </c>
      <c r="Y532">
        <f t="shared" si="195"/>
        <v>0.2814814814814815</v>
      </c>
      <c r="Z532">
        <f t="shared" si="196"/>
        <v>0.76</v>
      </c>
      <c r="AA532" t="str">
        <f t="shared" si="197"/>
        <v>Tier 5 - Retirement Pipeline</v>
      </c>
      <c r="AB532" s="3">
        <f t="shared" si="198"/>
        <v>25920</v>
      </c>
      <c r="AC532" s="3">
        <f t="shared" si="199"/>
        <v>288000</v>
      </c>
      <c r="AD532" s="3">
        <f t="shared" si="200"/>
        <v>108000</v>
      </c>
      <c r="AE532" s="5">
        <f t="shared" si="201"/>
        <v>3.5087719298245612</v>
      </c>
      <c r="AF532" s="10">
        <f t="shared" si="202"/>
        <v>128563.2</v>
      </c>
      <c r="AG532" s="10">
        <f t="shared" si="203"/>
        <v>41472</v>
      </c>
      <c r="AH532" s="10">
        <f t="shared" si="204"/>
        <v>20736</v>
      </c>
      <c r="AI532" s="10">
        <f t="shared" si="205"/>
        <v>10368</v>
      </c>
      <c r="AJ532" s="10">
        <f t="shared" si="206"/>
        <v>6220.8</v>
      </c>
    </row>
    <row r="533" spans="1:36" x14ac:dyDescent="0.3">
      <c r="A533" t="s">
        <v>2135</v>
      </c>
      <c r="B533" t="s">
        <v>2136</v>
      </c>
      <c r="C533" t="s">
        <v>2137</v>
      </c>
      <c r="D533" t="s">
        <v>50</v>
      </c>
      <c r="E533">
        <v>76107</v>
      </c>
      <c r="F533" t="s">
        <v>15</v>
      </c>
      <c r="G533">
        <v>16</v>
      </c>
      <c r="H533">
        <v>72</v>
      </c>
      <c r="I533" t="str" cm="1">
        <f t="array" ref="I533">_xlfn.IFS(H533&lt;=120,"V1",H533&lt;=150,"V2",H533&lt;=250,"V3", H533&lt;=350, "V4")</f>
        <v>V1</v>
      </c>
      <c r="J533" t="s">
        <v>2138</v>
      </c>
      <c r="K533" t="str">
        <f t="shared" si="184"/>
        <v>32.758293</v>
      </c>
      <c r="L533" t="str">
        <f t="shared" si="185"/>
        <v>-97.353585</v>
      </c>
      <c r="M533">
        <v>163</v>
      </c>
      <c r="N533" s="1">
        <v>43416</v>
      </c>
      <c r="O533" s="1">
        <v>46099</v>
      </c>
      <c r="P533" s="2">
        <f t="shared" si="186"/>
        <v>7.3456536618754278</v>
      </c>
      <c r="Q533" s="2" t="str">
        <f t="shared" si="187"/>
        <v>Mid</v>
      </c>
      <c r="R533">
        <f t="shared" si="188"/>
        <v>1152</v>
      </c>
      <c r="S533" t="str">
        <f t="shared" si="189"/>
        <v>Small</v>
      </c>
      <c r="T533" t="str">
        <f t="shared" si="190"/>
        <v>High EV Adoption Corridor</v>
      </c>
      <c r="U533" s="3">
        <f t="shared" si="191"/>
        <v>2246400</v>
      </c>
      <c r="V533" s="4">
        <f t="shared" si="192"/>
        <v>497664</v>
      </c>
      <c r="W533" s="3">
        <f t="shared" si="193"/>
        <v>5068800</v>
      </c>
      <c r="X533" s="3">
        <f t="shared" si="194"/>
        <v>4665600</v>
      </c>
      <c r="Y533">
        <f t="shared" si="195"/>
        <v>0.21530864197530863</v>
      </c>
      <c r="Z533">
        <f t="shared" si="196"/>
        <v>0.77846153846153843</v>
      </c>
      <c r="AA533" t="str">
        <f t="shared" si="197"/>
        <v>Tier 3 - Upgrade Pipeline</v>
      </c>
      <c r="AB533" s="3">
        <f t="shared" si="198"/>
        <v>31104</v>
      </c>
      <c r="AC533" s="3">
        <f t="shared" si="199"/>
        <v>316800</v>
      </c>
      <c r="AD533" s="3">
        <f t="shared" si="200"/>
        <v>140400</v>
      </c>
      <c r="AE533" s="5">
        <f t="shared" si="201"/>
        <v>2.8985507246376812</v>
      </c>
      <c r="AF533" s="10">
        <f t="shared" si="202"/>
        <v>308551.67999999999</v>
      </c>
      <c r="AG533" s="10">
        <f t="shared" si="203"/>
        <v>99532.800000000003</v>
      </c>
      <c r="AH533" s="10">
        <f t="shared" si="204"/>
        <v>49766.400000000001</v>
      </c>
      <c r="AI533" s="10">
        <f t="shared" si="205"/>
        <v>24883.200000000001</v>
      </c>
      <c r="AJ533" s="10">
        <f t="shared" si="206"/>
        <v>14929.92</v>
      </c>
    </row>
    <row r="534" spans="1:36" x14ac:dyDescent="0.3">
      <c r="A534" t="s">
        <v>2139</v>
      </c>
      <c r="B534" t="s">
        <v>2140</v>
      </c>
      <c r="C534" t="s">
        <v>2141</v>
      </c>
      <c r="D534" t="s">
        <v>522</v>
      </c>
      <c r="E534">
        <v>63129</v>
      </c>
      <c r="F534" t="s">
        <v>15</v>
      </c>
      <c r="G534">
        <v>10</v>
      </c>
      <c r="H534">
        <v>150</v>
      </c>
      <c r="I534" t="str" cm="1">
        <f t="array" ref="I534">_xlfn.IFS(H534&lt;=120,"V1",H534&lt;=150,"V2",H534&lt;=250,"V3", H534&lt;=350, "V4")</f>
        <v>V2</v>
      </c>
      <c r="J534" t="s">
        <v>2142</v>
      </c>
      <c r="K534" t="str">
        <f t="shared" si="184"/>
        <v>38.508172</v>
      </c>
      <c r="L534" t="str">
        <f t="shared" si="185"/>
        <v>-90.331113</v>
      </c>
      <c r="M534">
        <v>179</v>
      </c>
      <c r="N534" s="1">
        <v>43274</v>
      </c>
      <c r="O534" s="1">
        <v>46099</v>
      </c>
      <c r="P534" s="2">
        <f t="shared" si="186"/>
        <v>7.7344284736481859</v>
      </c>
      <c r="Q534" s="2" t="str">
        <f t="shared" si="187"/>
        <v>Mid</v>
      </c>
      <c r="R534">
        <f t="shared" si="188"/>
        <v>1500</v>
      </c>
      <c r="S534" t="str">
        <f t="shared" si="189"/>
        <v>Small</v>
      </c>
      <c r="T534" t="str">
        <f t="shared" si="190"/>
        <v>Lower EV Adoption Corridor</v>
      </c>
      <c r="U534" s="3">
        <f t="shared" si="191"/>
        <v>2475000</v>
      </c>
      <c r="V534" s="4">
        <f t="shared" si="192"/>
        <v>600000</v>
      </c>
      <c r="W534" s="3">
        <f t="shared" si="193"/>
        <v>7500000</v>
      </c>
      <c r="X534" s="3">
        <f t="shared" si="194"/>
        <v>4500000</v>
      </c>
      <c r="Y534">
        <f t="shared" si="195"/>
        <v>0.3</v>
      </c>
      <c r="Z534">
        <f t="shared" si="196"/>
        <v>0.75757575757575757</v>
      </c>
      <c r="AA534" t="str">
        <f t="shared" si="197"/>
        <v>Tier 4 - Stable Network</v>
      </c>
      <c r="AB534" s="3">
        <f t="shared" si="198"/>
        <v>60000</v>
      </c>
      <c r="AC534" s="3">
        <f t="shared" si="199"/>
        <v>750000</v>
      </c>
      <c r="AD534" s="3">
        <f t="shared" si="200"/>
        <v>247500</v>
      </c>
      <c r="AE534" s="5">
        <f t="shared" si="201"/>
        <v>4</v>
      </c>
      <c r="AF534" s="10">
        <f t="shared" si="202"/>
        <v>372000</v>
      </c>
      <c r="AG534" s="10">
        <f t="shared" si="203"/>
        <v>120000</v>
      </c>
      <c r="AH534" s="10">
        <f t="shared" si="204"/>
        <v>60000</v>
      </c>
      <c r="AI534" s="10">
        <f t="shared" si="205"/>
        <v>30000</v>
      </c>
      <c r="AJ534" s="10">
        <f t="shared" si="206"/>
        <v>18000</v>
      </c>
    </row>
    <row r="535" spans="1:36" x14ac:dyDescent="0.3">
      <c r="A535" t="s">
        <v>2143</v>
      </c>
      <c r="B535" t="s">
        <v>2144</v>
      </c>
      <c r="C535" t="s">
        <v>1840</v>
      </c>
      <c r="D535" t="s">
        <v>41</v>
      </c>
      <c r="E535">
        <v>33606</v>
      </c>
      <c r="F535" t="s">
        <v>15</v>
      </c>
      <c r="G535">
        <v>10</v>
      </c>
      <c r="H535">
        <v>120</v>
      </c>
      <c r="I535" t="str" cm="1">
        <f t="array" ref="I535">_xlfn.IFS(H535&lt;=120,"V1",H535&lt;=150,"V2",H535&lt;=250,"V3", H535&lt;=350, "V4")</f>
        <v>V1</v>
      </c>
      <c r="J535" t="s">
        <v>2145</v>
      </c>
      <c r="K535" t="str">
        <f t="shared" si="184"/>
        <v>27.937057</v>
      </c>
      <c r="L535" t="str">
        <f t="shared" si="185"/>
        <v>-82.481113</v>
      </c>
      <c r="M535">
        <v>6</v>
      </c>
      <c r="N535" s="1">
        <v>43313</v>
      </c>
      <c r="O535" s="1">
        <v>46099</v>
      </c>
      <c r="P535" s="2">
        <f t="shared" si="186"/>
        <v>7.6276522929500343</v>
      </c>
      <c r="Q535" s="2" t="str">
        <f t="shared" si="187"/>
        <v>Mid</v>
      </c>
      <c r="R535">
        <f t="shared" si="188"/>
        <v>1200</v>
      </c>
      <c r="S535" t="str">
        <f t="shared" si="189"/>
        <v>Small</v>
      </c>
      <c r="T535" t="str">
        <f t="shared" si="190"/>
        <v>High EV Adoption Corridor</v>
      </c>
      <c r="U535" s="3">
        <f t="shared" si="191"/>
        <v>2340000</v>
      </c>
      <c r="V535" s="4">
        <f t="shared" si="192"/>
        <v>518400</v>
      </c>
      <c r="W535" s="3">
        <f t="shared" si="193"/>
        <v>5280000</v>
      </c>
      <c r="X535" s="3">
        <f t="shared" si="194"/>
        <v>4860000</v>
      </c>
      <c r="Y535">
        <f t="shared" si="195"/>
        <v>0.21530864197530863</v>
      </c>
      <c r="Z535">
        <f t="shared" si="196"/>
        <v>0.77846153846153843</v>
      </c>
      <c r="AA535" t="str">
        <f t="shared" si="197"/>
        <v>Tier 3 - Upgrade Pipeline</v>
      </c>
      <c r="AB535" s="3">
        <f t="shared" si="198"/>
        <v>51840</v>
      </c>
      <c r="AC535" s="3">
        <f t="shared" si="199"/>
        <v>528000</v>
      </c>
      <c r="AD535" s="3">
        <f t="shared" si="200"/>
        <v>234000</v>
      </c>
      <c r="AE535" s="5">
        <f t="shared" si="201"/>
        <v>2.8985507246376812</v>
      </c>
      <c r="AF535" s="10">
        <f t="shared" si="202"/>
        <v>321408</v>
      </c>
      <c r="AG535" s="10">
        <f t="shared" si="203"/>
        <v>103680</v>
      </c>
      <c r="AH535" s="10">
        <f t="shared" si="204"/>
        <v>51840</v>
      </c>
      <c r="AI535" s="10">
        <f t="shared" si="205"/>
        <v>25920</v>
      </c>
      <c r="AJ535" s="10">
        <f t="shared" si="206"/>
        <v>15552</v>
      </c>
    </row>
    <row r="536" spans="1:36" x14ac:dyDescent="0.3">
      <c r="A536" t="s">
        <v>2146</v>
      </c>
      <c r="B536" t="s">
        <v>2147</v>
      </c>
      <c r="C536" t="s">
        <v>2148</v>
      </c>
      <c r="D536" t="s">
        <v>268</v>
      </c>
      <c r="E536">
        <v>80517</v>
      </c>
      <c r="F536" t="s">
        <v>15</v>
      </c>
      <c r="G536">
        <v>7</v>
      </c>
      <c r="H536">
        <v>150</v>
      </c>
      <c r="I536" t="str" cm="1">
        <f t="array" ref="I536">_xlfn.IFS(H536&lt;=120,"V1",H536&lt;=150,"V2",H536&lt;=250,"V3", H536&lt;=350, "V4")</f>
        <v>V2</v>
      </c>
      <c r="J536" t="s">
        <v>2149</v>
      </c>
      <c r="K536" t="str">
        <f t="shared" si="184"/>
        <v>40.383833</v>
      </c>
      <c r="L536" t="str">
        <f t="shared" si="185"/>
        <v>-105.519783</v>
      </c>
      <c r="M536">
        <v>2337</v>
      </c>
      <c r="N536" s="1">
        <v>43235</v>
      </c>
      <c r="O536" s="1">
        <v>46099</v>
      </c>
      <c r="P536" s="2">
        <f t="shared" si="186"/>
        <v>7.8412046543463383</v>
      </c>
      <c r="Q536" s="2" t="str">
        <f t="shared" si="187"/>
        <v>Mid</v>
      </c>
      <c r="R536">
        <f t="shared" si="188"/>
        <v>1050</v>
      </c>
      <c r="S536" t="str">
        <f t="shared" si="189"/>
        <v>Small</v>
      </c>
      <c r="T536" t="str">
        <f t="shared" si="190"/>
        <v>High EV Adoption Corridor</v>
      </c>
      <c r="U536" s="3">
        <f t="shared" si="191"/>
        <v>2252250.0000000005</v>
      </c>
      <c r="V536" s="4">
        <f t="shared" si="192"/>
        <v>504000</v>
      </c>
      <c r="W536" s="3">
        <f t="shared" si="193"/>
        <v>5775000.0000000009</v>
      </c>
      <c r="X536" s="3">
        <f t="shared" si="194"/>
        <v>4725000</v>
      </c>
      <c r="Y536">
        <f t="shared" si="195"/>
        <v>0.22888888888888889</v>
      </c>
      <c r="Z536">
        <f t="shared" si="196"/>
        <v>0.77622377622377625</v>
      </c>
      <c r="AA536" t="str">
        <f t="shared" si="197"/>
        <v>Tier 3 - Upgrade Pipeline</v>
      </c>
      <c r="AB536" s="3">
        <f t="shared" si="198"/>
        <v>72000</v>
      </c>
      <c r="AC536" s="3">
        <f t="shared" si="199"/>
        <v>825000.00000000012</v>
      </c>
      <c r="AD536" s="3">
        <f t="shared" si="200"/>
        <v>321750.00000000006</v>
      </c>
      <c r="AE536" s="5">
        <f t="shared" si="201"/>
        <v>3.303303303303303</v>
      </c>
      <c r="AF536" s="10">
        <f t="shared" si="202"/>
        <v>312480</v>
      </c>
      <c r="AG536" s="10">
        <f t="shared" si="203"/>
        <v>100800</v>
      </c>
      <c r="AH536" s="10">
        <f t="shared" si="204"/>
        <v>50400</v>
      </c>
      <c r="AI536" s="10">
        <f t="shared" si="205"/>
        <v>25200</v>
      </c>
      <c r="AJ536" s="10">
        <f t="shared" si="206"/>
        <v>15120</v>
      </c>
    </row>
    <row r="537" spans="1:36" x14ac:dyDescent="0.3">
      <c r="A537" t="s">
        <v>2150</v>
      </c>
      <c r="B537" t="s">
        <v>2151</v>
      </c>
      <c r="C537" t="s">
        <v>2152</v>
      </c>
      <c r="D537" t="s">
        <v>14</v>
      </c>
      <c r="E537">
        <v>94952</v>
      </c>
      <c r="F537" t="s">
        <v>15</v>
      </c>
      <c r="G537">
        <v>20</v>
      </c>
      <c r="H537">
        <v>150</v>
      </c>
      <c r="I537" t="str" cm="1">
        <f t="array" ref="I537">_xlfn.IFS(H537&lt;=120,"V1",H537&lt;=150,"V2",H537&lt;=250,"V3", H537&lt;=350, "V4")</f>
        <v>V2</v>
      </c>
      <c r="J537" t="s">
        <v>2153</v>
      </c>
      <c r="K537" t="str">
        <f t="shared" si="184"/>
        <v>38.242693</v>
      </c>
      <c r="L537" t="str">
        <f t="shared" si="185"/>
        <v>-122.625049</v>
      </c>
      <c r="M537">
        <v>8</v>
      </c>
      <c r="N537" s="1">
        <v>42038</v>
      </c>
      <c r="O537" s="1">
        <v>46099</v>
      </c>
      <c r="P537" s="2">
        <f t="shared" si="186"/>
        <v>11.118412046543463</v>
      </c>
      <c r="Q537" s="2" t="str">
        <f t="shared" si="187"/>
        <v>Old</v>
      </c>
      <c r="R537">
        <f t="shared" si="188"/>
        <v>3000</v>
      </c>
      <c r="S537" t="str">
        <f t="shared" si="189"/>
        <v>Small</v>
      </c>
      <c r="T537" t="str">
        <f t="shared" si="190"/>
        <v>High EV Adoption Corridor</v>
      </c>
      <c r="U537" s="3">
        <f t="shared" si="191"/>
        <v>6435000</v>
      </c>
      <c r="V537" s="4">
        <f t="shared" si="192"/>
        <v>1440000</v>
      </c>
      <c r="W537" s="3">
        <f t="shared" si="193"/>
        <v>16500000.000000002</v>
      </c>
      <c r="X537" s="3">
        <f t="shared" si="194"/>
        <v>13500000</v>
      </c>
      <c r="Y537">
        <f t="shared" si="195"/>
        <v>0.22888888888888889</v>
      </c>
      <c r="Z537">
        <f t="shared" si="196"/>
        <v>0.77622377622377625</v>
      </c>
      <c r="AA537" t="str">
        <f t="shared" si="197"/>
        <v>Tier 3 - Upgrade Pipeline</v>
      </c>
      <c r="AB537" s="3">
        <f t="shared" si="198"/>
        <v>72000</v>
      </c>
      <c r="AC537" s="3">
        <f t="shared" si="199"/>
        <v>825000.00000000012</v>
      </c>
      <c r="AD537" s="3">
        <f t="shared" si="200"/>
        <v>321750</v>
      </c>
      <c r="AE537" s="5">
        <f t="shared" si="201"/>
        <v>3.3033033033033035</v>
      </c>
      <c r="AF537" s="10">
        <f t="shared" si="202"/>
        <v>892800</v>
      </c>
      <c r="AG537" s="10">
        <f t="shared" si="203"/>
        <v>288000</v>
      </c>
      <c r="AH537" s="10">
        <f t="shared" si="204"/>
        <v>144000</v>
      </c>
      <c r="AI537" s="10">
        <f t="shared" si="205"/>
        <v>72000</v>
      </c>
      <c r="AJ537" s="10">
        <f t="shared" si="206"/>
        <v>43200</v>
      </c>
    </row>
    <row r="538" spans="1:36" x14ac:dyDescent="0.3">
      <c r="A538" t="s">
        <v>2154</v>
      </c>
      <c r="B538" t="s">
        <v>2155</v>
      </c>
      <c r="C538" t="s">
        <v>2156</v>
      </c>
      <c r="D538" t="s">
        <v>433</v>
      </c>
      <c r="E538">
        <v>89451</v>
      </c>
      <c r="F538" t="s">
        <v>15</v>
      </c>
      <c r="G538">
        <v>10</v>
      </c>
      <c r="H538">
        <v>150</v>
      </c>
      <c r="I538" t="str" cm="1">
        <f t="array" ref="I538">_xlfn.IFS(H538&lt;=120,"V1",H538&lt;=150,"V2",H538&lt;=250,"V3", H538&lt;=350, "V4")</f>
        <v>V2</v>
      </c>
      <c r="J538" t="s">
        <v>2157</v>
      </c>
      <c r="K538" t="str">
        <f t="shared" si="184"/>
        <v>39.250765</v>
      </c>
      <c r="L538" t="str">
        <f t="shared" si="185"/>
        <v>-119.948927</v>
      </c>
      <c r="M538">
        <v>1964</v>
      </c>
      <c r="N538" s="1">
        <v>43707</v>
      </c>
      <c r="O538" s="1">
        <v>46099</v>
      </c>
      <c r="P538" s="2">
        <f t="shared" si="186"/>
        <v>6.5489390828199863</v>
      </c>
      <c r="Q538" s="2" t="str">
        <f t="shared" si="187"/>
        <v>Mid</v>
      </c>
      <c r="R538">
        <f t="shared" si="188"/>
        <v>1500</v>
      </c>
      <c r="S538" t="str">
        <f t="shared" si="189"/>
        <v>Small</v>
      </c>
      <c r="T538" t="str">
        <f t="shared" si="190"/>
        <v>Lower EV Adoption Corridor</v>
      </c>
      <c r="U538" s="3">
        <f t="shared" si="191"/>
        <v>2475000</v>
      </c>
      <c r="V538" s="4">
        <f t="shared" si="192"/>
        <v>600000</v>
      </c>
      <c r="W538" s="3">
        <f t="shared" si="193"/>
        <v>7500000</v>
      </c>
      <c r="X538" s="3">
        <f t="shared" si="194"/>
        <v>4500000</v>
      </c>
      <c r="Y538">
        <f t="shared" si="195"/>
        <v>0.3</v>
      </c>
      <c r="Z538">
        <f t="shared" si="196"/>
        <v>0.75757575757575757</v>
      </c>
      <c r="AA538" t="str">
        <f t="shared" si="197"/>
        <v>Tier 4 - Stable Network</v>
      </c>
      <c r="AB538" s="3">
        <f t="shared" si="198"/>
        <v>60000</v>
      </c>
      <c r="AC538" s="3">
        <f t="shared" si="199"/>
        <v>750000</v>
      </c>
      <c r="AD538" s="3">
        <f t="shared" si="200"/>
        <v>247500</v>
      </c>
      <c r="AE538" s="5">
        <f t="shared" si="201"/>
        <v>4</v>
      </c>
      <c r="AF538" s="10">
        <f t="shared" si="202"/>
        <v>372000</v>
      </c>
      <c r="AG538" s="10">
        <f t="shared" si="203"/>
        <v>120000</v>
      </c>
      <c r="AH538" s="10">
        <f t="shared" si="204"/>
        <v>60000</v>
      </c>
      <c r="AI538" s="10">
        <f t="shared" si="205"/>
        <v>30000</v>
      </c>
      <c r="AJ538" s="10">
        <f t="shared" si="206"/>
        <v>18000</v>
      </c>
    </row>
    <row r="539" spans="1:36" x14ac:dyDescent="0.3">
      <c r="A539" t="s">
        <v>2158</v>
      </c>
      <c r="B539" t="s">
        <v>2159</v>
      </c>
      <c r="C539" t="s">
        <v>2160</v>
      </c>
      <c r="D539" t="s">
        <v>72</v>
      </c>
      <c r="E539">
        <v>85541</v>
      </c>
      <c r="F539" t="s">
        <v>15</v>
      </c>
      <c r="G539">
        <v>12</v>
      </c>
      <c r="H539">
        <v>150</v>
      </c>
      <c r="I539" t="str" cm="1">
        <f t="array" ref="I539">_xlfn.IFS(H539&lt;=120,"V1",H539&lt;=150,"V2",H539&lt;=250,"V3", H539&lt;=350, "V4")</f>
        <v>V2</v>
      </c>
      <c r="J539" t="s">
        <v>2161</v>
      </c>
      <c r="K539" t="str">
        <f t="shared" si="184"/>
        <v>34.242065</v>
      </c>
      <c r="L539" t="str">
        <f t="shared" si="185"/>
        <v>-111.322538</v>
      </c>
      <c r="M539">
        <v>1514</v>
      </c>
      <c r="N539" s="1">
        <v>43463</v>
      </c>
      <c r="O539" s="1">
        <v>46099</v>
      </c>
      <c r="P539" s="2">
        <f t="shared" si="186"/>
        <v>7.2169746748802188</v>
      </c>
      <c r="Q539" s="2" t="str">
        <f t="shared" si="187"/>
        <v>Mid</v>
      </c>
      <c r="R539">
        <f t="shared" si="188"/>
        <v>1800</v>
      </c>
      <c r="S539" t="str">
        <f t="shared" si="189"/>
        <v>Small</v>
      </c>
      <c r="T539" t="str">
        <f t="shared" si="190"/>
        <v>Lower EV Adoption Corridor</v>
      </c>
      <c r="U539" s="3">
        <f t="shared" si="191"/>
        <v>2970000.0000000005</v>
      </c>
      <c r="V539" s="4">
        <f t="shared" si="192"/>
        <v>720000</v>
      </c>
      <c r="W539" s="3">
        <f t="shared" si="193"/>
        <v>9000000</v>
      </c>
      <c r="X539" s="3">
        <f t="shared" si="194"/>
        <v>5400000</v>
      </c>
      <c r="Y539">
        <f t="shared" si="195"/>
        <v>0.3</v>
      </c>
      <c r="Z539">
        <f t="shared" si="196"/>
        <v>0.75757575757575757</v>
      </c>
      <c r="AA539" t="str">
        <f t="shared" si="197"/>
        <v>Tier 4 - Stable Network</v>
      </c>
      <c r="AB539" s="3">
        <f t="shared" si="198"/>
        <v>60000</v>
      </c>
      <c r="AC539" s="3">
        <f t="shared" si="199"/>
        <v>750000</v>
      </c>
      <c r="AD539" s="3">
        <f t="shared" si="200"/>
        <v>247500.00000000003</v>
      </c>
      <c r="AE539" s="5">
        <f t="shared" si="201"/>
        <v>3.9999999999999991</v>
      </c>
      <c r="AF539" s="10">
        <f t="shared" si="202"/>
        <v>446400</v>
      </c>
      <c r="AG539" s="10">
        <f t="shared" si="203"/>
        <v>144000</v>
      </c>
      <c r="AH539" s="10">
        <f t="shared" si="204"/>
        <v>72000</v>
      </c>
      <c r="AI539" s="10">
        <f t="shared" si="205"/>
        <v>36000</v>
      </c>
      <c r="AJ539" s="10">
        <f t="shared" si="206"/>
        <v>21600</v>
      </c>
    </row>
    <row r="540" spans="1:36" x14ac:dyDescent="0.3">
      <c r="A540" t="s">
        <v>2162</v>
      </c>
      <c r="B540" t="s">
        <v>2163</v>
      </c>
      <c r="C540" t="s">
        <v>2164</v>
      </c>
      <c r="D540" t="s">
        <v>630</v>
      </c>
      <c r="E540">
        <v>49829</v>
      </c>
      <c r="F540" t="s">
        <v>15</v>
      </c>
      <c r="G540">
        <v>8</v>
      </c>
      <c r="H540">
        <v>250</v>
      </c>
      <c r="I540" t="str" cm="1">
        <f t="array" ref="I540">_xlfn.IFS(H540&lt;=120,"V1",H540&lt;=150,"V2",H540&lt;=250,"V3", H540&lt;=350, "V4")</f>
        <v>V3</v>
      </c>
      <c r="J540" t="s">
        <v>2165</v>
      </c>
      <c r="K540" t="str">
        <f t="shared" si="184"/>
        <v>45.750542</v>
      </c>
      <c r="L540" t="str">
        <f t="shared" si="185"/>
        <v>-87.085129</v>
      </c>
      <c r="M540">
        <v>188</v>
      </c>
      <c r="N540" s="1">
        <v>44408</v>
      </c>
      <c r="O540" s="1">
        <v>46099</v>
      </c>
      <c r="P540" s="2">
        <f t="shared" si="186"/>
        <v>4.6297056810403836</v>
      </c>
      <c r="Q540" s="2" t="str">
        <f t="shared" si="187"/>
        <v>Mid</v>
      </c>
      <c r="R540">
        <f t="shared" si="188"/>
        <v>2000</v>
      </c>
      <c r="S540" t="str">
        <f t="shared" si="189"/>
        <v>Small</v>
      </c>
      <c r="T540" t="str">
        <f t="shared" si="190"/>
        <v>Lower EV Adoption Corridor</v>
      </c>
      <c r="U540" s="3">
        <f t="shared" si="191"/>
        <v>3600000</v>
      </c>
      <c r="V540" s="4">
        <f t="shared" si="192"/>
        <v>880000.00000000012</v>
      </c>
      <c r="W540" s="3">
        <f t="shared" si="193"/>
        <v>12000000</v>
      </c>
      <c r="X540" s="3">
        <f t="shared" si="194"/>
        <v>6600000.0000000009</v>
      </c>
      <c r="Y540">
        <f t="shared" si="195"/>
        <v>0.31515151515151513</v>
      </c>
      <c r="Z540">
        <f t="shared" si="196"/>
        <v>0.75555555555555554</v>
      </c>
      <c r="AA540" t="str">
        <f t="shared" si="197"/>
        <v>Tier 2 - Growth Markets</v>
      </c>
      <c r="AB540" s="3">
        <f t="shared" si="198"/>
        <v>110000.00000000001</v>
      </c>
      <c r="AC540" s="3">
        <f t="shared" si="199"/>
        <v>1500000</v>
      </c>
      <c r="AD540" s="3">
        <f t="shared" si="200"/>
        <v>450000</v>
      </c>
      <c r="AE540" s="5">
        <f t="shared" si="201"/>
        <v>4.4117647058823533</v>
      </c>
      <c r="AF540" s="10">
        <f t="shared" si="202"/>
        <v>545600.00000000012</v>
      </c>
      <c r="AG540" s="10">
        <f t="shared" si="203"/>
        <v>176000.00000000003</v>
      </c>
      <c r="AH540" s="10">
        <f t="shared" si="204"/>
        <v>88000.000000000015</v>
      </c>
      <c r="AI540" s="10">
        <f t="shared" si="205"/>
        <v>44000.000000000007</v>
      </c>
      <c r="AJ540" s="10">
        <f t="shared" si="206"/>
        <v>26400.000000000004</v>
      </c>
    </row>
    <row r="541" spans="1:36" x14ac:dyDescent="0.3">
      <c r="A541" t="s">
        <v>2166</v>
      </c>
      <c r="B541" t="s">
        <v>2167</v>
      </c>
      <c r="C541" t="s">
        <v>2168</v>
      </c>
      <c r="D541" t="s">
        <v>14</v>
      </c>
      <c r="E541">
        <v>94070</v>
      </c>
      <c r="F541" t="s">
        <v>15</v>
      </c>
      <c r="G541">
        <v>19</v>
      </c>
      <c r="H541">
        <v>72</v>
      </c>
      <c r="I541" t="str" cm="1">
        <f t="array" ref="I541">_xlfn.IFS(H541&lt;=120,"V1",H541&lt;=150,"V2",H541&lt;=250,"V3", H541&lt;=350, "V4")</f>
        <v>V1</v>
      </c>
      <c r="J541" t="s">
        <v>2169</v>
      </c>
      <c r="K541" t="str">
        <f t="shared" si="184"/>
        <v>37.502912</v>
      </c>
      <c r="L541" t="str">
        <f t="shared" si="185"/>
        <v>-122.245569</v>
      </c>
      <c r="M541">
        <v>3</v>
      </c>
      <c r="N541" s="1">
        <v>43282</v>
      </c>
      <c r="O541" s="1">
        <v>46099</v>
      </c>
      <c r="P541" s="2">
        <f t="shared" si="186"/>
        <v>7.7125256673511293</v>
      </c>
      <c r="Q541" s="2" t="str">
        <f t="shared" si="187"/>
        <v>Mid</v>
      </c>
      <c r="R541">
        <f t="shared" si="188"/>
        <v>1368</v>
      </c>
      <c r="S541" t="str">
        <f t="shared" si="189"/>
        <v>Small</v>
      </c>
      <c r="T541" t="str">
        <f t="shared" si="190"/>
        <v>High EV Adoption Corridor</v>
      </c>
      <c r="U541" s="3">
        <f t="shared" si="191"/>
        <v>2667600</v>
      </c>
      <c r="V541" s="4">
        <f t="shared" si="192"/>
        <v>590976</v>
      </c>
      <c r="W541" s="3">
        <f t="shared" si="193"/>
        <v>6019200.0000000009</v>
      </c>
      <c r="X541" s="3">
        <f t="shared" si="194"/>
        <v>5540400</v>
      </c>
      <c r="Y541">
        <f t="shared" si="195"/>
        <v>0.21530864197530863</v>
      </c>
      <c r="Z541">
        <f t="shared" si="196"/>
        <v>0.77846153846153843</v>
      </c>
      <c r="AA541" t="str">
        <f t="shared" si="197"/>
        <v>Tier 3 - Upgrade Pipeline</v>
      </c>
      <c r="AB541" s="3">
        <f t="shared" si="198"/>
        <v>31104</v>
      </c>
      <c r="AC541" s="3">
        <f t="shared" si="199"/>
        <v>316800.00000000006</v>
      </c>
      <c r="AD541" s="3">
        <f t="shared" si="200"/>
        <v>140400</v>
      </c>
      <c r="AE541" s="5">
        <f t="shared" si="201"/>
        <v>2.8985507246376816</v>
      </c>
      <c r="AF541" s="10">
        <f t="shared" si="202"/>
        <v>366405.12</v>
      </c>
      <c r="AG541" s="10">
        <f t="shared" si="203"/>
        <v>118195.20000000001</v>
      </c>
      <c r="AH541" s="10">
        <f t="shared" si="204"/>
        <v>59097.600000000006</v>
      </c>
      <c r="AI541" s="10">
        <f t="shared" si="205"/>
        <v>29548.800000000003</v>
      </c>
      <c r="AJ541" s="10">
        <f t="shared" si="206"/>
        <v>17729.28</v>
      </c>
    </row>
    <row r="542" spans="1:36" x14ac:dyDescent="0.3">
      <c r="A542" t="s">
        <v>2170</v>
      </c>
      <c r="B542" t="s">
        <v>2171</v>
      </c>
      <c r="C542" t="s">
        <v>2172</v>
      </c>
      <c r="D542" t="s">
        <v>28</v>
      </c>
      <c r="E542">
        <v>30064</v>
      </c>
      <c r="F542" t="s">
        <v>15</v>
      </c>
      <c r="G542">
        <v>12</v>
      </c>
      <c r="H542">
        <v>250</v>
      </c>
      <c r="I542" t="str" cm="1">
        <f t="array" ref="I542">_xlfn.IFS(H542&lt;=120,"V1",H542&lt;=150,"V2",H542&lt;=250,"V3", H542&lt;=350, "V4")</f>
        <v>V3</v>
      </c>
      <c r="J542" t="s">
        <v>2173</v>
      </c>
      <c r="K542" t="str">
        <f t="shared" si="184"/>
        <v>33.953257</v>
      </c>
      <c r="L542" t="str">
        <f t="shared" si="185"/>
        <v>-84.657297</v>
      </c>
      <c r="M542">
        <v>326</v>
      </c>
      <c r="N542" s="1">
        <v>45000</v>
      </c>
      <c r="O542" s="1">
        <v>46099</v>
      </c>
      <c r="P542" s="2">
        <f t="shared" si="186"/>
        <v>3.0088980150581794</v>
      </c>
      <c r="Q542" s="2" t="str">
        <f t="shared" si="187"/>
        <v>Mid</v>
      </c>
      <c r="R542">
        <f t="shared" si="188"/>
        <v>3000</v>
      </c>
      <c r="S542" t="str">
        <f t="shared" si="189"/>
        <v>Small</v>
      </c>
      <c r="T542" t="str">
        <f t="shared" si="190"/>
        <v>Lower EV Adoption Corridor</v>
      </c>
      <c r="U542" s="3">
        <f t="shared" si="191"/>
        <v>5400000</v>
      </c>
      <c r="V542" s="4">
        <f t="shared" si="192"/>
        <v>1320000</v>
      </c>
      <c r="W542" s="3">
        <f t="shared" si="193"/>
        <v>18000000</v>
      </c>
      <c r="X542" s="3">
        <f t="shared" si="194"/>
        <v>9900000</v>
      </c>
      <c r="Y542">
        <f t="shared" si="195"/>
        <v>0.31515151515151513</v>
      </c>
      <c r="Z542">
        <f t="shared" si="196"/>
        <v>0.75555555555555554</v>
      </c>
      <c r="AA542" t="str">
        <f t="shared" si="197"/>
        <v>Tier 2 - Growth Markets</v>
      </c>
      <c r="AB542" s="3">
        <f t="shared" si="198"/>
        <v>110000</v>
      </c>
      <c r="AC542" s="3">
        <f t="shared" si="199"/>
        <v>1500000</v>
      </c>
      <c r="AD542" s="3">
        <f t="shared" si="200"/>
        <v>450000</v>
      </c>
      <c r="AE542" s="5">
        <f t="shared" si="201"/>
        <v>4.4117647058823533</v>
      </c>
      <c r="AF542" s="10">
        <f t="shared" si="202"/>
        <v>818400</v>
      </c>
      <c r="AG542" s="10">
        <f t="shared" si="203"/>
        <v>264000</v>
      </c>
      <c r="AH542" s="10">
        <f t="shared" si="204"/>
        <v>132000</v>
      </c>
      <c r="AI542" s="10">
        <f t="shared" si="205"/>
        <v>66000</v>
      </c>
      <c r="AJ542" s="10">
        <f t="shared" si="206"/>
        <v>39600</v>
      </c>
    </row>
    <row r="543" spans="1:36" x14ac:dyDescent="0.3">
      <c r="A543" t="s">
        <v>2174</v>
      </c>
      <c r="B543" t="s">
        <v>2175</v>
      </c>
      <c r="C543" t="s">
        <v>2176</v>
      </c>
      <c r="D543" t="s">
        <v>153</v>
      </c>
      <c r="E543">
        <v>19606</v>
      </c>
      <c r="F543" t="s">
        <v>15</v>
      </c>
      <c r="G543">
        <v>8</v>
      </c>
      <c r="H543">
        <v>250</v>
      </c>
      <c r="I543" t="str" cm="1">
        <f t="array" ref="I543">_xlfn.IFS(H543&lt;=120,"V1",H543&lt;=150,"V2",H543&lt;=250,"V3", H543&lt;=350, "V4")</f>
        <v>V3</v>
      </c>
      <c r="J543" t="s">
        <v>2177</v>
      </c>
      <c r="K543" t="str">
        <f t="shared" si="184"/>
        <v>40.301734</v>
      </c>
      <c r="L543" t="str">
        <f t="shared" si="185"/>
        <v>-75.853085</v>
      </c>
      <c r="M543">
        <v>71</v>
      </c>
      <c r="N543" s="1">
        <v>44597</v>
      </c>
      <c r="O543" s="1">
        <v>46099</v>
      </c>
      <c r="P543" s="2">
        <f t="shared" si="186"/>
        <v>4.1122518822724166</v>
      </c>
      <c r="Q543" s="2" t="str">
        <f t="shared" si="187"/>
        <v>Mid</v>
      </c>
      <c r="R543">
        <f t="shared" si="188"/>
        <v>2000</v>
      </c>
      <c r="S543" t="str">
        <f t="shared" si="189"/>
        <v>Small</v>
      </c>
      <c r="T543" t="str">
        <f t="shared" si="190"/>
        <v>Lower EV Adoption Corridor</v>
      </c>
      <c r="U543" s="3">
        <f t="shared" si="191"/>
        <v>3600000</v>
      </c>
      <c r="V543" s="4">
        <f t="shared" si="192"/>
        <v>880000.00000000012</v>
      </c>
      <c r="W543" s="3">
        <f t="shared" si="193"/>
        <v>12000000</v>
      </c>
      <c r="X543" s="3">
        <f t="shared" si="194"/>
        <v>6600000.0000000009</v>
      </c>
      <c r="Y543">
        <f t="shared" si="195"/>
        <v>0.31515151515151513</v>
      </c>
      <c r="Z543">
        <f t="shared" si="196"/>
        <v>0.75555555555555554</v>
      </c>
      <c r="AA543" t="str">
        <f t="shared" si="197"/>
        <v>Tier 2 - Growth Markets</v>
      </c>
      <c r="AB543" s="3">
        <f t="shared" si="198"/>
        <v>110000.00000000001</v>
      </c>
      <c r="AC543" s="3">
        <f t="shared" si="199"/>
        <v>1500000</v>
      </c>
      <c r="AD543" s="3">
        <f t="shared" si="200"/>
        <v>450000</v>
      </c>
      <c r="AE543" s="5">
        <f t="shared" si="201"/>
        <v>4.4117647058823533</v>
      </c>
      <c r="AF543" s="10">
        <f t="shared" si="202"/>
        <v>545600.00000000012</v>
      </c>
      <c r="AG543" s="10">
        <f t="shared" si="203"/>
        <v>176000.00000000003</v>
      </c>
      <c r="AH543" s="10">
        <f t="shared" si="204"/>
        <v>88000.000000000015</v>
      </c>
      <c r="AI543" s="10">
        <f t="shared" si="205"/>
        <v>44000.000000000007</v>
      </c>
      <c r="AJ543" s="10">
        <f t="shared" si="206"/>
        <v>26400.000000000004</v>
      </c>
    </row>
    <row r="544" spans="1:36" x14ac:dyDescent="0.3">
      <c r="A544" t="s">
        <v>2178</v>
      </c>
      <c r="B544" t="s">
        <v>2179</v>
      </c>
      <c r="C544" t="s">
        <v>441</v>
      </c>
      <c r="D544" t="s">
        <v>184</v>
      </c>
      <c r="E544">
        <v>44144</v>
      </c>
      <c r="F544" t="s">
        <v>15</v>
      </c>
      <c r="G544">
        <v>8</v>
      </c>
      <c r="H544">
        <v>250</v>
      </c>
      <c r="I544" t="str" cm="1">
        <f t="array" ref="I544">_xlfn.IFS(H544&lt;=120,"V1",H544&lt;=150,"V2",H544&lt;=250,"V3", H544&lt;=350, "V4")</f>
        <v>V3</v>
      </c>
      <c r="J544" t="s">
        <v>2180</v>
      </c>
      <c r="K544" t="str">
        <f t="shared" si="184"/>
        <v>41.422533</v>
      </c>
      <c r="L544" t="str">
        <f t="shared" si="185"/>
        <v>-81.7584885</v>
      </c>
      <c r="M544">
        <v>235</v>
      </c>
      <c r="N544" s="1">
        <v>44554</v>
      </c>
      <c r="O544" s="1">
        <v>46099</v>
      </c>
      <c r="P544" s="2">
        <f t="shared" si="186"/>
        <v>4.2299794661190964</v>
      </c>
      <c r="Q544" s="2" t="str">
        <f t="shared" si="187"/>
        <v>Mid</v>
      </c>
      <c r="R544">
        <f t="shared" si="188"/>
        <v>2000</v>
      </c>
      <c r="S544" t="str">
        <f t="shared" si="189"/>
        <v>Small</v>
      </c>
      <c r="T544" t="str">
        <f t="shared" si="190"/>
        <v>Lower EV Adoption Corridor</v>
      </c>
      <c r="U544" s="3">
        <f t="shared" si="191"/>
        <v>3600000</v>
      </c>
      <c r="V544" s="4">
        <f t="shared" si="192"/>
        <v>880000.00000000012</v>
      </c>
      <c r="W544" s="3">
        <f t="shared" si="193"/>
        <v>12000000</v>
      </c>
      <c r="X544" s="3">
        <f t="shared" si="194"/>
        <v>6600000.0000000009</v>
      </c>
      <c r="Y544">
        <f t="shared" si="195"/>
        <v>0.31515151515151513</v>
      </c>
      <c r="Z544">
        <f t="shared" si="196"/>
        <v>0.75555555555555554</v>
      </c>
      <c r="AA544" t="str">
        <f t="shared" si="197"/>
        <v>Tier 2 - Growth Markets</v>
      </c>
      <c r="AB544" s="3">
        <f t="shared" si="198"/>
        <v>110000.00000000001</v>
      </c>
      <c r="AC544" s="3">
        <f t="shared" si="199"/>
        <v>1500000</v>
      </c>
      <c r="AD544" s="3">
        <f t="shared" si="200"/>
        <v>450000</v>
      </c>
      <c r="AE544" s="5">
        <f t="shared" si="201"/>
        <v>4.4117647058823533</v>
      </c>
      <c r="AF544" s="10">
        <f t="shared" si="202"/>
        <v>545600.00000000012</v>
      </c>
      <c r="AG544" s="10">
        <f t="shared" si="203"/>
        <v>176000.00000000003</v>
      </c>
      <c r="AH544" s="10">
        <f t="shared" si="204"/>
        <v>88000.000000000015</v>
      </c>
      <c r="AI544" s="10">
        <f t="shared" si="205"/>
        <v>44000.000000000007</v>
      </c>
      <c r="AJ544" s="10">
        <f t="shared" si="206"/>
        <v>26400.000000000004</v>
      </c>
    </row>
    <row r="545" spans="1:36" x14ac:dyDescent="0.3">
      <c r="A545" t="s">
        <v>2181</v>
      </c>
      <c r="B545" t="s">
        <v>2182</v>
      </c>
      <c r="C545" t="s">
        <v>2183</v>
      </c>
      <c r="D545" t="s">
        <v>321</v>
      </c>
      <c r="E545">
        <v>2467</v>
      </c>
      <c r="F545" t="s">
        <v>15</v>
      </c>
      <c r="G545">
        <v>8</v>
      </c>
      <c r="H545">
        <v>150</v>
      </c>
      <c r="I545" t="str" cm="1">
        <f t="array" ref="I545">_xlfn.IFS(H545&lt;=120,"V1",H545&lt;=150,"V2",H545&lt;=250,"V3", H545&lt;=350, "V4")</f>
        <v>V2</v>
      </c>
      <c r="J545" t="s">
        <v>2184</v>
      </c>
      <c r="K545" t="str">
        <f t="shared" si="184"/>
        <v>42.322031</v>
      </c>
      <c r="L545" t="str">
        <f t="shared" si="185"/>
        <v>-71.172395</v>
      </c>
      <c r="M545">
        <v>52</v>
      </c>
      <c r="N545" s="1">
        <v>43840</v>
      </c>
      <c r="O545" s="1">
        <v>46099</v>
      </c>
      <c r="P545" s="2">
        <f t="shared" si="186"/>
        <v>6.1848049281314168</v>
      </c>
      <c r="Q545" s="2" t="str">
        <f t="shared" si="187"/>
        <v>Mid</v>
      </c>
      <c r="R545">
        <f t="shared" si="188"/>
        <v>1200</v>
      </c>
      <c r="S545" t="str">
        <f t="shared" si="189"/>
        <v>Small</v>
      </c>
      <c r="T545" t="str">
        <f t="shared" si="190"/>
        <v>Lower EV Adoption Corridor</v>
      </c>
      <c r="U545" s="3">
        <f t="shared" si="191"/>
        <v>1980000.0000000002</v>
      </c>
      <c r="V545" s="4">
        <f t="shared" si="192"/>
        <v>480000</v>
      </c>
      <c r="W545" s="3">
        <f t="shared" si="193"/>
        <v>6000000</v>
      </c>
      <c r="X545" s="3">
        <f t="shared" si="194"/>
        <v>3600000</v>
      </c>
      <c r="Y545">
        <f t="shared" si="195"/>
        <v>0.3</v>
      </c>
      <c r="Z545">
        <f t="shared" si="196"/>
        <v>0.75757575757575757</v>
      </c>
      <c r="AA545" t="str">
        <f t="shared" si="197"/>
        <v>Tier 4 - Stable Network</v>
      </c>
      <c r="AB545" s="3">
        <f t="shared" si="198"/>
        <v>60000</v>
      </c>
      <c r="AC545" s="3">
        <f t="shared" si="199"/>
        <v>750000</v>
      </c>
      <c r="AD545" s="3">
        <f t="shared" si="200"/>
        <v>247500.00000000003</v>
      </c>
      <c r="AE545" s="5">
        <f t="shared" si="201"/>
        <v>3.9999999999999996</v>
      </c>
      <c r="AF545" s="10">
        <f t="shared" si="202"/>
        <v>297600</v>
      </c>
      <c r="AG545" s="10">
        <f t="shared" si="203"/>
        <v>96000</v>
      </c>
      <c r="AH545" s="10">
        <f t="shared" si="204"/>
        <v>48000</v>
      </c>
      <c r="AI545" s="10">
        <f t="shared" si="205"/>
        <v>24000</v>
      </c>
      <c r="AJ545" s="10">
        <f t="shared" si="206"/>
        <v>14400</v>
      </c>
    </row>
    <row r="546" spans="1:36" x14ac:dyDescent="0.3">
      <c r="A546" t="s">
        <v>2185</v>
      </c>
      <c r="B546" t="s">
        <v>2186</v>
      </c>
      <c r="C546" t="s">
        <v>2001</v>
      </c>
      <c r="D546" t="s">
        <v>14</v>
      </c>
      <c r="E546">
        <v>95035</v>
      </c>
      <c r="F546" t="s">
        <v>15</v>
      </c>
      <c r="G546">
        <v>20</v>
      </c>
      <c r="H546">
        <v>72</v>
      </c>
      <c r="I546" t="str" cm="1">
        <f t="array" ref="I546">_xlfn.IFS(H546&lt;=120,"V1",H546&lt;=150,"V2",H546&lt;=250,"V3", H546&lt;=350, "V4")</f>
        <v>V1</v>
      </c>
      <c r="J546" t="s">
        <v>2187</v>
      </c>
      <c r="K546" t="str">
        <f t="shared" si="184"/>
        <v>37.413353</v>
      </c>
      <c r="L546" t="str">
        <f t="shared" si="185"/>
        <v>-121.897995</v>
      </c>
      <c r="M546">
        <v>11</v>
      </c>
      <c r="N546" s="1">
        <v>43728</v>
      </c>
      <c r="O546" s="1">
        <v>46099</v>
      </c>
      <c r="P546" s="2">
        <f t="shared" si="186"/>
        <v>6.491444216290212</v>
      </c>
      <c r="Q546" s="2" t="str">
        <f t="shared" si="187"/>
        <v>Mid</v>
      </c>
      <c r="R546">
        <f t="shared" si="188"/>
        <v>1440</v>
      </c>
      <c r="S546" t="str">
        <f t="shared" si="189"/>
        <v>Small</v>
      </c>
      <c r="T546" t="str">
        <f t="shared" si="190"/>
        <v>High EV Adoption Corridor</v>
      </c>
      <c r="U546" s="3">
        <f t="shared" si="191"/>
        <v>2808000</v>
      </c>
      <c r="V546" s="4">
        <f t="shared" si="192"/>
        <v>622080</v>
      </c>
      <c r="W546" s="3">
        <f t="shared" si="193"/>
        <v>6336000.0000000009</v>
      </c>
      <c r="X546" s="3">
        <f t="shared" si="194"/>
        <v>5832000</v>
      </c>
      <c r="Y546">
        <f t="shared" si="195"/>
        <v>0.21530864197530863</v>
      </c>
      <c r="Z546">
        <f t="shared" si="196"/>
        <v>0.77846153846153843</v>
      </c>
      <c r="AA546" t="str">
        <f t="shared" si="197"/>
        <v>Tier 3 - Upgrade Pipeline</v>
      </c>
      <c r="AB546" s="3">
        <f t="shared" si="198"/>
        <v>31104</v>
      </c>
      <c r="AC546" s="3">
        <f t="shared" si="199"/>
        <v>316800.00000000006</v>
      </c>
      <c r="AD546" s="3">
        <f t="shared" si="200"/>
        <v>140400</v>
      </c>
      <c r="AE546" s="5">
        <f t="shared" si="201"/>
        <v>2.8985507246376816</v>
      </c>
      <c r="AF546" s="10">
        <f t="shared" si="202"/>
        <v>385689.59999999998</v>
      </c>
      <c r="AG546" s="10">
        <f t="shared" si="203"/>
        <v>124416</v>
      </c>
      <c r="AH546" s="10">
        <f t="shared" si="204"/>
        <v>62208</v>
      </c>
      <c r="AI546" s="10">
        <f t="shared" si="205"/>
        <v>31104</v>
      </c>
      <c r="AJ546" s="10">
        <f t="shared" si="206"/>
        <v>18662.399999999998</v>
      </c>
    </row>
    <row r="547" spans="1:36" x14ac:dyDescent="0.3">
      <c r="A547" t="s">
        <v>2188</v>
      </c>
      <c r="B547" t="s">
        <v>2189</v>
      </c>
      <c r="C547" t="s">
        <v>2190</v>
      </c>
      <c r="D547" t="s">
        <v>765</v>
      </c>
      <c r="E547">
        <v>39648</v>
      </c>
      <c r="F547" t="s">
        <v>15</v>
      </c>
      <c r="G547">
        <v>8</v>
      </c>
      <c r="H547">
        <v>150</v>
      </c>
      <c r="I547" t="str" cm="1">
        <f t="array" ref="I547">_xlfn.IFS(H547&lt;=120,"V1",H547&lt;=150,"V2",H547&lt;=250,"V3", H547&lt;=350, "V4")</f>
        <v>V2</v>
      </c>
      <c r="J547" t="s">
        <v>2191</v>
      </c>
      <c r="K547" t="str">
        <f t="shared" si="184"/>
        <v>31.248479</v>
      </c>
      <c r="L547" t="str">
        <f t="shared" si="185"/>
        <v>-90.471779</v>
      </c>
      <c r="M547">
        <v>137</v>
      </c>
      <c r="N547" s="1">
        <v>43792</v>
      </c>
      <c r="O547" s="1">
        <v>46099</v>
      </c>
      <c r="P547" s="2">
        <f t="shared" si="186"/>
        <v>6.3162217659137578</v>
      </c>
      <c r="Q547" s="2" t="str">
        <f t="shared" si="187"/>
        <v>Mid</v>
      </c>
      <c r="R547">
        <f t="shared" si="188"/>
        <v>1200</v>
      </c>
      <c r="S547" t="str">
        <f t="shared" si="189"/>
        <v>Small</v>
      </c>
      <c r="T547" t="str">
        <f t="shared" si="190"/>
        <v>Lower EV Adoption Corridor</v>
      </c>
      <c r="U547" s="3">
        <f t="shared" si="191"/>
        <v>1980000.0000000002</v>
      </c>
      <c r="V547" s="4">
        <f t="shared" si="192"/>
        <v>480000</v>
      </c>
      <c r="W547" s="3">
        <f t="shared" si="193"/>
        <v>6000000</v>
      </c>
      <c r="X547" s="3">
        <f t="shared" si="194"/>
        <v>3600000</v>
      </c>
      <c r="Y547">
        <f t="shared" si="195"/>
        <v>0.3</v>
      </c>
      <c r="Z547">
        <f t="shared" si="196"/>
        <v>0.75757575757575757</v>
      </c>
      <c r="AA547" t="str">
        <f t="shared" si="197"/>
        <v>Tier 4 - Stable Network</v>
      </c>
      <c r="AB547" s="3">
        <f t="shared" si="198"/>
        <v>60000</v>
      </c>
      <c r="AC547" s="3">
        <f t="shared" si="199"/>
        <v>750000</v>
      </c>
      <c r="AD547" s="3">
        <f t="shared" si="200"/>
        <v>247500.00000000003</v>
      </c>
      <c r="AE547" s="5">
        <f t="shared" si="201"/>
        <v>3.9999999999999996</v>
      </c>
      <c r="AF547" s="10">
        <f t="shared" si="202"/>
        <v>297600</v>
      </c>
      <c r="AG547" s="10">
        <f t="shared" si="203"/>
        <v>96000</v>
      </c>
      <c r="AH547" s="10">
        <f t="shared" si="204"/>
        <v>48000</v>
      </c>
      <c r="AI547" s="10">
        <f t="shared" si="205"/>
        <v>24000</v>
      </c>
      <c r="AJ547" s="10">
        <f t="shared" si="206"/>
        <v>14400</v>
      </c>
    </row>
    <row r="548" spans="1:36" x14ac:dyDescent="0.3">
      <c r="A548" t="s">
        <v>2192</v>
      </c>
      <c r="B548" t="s">
        <v>2193</v>
      </c>
      <c r="C548" t="s">
        <v>2194</v>
      </c>
      <c r="D548" t="s">
        <v>50</v>
      </c>
      <c r="E548">
        <v>77598</v>
      </c>
      <c r="F548" t="s">
        <v>15</v>
      </c>
      <c r="G548">
        <v>12</v>
      </c>
      <c r="H548">
        <v>150</v>
      </c>
      <c r="I548" t="str" cm="1">
        <f t="array" ref="I548">_xlfn.IFS(H548&lt;=120,"V1",H548&lt;=150,"V2",H548&lt;=250,"V3", H548&lt;=350, "V4")</f>
        <v>V2</v>
      </c>
      <c r="J548" t="s">
        <v>2195</v>
      </c>
      <c r="K548" t="str">
        <f t="shared" si="184"/>
        <v>29.519213</v>
      </c>
      <c r="L548" t="str">
        <f t="shared" si="185"/>
        <v>-95.121843</v>
      </c>
      <c r="M548">
        <v>5</v>
      </c>
      <c r="N548" s="1">
        <v>43726</v>
      </c>
      <c r="O548" s="1">
        <v>46099</v>
      </c>
      <c r="P548" s="2">
        <f t="shared" si="186"/>
        <v>6.4969199178644761</v>
      </c>
      <c r="Q548" s="2" t="str">
        <f t="shared" si="187"/>
        <v>Mid</v>
      </c>
      <c r="R548">
        <f t="shared" si="188"/>
        <v>1800</v>
      </c>
      <c r="S548" t="str">
        <f t="shared" si="189"/>
        <v>Small</v>
      </c>
      <c r="T548" t="str">
        <f t="shared" si="190"/>
        <v>High EV Adoption Corridor</v>
      </c>
      <c r="U548" s="3">
        <f t="shared" si="191"/>
        <v>3861000.0000000009</v>
      </c>
      <c r="V548" s="4">
        <f t="shared" si="192"/>
        <v>864000</v>
      </c>
      <c r="W548" s="3">
        <f t="shared" si="193"/>
        <v>9900000</v>
      </c>
      <c r="X548" s="3">
        <f t="shared" si="194"/>
        <v>8100000</v>
      </c>
      <c r="Y548">
        <f t="shared" si="195"/>
        <v>0.22888888888888889</v>
      </c>
      <c r="Z548">
        <f t="shared" si="196"/>
        <v>0.77622377622377625</v>
      </c>
      <c r="AA548" t="str">
        <f t="shared" si="197"/>
        <v>Tier 3 - Upgrade Pipeline</v>
      </c>
      <c r="AB548" s="3">
        <f t="shared" si="198"/>
        <v>72000</v>
      </c>
      <c r="AC548" s="3">
        <f t="shared" si="199"/>
        <v>825000</v>
      </c>
      <c r="AD548" s="3">
        <f t="shared" si="200"/>
        <v>321750.00000000006</v>
      </c>
      <c r="AE548" s="5">
        <f t="shared" si="201"/>
        <v>3.3033033033033021</v>
      </c>
      <c r="AF548" s="10">
        <f t="shared" si="202"/>
        <v>535680</v>
      </c>
      <c r="AG548" s="10">
        <f t="shared" si="203"/>
        <v>172800</v>
      </c>
      <c r="AH548" s="10">
        <f t="shared" si="204"/>
        <v>86400</v>
      </c>
      <c r="AI548" s="10">
        <f t="shared" si="205"/>
        <v>43200</v>
      </c>
      <c r="AJ548" s="10">
        <f t="shared" si="206"/>
        <v>25920</v>
      </c>
    </row>
    <row r="549" spans="1:36" x14ac:dyDescent="0.3">
      <c r="A549" t="s">
        <v>2196</v>
      </c>
      <c r="B549" t="s">
        <v>2197</v>
      </c>
      <c r="C549" t="s">
        <v>2198</v>
      </c>
      <c r="D549" t="s">
        <v>546</v>
      </c>
      <c r="E549">
        <v>42055</v>
      </c>
      <c r="F549" t="s">
        <v>15</v>
      </c>
      <c r="G549">
        <v>8</v>
      </c>
      <c r="H549">
        <v>150</v>
      </c>
      <c r="I549" t="str" cm="1">
        <f t="array" ref="I549">_xlfn.IFS(H549&lt;=120,"V1",H549&lt;=150,"V2",H549&lt;=250,"V3", H549&lt;=350, "V4")</f>
        <v>V2</v>
      </c>
      <c r="J549" t="s">
        <v>2199</v>
      </c>
      <c r="K549" t="str">
        <f t="shared" si="184"/>
        <v>37.073405</v>
      </c>
      <c r="L549" t="str">
        <f t="shared" si="185"/>
        <v>-88.124752</v>
      </c>
      <c r="M549">
        <v>134</v>
      </c>
      <c r="N549" s="1">
        <v>42736</v>
      </c>
      <c r="O549" s="1">
        <v>46099</v>
      </c>
      <c r="P549" s="2">
        <f t="shared" si="186"/>
        <v>9.207392197125257</v>
      </c>
      <c r="Q549" s="2" t="str">
        <f t="shared" si="187"/>
        <v>Old</v>
      </c>
      <c r="R549">
        <f t="shared" si="188"/>
        <v>1200</v>
      </c>
      <c r="S549" t="str">
        <f t="shared" si="189"/>
        <v>Small</v>
      </c>
      <c r="T549" t="str">
        <f t="shared" si="190"/>
        <v>Lower EV Adoption Corridor</v>
      </c>
      <c r="U549" s="3">
        <f t="shared" si="191"/>
        <v>1980000.0000000002</v>
      </c>
      <c r="V549" s="4">
        <f t="shared" si="192"/>
        <v>480000</v>
      </c>
      <c r="W549" s="3">
        <f t="shared" si="193"/>
        <v>6000000</v>
      </c>
      <c r="X549" s="3">
        <f t="shared" si="194"/>
        <v>3600000</v>
      </c>
      <c r="Y549">
        <f t="shared" si="195"/>
        <v>0.3</v>
      </c>
      <c r="Z549">
        <f t="shared" si="196"/>
        <v>0.75757575757575757</v>
      </c>
      <c r="AA549" t="str">
        <f t="shared" si="197"/>
        <v>Tier 4 - Stable Network</v>
      </c>
      <c r="AB549" s="3">
        <f t="shared" si="198"/>
        <v>60000</v>
      </c>
      <c r="AC549" s="3">
        <f t="shared" si="199"/>
        <v>750000</v>
      </c>
      <c r="AD549" s="3">
        <f t="shared" si="200"/>
        <v>247500.00000000003</v>
      </c>
      <c r="AE549" s="5">
        <f t="shared" si="201"/>
        <v>3.9999999999999996</v>
      </c>
      <c r="AF549" s="10">
        <f t="shared" si="202"/>
        <v>297600</v>
      </c>
      <c r="AG549" s="10">
        <f t="shared" si="203"/>
        <v>96000</v>
      </c>
      <c r="AH549" s="10">
        <f t="shared" si="204"/>
        <v>48000</v>
      </c>
      <c r="AI549" s="10">
        <f t="shared" si="205"/>
        <v>24000</v>
      </c>
      <c r="AJ549" s="10">
        <f t="shared" si="206"/>
        <v>14400</v>
      </c>
    </row>
    <row r="550" spans="1:36" x14ac:dyDescent="0.3">
      <c r="A550" t="s">
        <v>2200</v>
      </c>
      <c r="B550" t="s">
        <v>2201</v>
      </c>
      <c r="C550" t="s">
        <v>2202</v>
      </c>
      <c r="D550" t="s">
        <v>14</v>
      </c>
      <c r="E550">
        <v>94551</v>
      </c>
      <c r="F550" t="s">
        <v>15</v>
      </c>
      <c r="G550">
        <v>20</v>
      </c>
      <c r="H550">
        <v>72</v>
      </c>
      <c r="I550" t="str" cm="1">
        <f t="array" ref="I550">_xlfn.IFS(H550&lt;=120,"V1",H550&lt;=150,"V2",H550&lt;=250,"V3", H550&lt;=350, "V4")</f>
        <v>V1</v>
      </c>
      <c r="J550" t="s">
        <v>2203</v>
      </c>
      <c r="K550" t="str">
        <f t="shared" si="184"/>
        <v>37.700349</v>
      </c>
      <c r="L550" t="str">
        <f t="shared" si="185"/>
        <v>-121.841063</v>
      </c>
      <c r="M550">
        <v>110</v>
      </c>
      <c r="N550" s="1">
        <v>43426</v>
      </c>
      <c r="O550" s="1">
        <v>46099</v>
      </c>
      <c r="P550" s="2">
        <f t="shared" si="186"/>
        <v>7.3182751540041071</v>
      </c>
      <c r="Q550" s="2" t="str">
        <f t="shared" si="187"/>
        <v>Mid</v>
      </c>
      <c r="R550">
        <f t="shared" si="188"/>
        <v>1440</v>
      </c>
      <c r="S550" t="str">
        <f t="shared" si="189"/>
        <v>Small</v>
      </c>
      <c r="T550" t="str">
        <f t="shared" si="190"/>
        <v>High EV Adoption Corridor</v>
      </c>
      <c r="U550" s="3">
        <f t="shared" si="191"/>
        <v>2808000</v>
      </c>
      <c r="V550" s="4">
        <f t="shared" si="192"/>
        <v>622080</v>
      </c>
      <c r="W550" s="3">
        <f t="shared" si="193"/>
        <v>6336000.0000000009</v>
      </c>
      <c r="X550" s="3">
        <f t="shared" si="194"/>
        <v>5832000</v>
      </c>
      <c r="Y550">
        <f t="shared" si="195"/>
        <v>0.21530864197530863</v>
      </c>
      <c r="Z550">
        <f t="shared" si="196"/>
        <v>0.77846153846153843</v>
      </c>
      <c r="AA550" t="str">
        <f t="shared" si="197"/>
        <v>Tier 3 - Upgrade Pipeline</v>
      </c>
      <c r="AB550" s="3">
        <f t="shared" si="198"/>
        <v>31104</v>
      </c>
      <c r="AC550" s="3">
        <f t="shared" si="199"/>
        <v>316800.00000000006</v>
      </c>
      <c r="AD550" s="3">
        <f t="shared" si="200"/>
        <v>140400</v>
      </c>
      <c r="AE550" s="5">
        <f t="shared" si="201"/>
        <v>2.8985507246376816</v>
      </c>
      <c r="AF550" s="10">
        <f t="shared" si="202"/>
        <v>385689.59999999998</v>
      </c>
      <c r="AG550" s="10">
        <f t="shared" si="203"/>
        <v>124416</v>
      </c>
      <c r="AH550" s="10">
        <f t="shared" si="204"/>
        <v>62208</v>
      </c>
      <c r="AI550" s="10">
        <f t="shared" si="205"/>
        <v>31104</v>
      </c>
      <c r="AJ550" s="10">
        <f t="shared" si="206"/>
        <v>18662.399999999998</v>
      </c>
    </row>
    <row r="551" spans="1:36" x14ac:dyDescent="0.3">
      <c r="A551" t="s">
        <v>2204</v>
      </c>
      <c r="B551" t="s">
        <v>2205</v>
      </c>
      <c r="C551" t="s">
        <v>2206</v>
      </c>
      <c r="D551" t="s">
        <v>50</v>
      </c>
      <c r="E551">
        <v>78154</v>
      </c>
      <c r="F551" t="s">
        <v>15</v>
      </c>
      <c r="G551">
        <v>8</v>
      </c>
      <c r="H551">
        <v>150</v>
      </c>
      <c r="I551" t="str" cm="1">
        <f t="array" ref="I551">_xlfn.IFS(H551&lt;=120,"V1",H551&lt;=150,"V2",H551&lt;=250,"V3", H551&lt;=350, "V4")</f>
        <v>V2</v>
      </c>
      <c r="J551" t="s">
        <v>2207</v>
      </c>
      <c r="K551" t="str">
        <f t="shared" si="184"/>
        <v>29.598455</v>
      </c>
      <c r="L551" t="str">
        <f t="shared" si="185"/>
        <v>-98.276067</v>
      </c>
      <c r="M551">
        <v>254</v>
      </c>
      <c r="N551" s="1">
        <v>43953</v>
      </c>
      <c r="O551" s="1">
        <v>46099</v>
      </c>
      <c r="P551" s="2">
        <f t="shared" si="186"/>
        <v>5.8754277891854896</v>
      </c>
      <c r="Q551" s="2" t="str">
        <f t="shared" si="187"/>
        <v>Mid</v>
      </c>
      <c r="R551">
        <f t="shared" si="188"/>
        <v>1200</v>
      </c>
      <c r="S551" t="str">
        <f t="shared" si="189"/>
        <v>Small</v>
      </c>
      <c r="T551" t="str">
        <f t="shared" si="190"/>
        <v>High EV Adoption Corridor</v>
      </c>
      <c r="U551" s="3">
        <f t="shared" si="191"/>
        <v>2574000.0000000005</v>
      </c>
      <c r="V551" s="4">
        <f t="shared" si="192"/>
        <v>576000</v>
      </c>
      <c r="W551" s="3">
        <f t="shared" si="193"/>
        <v>6600000.0000000009</v>
      </c>
      <c r="X551" s="3">
        <f t="shared" si="194"/>
        <v>5400000</v>
      </c>
      <c r="Y551">
        <f t="shared" si="195"/>
        <v>0.22888888888888889</v>
      </c>
      <c r="Z551">
        <f t="shared" si="196"/>
        <v>0.77622377622377625</v>
      </c>
      <c r="AA551" t="str">
        <f t="shared" si="197"/>
        <v>Tier 3 - Upgrade Pipeline</v>
      </c>
      <c r="AB551" s="3">
        <f t="shared" si="198"/>
        <v>72000</v>
      </c>
      <c r="AC551" s="3">
        <f t="shared" si="199"/>
        <v>825000.00000000012</v>
      </c>
      <c r="AD551" s="3">
        <f t="shared" si="200"/>
        <v>321750.00000000006</v>
      </c>
      <c r="AE551" s="5">
        <f t="shared" si="201"/>
        <v>3.303303303303303</v>
      </c>
      <c r="AF551" s="10">
        <f t="shared" si="202"/>
        <v>357120</v>
      </c>
      <c r="AG551" s="10">
        <f t="shared" si="203"/>
        <v>115200</v>
      </c>
      <c r="AH551" s="10">
        <f t="shared" si="204"/>
        <v>57600</v>
      </c>
      <c r="AI551" s="10">
        <f t="shared" si="205"/>
        <v>28800</v>
      </c>
      <c r="AJ551" s="10">
        <f t="shared" si="206"/>
        <v>17280</v>
      </c>
    </row>
    <row r="552" spans="1:36" x14ac:dyDescent="0.3">
      <c r="A552" t="s">
        <v>2208</v>
      </c>
      <c r="B552" t="s">
        <v>2209</v>
      </c>
      <c r="C552" t="s">
        <v>2210</v>
      </c>
      <c r="D552" t="s">
        <v>299</v>
      </c>
      <c r="E552">
        <v>23602</v>
      </c>
      <c r="F552" t="s">
        <v>15</v>
      </c>
      <c r="G552">
        <v>12</v>
      </c>
      <c r="H552">
        <v>150</v>
      </c>
      <c r="I552" t="str" cm="1">
        <f t="array" ref="I552">_xlfn.IFS(H552&lt;=120,"V1",H552&lt;=150,"V2",H552&lt;=250,"V3", H552&lt;=350, "V4")</f>
        <v>V2</v>
      </c>
      <c r="J552" t="s">
        <v>2211</v>
      </c>
      <c r="K552" t="str">
        <f t="shared" si="184"/>
        <v>37.114233</v>
      </c>
      <c r="L552" t="str">
        <f t="shared" si="185"/>
        <v>-76.494498</v>
      </c>
      <c r="M552">
        <v>10</v>
      </c>
      <c r="N552" s="1">
        <v>43783</v>
      </c>
      <c r="O552" s="1">
        <v>46099</v>
      </c>
      <c r="P552" s="2">
        <f t="shared" si="186"/>
        <v>6.3408624229979464</v>
      </c>
      <c r="Q552" s="2" t="str">
        <f t="shared" si="187"/>
        <v>Mid</v>
      </c>
      <c r="R552">
        <f t="shared" si="188"/>
        <v>1800</v>
      </c>
      <c r="S552" t="str">
        <f t="shared" si="189"/>
        <v>Small</v>
      </c>
      <c r="T552" t="str">
        <f t="shared" si="190"/>
        <v>Lower EV Adoption Corridor</v>
      </c>
      <c r="U552" s="3">
        <f t="shared" si="191"/>
        <v>2970000.0000000005</v>
      </c>
      <c r="V552" s="4">
        <f t="shared" si="192"/>
        <v>720000</v>
      </c>
      <c r="W552" s="3">
        <f t="shared" si="193"/>
        <v>9000000</v>
      </c>
      <c r="X552" s="3">
        <f t="shared" si="194"/>
        <v>5400000</v>
      </c>
      <c r="Y552">
        <f t="shared" si="195"/>
        <v>0.3</v>
      </c>
      <c r="Z552">
        <f t="shared" si="196"/>
        <v>0.75757575757575757</v>
      </c>
      <c r="AA552" t="str">
        <f t="shared" si="197"/>
        <v>Tier 4 - Stable Network</v>
      </c>
      <c r="AB552" s="3">
        <f t="shared" si="198"/>
        <v>60000</v>
      </c>
      <c r="AC552" s="3">
        <f t="shared" si="199"/>
        <v>750000</v>
      </c>
      <c r="AD552" s="3">
        <f t="shared" si="200"/>
        <v>247500.00000000003</v>
      </c>
      <c r="AE552" s="5">
        <f t="shared" si="201"/>
        <v>3.9999999999999991</v>
      </c>
      <c r="AF552" s="10">
        <f t="shared" si="202"/>
        <v>446400</v>
      </c>
      <c r="AG552" s="10">
        <f t="shared" si="203"/>
        <v>144000</v>
      </c>
      <c r="AH552" s="10">
        <f t="shared" si="204"/>
        <v>72000</v>
      </c>
      <c r="AI552" s="10">
        <f t="shared" si="205"/>
        <v>36000</v>
      </c>
      <c r="AJ552" s="10">
        <f t="shared" si="206"/>
        <v>21600</v>
      </c>
    </row>
    <row r="553" spans="1:36" x14ac:dyDescent="0.3">
      <c r="A553" t="s">
        <v>2212</v>
      </c>
      <c r="B553" t="s">
        <v>2213</v>
      </c>
      <c r="C553" t="s">
        <v>2214</v>
      </c>
      <c r="D553" t="s">
        <v>148</v>
      </c>
      <c r="E553">
        <v>66202</v>
      </c>
      <c r="F553" t="s">
        <v>15</v>
      </c>
      <c r="G553">
        <v>8</v>
      </c>
      <c r="H553">
        <v>72</v>
      </c>
      <c r="I553" t="str" cm="1">
        <f t="array" ref="I553">_xlfn.IFS(H553&lt;=120,"V1",H553&lt;=150,"V2",H553&lt;=250,"V3", H553&lt;=350, "V4")</f>
        <v>V1</v>
      </c>
      <c r="J553" t="s">
        <v>2215</v>
      </c>
      <c r="K553" t="str">
        <f t="shared" si="184"/>
        <v>39.02</v>
      </c>
      <c r="L553" t="str">
        <f t="shared" si="185"/>
        <v>-94.661182</v>
      </c>
      <c r="M553">
        <v>301</v>
      </c>
      <c r="N553" s="1">
        <v>43618</v>
      </c>
      <c r="O553" s="1">
        <v>46099</v>
      </c>
      <c r="P553" s="2">
        <f t="shared" si="186"/>
        <v>6.792607802874743</v>
      </c>
      <c r="Q553" s="2" t="str">
        <f t="shared" si="187"/>
        <v>Mid</v>
      </c>
      <c r="R553">
        <f t="shared" si="188"/>
        <v>576</v>
      </c>
      <c r="S553" t="str">
        <f t="shared" si="189"/>
        <v>Small</v>
      </c>
      <c r="T553" t="str">
        <f t="shared" si="190"/>
        <v>Lower EV Adoption Corridor</v>
      </c>
      <c r="U553" s="3">
        <f t="shared" si="191"/>
        <v>864000</v>
      </c>
      <c r="V553" s="4">
        <f t="shared" si="192"/>
        <v>207360</v>
      </c>
      <c r="W553" s="3">
        <f t="shared" si="193"/>
        <v>2304000</v>
      </c>
      <c r="X553" s="3">
        <f t="shared" si="194"/>
        <v>1555200</v>
      </c>
      <c r="Y553">
        <f t="shared" si="195"/>
        <v>0.2814814814814815</v>
      </c>
      <c r="Z553">
        <f t="shared" si="196"/>
        <v>0.76</v>
      </c>
      <c r="AA553" t="str">
        <f t="shared" si="197"/>
        <v>Tier 5 - Retirement Pipeline</v>
      </c>
      <c r="AB553" s="3">
        <f t="shared" si="198"/>
        <v>25920</v>
      </c>
      <c r="AC553" s="3">
        <f t="shared" si="199"/>
        <v>288000</v>
      </c>
      <c r="AD553" s="3">
        <f t="shared" si="200"/>
        <v>108000</v>
      </c>
      <c r="AE553" s="5">
        <f t="shared" si="201"/>
        <v>3.5087719298245612</v>
      </c>
      <c r="AF553" s="10">
        <f t="shared" si="202"/>
        <v>128563.2</v>
      </c>
      <c r="AG553" s="10">
        <f t="shared" si="203"/>
        <v>41472</v>
      </c>
      <c r="AH553" s="10">
        <f t="shared" si="204"/>
        <v>20736</v>
      </c>
      <c r="AI553" s="10">
        <f t="shared" si="205"/>
        <v>10368</v>
      </c>
      <c r="AJ553" s="10">
        <f t="shared" si="206"/>
        <v>6220.8</v>
      </c>
    </row>
    <row r="554" spans="1:36" x14ac:dyDescent="0.3">
      <c r="A554" t="s">
        <v>2216</v>
      </c>
      <c r="B554" t="s">
        <v>2217</v>
      </c>
      <c r="C554" t="s">
        <v>2218</v>
      </c>
      <c r="D554" t="s">
        <v>1412</v>
      </c>
      <c r="E554">
        <v>19973</v>
      </c>
      <c r="F554" t="s">
        <v>15</v>
      </c>
      <c r="G554">
        <v>8</v>
      </c>
      <c r="H554">
        <v>250</v>
      </c>
      <c r="I554" t="str" cm="1">
        <f t="array" ref="I554">_xlfn.IFS(H554&lt;=120,"V1",H554&lt;=150,"V2",H554&lt;=250,"V3", H554&lt;=350, "V4")</f>
        <v>V3</v>
      </c>
      <c r="J554" t="s">
        <v>2219</v>
      </c>
      <c r="K554" t="str">
        <f t="shared" si="184"/>
        <v>38.658528</v>
      </c>
      <c r="L554" t="str">
        <f t="shared" si="185"/>
        <v>-75.592966</v>
      </c>
      <c r="M554">
        <v>8</v>
      </c>
      <c r="N554" s="1">
        <v>44616</v>
      </c>
      <c r="O554" s="1">
        <v>46099</v>
      </c>
      <c r="P554" s="2">
        <f t="shared" si="186"/>
        <v>4.0602327173169064</v>
      </c>
      <c r="Q554" s="2" t="str">
        <f t="shared" si="187"/>
        <v>Mid</v>
      </c>
      <c r="R554">
        <f t="shared" si="188"/>
        <v>2000</v>
      </c>
      <c r="S554" t="str">
        <f t="shared" si="189"/>
        <v>Small</v>
      </c>
      <c r="T554" t="str">
        <f t="shared" si="190"/>
        <v>Lower EV Adoption Corridor</v>
      </c>
      <c r="U554" s="3">
        <f t="shared" si="191"/>
        <v>3600000</v>
      </c>
      <c r="V554" s="4">
        <f t="shared" si="192"/>
        <v>880000.00000000012</v>
      </c>
      <c r="W554" s="3">
        <f t="shared" si="193"/>
        <v>12000000</v>
      </c>
      <c r="X554" s="3">
        <f t="shared" si="194"/>
        <v>6600000.0000000009</v>
      </c>
      <c r="Y554">
        <f t="shared" si="195"/>
        <v>0.31515151515151513</v>
      </c>
      <c r="Z554">
        <f t="shared" si="196"/>
        <v>0.75555555555555554</v>
      </c>
      <c r="AA554" t="str">
        <f t="shared" si="197"/>
        <v>Tier 2 - Growth Markets</v>
      </c>
      <c r="AB554" s="3">
        <f t="shared" si="198"/>
        <v>110000.00000000001</v>
      </c>
      <c r="AC554" s="3">
        <f t="shared" si="199"/>
        <v>1500000</v>
      </c>
      <c r="AD554" s="3">
        <f t="shared" si="200"/>
        <v>450000</v>
      </c>
      <c r="AE554" s="5">
        <f t="shared" si="201"/>
        <v>4.4117647058823533</v>
      </c>
      <c r="AF554" s="10">
        <f t="shared" si="202"/>
        <v>545600.00000000012</v>
      </c>
      <c r="AG554" s="10">
        <f t="shared" si="203"/>
        <v>176000.00000000003</v>
      </c>
      <c r="AH554" s="10">
        <f t="shared" si="204"/>
        <v>88000.000000000015</v>
      </c>
      <c r="AI554" s="10">
        <f t="shared" si="205"/>
        <v>44000.000000000007</v>
      </c>
      <c r="AJ554" s="10">
        <f t="shared" si="206"/>
        <v>26400.000000000004</v>
      </c>
    </row>
    <row r="555" spans="1:36" x14ac:dyDescent="0.3">
      <c r="A555" t="s">
        <v>2220</v>
      </c>
      <c r="B555" t="s">
        <v>2221</v>
      </c>
      <c r="C555" t="s">
        <v>2222</v>
      </c>
      <c r="D555" t="s">
        <v>913</v>
      </c>
      <c r="E555">
        <v>20705</v>
      </c>
      <c r="F555" t="s">
        <v>15</v>
      </c>
      <c r="G555">
        <v>12</v>
      </c>
      <c r="H555">
        <v>250</v>
      </c>
      <c r="I555" t="str" cm="1">
        <f t="array" ref="I555">_xlfn.IFS(H555&lt;=120,"V1",H555&lt;=150,"V2",H555&lt;=250,"V3", H555&lt;=350, "V4")</f>
        <v>V3</v>
      </c>
      <c r="J555" t="s">
        <v>2223</v>
      </c>
      <c r="K555" t="str">
        <f t="shared" si="184"/>
        <v>39.027391</v>
      </c>
      <c r="L555" t="str">
        <f t="shared" si="185"/>
        <v>-76.917328</v>
      </c>
      <c r="M555">
        <v>47</v>
      </c>
      <c r="N555" s="1">
        <v>44715</v>
      </c>
      <c r="O555" s="1">
        <v>46099</v>
      </c>
      <c r="P555" s="2">
        <f t="shared" si="186"/>
        <v>3.7891854893908281</v>
      </c>
      <c r="Q555" s="2" t="str">
        <f t="shared" si="187"/>
        <v>Mid</v>
      </c>
      <c r="R555">
        <f t="shared" si="188"/>
        <v>3000</v>
      </c>
      <c r="S555" t="str">
        <f t="shared" si="189"/>
        <v>Small</v>
      </c>
      <c r="T555" t="str">
        <f t="shared" si="190"/>
        <v>Lower EV Adoption Corridor</v>
      </c>
      <c r="U555" s="3">
        <f t="shared" si="191"/>
        <v>5400000</v>
      </c>
      <c r="V555" s="4">
        <f t="shared" si="192"/>
        <v>1320000</v>
      </c>
      <c r="W555" s="3">
        <f t="shared" si="193"/>
        <v>18000000</v>
      </c>
      <c r="X555" s="3">
        <f t="shared" si="194"/>
        <v>9900000</v>
      </c>
      <c r="Y555">
        <f t="shared" si="195"/>
        <v>0.31515151515151513</v>
      </c>
      <c r="Z555">
        <f t="shared" si="196"/>
        <v>0.75555555555555554</v>
      </c>
      <c r="AA555" t="str">
        <f t="shared" si="197"/>
        <v>Tier 2 - Growth Markets</v>
      </c>
      <c r="AB555" s="3">
        <f t="shared" si="198"/>
        <v>110000</v>
      </c>
      <c r="AC555" s="3">
        <f t="shared" si="199"/>
        <v>1500000</v>
      </c>
      <c r="AD555" s="3">
        <f t="shared" si="200"/>
        <v>450000</v>
      </c>
      <c r="AE555" s="5">
        <f t="shared" si="201"/>
        <v>4.4117647058823533</v>
      </c>
      <c r="AF555" s="10">
        <f t="shared" si="202"/>
        <v>818400</v>
      </c>
      <c r="AG555" s="10">
        <f t="shared" si="203"/>
        <v>264000</v>
      </c>
      <c r="AH555" s="10">
        <f t="shared" si="204"/>
        <v>132000</v>
      </c>
      <c r="AI555" s="10">
        <f t="shared" si="205"/>
        <v>66000</v>
      </c>
      <c r="AJ555" s="10">
        <f t="shared" si="206"/>
        <v>39600</v>
      </c>
    </row>
    <row r="556" spans="1:36" x14ac:dyDescent="0.3">
      <c r="A556" t="s">
        <v>2224</v>
      </c>
      <c r="B556" t="s">
        <v>2225</v>
      </c>
      <c r="C556" t="s">
        <v>2226</v>
      </c>
      <c r="D556" t="s">
        <v>153</v>
      </c>
      <c r="E556">
        <v>16509</v>
      </c>
      <c r="F556" t="s">
        <v>15</v>
      </c>
      <c r="G556">
        <v>8</v>
      </c>
      <c r="H556">
        <v>250</v>
      </c>
      <c r="I556" t="str" cm="1">
        <f t="array" ref="I556">_xlfn.IFS(H556&lt;=120,"V1",H556&lt;=150,"V2",H556&lt;=250,"V3", H556&lt;=350, "V4")</f>
        <v>V3</v>
      </c>
      <c r="J556" t="s">
        <v>2227</v>
      </c>
      <c r="K556" t="str">
        <f t="shared" si="184"/>
        <v>42.065634</v>
      </c>
      <c r="L556" t="str">
        <f t="shared" si="185"/>
        <v>-80.037239</v>
      </c>
      <c r="M556">
        <v>338</v>
      </c>
      <c r="N556" s="1">
        <v>44597</v>
      </c>
      <c r="O556" s="1">
        <v>46099</v>
      </c>
      <c r="P556" s="2">
        <f t="shared" si="186"/>
        <v>4.1122518822724166</v>
      </c>
      <c r="Q556" s="2" t="str">
        <f t="shared" si="187"/>
        <v>Mid</v>
      </c>
      <c r="R556">
        <f t="shared" si="188"/>
        <v>2000</v>
      </c>
      <c r="S556" t="str">
        <f t="shared" si="189"/>
        <v>Small</v>
      </c>
      <c r="T556" t="str">
        <f t="shared" si="190"/>
        <v>Lower EV Adoption Corridor</v>
      </c>
      <c r="U556" s="3">
        <f t="shared" si="191"/>
        <v>3600000</v>
      </c>
      <c r="V556" s="4">
        <f t="shared" si="192"/>
        <v>880000.00000000012</v>
      </c>
      <c r="W556" s="3">
        <f t="shared" si="193"/>
        <v>12000000</v>
      </c>
      <c r="X556" s="3">
        <f t="shared" si="194"/>
        <v>6600000.0000000009</v>
      </c>
      <c r="Y556">
        <f t="shared" si="195"/>
        <v>0.31515151515151513</v>
      </c>
      <c r="Z556">
        <f t="shared" si="196"/>
        <v>0.75555555555555554</v>
      </c>
      <c r="AA556" t="str">
        <f t="shared" si="197"/>
        <v>Tier 2 - Growth Markets</v>
      </c>
      <c r="AB556" s="3">
        <f t="shared" si="198"/>
        <v>110000.00000000001</v>
      </c>
      <c r="AC556" s="3">
        <f t="shared" si="199"/>
        <v>1500000</v>
      </c>
      <c r="AD556" s="3">
        <f t="shared" si="200"/>
        <v>450000</v>
      </c>
      <c r="AE556" s="5">
        <f t="shared" si="201"/>
        <v>4.4117647058823533</v>
      </c>
      <c r="AF556" s="10">
        <f t="shared" si="202"/>
        <v>545600.00000000012</v>
      </c>
      <c r="AG556" s="10">
        <f t="shared" si="203"/>
        <v>176000.00000000003</v>
      </c>
      <c r="AH556" s="10">
        <f t="shared" si="204"/>
        <v>88000.000000000015</v>
      </c>
      <c r="AI556" s="10">
        <f t="shared" si="205"/>
        <v>44000.000000000007</v>
      </c>
      <c r="AJ556" s="10">
        <f t="shared" si="206"/>
        <v>26400.000000000004</v>
      </c>
    </row>
    <row r="557" spans="1:36" x14ac:dyDescent="0.3">
      <c r="A557" t="s">
        <v>2228</v>
      </c>
      <c r="B557" t="s">
        <v>2229</v>
      </c>
      <c r="C557" t="s">
        <v>1495</v>
      </c>
      <c r="D557" t="s">
        <v>14</v>
      </c>
      <c r="E557">
        <v>94534</v>
      </c>
      <c r="F557" t="s">
        <v>15</v>
      </c>
      <c r="G557">
        <v>12</v>
      </c>
      <c r="H557">
        <v>150</v>
      </c>
      <c r="I557" t="str" cm="1">
        <f t="array" ref="I557">_xlfn.IFS(H557&lt;=120,"V1",H557&lt;=150,"V2",H557&lt;=250,"V3", H557&lt;=350, "V4")</f>
        <v>V2</v>
      </c>
      <c r="J557" t="s">
        <v>2230</v>
      </c>
      <c r="K557" t="str">
        <f t="shared" si="184"/>
        <v>38.256667</v>
      </c>
      <c r="L557" t="str">
        <f t="shared" si="185"/>
        <v>-122.065139</v>
      </c>
      <c r="M557">
        <v>12</v>
      </c>
      <c r="N557" s="1">
        <v>43594</v>
      </c>
      <c r="O557" s="1">
        <v>46099</v>
      </c>
      <c r="P557" s="2">
        <f t="shared" si="186"/>
        <v>6.8583162217659135</v>
      </c>
      <c r="Q557" s="2" t="str">
        <f t="shared" si="187"/>
        <v>Mid</v>
      </c>
      <c r="R557">
        <f t="shared" si="188"/>
        <v>1800</v>
      </c>
      <c r="S557" t="str">
        <f t="shared" si="189"/>
        <v>Small</v>
      </c>
      <c r="T557" t="str">
        <f t="shared" si="190"/>
        <v>High EV Adoption Corridor</v>
      </c>
      <c r="U557" s="3">
        <f t="shared" si="191"/>
        <v>3861000.0000000009</v>
      </c>
      <c r="V557" s="4">
        <f t="shared" si="192"/>
        <v>864000</v>
      </c>
      <c r="W557" s="3">
        <f t="shared" si="193"/>
        <v>9900000</v>
      </c>
      <c r="X557" s="3">
        <f t="shared" si="194"/>
        <v>8100000</v>
      </c>
      <c r="Y557">
        <f t="shared" si="195"/>
        <v>0.22888888888888889</v>
      </c>
      <c r="Z557">
        <f t="shared" si="196"/>
        <v>0.77622377622377625</v>
      </c>
      <c r="AA557" t="str">
        <f t="shared" si="197"/>
        <v>Tier 3 - Upgrade Pipeline</v>
      </c>
      <c r="AB557" s="3">
        <f t="shared" si="198"/>
        <v>72000</v>
      </c>
      <c r="AC557" s="3">
        <f t="shared" si="199"/>
        <v>825000</v>
      </c>
      <c r="AD557" s="3">
        <f t="shared" si="200"/>
        <v>321750.00000000006</v>
      </c>
      <c r="AE557" s="5">
        <f t="shared" si="201"/>
        <v>3.3033033033033021</v>
      </c>
      <c r="AF557" s="10">
        <f t="shared" si="202"/>
        <v>535680</v>
      </c>
      <c r="AG557" s="10">
        <f t="shared" si="203"/>
        <v>172800</v>
      </c>
      <c r="AH557" s="10">
        <f t="shared" si="204"/>
        <v>86400</v>
      </c>
      <c r="AI557" s="10">
        <f t="shared" si="205"/>
        <v>43200</v>
      </c>
      <c r="AJ557" s="10">
        <f t="shared" si="206"/>
        <v>25920</v>
      </c>
    </row>
    <row r="558" spans="1:36" x14ac:dyDescent="0.3">
      <c r="A558" t="s">
        <v>2231</v>
      </c>
      <c r="B558" t="s">
        <v>2232</v>
      </c>
      <c r="C558" t="s">
        <v>2233</v>
      </c>
      <c r="D558" t="s">
        <v>14</v>
      </c>
      <c r="E558">
        <v>90401</v>
      </c>
      <c r="F558" t="s">
        <v>15</v>
      </c>
      <c r="G558">
        <v>14</v>
      </c>
      <c r="H558">
        <v>72</v>
      </c>
      <c r="I558" t="str" cm="1">
        <f t="array" ref="I558">_xlfn.IFS(H558&lt;=120,"V1",H558&lt;=150,"V2",H558&lt;=250,"V3", H558&lt;=350, "V4")</f>
        <v>V1</v>
      </c>
      <c r="J558" t="s">
        <v>2234</v>
      </c>
      <c r="K558" t="str">
        <f t="shared" si="184"/>
        <v>34.013087</v>
      </c>
      <c r="L558" t="str">
        <f t="shared" si="185"/>
        <v>-118.493843</v>
      </c>
      <c r="M558">
        <v>20</v>
      </c>
      <c r="N558" s="1">
        <v>43515</v>
      </c>
      <c r="O558" s="1">
        <v>46099</v>
      </c>
      <c r="P558" s="2">
        <f t="shared" si="186"/>
        <v>7.0746064339493495</v>
      </c>
      <c r="Q558" s="2" t="str">
        <f t="shared" si="187"/>
        <v>Mid</v>
      </c>
      <c r="R558">
        <f t="shared" si="188"/>
        <v>1008</v>
      </c>
      <c r="S558" t="str">
        <f t="shared" si="189"/>
        <v>Small</v>
      </c>
      <c r="T558" t="str">
        <f t="shared" si="190"/>
        <v>High EV Adoption Corridor</v>
      </c>
      <c r="U558" s="3">
        <f t="shared" si="191"/>
        <v>1965600</v>
      </c>
      <c r="V558" s="4">
        <f t="shared" si="192"/>
        <v>435456</v>
      </c>
      <c r="W558" s="3">
        <f t="shared" si="193"/>
        <v>4435200</v>
      </c>
      <c r="X558" s="3">
        <f t="shared" si="194"/>
        <v>4082400</v>
      </c>
      <c r="Y558">
        <f t="shared" si="195"/>
        <v>0.21530864197530863</v>
      </c>
      <c r="Z558">
        <f t="shared" si="196"/>
        <v>0.77846153846153843</v>
      </c>
      <c r="AA558" t="str">
        <f t="shared" si="197"/>
        <v>Tier 3 - Upgrade Pipeline</v>
      </c>
      <c r="AB558" s="3">
        <f t="shared" si="198"/>
        <v>31104</v>
      </c>
      <c r="AC558" s="3">
        <f t="shared" si="199"/>
        <v>316800</v>
      </c>
      <c r="AD558" s="3">
        <f t="shared" si="200"/>
        <v>140400</v>
      </c>
      <c r="AE558" s="5">
        <f t="shared" si="201"/>
        <v>2.8985507246376812</v>
      </c>
      <c r="AF558" s="10">
        <f t="shared" si="202"/>
        <v>269982.71999999997</v>
      </c>
      <c r="AG558" s="10">
        <f t="shared" si="203"/>
        <v>87091.200000000012</v>
      </c>
      <c r="AH558" s="10">
        <f t="shared" si="204"/>
        <v>43545.600000000006</v>
      </c>
      <c r="AI558" s="10">
        <f t="shared" si="205"/>
        <v>21772.800000000003</v>
      </c>
      <c r="AJ558" s="10">
        <f t="shared" si="206"/>
        <v>13063.68</v>
      </c>
    </row>
    <row r="559" spans="1:36" x14ac:dyDescent="0.3">
      <c r="A559" t="s">
        <v>2235</v>
      </c>
      <c r="B559" t="s">
        <v>2236</v>
      </c>
      <c r="C559" t="s">
        <v>2237</v>
      </c>
      <c r="D559" t="s">
        <v>14</v>
      </c>
      <c r="E559">
        <v>95454</v>
      </c>
      <c r="F559" t="s">
        <v>15</v>
      </c>
      <c r="G559">
        <v>8</v>
      </c>
      <c r="H559">
        <v>150</v>
      </c>
      <c r="I559" t="str" cm="1">
        <f t="array" ref="I559">_xlfn.IFS(H559&lt;=120,"V1",H559&lt;=150,"V2",H559&lt;=250,"V3", H559&lt;=350, "V4")</f>
        <v>V2</v>
      </c>
      <c r="J559" t="s">
        <v>2238</v>
      </c>
      <c r="K559" t="str">
        <f t="shared" si="184"/>
        <v>39.689269</v>
      </c>
      <c r="L559" t="str">
        <f t="shared" si="185"/>
        <v>-123.483443</v>
      </c>
      <c r="M559">
        <v>502</v>
      </c>
      <c r="N559" s="1">
        <v>43644</v>
      </c>
      <c r="O559" s="1">
        <v>46099</v>
      </c>
      <c r="P559" s="2">
        <f t="shared" si="186"/>
        <v>6.7214236824093083</v>
      </c>
      <c r="Q559" s="2" t="str">
        <f t="shared" si="187"/>
        <v>Mid</v>
      </c>
      <c r="R559">
        <f t="shared" si="188"/>
        <v>1200</v>
      </c>
      <c r="S559" t="str">
        <f t="shared" si="189"/>
        <v>Small</v>
      </c>
      <c r="T559" t="str">
        <f t="shared" si="190"/>
        <v>High EV Adoption Corridor</v>
      </c>
      <c r="U559" s="3">
        <f t="shared" si="191"/>
        <v>2574000.0000000005</v>
      </c>
      <c r="V559" s="4">
        <f t="shared" si="192"/>
        <v>576000</v>
      </c>
      <c r="W559" s="3">
        <f t="shared" si="193"/>
        <v>6600000.0000000009</v>
      </c>
      <c r="X559" s="3">
        <f t="shared" si="194"/>
        <v>5400000</v>
      </c>
      <c r="Y559">
        <f t="shared" si="195"/>
        <v>0.22888888888888889</v>
      </c>
      <c r="Z559">
        <f t="shared" si="196"/>
        <v>0.77622377622377625</v>
      </c>
      <c r="AA559" t="str">
        <f t="shared" si="197"/>
        <v>Tier 3 - Upgrade Pipeline</v>
      </c>
      <c r="AB559" s="3">
        <f t="shared" si="198"/>
        <v>72000</v>
      </c>
      <c r="AC559" s="3">
        <f t="shared" si="199"/>
        <v>825000.00000000012</v>
      </c>
      <c r="AD559" s="3">
        <f t="shared" si="200"/>
        <v>321750.00000000006</v>
      </c>
      <c r="AE559" s="5">
        <f t="shared" si="201"/>
        <v>3.303303303303303</v>
      </c>
      <c r="AF559" s="10">
        <f t="shared" si="202"/>
        <v>357120</v>
      </c>
      <c r="AG559" s="10">
        <f t="shared" si="203"/>
        <v>115200</v>
      </c>
      <c r="AH559" s="10">
        <f t="shared" si="204"/>
        <v>57600</v>
      </c>
      <c r="AI559" s="10">
        <f t="shared" si="205"/>
        <v>28800</v>
      </c>
      <c r="AJ559" s="10">
        <f t="shared" si="206"/>
        <v>17280</v>
      </c>
    </row>
    <row r="560" spans="1:36" x14ac:dyDescent="0.3">
      <c r="A560" t="s">
        <v>2239</v>
      </c>
      <c r="B560" t="s">
        <v>2240</v>
      </c>
      <c r="C560" t="s">
        <v>2241</v>
      </c>
      <c r="D560" t="s">
        <v>77</v>
      </c>
      <c r="E560">
        <v>27948</v>
      </c>
      <c r="F560" t="s">
        <v>15</v>
      </c>
      <c r="G560">
        <v>8</v>
      </c>
      <c r="H560">
        <v>150</v>
      </c>
      <c r="I560" t="str" cm="1">
        <f t="array" ref="I560">_xlfn.IFS(H560&lt;=120,"V1",H560&lt;=150,"V2",H560&lt;=250,"V3", H560&lt;=350, "V4")</f>
        <v>V2</v>
      </c>
      <c r="J560" t="s">
        <v>2242</v>
      </c>
      <c r="K560" t="str">
        <f t="shared" si="184"/>
        <v>35.993328</v>
      </c>
      <c r="L560" t="str">
        <f t="shared" si="185"/>
        <v>-75.651124</v>
      </c>
      <c r="M560">
        <v>4</v>
      </c>
      <c r="N560" s="1">
        <v>43615</v>
      </c>
      <c r="O560" s="1">
        <v>46099</v>
      </c>
      <c r="P560" s="2">
        <f t="shared" si="186"/>
        <v>6.8008213552361401</v>
      </c>
      <c r="Q560" s="2" t="str">
        <f t="shared" si="187"/>
        <v>Mid</v>
      </c>
      <c r="R560">
        <f t="shared" si="188"/>
        <v>1200</v>
      </c>
      <c r="S560" t="str">
        <f t="shared" si="189"/>
        <v>Small</v>
      </c>
      <c r="T560" t="str">
        <f t="shared" si="190"/>
        <v>Lower EV Adoption Corridor</v>
      </c>
      <c r="U560" s="3">
        <f t="shared" si="191"/>
        <v>1980000.0000000002</v>
      </c>
      <c r="V560" s="4">
        <f t="shared" si="192"/>
        <v>480000</v>
      </c>
      <c r="W560" s="3">
        <f t="shared" si="193"/>
        <v>6000000</v>
      </c>
      <c r="X560" s="3">
        <f t="shared" si="194"/>
        <v>3600000</v>
      </c>
      <c r="Y560">
        <f t="shared" si="195"/>
        <v>0.3</v>
      </c>
      <c r="Z560">
        <f t="shared" si="196"/>
        <v>0.75757575757575757</v>
      </c>
      <c r="AA560" t="str">
        <f t="shared" si="197"/>
        <v>Tier 4 - Stable Network</v>
      </c>
      <c r="AB560" s="3">
        <f t="shared" si="198"/>
        <v>60000</v>
      </c>
      <c r="AC560" s="3">
        <f t="shared" si="199"/>
        <v>750000</v>
      </c>
      <c r="AD560" s="3">
        <f t="shared" si="200"/>
        <v>247500.00000000003</v>
      </c>
      <c r="AE560" s="5">
        <f t="shared" si="201"/>
        <v>3.9999999999999996</v>
      </c>
      <c r="AF560" s="10">
        <f t="shared" si="202"/>
        <v>297600</v>
      </c>
      <c r="AG560" s="10">
        <f t="shared" si="203"/>
        <v>96000</v>
      </c>
      <c r="AH560" s="10">
        <f t="shared" si="204"/>
        <v>48000</v>
      </c>
      <c r="AI560" s="10">
        <f t="shared" si="205"/>
        <v>24000</v>
      </c>
      <c r="AJ560" s="10">
        <f t="shared" si="206"/>
        <v>14400</v>
      </c>
    </row>
    <row r="561" spans="1:36" x14ac:dyDescent="0.3">
      <c r="A561" t="s">
        <v>2243</v>
      </c>
      <c r="B561" t="s">
        <v>2244</v>
      </c>
      <c r="C561" t="s">
        <v>2245</v>
      </c>
      <c r="D561" t="s">
        <v>14</v>
      </c>
      <c r="E561">
        <v>91942</v>
      </c>
      <c r="F561" t="s">
        <v>15</v>
      </c>
      <c r="G561">
        <v>12</v>
      </c>
      <c r="H561">
        <v>250</v>
      </c>
      <c r="I561" t="str" cm="1">
        <f t="array" ref="I561">_xlfn.IFS(H561&lt;=120,"V1",H561&lt;=150,"V2",H561&lt;=250,"V3", H561&lt;=350, "V4")</f>
        <v>V3</v>
      </c>
      <c r="J561" t="s">
        <v>2246</v>
      </c>
      <c r="K561" t="str">
        <f t="shared" si="184"/>
        <v>32.7808724</v>
      </c>
      <c r="L561" t="str">
        <f t="shared" si="185"/>
        <v>-117.0135593</v>
      </c>
      <c r="M561">
        <v>158</v>
      </c>
      <c r="N561" s="1">
        <v>44638</v>
      </c>
      <c r="O561" s="1">
        <v>46099</v>
      </c>
      <c r="P561" s="2">
        <f t="shared" si="186"/>
        <v>4</v>
      </c>
      <c r="Q561" s="2" t="str">
        <f t="shared" si="187"/>
        <v>Mid</v>
      </c>
      <c r="R561">
        <f t="shared" si="188"/>
        <v>3000</v>
      </c>
      <c r="S561" t="str">
        <f t="shared" si="189"/>
        <v>Small</v>
      </c>
      <c r="T561" t="str">
        <f t="shared" si="190"/>
        <v>High EV Adoption Corridor</v>
      </c>
      <c r="U561" s="3">
        <f t="shared" si="191"/>
        <v>7020000</v>
      </c>
      <c r="V561" s="4">
        <f t="shared" si="192"/>
        <v>1584000</v>
      </c>
      <c r="W561" s="3">
        <f t="shared" si="193"/>
        <v>19800000</v>
      </c>
      <c r="X561" s="3">
        <f t="shared" si="194"/>
        <v>14850000</v>
      </c>
      <c r="Y561">
        <f t="shared" si="195"/>
        <v>0.24</v>
      </c>
      <c r="Z561">
        <f t="shared" si="196"/>
        <v>0.77435897435897438</v>
      </c>
      <c r="AA561" t="str">
        <f t="shared" si="197"/>
        <v>Tier 1 - Priority Fleet</v>
      </c>
      <c r="AB561" s="3">
        <f t="shared" si="198"/>
        <v>132000</v>
      </c>
      <c r="AC561" s="3">
        <f t="shared" si="199"/>
        <v>1650000</v>
      </c>
      <c r="AD561" s="3">
        <f t="shared" si="200"/>
        <v>585000</v>
      </c>
      <c r="AE561" s="5">
        <f t="shared" si="201"/>
        <v>3.6423841059602649</v>
      </c>
      <c r="AF561" s="10">
        <f t="shared" si="202"/>
        <v>982080</v>
      </c>
      <c r="AG561" s="10">
        <f t="shared" si="203"/>
        <v>316800</v>
      </c>
      <c r="AH561" s="10">
        <f t="shared" si="204"/>
        <v>158400</v>
      </c>
      <c r="AI561" s="10">
        <f t="shared" si="205"/>
        <v>79200</v>
      </c>
      <c r="AJ561" s="10">
        <f t="shared" si="206"/>
        <v>47520</v>
      </c>
    </row>
    <row r="562" spans="1:36" x14ac:dyDescent="0.3">
      <c r="A562" t="s">
        <v>2247</v>
      </c>
      <c r="B562" t="s">
        <v>2248</v>
      </c>
      <c r="C562" t="s">
        <v>2249</v>
      </c>
      <c r="D562" t="s">
        <v>852</v>
      </c>
      <c r="E562">
        <v>7005</v>
      </c>
      <c r="F562" t="s">
        <v>15</v>
      </c>
      <c r="G562">
        <v>10</v>
      </c>
      <c r="H562">
        <v>150</v>
      </c>
      <c r="I562" t="str" cm="1">
        <f t="array" ref="I562">_xlfn.IFS(H562&lt;=120,"V1",H562&lt;=150,"V2",H562&lt;=250,"V3", H562&lt;=350, "V4")</f>
        <v>V2</v>
      </c>
      <c r="J562" t="s">
        <v>2250</v>
      </c>
      <c r="K562" t="str">
        <f t="shared" si="184"/>
        <v>40.907627</v>
      </c>
      <c r="L562" t="str">
        <f t="shared" si="185"/>
        <v>-74.3976</v>
      </c>
      <c r="M562">
        <v>118</v>
      </c>
      <c r="N562" s="1">
        <v>43813</v>
      </c>
      <c r="O562" s="1">
        <v>46099</v>
      </c>
      <c r="P562" s="2">
        <f t="shared" si="186"/>
        <v>6.2587268993839835</v>
      </c>
      <c r="Q562" s="2" t="str">
        <f t="shared" si="187"/>
        <v>Mid</v>
      </c>
      <c r="R562">
        <f t="shared" si="188"/>
        <v>1500</v>
      </c>
      <c r="S562" t="str">
        <f t="shared" si="189"/>
        <v>Small</v>
      </c>
      <c r="T562" t="str">
        <f t="shared" si="190"/>
        <v>High EV Adoption Corridor</v>
      </c>
      <c r="U562" s="3">
        <f t="shared" si="191"/>
        <v>3217500</v>
      </c>
      <c r="V562" s="4">
        <f t="shared" si="192"/>
        <v>720000</v>
      </c>
      <c r="W562" s="3">
        <f t="shared" si="193"/>
        <v>8250000.0000000009</v>
      </c>
      <c r="X562" s="3">
        <f t="shared" si="194"/>
        <v>6750000</v>
      </c>
      <c r="Y562">
        <f t="shared" si="195"/>
        <v>0.22888888888888889</v>
      </c>
      <c r="Z562">
        <f t="shared" si="196"/>
        <v>0.77622377622377625</v>
      </c>
      <c r="AA562" t="str">
        <f t="shared" si="197"/>
        <v>Tier 3 - Upgrade Pipeline</v>
      </c>
      <c r="AB562" s="3">
        <f t="shared" si="198"/>
        <v>72000</v>
      </c>
      <c r="AC562" s="3">
        <f t="shared" si="199"/>
        <v>825000.00000000012</v>
      </c>
      <c r="AD562" s="3">
        <f t="shared" si="200"/>
        <v>321750</v>
      </c>
      <c r="AE562" s="5">
        <f t="shared" si="201"/>
        <v>3.3033033033033035</v>
      </c>
      <c r="AF562" s="10">
        <f t="shared" si="202"/>
        <v>446400</v>
      </c>
      <c r="AG562" s="10">
        <f t="shared" si="203"/>
        <v>144000</v>
      </c>
      <c r="AH562" s="10">
        <f t="shared" si="204"/>
        <v>72000</v>
      </c>
      <c r="AI562" s="10">
        <f t="shared" si="205"/>
        <v>36000</v>
      </c>
      <c r="AJ562" s="10">
        <f t="shared" si="206"/>
        <v>21600</v>
      </c>
    </row>
    <row r="563" spans="1:36" x14ac:dyDescent="0.3">
      <c r="A563" t="s">
        <v>2251</v>
      </c>
      <c r="B563" t="s">
        <v>2252</v>
      </c>
      <c r="C563" t="s">
        <v>2253</v>
      </c>
      <c r="D563" t="s">
        <v>14</v>
      </c>
      <c r="E563">
        <v>93243</v>
      </c>
      <c r="F563" t="s">
        <v>15</v>
      </c>
      <c r="G563">
        <v>24</v>
      </c>
      <c r="H563">
        <v>150</v>
      </c>
      <c r="I563" t="str" cm="1">
        <f t="array" ref="I563">_xlfn.IFS(H563&lt;=120,"V1",H563&lt;=150,"V2",H563&lt;=250,"V3", H563&lt;=350, "V4")</f>
        <v>V2</v>
      </c>
      <c r="J563" t="s">
        <v>2254</v>
      </c>
      <c r="K563" t="str">
        <f t="shared" si="184"/>
        <v>34.98734</v>
      </c>
      <c r="L563" t="str">
        <f t="shared" si="185"/>
        <v>-118.94623</v>
      </c>
      <c r="M563">
        <v>337</v>
      </c>
      <c r="N563" s="1">
        <v>41232</v>
      </c>
      <c r="O563" s="1">
        <v>46099</v>
      </c>
      <c r="P563" s="2">
        <f t="shared" si="186"/>
        <v>13.325119780971937</v>
      </c>
      <c r="Q563" s="2" t="str">
        <f t="shared" si="187"/>
        <v>Old</v>
      </c>
      <c r="R563">
        <f t="shared" si="188"/>
        <v>3600</v>
      </c>
      <c r="S563" t="str">
        <f t="shared" si="189"/>
        <v>Small</v>
      </c>
      <c r="T563" t="str">
        <f t="shared" si="190"/>
        <v>High EV Adoption Corridor</v>
      </c>
      <c r="U563" s="3">
        <f t="shared" si="191"/>
        <v>7722000.0000000019</v>
      </c>
      <c r="V563" s="4">
        <f t="shared" si="192"/>
        <v>1728000</v>
      </c>
      <c r="W563" s="3">
        <f t="shared" si="193"/>
        <v>19800000</v>
      </c>
      <c r="X563" s="3">
        <f t="shared" si="194"/>
        <v>16200000</v>
      </c>
      <c r="Y563">
        <f t="shared" si="195"/>
        <v>0.22888888888888889</v>
      </c>
      <c r="Z563">
        <f t="shared" si="196"/>
        <v>0.77622377622377625</v>
      </c>
      <c r="AA563" t="str">
        <f t="shared" si="197"/>
        <v>Tier 3 - Upgrade Pipeline</v>
      </c>
      <c r="AB563" s="3">
        <f t="shared" si="198"/>
        <v>72000</v>
      </c>
      <c r="AC563" s="3">
        <f t="shared" si="199"/>
        <v>825000</v>
      </c>
      <c r="AD563" s="3">
        <f t="shared" si="200"/>
        <v>321750.00000000006</v>
      </c>
      <c r="AE563" s="5">
        <f t="shared" si="201"/>
        <v>3.3033033033033021</v>
      </c>
      <c r="AF563" s="10">
        <f t="shared" si="202"/>
        <v>1071360</v>
      </c>
      <c r="AG563" s="10">
        <f t="shared" si="203"/>
        <v>345600</v>
      </c>
      <c r="AH563" s="10">
        <f t="shared" si="204"/>
        <v>172800</v>
      </c>
      <c r="AI563" s="10">
        <f t="shared" si="205"/>
        <v>86400</v>
      </c>
      <c r="AJ563" s="10">
        <f t="shared" si="206"/>
        <v>51840</v>
      </c>
    </row>
    <row r="564" spans="1:36" x14ac:dyDescent="0.3">
      <c r="A564" t="s">
        <v>2255</v>
      </c>
      <c r="B564" t="s">
        <v>2256</v>
      </c>
      <c r="C564" t="s">
        <v>2257</v>
      </c>
      <c r="D564" t="s">
        <v>41</v>
      </c>
      <c r="E564">
        <v>34747</v>
      </c>
      <c r="F564" t="s">
        <v>15</v>
      </c>
      <c r="G564">
        <v>8</v>
      </c>
      <c r="H564">
        <v>150</v>
      </c>
      <c r="I564" t="str" cm="1">
        <f t="array" ref="I564">_xlfn.IFS(H564&lt;=120,"V1",H564&lt;=150,"V2",H564&lt;=250,"V3", H564&lt;=350, "V4")</f>
        <v>V2</v>
      </c>
      <c r="J564" t="s">
        <v>2258</v>
      </c>
      <c r="K564" t="str">
        <f t="shared" si="184"/>
        <v>28.331356</v>
      </c>
      <c r="L564" t="str">
        <f t="shared" si="185"/>
        <v>-81.532453</v>
      </c>
      <c r="M564">
        <v>29</v>
      </c>
      <c r="N564" s="1">
        <v>43606</v>
      </c>
      <c r="O564" s="1">
        <v>46099</v>
      </c>
      <c r="P564" s="2">
        <f t="shared" si="186"/>
        <v>6.8254620123203287</v>
      </c>
      <c r="Q564" s="2" t="str">
        <f t="shared" si="187"/>
        <v>Mid</v>
      </c>
      <c r="R564">
        <f t="shared" si="188"/>
        <v>1200</v>
      </c>
      <c r="S564" t="str">
        <f t="shared" si="189"/>
        <v>Small</v>
      </c>
      <c r="T564" t="str">
        <f t="shared" si="190"/>
        <v>High EV Adoption Corridor</v>
      </c>
      <c r="U564" s="3">
        <f t="shared" si="191"/>
        <v>2574000.0000000005</v>
      </c>
      <c r="V564" s="4">
        <f t="shared" si="192"/>
        <v>576000</v>
      </c>
      <c r="W564" s="3">
        <f t="shared" si="193"/>
        <v>6600000.0000000009</v>
      </c>
      <c r="X564" s="3">
        <f t="shared" si="194"/>
        <v>5400000</v>
      </c>
      <c r="Y564">
        <f t="shared" si="195"/>
        <v>0.22888888888888889</v>
      </c>
      <c r="Z564">
        <f t="shared" si="196"/>
        <v>0.77622377622377625</v>
      </c>
      <c r="AA564" t="str">
        <f t="shared" si="197"/>
        <v>Tier 3 - Upgrade Pipeline</v>
      </c>
      <c r="AB564" s="3">
        <f t="shared" si="198"/>
        <v>72000</v>
      </c>
      <c r="AC564" s="3">
        <f t="shared" si="199"/>
        <v>825000.00000000012</v>
      </c>
      <c r="AD564" s="3">
        <f t="shared" si="200"/>
        <v>321750.00000000006</v>
      </c>
      <c r="AE564" s="5">
        <f t="shared" si="201"/>
        <v>3.303303303303303</v>
      </c>
      <c r="AF564" s="10">
        <f t="shared" si="202"/>
        <v>357120</v>
      </c>
      <c r="AG564" s="10">
        <f t="shared" si="203"/>
        <v>115200</v>
      </c>
      <c r="AH564" s="10">
        <f t="shared" si="204"/>
        <v>57600</v>
      </c>
      <c r="AI564" s="10">
        <f t="shared" si="205"/>
        <v>28800</v>
      </c>
      <c r="AJ564" s="10">
        <f t="shared" si="206"/>
        <v>17280</v>
      </c>
    </row>
    <row r="565" spans="1:36" x14ac:dyDescent="0.3">
      <c r="A565" t="s">
        <v>2259</v>
      </c>
      <c r="B565" t="s">
        <v>2260</v>
      </c>
      <c r="C565" t="s">
        <v>166</v>
      </c>
      <c r="D565" t="s">
        <v>184</v>
      </c>
      <c r="E565">
        <v>43240</v>
      </c>
      <c r="F565" t="s">
        <v>15</v>
      </c>
      <c r="G565">
        <v>10</v>
      </c>
      <c r="H565">
        <v>150</v>
      </c>
      <c r="I565" t="str" cm="1">
        <f t="array" ref="I565">_xlfn.IFS(H565&lt;=120,"V1",H565&lt;=150,"V2",H565&lt;=250,"V3", H565&lt;=350, "V4")</f>
        <v>V2</v>
      </c>
      <c r="J565" t="s">
        <v>2261</v>
      </c>
      <c r="K565" t="str">
        <f t="shared" si="184"/>
        <v>40.141056</v>
      </c>
      <c r="L565" t="str">
        <f t="shared" si="185"/>
        <v>-82.988972</v>
      </c>
      <c r="M565">
        <v>281</v>
      </c>
      <c r="N565" s="1">
        <v>43638</v>
      </c>
      <c r="O565" s="1">
        <v>46099</v>
      </c>
      <c r="P565" s="2">
        <f t="shared" si="186"/>
        <v>6.7378507871321016</v>
      </c>
      <c r="Q565" s="2" t="str">
        <f t="shared" si="187"/>
        <v>Mid</v>
      </c>
      <c r="R565">
        <f t="shared" si="188"/>
        <v>1500</v>
      </c>
      <c r="S565" t="str">
        <f t="shared" si="189"/>
        <v>Small</v>
      </c>
      <c r="T565" t="str">
        <f t="shared" si="190"/>
        <v>Lower EV Adoption Corridor</v>
      </c>
      <c r="U565" s="3">
        <f t="shared" si="191"/>
        <v>2475000</v>
      </c>
      <c r="V565" s="4">
        <f t="shared" si="192"/>
        <v>600000</v>
      </c>
      <c r="W565" s="3">
        <f t="shared" si="193"/>
        <v>7500000</v>
      </c>
      <c r="X565" s="3">
        <f t="shared" si="194"/>
        <v>4500000</v>
      </c>
      <c r="Y565">
        <f t="shared" si="195"/>
        <v>0.3</v>
      </c>
      <c r="Z565">
        <f t="shared" si="196"/>
        <v>0.75757575757575757</v>
      </c>
      <c r="AA565" t="str">
        <f t="shared" si="197"/>
        <v>Tier 4 - Stable Network</v>
      </c>
      <c r="AB565" s="3">
        <f t="shared" si="198"/>
        <v>60000</v>
      </c>
      <c r="AC565" s="3">
        <f t="shared" si="199"/>
        <v>750000</v>
      </c>
      <c r="AD565" s="3">
        <f t="shared" si="200"/>
        <v>247500</v>
      </c>
      <c r="AE565" s="5">
        <f t="shared" si="201"/>
        <v>4</v>
      </c>
      <c r="AF565" s="10">
        <f t="shared" si="202"/>
        <v>372000</v>
      </c>
      <c r="AG565" s="10">
        <f t="shared" si="203"/>
        <v>120000</v>
      </c>
      <c r="AH565" s="10">
        <f t="shared" si="204"/>
        <v>60000</v>
      </c>
      <c r="AI565" s="10">
        <f t="shared" si="205"/>
        <v>30000</v>
      </c>
      <c r="AJ565" s="10">
        <f t="shared" si="206"/>
        <v>18000</v>
      </c>
    </row>
    <row r="566" spans="1:36" x14ac:dyDescent="0.3">
      <c r="A566" t="s">
        <v>2262</v>
      </c>
      <c r="B566" t="s">
        <v>2263</v>
      </c>
      <c r="C566" t="s">
        <v>2264</v>
      </c>
      <c r="D566" t="s">
        <v>14</v>
      </c>
      <c r="E566">
        <v>94304</v>
      </c>
      <c r="F566" t="s">
        <v>15</v>
      </c>
      <c r="G566">
        <v>20</v>
      </c>
      <c r="H566">
        <v>72</v>
      </c>
      <c r="I566" t="str" cm="1">
        <f t="array" ref="I566">_xlfn.IFS(H566&lt;=120,"V1",H566&lt;=150,"V2",H566&lt;=250,"V3", H566&lt;=350, "V4")</f>
        <v>V1</v>
      </c>
      <c r="J566" t="s">
        <v>2265</v>
      </c>
      <c r="K566" t="str">
        <f t="shared" si="184"/>
        <v>37.441722</v>
      </c>
      <c r="L566" t="str">
        <f t="shared" si="185"/>
        <v>-122.170271</v>
      </c>
      <c r="M566">
        <v>22</v>
      </c>
      <c r="N566" s="1">
        <v>43774</v>
      </c>
      <c r="O566" s="1">
        <v>46099</v>
      </c>
      <c r="P566" s="2">
        <f t="shared" si="186"/>
        <v>6.3655030800821359</v>
      </c>
      <c r="Q566" s="2" t="str">
        <f t="shared" si="187"/>
        <v>Mid</v>
      </c>
      <c r="R566">
        <f t="shared" si="188"/>
        <v>1440</v>
      </c>
      <c r="S566" t="str">
        <f t="shared" si="189"/>
        <v>Small</v>
      </c>
      <c r="T566" t="str">
        <f t="shared" si="190"/>
        <v>High EV Adoption Corridor</v>
      </c>
      <c r="U566" s="3">
        <f t="shared" si="191"/>
        <v>2808000</v>
      </c>
      <c r="V566" s="4">
        <f t="shared" si="192"/>
        <v>622080</v>
      </c>
      <c r="W566" s="3">
        <f t="shared" si="193"/>
        <v>6336000.0000000009</v>
      </c>
      <c r="X566" s="3">
        <f t="shared" si="194"/>
        <v>5832000</v>
      </c>
      <c r="Y566">
        <f t="shared" si="195"/>
        <v>0.21530864197530863</v>
      </c>
      <c r="Z566">
        <f t="shared" si="196"/>
        <v>0.77846153846153843</v>
      </c>
      <c r="AA566" t="str">
        <f t="shared" si="197"/>
        <v>Tier 3 - Upgrade Pipeline</v>
      </c>
      <c r="AB566" s="3">
        <f t="shared" si="198"/>
        <v>31104</v>
      </c>
      <c r="AC566" s="3">
        <f t="shared" si="199"/>
        <v>316800.00000000006</v>
      </c>
      <c r="AD566" s="3">
        <f t="shared" si="200"/>
        <v>140400</v>
      </c>
      <c r="AE566" s="5">
        <f t="shared" si="201"/>
        <v>2.8985507246376816</v>
      </c>
      <c r="AF566" s="10">
        <f t="shared" si="202"/>
        <v>385689.59999999998</v>
      </c>
      <c r="AG566" s="10">
        <f t="shared" si="203"/>
        <v>124416</v>
      </c>
      <c r="AH566" s="10">
        <f t="shared" si="204"/>
        <v>62208</v>
      </c>
      <c r="AI566" s="10">
        <f t="shared" si="205"/>
        <v>31104</v>
      </c>
      <c r="AJ566" s="10">
        <f t="shared" si="206"/>
        <v>18662.399999999998</v>
      </c>
    </row>
    <row r="567" spans="1:36" x14ac:dyDescent="0.3">
      <c r="A567" t="s">
        <v>2266</v>
      </c>
      <c r="B567" t="s">
        <v>2267</v>
      </c>
      <c r="C567" t="s">
        <v>2268</v>
      </c>
      <c r="D567" t="s">
        <v>184</v>
      </c>
      <c r="E567">
        <v>45247</v>
      </c>
      <c r="F567" t="s">
        <v>15</v>
      </c>
      <c r="G567">
        <v>12</v>
      </c>
      <c r="H567">
        <v>150</v>
      </c>
      <c r="I567" t="str" cm="1">
        <f t="array" ref="I567">_xlfn.IFS(H567&lt;=120,"V1",H567&lt;=150,"V2",H567&lt;=250,"V3", H567&lt;=350, "V4")</f>
        <v>V2</v>
      </c>
      <c r="J567" t="s">
        <v>2269</v>
      </c>
      <c r="K567" t="str">
        <f t="shared" si="184"/>
        <v>39.193996</v>
      </c>
      <c r="L567" t="str">
        <f t="shared" si="185"/>
        <v>-84.65871</v>
      </c>
      <c r="M567">
        <v>218</v>
      </c>
      <c r="N567" s="1">
        <v>43204</v>
      </c>
      <c r="O567" s="1">
        <v>46099</v>
      </c>
      <c r="P567" s="2">
        <f t="shared" si="186"/>
        <v>7.9260780287474333</v>
      </c>
      <c r="Q567" s="2" t="str">
        <f t="shared" si="187"/>
        <v>Mid</v>
      </c>
      <c r="R567">
        <f t="shared" si="188"/>
        <v>1800</v>
      </c>
      <c r="S567" t="str">
        <f t="shared" si="189"/>
        <v>Small</v>
      </c>
      <c r="T567" t="str">
        <f t="shared" si="190"/>
        <v>Lower EV Adoption Corridor</v>
      </c>
      <c r="U567" s="3">
        <f t="shared" si="191"/>
        <v>2970000.0000000005</v>
      </c>
      <c r="V567" s="4">
        <f t="shared" si="192"/>
        <v>720000</v>
      </c>
      <c r="W567" s="3">
        <f t="shared" si="193"/>
        <v>9000000</v>
      </c>
      <c r="X567" s="3">
        <f t="shared" si="194"/>
        <v>5400000</v>
      </c>
      <c r="Y567">
        <f t="shared" si="195"/>
        <v>0.3</v>
      </c>
      <c r="Z567">
        <f t="shared" si="196"/>
        <v>0.75757575757575757</v>
      </c>
      <c r="AA567" t="str">
        <f t="shared" si="197"/>
        <v>Tier 4 - Stable Network</v>
      </c>
      <c r="AB567" s="3">
        <f t="shared" si="198"/>
        <v>60000</v>
      </c>
      <c r="AC567" s="3">
        <f t="shared" si="199"/>
        <v>750000</v>
      </c>
      <c r="AD567" s="3">
        <f t="shared" si="200"/>
        <v>247500.00000000003</v>
      </c>
      <c r="AE567" s="5">
        <f t="shared" si="201"/>
        <v>3.9999999999999991</v>
      </c>
      <c r="AF567" s="10">
        <f t="shared" si="202"/>
        <v>446400</v>
      </c>
      <c r="AG567" s="10">
        <f t="shared" si="203"/>
        <v>144000</v>
      </c>
      <c r="AH567" s="10">
        <f t="shared" si="204"/>
        <v>72000</v>
      </c>
      <c r="AI567" s="10">
        <f t="shared" si="205"/>
        <v>36000</v>
      </c>
      <c r="AJ567" s="10">
        <f t="shared" si="206"/>
        <v>21600</v>
      </c>
    </row>
    <row r="568" spans="1:36" x14ac:dyDescent="0.3">
      <c r="A568" t="s">
        <v>2270</v>
      </c>
      <c r="B568" t="s">
        <v>2271</v>
      </c>
      <c r="C568" t="s">
        <v>2272</v>
      </c>
      <c r="D568" t="s">
        <v>72</v>
      </c>
      <c r="E568">
        <v>86023</v>
      </c>
      <c r="F568" t="s">
        <v>15</v>
      </c>
      <c r="G568">
        <v>12</v>
      </c>
      <c r="H568">
        <v>150</v>
      </c>
      <c r="I568" t="str" cm="1">
        <f t="array" ref="I568">_xlfn.IFS(H568&lt;=120,"V1",H568&lt;=150,"V2",H568&lt;=250,"V3", H568&lt;=350, "V4")</f>
        <v>V2</v>
      </c>
      <c r="J568" t="s">
        <v>2273</v>
      </c>
      <c r="K568" t="str">
        <f t="shared" si="184"/>
        <v>35.969448</v>
      </c>
      <c r="L568" t="str">
        <f t="shared" si="185"/>
        <v>-112.127675</v>
      </c>
      <c r="M568">
        <v>2008</v>
      </c>
      <c r="N568" s="1">
        <v>43761</v>
      </c>
      <c r="O568" s="1">
        <v>46099</v>
      </c>
      <c r="P568" s="2">
        <f t="shared" si="186"/>
        <v>6.4010951403148528</v>
      </c>
      <c r="Q568" s="2" t="str">
        <f t="shared" si="187"/>
        <v>Mid</v>
      </c>
      <c r="R568">
        <f t="shared" si="188"/>
        <v>1800</v>
      </c>
      <c r="S568" t="str">
        <f t="shared" si="189"/>
        <v>Small</v>
      </c>
      <c r="T568" t="str">
        <f t="shared" si="190"/>
        <v>Lower EV Adoption Corridor</v>
      </c>
      <c r="U568" s="3">
        <f t="shared" si="191"/>
        <v>2970000.0000000005</v>
      </c>
      <c r="V568" s="4">
        <f t="shared" si="192"/>
        <v>720000</v>
      </c>
      <c r="W568" s="3">
        <f t="shared" si="193"/>
        <v>9000000</v>
      </c>
      <c r="X568" s="3">
        <f t="shared" si="194"/>
        <v>5400000</v>
      </c>
      <c r="Y568">
        <f t="shared" si="195"/>
        <v>0.3</v>
      </c>
      <c r="Z568">
        <f t="shared" si="196"/>
        <v>0.75757575757575757</v>
      </c>
      <c r="AA568" t="str">
        <f t="shared" si="197"/>
        <v>Tier 4 - Stable Network</v>
      </c>
      <c r="AB568" s="3">
        <f t="shared" si="198"/>
        <v>60000</v>
      </c>
      <c r="AC568" s="3">
        <f t="shared" si="199"/>
        <v>750000</v>
      </c>
      <c r="AD568" s="3">
        <f t="shared" si="200"/>
        <v>247500.00000000003</v>
      </c>
      <c r="AE568" s="5">
        <f t="shared" si="201"/>
        <v>3.9999999999999991</v>
      </c>
      <c r="AF568" s="10">
        <f t="shared" si="202"/>
        <v>446400</v>
      </c>
      <c r="AG568" s="10">
        <f t="shared" si="203"/>
        <v>144000</v>
      </c>
      <c r="AH568" s="10">
        <f t="shared" si="204"/>
        <v>72000</v>
      </c>
      <c r="AI568" s="10">
        <f t="shared" si="205"/>
        <v>36000</v>
      </c>
      <c r="AJ568" s="10">
        <f t="shared" si="206"/>
        <v>21600</v>
      </c>
    </row>
    <row r="569" spans="1:36" x14ac:dyDescent="0.3">
      <c r="A569" t="s">
        <v>2274</v>
      </c>
      <c r="B569" t="s">
        <v>2275</v>
      </c>
      <c r="C569" t="s">
        <v>1371</v>
      </c>
      <c r="D569" t="s">
        <v>41</v>
      </c>
      <c r="E569">
        <v>33130</v>
      </c>
      <c r="F569" t="s">
        <v>15</v>
      </c>
      <c r="G569">
        <v>10</v>
      </c>
      <c r="H569">
        <v>72</v>
      </c>
      <c r="I569" t="str" cm="1">
        <f t="array" ref="I569">_xlfn.IFS(H569&lt;=120,"V1",H569&lt;=150,"V2",H569&lt;=250,"V3", H569&lt;=350, "V4")</f>
        <v>V1</v>
      </c>
      <c r="J569" t="s">
        <v>2276</v>
      </c>
      <c r="K569" t="str">
        <f t="shared" si="184"/>
        <v>25.766875</v>
      </c>
      <c r="L569" t="str">
        <f t="shared" si="185"/>
        <v>-80.194524</v>
      </c>
      <c r="M569">
        <v>1</v>
      </c>
      <c r="N569" s="1">
        <v>43252</v>
      </c>
      <c r="O569" s="1">
        <v>46099</v>
      </c>
      <c r="P569" s="2">
        <f t="shared" si="186"/>
        <v>7.7946611909650922</v>
      </c>
      <c r="Q569" s="2" t="str">
        <f t="shared" si="187"/>
        <v>Mid</v>
      </c>
      <c r="R569">
        <f t="shared" si="188"/>
        <v>720</v>
      </c>
      <c r="S569" t="str">
        <f t="shared" si="189"/>
        <v>Small</v>
      </c>
      <c r="T569" t="str">
        <f t="shared" si="190"/>
        <v>High EV Adoption Corridor</v>
      </c>
      <c r="U569" s="3">
        <f t="shared" si="191"/>
        <v>1404000</v>
      </c>
      <c r="V569" s="4">
        <f t="shared" si="192"/>
        <v>311040</v>
      </c>
      <c r="W569" s="3">
        <f t="shared" si="193"/>
        <v>3168000.0000000005</v>
      </c>
      <c r="X569" s="3">
        <f t="shared" si="194"/>
        <v>2916000</v>
      </c>
      <c r="Y569">
        <f t="shared" si="195"/>
        <v>0.21530864197530863</v>
      </c>
      <c r="Z569">
        <f t="shared" si="196"/>
        <v>0.77846153846153843</v>
      </c>
      <c r="AA569" t="str">
        <f t="shared" si="197"/>
        <v>Tier 3 - Upgrade Pipeline</v>
      </c>
      <c r="AB569" s="3">
        <f t="shared" si="198"/>
        <v>31104</v>
      </c>
      <c r="AC569" s="3">
        <f t="shared" si="199"/>
        <v>316800.00000000006</v>
      </c>
      <c r="AD569" s="3">
        <f t="shared" si="200"/>
        <v>140400</v>
      </c>
      <c r="AE569" s="5">
        <f t="shared" si="201"/>
        <v>2.8985507246376816</v>
      </c>
      <c r="AF569" s="10">
        <f t="shared" si="202"/>
        <v>192844.79999999999</v>
      </c>
      <c r="AG569" s="10">
        <f t="shared" si="203"/>
        <v>62208</v>
      </c>
      <c r="AH569" s="10">
        <f t="shared" si="204"/>
        <v>31104</v>
      </c>
      <c r="AI569" s="10">
        <f t="shared" si="205"/>
        <v>15552</v>
      </c>
      <c r="AJ569" s="10">
        <f t="shared" si="206"/>
        <v>9331.1999999999989</v>
      </c>
    </row>
    <row r="570" spans="1:36" x14ac:dyDescent="0.3">
      <c r="A570" t="s">
        <v>2277</v>
      </c>
      <c r="B570" t="s">
        <v>2278</v>
      </c>
      <c r="C570" t="s">
        <v>2279</v>
      </c>
      <c r="D570" t="s">
        <v>230</v>
      </c>
      <c r="E570">
        <v>98125</v>
      </c>
      <c r="F570" t="s">
        <v>15</v>
      </c>
      <c r="G570">
        <v>16</v>
      </c>
      <c r="H570">
        <v>250</v>
      </c>
      <c r="I570" t="str" cm="1">
        <f t="array" ref="I570">_xlfn.IFS(H570&lt;=120,"V1",H570&lt;=150,"V2",H570&lt;=250,"V3", H570&lt;=350, "V4")</f>
        <v>V3</v>
      </c>
      <c r="J570" t="s">
        <v>2280</v>
      </c>
      <c r="K570" t="str">
        <f t="shared" si="184"/>
        <v>47.705956</v>
      </c>
      <c r="L570" t="str">
        <f t="shared" si="185"/>
        <v>-122.327133</v>
      </c>
      <c r="M570">
        <v>85</v>
      </c>
      <c r="N570" s="1">
        <v>44285</v>
      </c>
      <c r="O570" s="1">
        <v>46099</v>
      </c>
      <c r="P570" s="2">
        <f t="shared" si="186"/>
        <v>4.9664613278576315</v>
      </c>
      <c r="Q570" s="2" t="str">
        <f t="shared" si="187"/>
        <v>Mid</v>
      </c>
      <c r="R570">
        <f t="shared" si="188"/>
        <v>4000</v>
      </c>
      <c r="S570" t="str">
        <f t="shared" si="189"/>
        <v>Small</v>
      </c>
      <c r="T570" t="str">
        <f t="shared" si="190"/>
        <v>High EV Adoption Corridor</v>
      </c>
      <c r="U570" s="3">
        <f t="shared" si="191"/>
        <v>9360000</v>
      </c>
      <c r="V570" s="4">
        <f t="shared" si="192"/>
        <v>2112000</v>
      </c>
      <c r="W570" s="3">
        <f t="shared" si="193"/>
        <v>26400000.000000004</v>
      </c>
      <c r="X570" s="3">
        <f t="shared" si="194"/>
        <v>19800000.000000004</v>
      </c>
      <c r="Y570">
        <f t="shared" si="195"/>
        <v>0.23999999999999996</v>
      </c>
      <c r="Z570">
        <f t="shared" si="196"/>
        <v>0.77435897435897438</v>
      </c>
      <c r="AA570" t="str">
        <f t="shared" si="197"/>
        <v>Tier 1 - Priority Fleet</v>
      </c>
      <c r="AB570" s="3">
        <f t="shared" si="198"/>
        <v>132000</v>
      </c>
      <c r="AC570" s="3">
        <f t="shared" si="199"/>
        <v>1650000.0000000002</v>
      </c>
      <c r="AD570" s="3">
        <f t="shared" si="200"/>
        <v>585000</v>
      </c>
      <c r="AE570" s="5">
        <f t="shared" si="201"/>
        <v>3.6423841059602653</v>
      </c>
      <c r="AF570" s="10">
        <f t="shared" si="202"/>
        <v>1309440</v>
      </c>
      <c r="AG570" s="10">
        <f t="shared" si="203"/>
        <v>422400</v>
      </c>
      <c r="AH570" s="10">
        <f t="shared" si="204"/>
        <v>211200</v>
      </c>
      <c r="AI570" s="10">
        <f t="shared" si="205"/>
        <v>105600</v>
      </c>
      <c r="AJ570" s="10">
        <f t="shared" si="206"/>
        <v>63360</v>
      </c>
    </row>
    <row r="571" spans="1:36" x14ac:dyDescent="0.3">
      <c r="A571" t="s">
        <v>2281</v>
      </c>
      <c r="B571" t="s">
        <v>2282</v>
      </c>
      <c r="C571" t="s">
        <v>2283</v>
      </c>
      <c r="D571" t="s">
        <v>14</v>
      </c>
      <c r="E571">
        <v>94541</v>
      </c>
      <c r="F571" t="s">
        <v>15</v>
      </c>
      <c r="G571">
        <v>16</v>
      </c>
      <c r="H571">
        <v>72</v>
      </c>
      <c r="I571" t="str" cm="1">
        <f t="array" ref="I571">_xlfn.IFS(H571&lt;=120,"V1",H571&lt;=150,"V2",H571&lt;=250,"V3", H571&lt;=350, "V4")</f>
        <v>V1</v>
      </c>
      <c r="J571" t="s">
        <v>2284</v>
      </c>
      <c r="K571" t="str">
        <f t="shared" si="184"/>
        <v>37.667227</v>
      </c>
      <c r="L571" t="str">
        <f t="shared" si="185"/>
        <v>-122.120338</v>
      </c>
      <c r="M571">
        <v>12</v>
      </c>
      <c r="N571" s="1">
        <v>43638</v>
      </c>
      <c r="O571" s="1">
        <v>46099</v>
      </c>
      <c r="P571" s="2">
        <f t="shared" si="186"/>
        <v>6.7378507871321016</v>
      </c>
      <c r="Q571" s="2" t="str">
        <f t="shared" si="187"/>
        <v>Mid</v>
      </c>
      <c r="R571">
        <f t="shared" si="188"/>
        <v>1152</v>
      </c>
      <c r="S571" t="str">
        <f t="shared" si="189"/>
        <v>Small</v>
      </c>
      <c r="T571" t="str">
        <f t="shared" si="190"/>
        <v>High EV Adoption Corridor</v>
      </c>
      <c r="U571" s="3">
        <f t="shared" si="191"/>
        <v>2246400</v>
      </c>
      <c r="V571" s="4">
        <f t="shared" si="192"/>
        <v>497664</v>
      </c>
      <c r="W571" s="3">
        <f t="shared" si="193"/>
        <v>5068800</v>
      </c>
      <c r="X571" s="3">
        <f t="shared" si="194"/>
        <v>4665600</v>
      </c>
      <c r="Y571">
        <f t="shared" si="195"/>
        <v>0.21530864197530863</v>
      </c>
      <c r="Z571">
        <f t="shared" si="196"/>
        <v>0.77846153846153843</v>
      </c>
      <c r="AA571" t="str">
        <f t="shared" si="197"/>
        <v>Tier 3 - Upgrade Pipeline</v>
      </c>
      <c r="AB571" s="3">
        <f t="shared" si="198"/>
        <v>31104</v>
      </c>
      <c r="AC571" s="3">
        <f t="shared" si="199"/>
        <v>316800</v>
      </c>
      <c r="AD571" s="3">
        <f t="shared" si="200"/>
        <v>140400</v>
      </c>
      <c r="AE571" s="5">
        <f t="shared" si="201"/>
        <v>2.8985507246376812</v>
      </c>
      <c r="AF571" s="10">
        <f t="shared" si="202"/>
        <v>308551.67999999999</v>
      </c>
      <c r="AG571" s="10">
        <f t="shared" si="203"/>
        <v>99532.800000000003</v>
      </c>
      <c r="AH571" s="10">
        <f t="shared" si="204"/>
        <v>49766.400000000001</v>
      </c>
      <c r="AI571" s="10">
        <f t="shared" si="205"/>
        <v>24883.200000000001</v>
      </c>
      <c r="AJ571" s="10">
        <f t="shared" si="206"/>
        <v>14929.92</v>
      </c>
    </row>
    <row r="572" spans="1:36" x14ac:dyDescent="0.3">
      <c r="A572" t="s">
        <v>2285</v>
      </c>
      <c r="B572" t="s">
        <v>2286</v>
      </c>
      <c r="C572" t="s">
        <v>2287</v>
      </c>
      <c r="D572" t="s">
        <v>415</v>
      </c>
      <c r="E572">
        <v>51570</v>
      </c>
      <c r="F572" t="s">
        <v>15</v>
      </c>
      <c r="G572">
        <v>8</v>
      </c>
      <c r="H572">
        <v>150</v>
      </c>
      <c r="I572" t="str" cm="1">
        <f t="array" ref="I572">_xlfn.IFS(H572&lt;=120,"V1",H572&lt;=150,"V2",H572&lt;=250,"V3", H572&lt;=350, "V4")</f>
        <v>V2</v>
      </c>
      <c r="J572" t="s">
        <v>2288</v>
      </c>
      <c r="K572" t="str">
        <f t="shared" si="184"/>
        <v>41.500575</v>
      </c>
      <c r="L572" t="str">
        <f t="shared" si="185"/>
        <v>-95.451663</v>
      </c>
      <c r="M572">
        <v>405</v>
      </c>
      <c r="N572" s="1">
        <v>43473</v>
      </c>
      <c r="O572" s="1">
        <v>46099</v>
      </c>
      <c r="P572" s="2">
        <f t="shared" si="186"/>
        <v>7.1895961670088981</v>
      </c>
      <c r="Q572" s="2" t="str">
        <f t="shared" si="187"/>
        <v>Mid</v>
      </c>
      <c r="R572">
        <f t="shared" si="188"/>
        <v>1200</v>
      </c>
      <c r="S572" t="str">
        <f t="shared" si="189"/>
        <v>Small</v>
      </c>
      <c r="T572" t="str">
        <f t="shared" si="190"/>
        <v>Lower EV Adoption Corridor</v>
      </c>
      <c r="U572" s="3">
        <f t="shared" si="191"/>
        <v>1980000.0000000002</v>
      </c>
      <c r="V572" s="4">
        <f t="shared" si="192"/>
        <v>480000</v>
      </c>
      <c r="W572" s="3">
        <f t="shared" si="193"/>
        <v>6000000</v>
      </c>
      <c r="X572" s="3">
        <f t="shared" si="194"/>
        <v>3600000</v>
      </c>
      <c r="Y572">
        <f t="shared" si="195"/>
        <v>0.3</v>
      </c>
      <c r="Z572">
        <f t="shared" si="196"/>
        <v>0.75757575757575757</v>
      </c>
      <c r="AA572" t="str">
        <f t="shared" si="197"/>
        <v>Tier 4 - Stable Network</v>
      </c>
      <c r="AB572" s="3">
        <f t="shared" si="198"/>
        <v>60000</v>
      </c>
      <c r="AC572" s="3">
        <f t="shared" si="199"/>
        <v>750000</v>
      </c>
      <c r="AD572" s="3">
        <f t="shared" si="200"/>
        <v>247500.00000000003</v>
      </c>
      <c r="AE572" s="5">
        <f t="shared" si="201"/>
        <v>3.9999999999999996</v>
      </c>
      <c r="AF572" s="10">
        <f t="shared" si="202"/>
        <v>297600</v>
      </c>
      <c r="AG572" s="10">
        <f t="shared" si="203"/>
        <v>96000</v>
      </c>
      <c r="AH572" s="10">
        <f t="shared" si="204"/>
        <v>48000</v>
      </c>
      <c r="AI572" s="10">
        <f t="shared" si="205"/>
        <v>24000</v>
      </c>
      <c r="AJ572" s="10">
        <f t="shared" si="206"/>
        <v>14400</v>
      </c>
    </row>
    <row r="573" spans="1:36" x14ac:dyDescent="0.3">
      <c r="A573" t="s">
        <v>2289</v>
      </c>
      <c r="B573" t="s">
        <v>2290</v>
      </c>
      <c r="C573" t="s">
        <v>2291</v>
      </c>
      <c r="D573" t="s">
        <v>130</v>
      </c>
      <c r="E573">
        <v>46514</v>
      </c>
      <c r="F573" t="s">
        <v>15</v>
      </c>
      <c r="G573">
        <v>8</v>
      </c>
      <c r="H573">
        <v>250</v>
      </c>
      <c r="I573" t="str" cm="1">
        <f t="array" ref="I573">_xlfn.IFS(H573&lt;=120,"V1",H573&lt;=150,"V2",H573&lt;=250,"V3", H573&lt;=350, "V4")</f>
        <v>V3</v>
      </c>
      <c r="J573" t="s">
        <v>2292</v>
      </c>
      <c r="K573" t="str">
        <f t="shared" si="184"/>
        <v>41.731702</v>
      </c>
      <c r="L573" t="str">
        <f t="shared" si="185"/>
        <v>-86.005057</v>
      </c>
      <c r="M573">
        <v>241</v>
      </c>
      <c r="N573" s="1">
        <v>44553</v>
      </c>
      <c r="O573" s="1">
        <v>46099</v>
      </c>
      <c r="P573" s="2">
        <f t="shared" si="186"/>
        <v>4.2327173169062284</v>
      </c>
      <c r="Q573" s="2" t="str">
        <f t="shared" si="187"/>
        <v>Mid</v>
      </c>
      <c r="R573">
        <f t="shared" si="188"/>
        <v>2000</v>
      </c>
      <c r="S573" t="str">
        <f t="shared" si="189"/>
        <v>Small</v>
      </c>
      <c r="T573" t="str">
        <f t="shared" si="190"/>
        <v>Lower EV Adoption Corridor</v>
      </c>
      <c r="U573" s="3">
        <f t="shared" si="191"/>
        <v>3600000</v>
      </c>
      <c r="V573" s="4">
        <f t="shared" si="192"/>
        <v>880000.00000000012</v>
      </c>
      <c r="W573" s="3">
        <f t="shared" si="193"/>
        <v>12000000</v>
      </c>
      <c r="X573" s="3">
        <f t="shared" si="194"/>
        <v>6600000.0000000009</v>
      </c>
      <c r="Y573">
        <f t="shared" si="195"/>
        <v>0.31515151515151513</v>
      </c>
      <c r="Z573">
        <f t="shared" si="196"/>
        <v>0.75555555555555554</v>
      </c>
      <c r="AA573" t="str">
        <f t="shared" si="197"/>
        <v>Tier 2 - Growth Markets</v>
      </c>
      <c r="AB573" s="3">
        <f t="shared" si="198"/>
        <v>110000.00000000001</v>
      </c>
      <c r="AC573" s="3">
        <f t="shared" si="199"/>
        <v>1500000</v>
      </c>
      <c r="AD573" s="3">
        <f t="shared" si="200"/>
        <v>450000</v>
      </c>
      <c r="AE573" s="5">
        <f t="shared" si="201"/>
        <v>4.4117647058823533</v>
      </c>
      <c r="AF573" s="10">
        <f t="shared" si="202"/>
        <v>545600.00000000012</v>
      </c>
      <c r="AG573" s="10">
        <f t="shared" si="203"/>
        <v>176000.00000000003</v>
      </c>
      <c r="AH573" s="10">
        <f t="shared" si="204"/>
        <v>88000.000000000015</v>
      </c>
      <c r="AI573" s="10">
        <f t="shared" si="205"/>
        <v>44000.000000000007</v>
      </c>
      <c r="AJ573" s="10">
        <f t="shared" si="206"/>
        <v>26400.000000000004</v>
      </c>
    </row>
    <row r="574" spans="1:36" x14ac:dyDescent="0.3">
      <c r="A574" t="s">
        <v>2293</v>
      </c>
      <c r="B574" t="s">
        <v>2294</v>
      </c>
      <c r="C574" t="s">
        <v>2295</v>
      </c>
      <c r="D574" t="s">
        <v>41</v>
      </c>
      <c r="E574">
        <v>32904</v>
      </c>
      <c r="F574" t="s">
        <v>15</v>
      </c>
      <c r="G574">
        <v>8</v>
      </c>
      <c r="H574">
        <v>120</v>
      </c>
      <c r="I574" t="str" cm="1">
        <f t="array" ref="I574">_xlfn.IFS(H574&lt;=120,"V1",H574&lt;=150,"V2",H574&lt;=250,"V3", H574&lt;=350, "V4")</f>
        <v>V1</v>
      </c>
      <c r="J574" t="s">
        <v>2296</v>
      </c>
      <c r="K574" t="str">
        <f t="shared" si="184"/>
        <v>28.037035</v>
      </c>
      <c r="L574" t="str">
        <f t="shared" si="185"/>
        <v>-80.664204</v>
      </c>
      <c r="M574">
        <v>8</v>
      </c>
      <c r="N574" s="1">
        <v>43085</v>
      </c>
      <c r="O574" s="1">
        <v>46099</v>
      </c>
      <c r="P574" s="2">
        <f t="shared" si="186"/>
        <v>8.2518822724161538</v>
      </c>
      <c r="Q574" s="2" t="str">
        <f t="shared" si="187"/>
        <v>Old</v>
      </c>
      <c r="R574">
        <f t="shared" si="188"/>
        <v>960</v>
      </c>
      <c r="S574" t="str">
        <f t="shared" si="189"/>
        <v>Small</v>
      </c>
      <c r="T574" t="str">
        <f t="shared" si="190"/>
        <v>High EV Adoption Corridor</v>
      </c>
      <c r="U574" s="3">
        <f t="shared" si="191"/>
        <v>1872000</v>
      </c>
      <c r="V574" s="4">
        <f t="shared" si="192"/>
        <v>414720</v>
      </c>
      <c r="W574" s="3">
        <f t="shared" si="193"/>
        <v>4224000</v>
      </c>
      <c r="X574" s="3">
        <f t="shared" si="194"/>
        <v>3888000</v>
      </c>
      <c r="Y574">
        <f t="shared" si="195"/>
        <v>0.21530864197530863</v>
      </c>
      <c r="Z574">
        <f t="shared" si="196"/>
        <v>0.77846153846153843</v>
      </c>
      <c r="AA574" t="str">
        <f t="shared" si="197"/>
        <v>Tier 3 - Upgrade Pipeline</v>
      </c>
      <c r="AB574" s="3">
        <f t="shared" si="198"/>
        <v>51840</v>
      </c>
      <c r="AC574" s="3">
        <f t="shared" si="199"/>
        <v>528000</v>
      </c>
      <c r="AD574" s="3">
        <f t="shared" si="200"/>
        <v>234000</v>
      </c>
      <c r="AE574" s="5">
        <f t="shared" si="201"/>
        <v>2.8985507246376812</v>
      </c>
      <c r="AF574" s="10">
        <f t="shared" si="202"/>
        <v>257126.39999999999</v>
      </c>
      <c r="AG574" s="10">
        <f t="shared" si="203"/>
        <v>82944</v>
      </c>
      <c r="AH574" s="10">
        <f t="shared" si="204"/>
        <v>41472</v>
      </c>
      <c r="AI574" s="10">
        <f t="shared" si="205"/>
        <v>20736</v>
      </c>
      <c r="AJ574" s="10">
        <f t="shared" si="206"/>
        <v>12441.6</v>
      </c>
    </row>
    <row r="575" spans="1:36" x14ac:dyDescent="0.3">
      <c r="A575" t="s">
        <v>2297</v>
      </c>
      <c r="B575" t="s">
        <v>2298</v>
      </c>
      <c r="C575" t="s">
        <v>2299</v>
      </c>
      <c r="D575" t="s">
        <v>14</v>
      </c>
      <c r="E575">
        <v>95337</v>
      </c>
      <c r="F575" t="s">
        <v>15</v>
      </c>
      <c r="G575">
        <v>20</v>
      </c>
      <c r="H575">
        <v>150</v>
      </c>
      <c r="I575" t="str" cm="1">
        <f t="array" ref="I575">_xlfn.IFS(H575&lt;=120,"V1",H575&lt;=150,"V2",H575&lt;=250,"V3", H575&lt;=350, "V4")</f>
        <v>V2</v>
      </c>
      <c r="J575" t="s">
        <v>2300</v>
      </c>
      <c r="K575" t="str">
        <f t="shared" si="184"/>
        <v>37.782622</v>
      </c>
      <c r="L575" t="str">
        <f t="shared" si="185"/>
        <v>-121.228683</v>
      </c>
      <c r="M575">
        <v>9</v>
      </c>
      <c r="N575" s="1">
        <v>42047</v>
      </c>
      <c r="O575" s="1">
        <v>46099</v>
      </c>
      <c r="P575" s="2">
        <f t="shared" si="186"/>
        <v>11.093771389459274</v>
      </c>
      <c r="Q575" s="2" t="str">
        <f t="shared" si="187"/>
        <v>Old</v>
      </c>
      <c r="R575">
        <f t="shared" si="188"/>
        <v>3000</v>
      </c>
      <c r="S575" t="str">
        <f t="shared" si="189"/>
        <v>Small</v>
      </c>
      <c r="T575" t="str">
        <f t="shared" si="190"/>
        <v>High EV Adoption Corridor</v>
      </c>
      <c r="U575" s="3">
        <f t="shared" si="191"/>
        <v>6435000</v>
      </c>
      <c r="V575" s="4">
        <f t="shared" si="192"/>
        <v>1440000</v>
      </c>
      <c r="W575" s="3">
        <f t="shared" si="193"/>
        <v>16500000.000000002</v>
      </c>
      <c r="X575" s="3">
        <f t="shared" si="194"/>
        <v>13500000</v>
      </c>
      <c r="Y575">
        <f t="shared" si="195"/>
        <v>0.22888888888888889</v>
      </c>
      <c r="Z575">
        <f t="shared" si="196"/>
        <v>0.77622377622377625</v>
      </c>
      <c r="AA575" t="str">
        <f t="shared" si="197"/>
        <v>Tier 3 - Upgrade Pipeline</v>
      </c>
      <c r="AB575" s="3">
        <f t="shared" si="198"/>
        <v>72000</v>
      </c>
      <c r="AC575" s="3">
        <f t="shared" si="199"/>
        <v>825000.00000000012</v>
      </c>
      <c r="AD575" s="3">
        <f t="shared" si="200"/>
        <v>321750</v>
      </c>
      <c r="AE575" s="5">
        <f t="shared" si="201"/>
        <v>3.3033033033033035</v>
      </c>
      <c r="AF575" s="10">
        <f t="shared" si="202"/>
        <v>892800</v>
      </c>
      <c r="AG575" s="10">
        <f t="shared" si="203"/>
        <v>288000</v>
      </c>
      <c r="AH575" s="10">
        <f t="shared" si="204"/>
        <v>144000</v>
      </c>
      <c r="AI575" s="10">
        <f t="shared" si="205"/>
        <v>72000</v>
      </c>
      <c r="AJ575" s="10">
        <f t="shared" si="206"/>
        <v>43200</v>
      </c>
    </row>
    <row r="576" spans="1:36" x14ac:dyDescent="0.3">
      <c r="A576" t="s">
        <v>2301</v>
      </c>
      <c r="B576" t="s">
        <v>2302</v>
      </c>
      <c r="C576" t="s">
        <v>2303</v>
      </c>
      <c r="D576" t="s">
        <v>230</v>
      </c>
      <c r="E576">
        <v>98826</v>
      </c>
      <c r="F576" t="s">
        <v>15</v>
      </c>
      <c r="G576">
        <v>16</v>
      </c>
      <c r="H576">
        <v>150</v>
      </c>
      <c r="I576" t="str" cm="1">
        <f t="array" ref="I576">_xlfn.IFS(H576&lt;=120,"V1",H576&lt;=150,"V2",H576&lt;=250,"V3", H576&lt;=350, "V4")</f>
        <v>V2</v>
      </c>
      <c r="J576" t="s">
        <v>2304</v>
      </c>
      <c r="K576" t="str">
        <f t="shared" si="184"/>
        <v>47.598608</v>
      </c>
      <c r="L576" t="str">
        <f t="shared" si="185"/>
        <v>-120.655636</v>
      </c>
      <c r="M576">
        <v>353</v>
      </c>
      <c r="N576" s="1">
        <v>43309</v>
      </c>
      <c r="O576" s="1">
        <v>46099</v>
      </c>
      <c r="P576" s="2">
        <f t="shared" si="186"/>
        <v>7.6386036960985626</v>
      </c>
      <c r="Q576" s="2" t="str">
        <f t="shared" si="187"/>
        <v>Mid</v>
      </c>
      <c r="R576">
        <f t="shared" si="188"/>
        <v>2400</v>
      </c>
      <c r="S576" t="str">
        <f t="shared" si="189"/>
        <v>Small</v>
      </c>
      <c r="T576" t="str">
        <f t="shared" si="190"/>
        <v>High EV Adoption Corridor</v>
      </c>
      <c r="U576" s="3">
        <f t="shared" si="191"/>
        <v>5148000.0000000009</v>
      </c>
      <c r="V576" s="4">
        <f t="shared" si="192"/>
        <v>1152000</v>
      </c>
      <c r="W576" s="3">
        <f t="shared" si="193"/>
        <v>13200000.000000002</v>
      </c>
      <c r="X576" s="3">
        <f t="shared" si="194"/>
        <v>10800000</v>
      </c>
      <c r="Y576">
        <f t="shared" si="195"/>
        <v>0.22888888888888889</v>
      </c>
      <c r="Z576">
        <f t="shared" si="196"/>
        <v>0.77622377622377625</v>
      </c>
      <c r="AA576" t="str">
        <f t="shared" si="197"/>
        <v>Tier 3 - Upgrade Pipeline</v>
      </c>
      <c r="AB576" s="3">
        <f t="shared" si="198"/>
        <v>72000</v>
      </c>
      <c r="AC576" s="3">
        <f t="shared" si="199"/>
        <v>825000.00000000012</v>
      </c>
      <c r="AD576" s="3">
        <f t="shared" si="200"/>
        <v>321750.00000000006</v>
      </c>
      <c r="AE576" s="5">
        <f t="shared" si="201"/>
        <v>3.303303303303303</v>
      </c>
      <c r="AF576" s="10">
        <f t="shared" si="202"/>
        <v>714240</v>
      </c>
      <c r="AG576" s="10">
        <f t="shared" si="203"/>
        <v>230400</v>
      </c>
      <c r="AH576" s="10">
        <f t="shared" si="204"/>
        <v>115200</v>
      </c>
      <c r="AI576" s="10">
        <f t="shared" si="205"/>
        <v>57600</v>
      </c>
      <c r="AJ576" s="10">
        <f t="shared" si="206"/>
        <v>34560</v>
      </c>
    </row>
    <row r="577" spans="1:36" x14ac:dyDescent="0.3">
      <c r="A577" t="s">
        <v>2305</v>
      </c>
      <c r="B577" t="s">
        <v>2306</v>
      </c>
      <c r="C577" t="s">
        <v>2307</v>
      </c>
      <c r="D577" t="s">
        <v>958</v>
      </c>
      <c r="E577">
        <v>4694</v>
      </c>
      <c r="F577" t="s">
        <v>15</v>
      </c>
      <c r="G577">
        <v>8</v>
      </c>
      <c r="H577">
        <v>150</v>
      </c>
      <c r="I577" t="str" cm="1">
        <f t="array" ref="I577">_xlfn.IFS(H577&lt;=120,"V1",H577&lt;=150,"V2",H577&lt;=250,"V3", H577&lt;=350, "V4")</f>
        <v>V2</v>
      </c>
      <c r="J577" t="s">
        <v>2308</v>
      </c>
      <c r="K577" t="str">
        <f t="shared" si="184"/>
        <v>45.123159</v>
      </c>
      <c r="L577" t="str">
        <f t="shared" si="185"/>
        <v>-67.348144</v>
      </c>
      <c r="M577">
        <v>34</v>
      </c>
      <c r="N577" s="1">
        <v>43720</v>
      </c>
      <c r="O577" s="1">
        <v>46099</v>
      </c>
      <c r="P577" s="2">
        <f t="shared" si="186"/>
        <v>6.5133470225872694</v>
      </c>
      <c r="Q577" s="2" t="str">
        <f t="shared" si="187"/>
        <v>Mid</v>
      </c>
      <c r="R577">
        <f t="shared" si="188"/>
        <v>1200</v>
      </c>
      <c r="S577" t="str">
        <f t="shared" si="189"/>
        <v>Small</v>
      </c>
      <c r="T577" t="str">
        <f t="shared" si="190"/>
        <v>Lower EV Adoption Corridor</v>
      </c>
      <c r="U577" s="3">
        <f t="shared" si="191"/>
        <v>1980000.0000000002</v>
      </c>
      <c r="V577" s="4">
        <f t="shared" si="192"/>
        <v>480000</v>
      </c>
      <c r="W577" s="3">
        <f t="shared" si="193"/>
        <v>6000000</v>
      </c>
      <c r="X577" s="3">
        <f t="shared" si="194"/>
        <v>3600000</v>
      </c>
      <c r="Y577">
        <f t="shared" si="195"/>
        <v>0.3</v>
      </c>
      <c r="Z577">
        <f t="shared" si="196"/>
        <v>0.75757575757575757</v>
      </c>
      <c r="AA577" t="str">
        <f t="shared" si="197"/>
        <v>Tier 4 - Stable Network</v>
      </c>
      <c r="AB577" s="3">
        <f t="shared" si="198"/>
        <v>60000</v>
      </c>
      <c r="AC577" s="3">
        <f t="shared" si="199"/>
        <v>750000</v>
      </c>
      <c r="AD577" s="3">
        <f t="shared" si="200"/>
        <v>247500.00000000003</v>
      </c>
      <c r="AE577" s="5">
        <f t="shared" si="201"/>
        <v>3.9999999999999996</v>
      </c>
      <c r="AF577" s="10">
        <f t="shared" si="202"/>
        <v>297600</v>
      </c>
      <c r="AG577" s="10">
        <f t="shared" si="203"/>
        <v>96000</v>
      </c>
      <c r="AH577" s="10">
        <f t="shared" si="204"/>
        <v>48000</v>
      </c>
      <c r="AI577" s="10">
        <f t="shared" si="205"/>
        <v>24000</v>
      </c>
      <c r="AJ577" s="10">
        <f t="shared" si="206"/>
        <v>14400</v>
      </c>
    </row>
    <row r="578" spans="1:36" x14ac:dyDescent="0.3">
      <c r="A578" t="s">
        <v>2309</v>
      </c>
      <c r="B578" t="s">
        <v>2310</v>
      </c>
      <c r="C578" t="s">
        <v>2311</v>
      </c>
      <c r="D578" t="s">
        <v>41</v>
      </c>
      <c r="E578">
        <v>33446</v>
      </c>
      <c r="F578" t="s">
        <v>15</v>
      </c>
      <c r="G578">
        <v>18</v>
      </c>
      <c r="H578">
        <v>120</v>
      </c>
      <c r="I578" t="str" cm="1">
        <f t="array" ref="I578">_xlfn.IFS(H578&lt;=120,"V1",H578&lt;=150,"V2",H578&lt;=250,"V3", H578&lt;=350, "V4")</f>
        <v>V1</v>
      </c>
      <c r="J578" t="s">
        <v>2312</v>
      </c>
      <c r="K578" t="str">
        <f t="shared" si="184"/>
        <v>26.455815</v>
      </c>
      <c r="L578" t="str">
        <f t="shared" si="185"/>
        <v>-80.190072</v>
      </c>
      <c r="M578">
        <v>6</v>
      </c>
      <c r="N578" s="1">
        <v>43282</v>
      </c>
      <c r="O578" s="1">
        <v>46099</v>
      </c>
      <c r="P578" s="2">
        <f t="shared" si="186"/>
        <v>7.7125256673511293</v>
      </c>
      <c r="Q578" s="2" t="str">
        <f t="shared" si="187"/>
        <v>Mid</v>
      </c>
      <c r="R578">
        <f t="shared" si="188"/>
        <v>2160</v>
      </c>
      <c r="S578" t="str">
        <f t="shared" si="189"/>
        <v>Small</v>
      </c>
      <c r="T578" t="str">
        <f t="shared" si="190"/>
        <v>High EV Adoption Corridor</v>
      </c>
      <c r="U578" s="3">
        <f t="shared" si="191"/>
        <v>4212000</v>
      </c>
      <c r="V578" s="4">
        <f t="shared" si="192"/>
        <v>933120</v>
      </c>
      <c r="W578" s="3">
        <f t="shared" si="193"/>
        <v>9504000</v>
      </c>
      <c r="X578" s="3">
        <f t="shared" si="194"/>
        <v>8748000</v>
      </c>
      <c r="Y578">
        <f t="shared" si="195"/>
        <v>0.21530864197530863</v>
      </c>
      <c r="Z578">
        <f t="shared" si="196"/>
        <v>0.77846153846153843</v>
      </c>
      <c r="AA578" t="str">
        <f t="shared" si="197"/>
        <v>Tier 3 - Upgrade Pipeline</v>
      </c>
      <c r="AB578" s="3">
        <f t="shared" si="198"/>
        <v>51840</v>
      </c>
      <c r="AC578" s="3">
        <f t="shared" si="199"/>
        <v>528000</v>
      </c>
      <c r="AD578" s="3">
        <f t="shared" si="200"/>
        <v>234000</v>
      </c>
      <c r="AE578" s="5">
        <f t="shared" si="201"/>
        <v>2.8985507246376812</v>
      </c>
      <c r="AF578" s="10">
        <f t="shared" si="202"/>
        <v>578534.40000000002</v>
      </c>
      <c r="AG578" s="10">
        <f t="shared" si="203"/>
        <v>186624</v>
      </c>
      <c r="AH578" s="10">
        <f t="shared" si="204"/>
        <v>93312</v>
      </c>
      <c r="AI578" s="10">
        <f t="shared" si="205"/>
        <v>46656</v>
      </c>
      <c r="AJ578" s="10">
        <f t="shared" si="206"/>
        <v>27993.599999999999</v>
      </c>
    </row>
    <row r="579" spans="1:36" x14ac:dyDescent="0.3">
      <c r="A579" t="s">
        <v>2313</v>
      </c>
      <c r="B579" t="s">
        <v>2314</v>
      </c>
      <c r="C579" t="s">
        <v>2291</v>
      </c>
      <c r="D579" t="s">
        <v>130</v>
      </c>
      <c r="E579">
        <v>46514</v>
      </c>
      <c r="F579" t="s">
        <v>15</v>
      </c>
      <c r="G579">
        <v>8</v>
      </c>
      <c r="H579">
        <v>250</v>
      </c>
      <c r="I579" t="str" cm="1">
        <f t="array" ref="I579">_xlfn.IFS(H579&lt;=120,"V1",H579&lt;=150,"V2",H579&lt;=250,"V3", H579&lt;=350, "V4")</f>
        <v>V3</v>
      </c>
      <c r="J579" t="s">
        <v>2315</v>
      </c>
      <c r="K579" t="str">
        <f t="shared" ref="K579:K642" si="207">TRIM(LEFT(J579, FIND(",", J579) - 1))</f>
        <v>41.732798</v>
      </c>
      <c r="L579" t="str">
        <f t="shared" ref="L579:L642" si="208">TRIM(MID(J579, FIND(",", J579) + 1, LEN(J579)))</f>
        <v>-86.004993</v>
      </c>
      <c r="M579">
        <v>241</v>
      </c>
      <c r="N579" s="1">
        <v>44553</v>
      </c>
      <c r="O579" s="1">
        <v>46099</v>
      </c>
      <c r="P579" s="2">
        <f t="shared" ref="P579:P642" si="209">(O579-N579)/365.25</f>
        <v>4.2327173169062284</v>
      </c>
      <c r="Q579" s="2" t="str">
        <f t="shared" ref="Q579:Q642" si="210">IF(P579&lt;3,"New",IF(P579&lt;=8,"Mid","Old"))</f>
        <v>Mid</v>
      </c>
      <c r="R579">
        <f t="shared" ref="R579:R642" si="211">G579*H579</f>
        <v>2000</v>
      </c>
      <c r="S579" t="str">
        <f t="shared" ref="S579:S642" si="212">IF(G579&lt;=30,"Small",IF(G579&lt;=60,"Medium","Large"))</f>
        <v>Small</v>
      </c>
      <c r="T579" t="str">
        <f t="shared" ref="T579:T642" si="213">IF(OR(D579="CA",D579="FL",D579="WA",D579="CO",D579="TX",D579="NJ"),"High EV Adoption Corridor","Lower EV Adoption Corridor")</f>
        <v>Lower EV Adoption Corridor</v>
      </c>
      <c r="U579" s="3">
        <f t="shared" ref="U579:U642" si="214" xml:space="preserve"> R579 * 1500 *
  IF(I579="V1",1,
     IF(I579="V2",1.1,1.2)) *
  IF(T579="High EV Adoption Corridor",1.3,1)</f>
        <v>3600000</v>
      </c>
      <c r="V579" s="4">
        <f t="shared" ref="V579:V642" si="215" xml:space="preserve"> R579 * 400 *
  IF(I579="V1",0.9,
     IF(I579="V2",1,1.1)) *
  IF(T579="High EV Adoption Corridor",1.2,1)</f>
        <v>880000.00000000012</v>
      </c>
      <c r="W579" s="3">
        <f t="shared" ref="W579:W642" si="216" xml:space="preserve"> R579 * 5000 *
  IF(I579="V1",0.8,
     IF(I579="V2",1,1.2)) *
  IF(T579="High EV Adoption Corridor",1.1,1)</f>
        <v>12000000</v>
      </c>
      <c r="X579" s="3">
        <f t="shared" ref="X579:X642" si="217" xml:space="preserve"> R579 * 3000 *
  IF(I579="V1",0.9,
     IF(I579="V2",1,1.1)) *
  IF(T579="High EV Adoption Corridor",1.5,1)</f>
        <v>6600000.0000000009</v>
      </c>
      <c r="Y579">
        <f t="shared" ref="Y579:Y642" si="218" xml:space="preserve"> ((W579/10) + V579) / X579</f>
        <v>0.31515151515151513</v>
      </c>
      <c r="Z579">
        <f t="shared" ref="Z579:Z642" si="219">(U579-V579)/U579</f>
        <v>0.75555555555555554</v>
      </c>
      <c r="AA579" t="str">
        <f t="shared" ref="AA579:AA642" si="220">IF(AND(I579="V3",T579="High EV Adoption Corridor"),
"Tier 1 - Priority Fleet",
IF(AND(I579="V3",T579="Lower EV Adoption Corridor"),
"Tier 2 - Growth Markets",
IF(AND(OR(I579="V1",I579="V2"),T579="High EV Adoption Corridor"),
"Tier 3 - Upgrade Pipeline",
IF(AND(I579="V2",T579="Lower EV Adoption Corridor"),
"Tier 4 - Stable Network",
"Tier 5 - Retirement Pipeline"))))</f>
        <v>Tier 2 - Growth Markets</v>
      </c>
      <c r="AB579" s="3">
        <f t="shared" ref="AB579:AB642" si="221">V579/G579</f>
        <v>110000.00000000001</v>
      </c>
      <c r="AC579" s="3">
        <f t="shared" ref="AC579:AC642" si="222">W579/G579</f>
        <v>1500000</v>
      </c>
      <c r="AD579" s="3">
        <f t="shared" ref="AD579:AD642" si="223">U579/G579</f>
        <v>450000</v>
      </c>
      <c r="AE579" s="5">
        <f t="shared" ref="AE579:AE642" si="224">W579/(U579-V579)</f>
        <v>4.4117647058823533</v>
      </c>
      <c r="AF579" s="10">
        <f t="shared" ref="AF579:AF642" si="225">V579*0.62</f>
        <v>545600.00000000012</v>
      </c>
      <c r="AG579" s="10">
        <f t="shared" ref="AG579:AG642" si="226">V579*0.2</f>
        <v>176000.00000000003</v>
      </c>
      <c r="AH579" s="10">
        <f t="shared" ref="AH579:AH642" si="227">V579*0.1</f>
        <v>88000.000000000015</v>
      </c>
      <c r="AI579" s="10">
        <f t="shared" ref="AI579:AI642" si="228">V579*0.05</f>
        <v>44000.000000000007</v>
      </c>
      <c r="AJ579" s="10">
        <f t="shared" ref="AJ579:AJ642" si="229">V579*0.03</f>
        <v>26400.000000000004</v>
      </c>
    </row>
    <row r="580" spans="1:36" x14ac:dyDescent="0.3">
      <c r="A580" t="s">
        <v>2316</v>
      </c>
      <c r="B580" t="s">
        <v>2317</v>
      </c>
      <c r="C580" t="s">
        <v>2318</v>
      </c>
      <c r="D580" t="s">
        <v>153</v>
      </c>
      <c r="E580">
        <v>17403</v>
      </c>
      <c r="F580" t="s">
        <v>15</v>
      </c>
      <c r="G580">
        <v>8</v>
      </c>
      <c r="H580">
        <v>120</v>
      </c>
      <c r="I580" t="str" cm="1">
        <f t="array" ref="I580">_xlfn.IFS(H580&lt;=120,"V1",H580&lt;=150,"V2",H580&lt;=250,"V3", H580&lt;=350, "V4")</f>
        <v>V1</v>
      </c>
      <c r="J580" t="s">
        <v>2319</v>
      </c>
      <c r="K580" t="str">
        <f t="shared" si="207"/>
        <v>39.9102501</v>
      </c>
      <c r="L580" t="str">
        <f t="shared" si="208"/>
        <v>-76.7015182</v>
      </c>
      <c r="M580">
        <v>220</v>
      </c>
      <c r="N580" s="1">
        <v>43313</v>
      </c>
      <c r="O580" s="1">
        <v>46099</v>
      </c>
      <c r="P580" s="2">
        <f t="shared" si="209"/>
        <v>7.6276522929500343</v>
      </c>
      <c r="Q580" s="2" t="str">
        <f t="shared" si="210"/>
        <v>Mid</v>
      </c>
      <c r="R580">
        <f t="shared" si="211"/>
        <v>960</v>
      </c>
      <c r="S580" t="str">
        <f t="shared" si="212"/>
        <v>Small</v>
      </c>
      <c r="T580" t="str">
        <f t="shared" si="213"/>
        <v>Lower EV Adoption Corridor</v>
      </c>
      <c r="U580" s="3">
        <f t="shared" si="214"/>
        <v>1440000</v>
      </c>
      <c r="V580" s="4">
        <f t="shared" si="215"/>
        <v>345600</v>
      </c>
      <c r="W580" s="3">
        <f t="shared" si="216"/>
        <v>3840000</v>
      </c>
      <c r="X580" s="3">
        <f t="shared" si="217"/>
        <v>2592000</v>
      </c>
      <c r="Y580">
        <f t="shared" si="218"/>
        <v>0.2814814814814815</v>
      </c>
      <c r="Z580">
        <f t="shared" si="219"/>
        <v>0.76</v>
      </c>
      <c r="AA580" t="str">
        <f t="shared" si="220"/>
        <v>Tier 5 - Retirement Pipeline</v>
      </c>
      <c r="AB580" s="3">
        <f t="shared" si="221"/>
        <v>43200</v>
      </c>
      <c r="AC580" s="3">
        <f t="shared" si="222"/>
        <v>480000</v>
      </c>
      <c r="AD580" s="3">
        <f t="shared" si="223"/>
        <v>180000</v>
      </c>
      <c r="AE580" s="5">
        <f t="shared" si="224"/>
        <v>3.5087719298245612</v>
      </c>
      <c r="AF580" s="10">
        <f t="shared" si="225"/>
        <v>214272</v>
      </c>
      <c r="AG580" s="10">
        <f t="shared" si="226"/>
        <v>69120</v>
      </c>
      <c r="AH580" s="10">
        <f t="shared" si="227"/>
        <v>34560</v>
      </c>
      <c r="AI580" s="10">
        <f t="shared" si="228"/>
        <v>17280</v>
      </c>
      <c r="AJ580" s="10">
        <f t="shared" si="229"/>
        <v>10368</v>
      </c>
    </row>
    <row r="581" spans="1:36" x14ac:dyDescent="0.3">
      <c r="A581" t="s">
        <v>2320</v>
      </c>
      <c r="B581" t="s">
        <v>2321</v>
      </c>
      <c r="C581" t="s">
        <v>2322</v>
      </c>
      <c r="D581" t="s">
        <v>321</v>
      </c>
      <c r="E581">
        <v>2048</v>
      </c>
      <c r="F581" t="s">
        <v>15</v>
      </c>
      <c r="G581">
        <v>8</v>
      </c>
      <c r="H581">
        <v>150</v>
      </c>
      <c r="I581" t="str" cm="1">
        <f t="array" ref="I581">_xlfn.IFS(H581&lt;=120,"V1",H581&lt;=150,"V2",H581&lt;=250,"V3", H581&lt;=350, "V4")</f>
        <v>V2</v>
      </c>
      <c r="J581" t="s">
        <v>2323</v>
      </c>
      <c r="K581" t="str">
        <f t="shared" si="207"/>
        <v>42.013729</v>
      </c>
      <c r="L581" t="str">
        <f t="shared" si="208"/>
        <v>-71.231754</v>
      </c>
      <c r="M581">
        <v>45</v>
      </c>
      <c r="N581" s="1">
        <v>43281</v>
      </c>
      <c r="O581" s="1">
        <v>46099</v>
      </c>
      <c r="P581" s="2">
        <f t="shared" si="209"/>
        <v>7.7152635181382614</v>
      </c>
      <c r="Q581" s="2" t="str">
        <f t="shared" si="210"/>
        <v>Mid</v>
      </c>
      <c r="R581">
        <f t="shared" si="211"/>
        <v>1200</v>
      </c>
      <c r="S581" t="str">
        <f t="shared" si="212"/>
        <v>Small</v>
      </c>
      <c r="T581" t="str">
        <f t="shared" si="213"/>
        <v>Lower EV Adoption Corridor</v>
      </c>
      <c r="U581" s="3">
        <f t="shared" si="214"/>
        <v>1980000.0000000002</v>
      </c>
      <c r="V581" s="4">
        <f t="shared" si="215"/>
        <v>480000</v>
      </c>
      <c r="W581" s="3">
        <f t="shared" si="216"/>
        <v>6000000</v>
      </c>
      <c r="X581" s="3">
        <f t="shared" si="217"/>
        <v>3600000</v>
      </c>
      <c r="Y581">
        <f t="shared" si="218"/>
        <v>0.3</v>
      </c>
      <c r="Z581">
        <f t="shared" si="219"/>
        <v>0.75757575757575757</v>
      </c>
      <c r="AA581" t="str">
        <f t="shared" si="220"/>
        <v>Tier 4 - Stable Network</v>
      </c>
      <c r="AB581" s="3">
        <f t="shared" si="221"/>
        <v>60000</v>
      </c>
      <c r="AC581" s="3">
        <f t="shared" si="222"/>
        <v>750000</v>
      </c>
      <c r="AD581" s="3">
        <f t="shared" si="223"/>
        <v>247500.00000000003</v>
      </c>
      <c r="AE581" s="5">
        <f t="shared" si="224"/>
        <v>3.9999999999999996</v>
      </c>
      <c r="AF581" s="10">
        <f t="shared" si="225"/>
        <v>297600</v>
      </c>
      <c r="AG581" s="10">
        <f t="shared" si="226"/>
        <v>96000</v>
      </c>
      <c r="AH581" s="10">
        <f t="shared" si="227"/>
        <v>48000</v>
      </c>
      <c r="AI581" s="10">
        <f t="shared" si="228"/>
        <v>24000</v>
      </c>
      <c r="AJ581" s="10">
        <f t="shared" si="229"/>
        <v>14400</v>
      </c>
    </row>
    <row r="582" spans="1:36" x14ac:dyDescent="0.3">
      <c r="A582" t="s">
        <v>2324</v>
      </c>
      <c r="B582" t="s">
        <v>2325</v>
      </c>
      <c r="C582" t="s">
        <v>2326</v>
      </c>
      <c r="D582" t="s">
        <v>184</v>
      </c>
      <c r="E582">
        <v>44870</v>
      </c>
      <c r="F582" t="s">
        <v>15</v>
      </c>
      <c r="G582">
        <v>10</v>
      </c>
      <c r="H582">
        <v>150</v>
      </c>
      <c r="I582" t="str" cm="1">
        <f t="array" ref="I582">_xlfn.IFS(H582&lt;=120,"V1",H582&lt;=150,"V2",H582&lt;=250,"V3", H582&lt;=350, "V4")</f>
        <v>V2</v>
      </c>
      <c r="J582" t="s">
        <v>2327</v>
      </c>
      <c r="K582" t="str">
        <f t="shared" si="207"/>
        <v>41.410173</v>
      </c>
      <c r="L582" t="str">
        <f t="shared" si="208"/>
        <v>-82.662914</v>
      </c>
      <c r="M582">
        <v>185</v>
      </c>
      <c r="N582" s="1">
        <v>43284</v>
      </c>
      <c r="O582" s="1">
        <v>46099</v>
      </c>
      <c r="P582" s="2">
        <f t="shared" si="209"/>
        <v>7.7070499657768652</v>
      </c>
      <c r="Q582" s="2" t="str">
        <f t="shared" si="210"/>
        <v>Mid</v>
      </c>
      <c r="R582">
        <f t="shared" si="211"/>
        <v>1500</v>
      </c>
      <c r="S582" t="str">
        <f t="shared" si="212"/>
        <v>Small</v>
      </c>
      <c r="T582" t="str">
        <f t="shared" si="213"/>
        <v>Lower EV Adoption Corridor</v>
      </c>
      <c r="U582" s="3">
        <f t="shared" si="214"/>
        <v>2475000</v>
      </c>
      <c r="V582" s="4">
        <f t="shared" si="215"/>
        <v>600000</v>
      </c>
      <c r="W582" s="3">
        <f t="shared" si="216"/>
        <v>7500000</v>
      </c>
      <c r="X582" s="3">
        <f t="shared" si="217"/>
        <v>4500000</v>
      </c>
      <c r="Y582">
        <f t="shared" si="218"/>
        <v>0.3</v>
      </c>
      <c r="Z582">
        <f t="shared" si="219"/>
        <v>0.75757575757575757</v>
      </c>
      <c r="AA582" t="str">
        <f t="shared" si="220"/>
        <v>Tier 4 - Stable Network</v>
      </c>
      <c r="AB582" s="3">
        <f t="shared" si="221"/>
        <v>60000</v>
      </c>
      <c r="AC582" s="3">
        <f t="shared" si="222"/>
        <v>750000</v>
      </c>
      <c r="AD582" s="3">
        <f t="shared" si="223"/>
        <v>247500</v>
      </c>
      <c r="AE582" s="5">
        <f t="shared" si="224"/>
        <v>4</v>
      </c>
      <c r="AF582" s="10">
        <f t="shared" si="225"/>
        <v>372000</v>
      </c>
      <c r="AG582" s="10">
        <f t="shared" si="226"/>
        <v>120000</v>
      </c>
      <c r="AH582" s="10">
        <f t="shared" si="227"/>
        <v>60000</v>
      </c>
      <c r="AI582" s="10">
        <f t="shared" si="228"/>
        <v>30000</v>
      </c>
      <c r="AJ582" s="10">
        <f t="shared" si="229"/>
        <v>18000</v>
      </c>
    </row>
    <row r="583" spans="1:36" x14ac:dyDescent="0.3">
      <c r="A583" t="s">
        <v>2328</v>
      </c>
      <c r="B583" t="s">
        <v>2329</v>
      </c>
      <c r="C583" t="s">
        <v>2330</v>
      </c>
      <c r="D583" t="s">
        <v>2013</v>
      </c>
      <c r="E583">
        <v>58401</v>
      </c>
      <c r="F583" t="s">
        <v>15</v>
      </c>
      <c r="G583">
        <v>8</v>
      </c>
      <c r="H583">
        <v>250</v>
      </c>
      <c r="I583" t="str" cm="1">
        <f t="array" ref="I583">_xlfn.IFS(H583&lt;=120,"V1",H583&lt;=150,"V2",H583&lt;=250,"V3", H583&lt;=350, "V4")</f>
        <v>V3</v>
      </c>
      <c r="J583" t="s">
        <v>2331</v>
      </c>
      <c r="K583" t="str">
        <f t="shared" si="207"/>
        <v>46.884658</v>
      </c>
      <c r="L583" t="str">
        <f t="shared" si="208"/>
        <v>-98.719555</v>
      </c>
      <c r="M583">
        <v>447</v>
      </c>
      <c r="N583" s="1">
        <v>43999</v>
      </c>
      <c r="O583" s="1">
        <v>46099</v>
      </c>
      <c r="P583" s="2">
        <f t="shared" si="209"/>
        <v>5.7494866529774127</v>
      </c>
      <c r="Q583" s="2" t="str">
        <f t="shared" si="210"/>
        <v>Mid</v>
      </c>
      <c r="R583">
        <f t="shared" si="211"/>
        <v>2000</v>
      </c>
      <c r="S583" t="str">
        <f t="shared" si="212"/>
        <v>Small</v>
      </c>
      <c r="T583" t="str">
        <f t="shared" si="213"/>
        <v>Lower EV Adoption Corridor</v>
      </c>
      <c r="U583" s="3">
        <f t="shared" si="214"/>
        <v>3600000</v>
      </c>
      <c r="V583" s="4">
        <f t="shared" si="215"/>
        <v>880000.00000000012</v>
      </c>
      <c r="W583" s="3">
        <f t="shared" si="216"/>
        <v>12000000</v>
      </c>
      <c r="X583" s="3">
        <f t="shared" si="217"/>
        <v>6600000.0000000009</v>
      </c>
      <c r="Y583">
        <f t="shared" si="218"/>
        <v>0.31515151515151513</v>
      </c>
      <c r="Z583">
        <f t="shared" si="219"/>
        <v>0.75555555555555554</v>
      </c>
      <c r="AA583" t="str">
        <f t="shared" si="220"/>
        <v>Tier 2 - Growth Markets</v>
      </c>
      <c r="AB583" s="3">
        <f t="shared" si="221"/>
        <v>110000.00000000001</v>
      </c>
      <c r="AC583" s="3">
        <f t="shared" si="222"/>
        <v>1500000</v>
      </c>
      <c r="AD583" s="3">
        <f t="shared" si="223"/>
        <v>450000</v>
      </c>
      <c r="AE583" s="5">
        <f t="shared" si="224"/>
        <v>4.4117647058823533</v>
      </c>
      <c r="AF583" s="10">
        <f t="shared" si="225"/>
        <v>545600.00000000012</v>
      </c>
      <c r="AG583" s="10">
        <f t="shared" si="226"/>
        <v>176000.00000000003</v>
      </c>
      <c r="AH583" s="10">
        <f t="shared" si="227"/>
        <v>88000.000000000015</v>
      </c>
      <c r="AI583" s="10">
        <f t="shared" si="228"/>
        <v>44000.000000000007</v>
      </c>
      <c r="AJ583" s="10">
        <f t="shared" si="229"/>
        <v>26400.000000000004</v>
      </c>
    </row>
    <row r="584" spans="1:36" x14ac:dyDescent="0.3">
      <c r="A584" t="s">
        <v>2332</v>
      </c>
      <c r="B584" t="s">
        <v>2333</v>
      </c>
      <c r="C584" t="s">
        <v>2334</v>
      </c>
      <c r="D584" t="s">
        <v>41</v>
      </c>
      <c r="E584">
        <v>32466</v>
      </c>
      <c r="F584" t="s">
        <v>15</v>
      </c>
      <c r="G584">
        <v>8</v>
      </c>
      <c r="H584">
        <v>150</v>
      </c>
      <c r="I584" t="str" cm="1">
        <f t="array" ref="I584">_xlfn.IFS(H584&lt;=120,"V1",H584&lt;=150,"V2",H584&lt;=250,"V3", H584&lt;=350, "V4")</f>
        <v>V2</v>
      </c>
      <c r="J584" t="s">
        <v>2335</v>
      </c>
      <c r="K584" t="str">
        <f t="shared" si="207"/>
        <v>30.254019</v>
      </c>
      <c r="L584" t="str">
        <f t="shared" si="208"/>
        <v>-81.536459</v>
      </c>
      <c r="M584">
        <v>12</v>
      </c>
      <c r="N584" s="1">
        <v>43341</v>
      </c>
      <c r="O584" s="1">
        <v>46099</v>
      </c>
      <c r="P584" s="2">
        <f t="shared" si="209"/>
        <v>7.5509924709103355</v>
      </c>
      <c r="Q584" s="2" t="str">
        <f t="shared" si="210"/>
        <v>Mid</v>
      </c>
      <c r="R584">
        <f t="shared" si="211"/>
        <v>1200</v>
      </c>
      <c r="S584" t="str">
        <f t="shared" si="212"/>
        <v>Small</v>
      </c>
      <c r="T584" t="str">
        <f t="shared" si="213"/>
        <v>High EV Adoption Corridor</v>
      </c>
      <c r="U584" s="3">
        <f t="shared" si="214"/>
        <v>2574000.0000000005</v>
      </c>
      <c r="V584" s="4">
        <f t="shared" si="215"/>
        <v>576000</v>
      </c>
      <c r="W584" s="3">
        <f t="shared" si="216"/>
        <v>6600000.0000000009</v>
      </c>
      <c r="X584" s="3">
        <f t="shared" si="217"/>
        <v>5400000</v>
      </c>
      <c r="Y584">
        <f t="shared" si="218"/>
        <v>0.22888888888888889</v>
      </c>
      <c r="Z584">
        <f t="shared" si="219"/>
        <v>0.77622377622377625</v>
      </c>
      <c r="AA584" t="str">
        <f t="shared" si="220"/>
        <v>Tier 3 - Upgrade Pipeline</v>
      </c>
      <c r="AB584" s="3">
        <f t="shared" si="221"/>
        <v>72000</v>
      </c>
      <c r="AC584" s="3">
        <f t="shared" si="222"/>
        <v>825000.00000000012</v>
      </c>
      <c r="AD584" s="3">
        <f t="shared" si="223"/>
        <v>321750.00000000006</v>
      </c>
      <c r="AE584" s="5">
        <f t="shared" si="224"/>
        <v>3.303303303303303</v>
      </c>
      <c r="AF584" s="10">
        <f t="shared" si="225"/>
        <v>357120</v>
      </c>
      <c r="AG584" s="10">
        <f t="shared" si="226"/>
        <v>115200</v>
      </c>
      <c r="AH584" s="10">
        <f t="shared" si="227"/>
        <v>57600</v>
      </c>
      <c r="AI584" s="10">
        <f t="shared" si="228"/>
        <v>28800</v>
      </c>
      <c r="AJ584" s="10">
        <f t="shared" si="229"/>
        <v>17280</v>
      </c>
    </row>
    <row r="585" spans="1:36" x14ac:dyDescent="0.3">
      <c r="A585" t="s">
        <v>2336</v>
      </c>
      <c r="B585" t="s">
        <v>2337</v>
      </c>
      <c r="C585" t="s">
        <v>2338</v>
      </c>
      <c r="D585" t="s">
        <v>50</v>
      </c>
      <c r="E585">
        <v>77340</v>
      </c>
      <c r="F585" t="s">
        <v>15</v>
      </c>
      <c r="G585">
        <v>6</v>
      </c>
      <c r="H585">
        <v>125</v>
      </c>
      <c r="I585" t="str" cm="1">
        <f t="array" ref="I585">_xlfn.IFS(H585&lt;=120,"V1",H585&lt;=150,"V2",H585&lt;=250,"V3", H585&lt;=350, "V4")</f>
        <v>V2</v>
      </c>
      <c r="J585" t="s">
        <v>2339</v>
      </c>
      <c r="K585" t="str">
        <f t="shared" si="207"/>
        <v>30.716158</v>
      </c>
      <c r="L585" t="str">
        <f t="shared" si="208"/>
        <v>-95.565944</v>
      </c>
      <c r="M585">
        <v>123</v>
      </c>
      <c r="N585" s="1">
        <v>41598</v>
      </c>
      <c r="O585" s="1">
        <v>46099</v>
      </c>
      <c r="P585" s="2">
        <f t="shared" si="209"/>
        <v>12.323066392881588</v>
      </c>
      <c r="Q585" s="2" t="str">
        <f t="shared" si="210"/>
        <v>Old</v>
      </c>
      <c r="R585">
        <f t="shared" si="211"/>
        <v>750</v>
      </c>
      <c r="S585" t="str">
        <f t="shared" si="212"/>
        <v>Small</v>
      </c>
      <c r="T585" t="str">
        <f t="shared" si="213"/>
        <v>High EV Adoption Corridor</v>
      </c>
      <c r="U585" s="3">
        <f t="shared" si="214"/>
        <v>1608750</v>
      </c>
      <c r="V585" s="4">
        <f t="shared" si="215"/>
        <v>360000</v>
      </c>
      <c r="W585" s="3">
        <f t="shared" si="216"/>
        <v>4125000.0000000005</v>
      </c>
      <c r="X585" s="3">
        <f t="shared" si="217"/>
        <v>3375000</v>
      </c>
      <c r="Y585">
        <f t="shared" si="218"/>
        <v>0.22888888888888889</v>
      </c>
      <c r="Z585">
        <f t="shared" si="219"/>
        <v>0.77622377622377625</v>
      </c>
      <c r="AA585" t="str">
        <f t="shared" si="220"/>
        <v>Tier 3 - Upgrade Pipeline</v>
      </c>
      <c r="AB585" s="3">
        <f t="shared" si="221"/>
        <v>60000</v>
      </c>
      <c r="AC585" s="3">
        <f t="shared" si="222"/>
        <v>687500.00000000012</v>
      </c>
      <c r="AD585" s="3">
        <f t="shared" si="223"/>
        <v>268125</v>
      </c>
      <c r="AE585" s="5">
        <f t="shared" si="224"/>
        <v>3.3033033033033035</v>
      </c>
      <c r="AF585" s="10">
        <f t="shared" si="225"/>
        <v>223200</v>
      </c>
      <c r="AG585" s="10">
        <f t="shared" si="226"/>
        <v>72000</v>
      </c>
      <c r="AH585" s="10">
        <f t="shared" si="227"/>
        <v>36000</v>
      </c>
      <c r="AI585" s="10">
        <f t="shared" si="228"/>
        <v>18000</v>
      </c>
      <c r="AJ585" s="10">
        <f t="shared" si="229"/>
        <v>10800</v>
      </c>
    </row>
    <row r="586" spans="1:36" x14ac:dyDescent="0.3">
      <c r="A586" t="s">
        <v>2340</v>
      </c>
      <c r="B586" t="s">
        <v>2341</v>
      </c>
      <c r="C586" t="s">
        <v>2342</v>
      </c>
      <c r="D586" t="s">
        <v>59</v>
      </c>
      <c r="E586">
        <v>61761</v>
      </c>
      <c r="F586" t="s">
        <v>15</v>
      </c>
      <c r="G586">
        <v>8</v>
      </c>
      <c r="H586">
        <v>150</v>
      </c>
      <c r="I586" t="str" cm="1">
        <f t="array" ref="I586">_xlfn.IFS(H586&lt;=120,"V1",H586&lt;=150,"V2",H586&lt;=250,"V3", H586&lt;=350, "V4")</f>
        <v>V2</v>
      </c>
      <c r="J586" t="s">
        <v>2343</v>
      </c>
      <c r="K586" t="str">
        <f t="shared" si="207"/>
        <v>40.508497</v>
      </c>
      <c r="L586" t="str">
        <f t="shared" si="208"/>
        <v>-88.985575</v>
      </c>
      <c r="M586">
        <v>236</v>
      </c>
      <c r="N586" s="1">
        <v>41451</v>
      </c>
      <c r="O586" s="1">
        <v>46099</v>
      </c>
      <c r="P586" s="2">
        <f t="shared" si="209"/>
        <v>12.725530458590006</v>
      </c>
      <c r="Q586" s="2" t="str">
        <f t="shared" si="210"/>
        <v>Old</v>
      </c>
      <c r="R586">
        <f t="shared" si="211"/>
        <v>1200</v>
      </c>
      <c r="S586" t="str">
        <f t="shared" si="212"/>
        <v>Small</v>
      </c>
      <c r="T586" t="str">
        <f t="shared" si="213"/>
        <v>Lower EV Adoption Corridor</v>
      </c>
      <c r="U586" s="3">
        <f t="shared" si="214"/>
        <v>1980000.0000000002</v>
      </c>
      <c r="V586" s="4">
        <f t="shared" si="215"/>
        <v>480000</v>
      </c>
      <c r="W586" s="3">
        <f t="shared" si="216"/>
        <v>6000000</v>
      </c>
      <c r="X586" s="3">
        <f t="shared" si="217"/>
        <v>3600000</v>
      </c>
      <c r="Y586">
        <f t="shared" si="218"/>
        <v>0.3</v>
      </c>
      <c r="Z586">
        <f t="shared" si="219"/>
        <v>0.75757575757575757</v>
      </c>
      <c r="AA586" t="str">
        <f t="shared" si="220"/>
        <v>Tier 4 - Stable Network</v>
      </c>
      <c r="AB586" s="3">
        <f t="shared" si="221"/>
        <v>60000</v>
      </c>
      <c r="AC586" s="3">
        <f t="shared" si="222"/>
        <v>750000</v>
      </c>
      <c r="AD586" s="3">
        <f t="shared" si="223"/>
        <v>247500.00000000003</v>
      </c>
      <c r="AE586" s="5">
        <f t="shared" si="224"/>
        <v>3.9999999999999996</v>
      </c>
      <c r="AF586" s="10">
        <f t="shared" si="225"/>
        <v>297600</v>
      </c>
      <c r="AG586" s="10">
        <f t="shared" si="226"/>
        <v>96000</v>
      </c>
      <c r="AH586" s="10">
        <f t="shared" si="227"/>
        <v>48000</v>
      </c>
      <c r="AI586" s="10">
        <f t="shared" si="228"/>
        <v>24000</v>
      </c>
      <c r="AJ586" s="10">
        <f t="shared" si="229"/>
        <v>14400</v>
      </c>
    </row>
    <row r="587" spans="1:36" x14ac:dyDescent="0.3">
      <c r="A587" t="s">
        <v>2344</v>
      </c>
      <c r="B587" t="s">
        <v>2345</v>
      </c>
      <c r="C587" t="s">
        <v>2346</v>
      </c>
      <c r="D587" t="s">
        <v>120</v>
      </c>
      <c r="E587">
        <v>57262</v>
      </c>
      <c r="F587" t="s">
        <v>15</v>
      </c>
      <c r="G587">
        <v>8</v>
      </c>
      <c r="H587">
        <v>250</v>
      </c>
      <c r="I587" t="str" cm="1">
        <f t="array" ref="I587">_xlfn.IFS(H587&lt;=120,"V1",H587&lt;=150,"V2",H587&lt;=250,"V3", H587&lt;=350, "V4")</f>
        <v>V3</v>
      </c>
      <c r="J587" t="s">
        <v>2347</v>
      </c>
      <c r="K587" t="str">
        <f t="shared" si="207"/>
        <v>45.65847</v>
      </c>
      <c r="L587" t="str">
        <f t="shared" si="208"/>
        <v>-97.017933</v>
      </c>
      <c r="M587">
        <v>361</v>
      </c>
      <c r="N587" s="1">
        <v>44986</v>
      </c>
      <c r="O587" s="1">
        <v>46099</v>
      </c>
      <c r="P587" s="2">
        <f t="shared" si="209"/>
        <v>3.0472279260780288</v>
      </c>
      <c r="Q587" s="2" t="str">
        <f t="shared" si="210"/>
        <v>Mid</v>
      </c>
      <c r="R587">
        <f t="shared" si="211"/>
        <v>2000</v>
      </c>
      <c r="S587" t="str">
        <f t="shared" si="212"/>
        <v>Small</v>
      </c>
      <c r="T587" t="str">
        <f t="shared" si="213"/>
        <v>Lower EV Adoption Corridor</v>
      </c>
      <c r="U587" s="3">
        <f t="shared" si="214"/>
        <v>3600000</v>
      </c>
      <c r="V587" s="4">
        <f t="shared" si="215"/>
        <v>880000.00000000012</v>
      </c>
      <c r="W587" s="3">
        <f t="shared" si="216"/>
        <v>12000000</v>
      </c>
      <c r="X587" s="3">
        <f t="shared" si="217"/>
        <v>6600000.0000000009</v>
      </c>
      <c r="Y587">
        <f t="shared" si="218"/>
        <v>0.31515151515151513</v>
      </c>
      <c r="Z587">
        <f t="shared" si="219"/>
        <v>0.75555555555555554</v>
      </c>
      <c r="AA587" t="str">
        <f t="shared" si="220"/>
        <v>Tier 2 - Growth Markets</v>
      </c>
      <c r="AB587" s="3">
        <f t="shared" si="221"/>
        <v>110000.00000000001</v>
      </c>
      <c r="AC587" s="3">
        <f t="shared" si="222"/>
        <v>1500000</v>
      </c>
      <c r="AD587" s="3">
        <f t="shared" si="223"/>
        <v>450000</v>
      </c>
      <c r="AE587" s="5">
        <f t="shared" si="224"/>
        <v>4.4117647058823533</v>
      </c>
      <c r="AF587" s="10">
        <f t="shared" si="225"/>
        <v>545600.00000000012</v>
      </c>
      <c r="AG587" s="10">
        <f t="shared" si="226"/>
        <v>176000.00000000003</v>
      </c>
      <c r="AH587" s="10">
        <f t="shared" si="227"/>
        <v>88000.000000000015</v>
      </c>
      <c r="AI587" s="10">
        <f t="shared" si="228"/>
        <v>44000.000000000007</v>
      </c>
      <c r="AJ587" s="10">
        <f t="shared" si="229"/>
        <v>26400.000000000004</v>
      </c>
    </row>
    <row r="588" spans="1:36" x14ac:dyDescent="0.3">
      <c r="A588" t="s">
        <v>2348</v>
      </c>
      <c r="B588" t="s">
        <v>2349</v>
      </c>
      <c r="C588" t="s">
        <v>2350</v>
      </c>
      <c r="D588" t="s">
        <v>294</v>
      </c>
      <c r="E588">
        <v>37211</v>
      </c>
      <c r="F588" t="s">
        <v>15</v>
      </c>
      <c r="G588">
        <v>24</v>
      </c>
      <c r="H588">
        <v>250</v>
      </c>
      <c r="I588" t="str" cm="1">
        <f t="array" ref="I588">_xlfn.IFS(H588&lt;=120,"V1",H588&lt;=150,"V2",H588&lt;=250,"V3", H588&lt;=350, "V4")</f>
        <v>V3</v>
      </c>
      <c r="J588" t="s">
        <v>2351</v>
      </c>
      <c r="K588" t="str">
        <f t="shared" si="207"/>
        <v>36.110444</v>
      </c>
      <c r="L588" t="str">
        <f t="shared" si="208"/>
        <v>-86.723917</v>
      </c>
      <c r="M588">
        <v>151</v>
      </c>
      <c r="N588" s="1">
        <v>43792</v>
      </c>
      <c r="O588" s="1">
        <v>46099</v>
      </c>
      <c r="P588" s="2">
        <f t="shared" si="209"/>
        <v>6.3162217659137578</v>
      </c>
      <c r="Q588" s="2" t="str">
        <f t="shared" si="210"/>
        <v>Mid</v>
      </c>
      <c r="R588">
        <f t="shared" si="211"/>
        <v>6000</v>
      </c>
      <c r="S588" t="str">
        <f t="shared" si="212"/>
        <v>Small</v>
      </c>
      <c r="T588" t="str">
        <f t="shared" si="213"/>
        <v>Lower EV Adoption Corridor</v>
      </c>
      <c r="U588" s="3">
        <f t="shared" si="214"/>
        <v>10800000</v>
      </c>
      <c r="V588" s="4">
        <f t="shared" si="215"/>
        <v>2640000</v>
      </c>
      <c r="W588" s="3">
        <f t="shared" si="216"/>
        <v>36000000</v>
      </c>
      <c r="X588" s="3">
        <f t="shared" si="217"/>
        <v>19800000</v>
      </c>
      <c r="Y588">
        <f t="shared" si="218"/>
        <v>0.31515151515151513</v>
      </c>
      <c r="Z588">
        <f t="shared" si="219"/>
        <v>0.75555555555555554</v>
      </c>
      <c r="AA588" t="str">
        <f t="shared" si="220"/>
        <v>Tier 2 - Growth Markets</v>
      </c>
      <c r="AB588" s="3">
        <f t="shared" si="221"/>
        <v>110000</v>
      </c>
      <c r="AC588" s="3">
        <f t="shared" si="222"/>
        <v>1500000</v>
      </c>
      <c r="AD588" s="3">
        <f t="shared" si="223"/>
        <v>450000</v>
      </c>
      <c r="AE588" s="5">
        <f t="shared" si="224"/>
        <v>4.4117647058823533</v>
      </c>
      <c r="AF588" s="10">
        <f t="shared" si="225"/>
        <v>1636800</v>
      </c>
      <c r="AG588" s="10">
        <f t="shared" si="226"/>
        <v>528000</v>
      </c>
      <c r="AH588" s="10">
        <f t="shared" si="227"/>
        <v>264000</v>
      </c>
      <c r="AI588" s="10">
        <f t="shared" si="228"/>
        <v>132000</v>
      </c>
      <c r="AJ588" s="10">
        <f t="shared" si="229"/>
        <v>79200</v>
      </c>
    </row>
    <row r="589" spans="1:36" x14ac:dyDescent="0.3">
      <c r="A589" t="s">
        <v>2352</v>
      </c>
      <c r="B589" t="s">
        <v>2353</v>
      </c>
      <c r="C589" t="s">
        <v>1371</v>
      </c>
      <c r="D589" t="s">
        <v>41</v>
      </c>
      <c r="E589">
        <v>33137</v>
      </c>
      <c r="F589" t="s">
        <v>15</v>
      </c>
      <c r="G589">
        <v>14</v>
      </c>
      <c r="H589">
        <v>72</v>
      </c>
      <c r="I589" t="str" cm="1">
        <f t="array" ref="I589">_xlfn.IFS(H589&lt;=120,"V1",H589&lt;=150,"V2",H589&lt;=250,"V3", H589&lt;=350, "V4")</f>
        <v>V1</v>
      </c>
      <c r="J589" t="s">
        <v>2354</v>
      </c>
      <c r="K589" t="str">
        <f t="shared" si="207"/>
        <v>25.813933</v>
      </c>
      <c r="L589" t="str">
        <f t="shared" si="208"/>
        <v>-80.194551</v>
      </c>
      <c r="M589">
        <v>4</v>
      </c>
      <c r="N589" s="1">
        <v>43274</v>
      </c>
      <c r="O589" s="1">
        <v>46099</v>
      </c>
      <c r="P589" s="2">
        <f t="shared" si="209"/>
        <v>7.7344284736481859</v>
      </c>
      <c r="Q589" s="2" t="str">
        <f t="shared" si="210"/>
        <v>Mid</v>
      </c>
      <c r="R589">
        <f t="shared" si="211"/>
        <v>1008</v>
      </c>
      <c r="S589" t="str">
        <f t="shared" si="212"/>
        <v>Small</v>
      </c>
      <c r="T589" t="str">
        <f t="shared" si="213"/>
        <v>High EV Adoption Corridor</v>
      </c>
      <c r="U589" s="3">
        <f t="shared" si="214"/>
        <v>1965600</v>
      </c>
      <c r="V589" s="4">
        <f t="shared" si="215"/>
        <v>435456</v>
      </c>
      <c r="W589" s="3">
        <f t="shared" si="216"/>
        <v>4435200</v>
      </c>
      <c r="X589" s="3">
        <f t="shared" si="217"/>
        <v>4082400</v>
      </c>
      <c r="Y589">
        <f t="shared" si="218"/>
        <v>0.21530864197530863</v>
      </c>
      <c r="Z589">
        <f t="shared" si="219"/>
        <v>0.77846153846153843</v>
      </c>
      <c r="AA589" t="str">
        <f t="shared" si="220"/>
        <v>Tier 3 - Upgrade Pipeline</v>
      </c>
      <c r="AB589" s="3">
        <f t="shared" si="221"/>
        <v>31104</v>
      </c>
      <c r="AC589" s="3">
        <f t="shared" si="222"/>
        <v>316800</v>
      </c>
      <c r="AD589" s="3">
        <f t="shared" si="223"/>
        <v>140400</v>
      </c>
      <c r="AE589" s="5">
        <f t="shared" si="224"/>
        <v>2.8985507246376812</v>
      </c>
      <c r="AF589" s="10">
        <f t="shared" si="225"/>
        <v>269982.71999999997</v>
      </c>
      <c r="AG589" s="10">
        <f t="shared" si="226"/>
        <v>87091.200000000012</v>
      </c>
      <c r="AH589" s="10">
        <f t="shared" si="227"/>
        <v>43545.600000000006</v>
      </c>
      <c r="AI589" s="10">
        <f t="shared" si="228"/>
        <v>21772.800000000003</v>
      </c>
      <c r="AJ589" s="10">
        <f t="shared" si="229"/>
        <v>13063.68</v>
      </c>
    </row>
    <row r="590" spans="1:36" x14ac:dyDescent="0.3">
      <c r="A590" t="s">
        <v>2355</v>
      </c>
      <c r="B590" t="s">
        <v>2356</v>
      </c>
      <c r="C590" t="s">
        <v>605</v>
      </c>
      <c r="D590" t="s">
        <v>50</v>
      </c>
      <c r="E590">
        <v>77040</v>
      </c>
      <c r="F590" t="s">
        <v>15</v>
      </c>
      <c r="G590">
        <v>8</v>
      </c>
      <c r="H590">
        <v>150</v>
      </c>
      <c r="I590" t="str" cm="1">
        <f t="array" ref="I590">_xlfn.IFS(H590&lt;=120,"V1",H590&lt;=150,"V2",H590&lt;=250,"V3", H590&lt;=350, "V4")</f>
        <v>V2</v>
      </c>
      <c r="J590" t="s">
        <v>2357</v>
      </c>
      <c r="K590" t="str">
        <f t="shared" si="207"/>
        <v>29.867259</v>
      </c>
      <c r="L590" t="str">
        <f t="shared" si="208"/>
        <v>-95.538125</v>
      </c>
      <c r="M590">
        <v>29</v>
      </c>
      <c r="N590" s="1">
        <v>43330</v>
      </c>
      <c r="O590" s="1">
        <v>46099</v>
      </c>
      <c r="P590" s="2">
        <f t="shared" si="209"/>
        <v>7.5811088295687883</v>
      </c>
      <c r="Q590" s="2" t="str">
        <f t="shared" si="210"/>
        <v>Mid</v>
      </c>
      <c r="R590">
        <f t="shared" si="211"/>
        <v>1200</v>
      </c>
      <c r="S590" t="str">
        <f t="shared" si="212"/>
        <v>Small</v>
      </c>
      <c r="T590" t="str">
        <f t="shared" si="213"/>
        <v>High EV Adoption Corridor</v>
      </c>
      <c r="U590" s="3">
        <f t="shared" si="214"/>
        <v>2574000.0000000005</v>
      </c>
      <c r="V590" s="4">
        <f t="shared" si="215"/>
        <v>576000</v>
      </c>
      <c r="W590" s="3">
        <f t="shared" si="216"/>
        <v>6600000.0000000009</v>
      </c>
      <c r="X590" s="3">
        <f t="shared" si="217"/>
        <v>5400000</v>
      </c>
      <c r="Y590">
        <f t="shared" si="218"/>
        <v>0.22888888888888889</v>
      </c>
      <c r="Z590">
        <f t="shared" si="219"/>
        <v>0.77622377622377625</v>
      </c>
      <c r="AA590" t="str">
        <f t="shared" si="220"/>
        <v>Tier 3 - Upgrade Pipeline</v>
      </c>
      <c r="AB590" s="3">
        <f t="shared" si="221"/>
        <v>72000</v>
      </c>
      <c r="AC590" s="3">
        <f t="shared" si="222"/>
        <v>825000.00000000012</v>
      </c>
      <c r="AD590" s="3">
        <f t="shared" si="223"/>
        <v>321750.00000000006</v>
      </c>
      <c r="AE590" s="5">
        <f t="shared" si="224"/>
        <v>3.303303303303303</v>
      </c>
      <c r="AF590" s="10">
        <f t="shared" si="225"/>
        <v>357120</v>
      </c>
      <c r="AG590" s="10">
        <f t="shared" si="226"/>
        <v>115200</v>
      </c>
      <c r="AH590" s="10">
        <f t="shared" si="227"/>
        <v>57600</v>
      </c>
      <c r="AI590" s="10">
        <f t="shared" si="228"/>
        <v>28800</v>
      </c>
      <c r="AJ590" s="10">
        <f t="shared" si="229"/>
        <v>17280</v>
      </c>
    </row>
    <row r="591" spans="1:36" x14ac:dyDescent="0.3">
      <c r="A591" t="s">
        <v>2358</v>
      </c>
      <c r="B591" t="s">
        <v>2359</v>
      </c>
      <c r="C591" t="s">
        <v>2360</v>
      </c>
      <c r="D591" t="s">
        <v>268</v>
      </c>
      <c r="E591" t="s">
        <v>2361</v>
      </c>
      <c r="F591" t="s">
        <v>15</v>
      </c>
      <c r="G591">
        <v>8</v>
      </c>
      <c r="H591">
        <v>72</v>
      </c>
      <c r="I591" t="str" cm="1">
        <f t="array" ref="I591">_xlfn.IFS(H591&lt;=120,"V1",H591&lt;=150,"V2",H591&lt;=250,"V3", H591&lt;=350, "V4")</f>
        <v>V1</v>
      </c>
      <c r="J591" t="s">
        <v>2362</v>
      </c>
      <c r="K591" t="str">
        <f t="shared" si="207"/>
        <v>39.204837</v>
      </c>
      <c r="L591" t="str">
        <f t="shared" si="208"/>
        <v>-106.858507</v>
      </c>
      <c r="M591">
        <v>2402</v>
      </c>
      <c r="N591" s="1">
        <v>43284</v>
      </c>
      <c r="O591" s="1">
        <v>46099</v>
      </c>
      <c r="P591" s="2">
        <f t="shared" si="209"/>
        <v>7.7070499657768652</v>
      </c>
      <c r="Q591" s="2" t="str">
        <f t="shared" si="210"/>
        <v>Mid</v>
      </c>
      <c r="R591">
        <f t="shared" si="211"/>
        <v>576</v>
      </c>
      <c r="S591" t="str">
        <f t="shared" si="212"/>
        <v>Small</v>
      </c>
      <c r="T591" t="str">
        <f t="shared" si="213"/>
        <v>High EV Adoption Corridor</v>
      </c>
      <c r="U591" s="3">
        <f t="shared" si="214"/>
        <v>1123200</v>
      </c>
      <c r="V591" s="4">
        <f t="shared" si="215"/>
        <v>248832</v>
      </c>
      <c r="W591" s="3">
        <f t="shared" si="216"/>
        <v>2534400</v>
      </c>
      <c r="X591" s="3">
        <f t="shared" si="217"/>
        <v>2332800</v>
      </c>
      <c r="Y591">
        <f t="shared" si="218"/>
        <v>0.21530864197530863</v>
      </c>
      <c r="Z591">
        <f t="shared" si="219"/>
        <v>0.77846153846153843</v>
      </c>
      <c r="AA591" t="str">
        <f t="shared" si="220"/>
        <v>Tier 3 - Upgrade Pipeline</v>
      </c>
      <c r="AB591" s="3">
        <f t="shared" si="221"/>
        <v>31104</v>
      </c>
      <c r="AC591" s="3">
        <f t="shared" si="222"/>
        <v>316800</v>
      </c>
      <c r="AD591" s="3">
        <f t="shared" si="223"/>
        <v>140400</v>
      </c>
      <c r="AE591" s="5">
        <f t="shared" si="224"/>
        <v>2.8985507246376812</v>
      </c>
      <c r="AF591" s="10">
        <f t="shared" si="225"/>
        <v>154275.84</v>
      </c>
      <c r="AG591" s="10">
        <f t="shared" si="226"/>
        <v>49766.400000000001</v>
      </c>
      <c r="AH591" s="10">
        <f t="shared" si="227"/>
        <v>24883.200000000001</v>
      </c>
      <c r="AI591" s="10">
        <f t="shared" si="228"/>
        <v>12441.6</v>
      </c>
      <c r="AJ591" s="10">
        <f t="shared" si="229"/>
        <v>7464.96</v>
      </c>
    </row>
    <row r="592" spans="1:36" x14ac:dyDescent="0.3">
      <c r="A592" t="s">
        <v>2363</v>
      </c>
      <c r="B592" t="s">
        <v>2364</v>
      </c>
      <c r="C592" t="s">
        <v>2365</v>
      </c>
      <c r="D592" t="s">
        <v>130</v>
      </c>
      <c r="E592">
        <v>46368</v>
      </c>
      <c r="F592" t="s">
        <v>15</v>
      </c>
      <c r="G592">
        <v>8</v>
      </c>
      <c r="H592">
        <v>250</v>
      </c>
      <c r="I592" t="str" cm="1">
        <f t="array" ref="I592">_xlfn.IFS(H592&lt;=120,"V1",H592&lt;=150,"V2",H592&lt;=250,"V3", H592&lt;=350, "V4")</f>
        <v>V3</v>
      </c>
      <c r="J592" t="s">
        <v>2366</v>
      </c>
      <c r="K592" t="str">
        <f t="shared" si="207"/>
        <v>41.588366</v>
      </c>
      <c r="L592" t="str">
        <f t="shared" si="208"/>
        <v>-87.216556</v>
      </c>
      <c r="M592">
        <v>187</v>
      </c>
      <c r="N592" s="1">
        <v>44554</v>
      </c>
      <c r="O592" s="1">
        <v>46099</v>
      </c>
      <c r="P592" s="2">
        <f t="shared" si="209"/>
        <v>4.2299794661190964</v>
      </c>
      <c r="Q592" s="2" t="str">
        <f t="shared" si="210"/>
        <v>Mid</v>
      </c>
      <c r="R592">
        <f t="shared" si="211"/>
        <v>2000</v>
      </c>
      <c r="S592" t="str">
        <f t="shared" si="212"/>
        <v>Small</v>
      </c>
      <c r="T592" t="str">
        <f t="shared" si="213"/>
        <v>Lower EV Adoption Corridor</v>
      </c>
      <c r="U592" s="3">
        <f t="shared" si="214"/>
        <v>3600000</v>
      </c>
      <c r="V592" s="4">
        <f t="shared" si="215"/>
        <v>880000.00000000012</v>
      </c>
      <c r="W592" s="3">
        <f t="shared" si="216"/>
        <v>12000000</v>
      </c>
      <c r="X592" s="3">
        <f t="shared" si="217"/>
        <v>6600000.0000000009</v>
      </c>
      <c r="Y592">
        <f t="shared" si="218"/>
        <v>0.31515151515151513</v>
      </c>
      <c r="Z592">
        <f t="shared" si="219"/>
        <v>0.75555555555555554</v>
      </c>
      <c r="AA592" t="str">
        <f t="shared" si="220"/>
        <v>Tier 2 - Growth Markets</v>
      </c>
      <c r="AB592" s="3">
        <f t="shared" si="221"/>
        <v>110000.00000000001</v>
      </c>
      <c r="AC592" s="3">
        <f t="shared" si="222"/>
        <v>1500000</v>
      </c>
      <c r="AD592" s="3">
        <f t="shared" si="223"/>
        <v>450000</v>
      </c>
      <c r="AE592" s="5">
        <f t="shared" si="224"/>
        <v>4.4117647058823533</v>
      </c>
      <c r="AF592" s="10">
        <f t="shared" si="225"/>
        <v>545600.00000000012</v>
      </c>
      <c r="AG592" s="10">
        <f t="shared" si="226"/>
        <v>176000.00000000003</v>
      </c>
      <c r="AH592" s="10">
        <f t="shared" si="227"/>
        <v>88000.000000000015</v>
      </c>
      <c r="AI592" s="10">
        <f t="shared" si="228"/>
        <v>44000.000000000007</v>
      </c>
      <c r="AJ592" s="10">
        <f t="shared" si="229"/>
        <v>26400.000000000004</v>
      </c>
    </row>
    <row r="593" spans="1:36" x14ac:dyDescent="0.3">
      <c r="A593" t="s">
        <v>2367</v>
      </c>
      <c r="B593" t="s">
        <v>2368</v>
      </c>
      <c r="C593" t="s">
        <v>2369</v>
      </c>
      <c r="D593" t="s">
        <v>98</v>
      </c>
      <c r="E593">
        <v>6320</v>
      </c>
      <c r="F593" t="s">
        <v>15</v>
      </c>
      <c r="G593">
        <v>8</v>
      </c>
      <c r="H593">
        <v>250</v>
      </c>
      <c r="I593" t="str" cm="1">
        <f t="array" ref="I593">_xlfn.IFS(H593&lt;=120,"V1",H593&lt;=150,"V2",H593&lt;=250,"V3", H593&lt;=350, "V4")</f>
        <v>V3</v>
      </c>
      <c r="J593" t="s">
        <v>2370</v>
      </c>
      <c r="K593" t="str">
        <f t="shared" si="207"/>
        <v>41.370726</v>
      </c>
      <c r="L593" t="str">
        <f t="shared" si="208"/>
        <v>-72.119398</v>
      </c>
      <c r="M593">
        <v>38</v>
      </c>
      <c r="N593" s="1">
        <v>43897</v>
      </c>
      <c r="O593" s="1">
        <v>46099</v>
      </c>
      <c r="P593" s="2">
        <f t="shared" si="209"/>
        <v>6.0287474332648872</v>
      </c>
      <c r="Q593" s="2" t="str">
        <f t="shared" si="210"/>
        <v>Mid</v>
      </c>
      <c r="R593">
        <f t="shared" si="211"/>
        <v>2000</v>
      </c>
      <c r="S593" t="str">
        <f t="shared" si="212"/>
        <v>Small</v>
      </c>
      <c r="T593" t="str">
        <f t="shared" si="213"/>
        <v>Lower EV Adoption Corridor</v>
      </c>
      <c r="U593" s="3">
        <f t="shared" si="214"/>
        <v>3600000</v>
      </c>
      <c r="V593" s="4">
        <f t="shared" si="215"/>
        <v>880000.00000000012</v>
      </c>
      <c r="W593" s="3">
        <f t="shared" si="216"/>
        <v>12000000</v>
      </c>
      <c r="X593" s="3">
        <f t="shared" si="217"/>
        <v>6600000.0000000009</v>
      </c>
      <c r="Y593">
        <f t="shared" si="218"/>
        <v>0.31515151515151513</v>
      </c>
      <c r="Z593">
        <f t="shared" si="219"/>
        <v>0.75555555555555554</v>
      </c>
      <c r="AA593" t="str">
        <f t="shared" si="220"/>
        <v>Tier 2 - Growth Markets</v>
      </c>
      <c r="AB593" s="3">
        <f t="shared" si="221"/>
        <v>110000.00000000001</v>
      </c>
      <c r="AC593" s="3">
        <f t="shared" si="222"/>
        <v>1500000</v>
      </c>
      <c r="AD593" s="3">
        <f t="shared" si="223"/>
        <v>450000</v>
      </c>
      <c r="AE593" s="5">
        <f t="shared" si="224"/>
        <v>4.4117647058823533</v>
      </c>
      <c r="AF593" s="10">
        <f t="shared" si="225"/>
        <v>545600.00000000012</v>
      </c>
      <c r="AG593" s="10">
        <f t="shared" si="226"/>
        <v>176000.00000000003</v>
      </c>
      <c r="AH593" s="10">
        <f t="shared" si="227"/>
        <v>88000.000000000015</v>
      </c>
      <c r="AI593" s="10">
        <f t="shared" si="228"/>
        <v>44000.000000000007</v>
      </c>
      <c r="AJ593" s="10">
        <f t="shared" si="229"/>
        <v>26400.000000000004</v>
      </c>
    </row>
    <row r="594" spans="1:36" x14ac:dyDescent="0.3">
      <c r="A594" t="s">
        <v>2371</v>
      </c>
      <c r="B594" t="s">
        <v>2372</v>
      </c>
      <c r="C594" t="s">
        <v>2373</v>
      </c>
      <c r="D594" t="s">
        <v>153</v>
      </c>
      <c r="E594">
        <v>19425</v>
      </c>
      <c r="F594" t="s">
        <v>15</v>
      </c>
      <c r="G594">
        <v>12</v>
      </c>
      <c r="H594">
        <v>250</v>
      </c>
      <c r="I594" t="str" cm="1">
        <f t="array" ref="I594">_xlfn.IFS(H594&lt;=120,"V1",H594&lt;=150,"V2",H594&lt;=250,"V3", H594&lt;=350, "V4")</f>
        <v>V3</v>
      </c>
      <c r="J594" t="s">
        <v>2374</v>
      </c>
      <c r="K594" t="str">
        <f t="shared" si="207"/>
        <v>40.075235</v>
      </c>
      <c r="L594" t="str">
        <f t="shared" si="208"/>
        <v>-75.686034</v>
      </c>
      <c r="M594">
        <v>162</v>
      </c>
      <c r="N594" s="1">
        <v>44877</v>
      </c>
      <c r="O594" s="1">
        <v>46099</v>
      </c>
      <c r="P594" s="2">
        <f t="shared" si="209"/>
        <v>3.3456536618754278</v>
      </c>
      <c r="Q594" s="2" t="str">
        <f t="shared" si="210"/>
        <v>Mid</v>
      </c>
      <c r="R594">
        <f t="shared" si="211"/>
        <v>3000</v>
      </c>
      <c r="S594" t="str">
        <f t="shared" si="212"/>
        <v>Small</v>
      </c>
      <c r="T594" t="str">
        <f t="shared" si="213"/>
        <v>Lower EV Adoption Corridor</v>
      </c>
      <c r="U594" s="3">
        <f t="shared" si="214"/>
        <v>5400000</v>
      </c>
      <c r="V594" s="4">
        <f t="shared" si="215"/>
        <v>1320000</v>
      </c>
      <c r="W594" s="3">
        <f t="shared" si="216"/>
        <v>18000000</v>
      </c>
      <c r="X594" s="3">
        <f t="shared" si="217"/>
        <v>9900000</v>
      </c>
      <c r="Y594">
        <f t="shared" si="218"/>
        <v>0.31515151515151513</v>
      </c>
      <c r="Z594">
        <f t="shared" si="219"/>
        <v>0.75555555555555554</v>
      </c>
      <c r="AA594" t="str">
        <f t="shared" si="220"/>
        <v>Tier 2 - Growth Markets</v>
      </c>
      <c r="AB594" s="3">
        <f t="shared" si="221"/>
        <v>110000</v>
      </c>
      <c r="AC594" s="3">
        <f t="shared" si="222"/>
        <v>1500000</v>
      </c>
      <c r="AD594" s="3">
        <f t="shared" si="223"/>
        <v>450000</v>
      </c>
      <c r="AE594" s="5">
        <f t="shared" si="224"/>
        <v>4.4117647058823533</v>
      </c>
      <c r="AF594" s="10">
        <f t="shared" si="225"/>
        <v>818400</v>
      </c>
      <c r="AG594" s="10">
        <f t="shared" si="226"/>
        <v>264000</v>
      </c>
      <c r="AH594" s="10">
        <f t="shared" si="227"/>
        <v>132000</v>
      </c>
      <c r="AI594" s="10">
        <f t="shared" si="228"/>
        <v>66000</v>
      </c>
      <c r="AJ594" s="10">
        <f t="shared" si="229"/>
        <v>39600</v>
      </c>
    </row>
    <row r="595" spans="1:36" x14ac:dyDescent="0.3">
      <c r="A595" t="s">
        <v>2375</v>
      </c>
      <c r="B595" t="s">
        <v>2376</v>
      </c>
      <c r="C595" t="s">
        <v>1736</v>
      </c>
      <c r="D595" t="s">
        <v>14</v>
      </c>
      <c r="E595">
        <v>94558</v>
      </c>
      <c r="F595" t="s">
        <v>15</v>
      </c>
      <c r="G595">
        <v>20</v>
      </c>
      <c r="H595">
        <v>150</v>
      </c>
      <c r="I595" t="str" cm="1">
        <f t="array" ref="I595">_xlfn.IFS(H595&lt;=120,"V1",H595&lt;=150,"V2",H595&lt;=250,"V3", H595&lt;=350, "V4")</f>
        <v>V2</v>
      </c>
      <c r="J595" t="s">
        <v>2377</v>
      </c>
      <c r="K595" t="str">
        <f t="shared" si="207"/>
        <v>38.297635</v>
      </c>
      <c r="L595" t="str">
        <f t="shared" si="208"/>
        <v>-122.302617</v>
      </c>
      <c r="M595">
        <v>15</v>
      </c>
      <c r="N595" s="1">
        <v>43785</v>
      </c>
      <c r="O595" s="1">
        <v>46099</v>
      </c>
      <c r="P595" s="2">
        <f t="shared" si="209"/>
        <v>6.3353867214236823</v>
      </c>
      <c r="Q595" s="2" t="str">
        <f t="shared" si="210"/>
        <v>Mid</v>
      </c>
      <c r="R595">
        <f t="shared" si="211"/>
        <v>3000</v>
      </c>
      <c r="S595" t="str">
        <f t="shared" si="212"/>
        <v>Small</v>
      </c>
      <c r="T595" t="str">
        <f t="shared" si="213"/>
        <v>High EV Adoption Corridor</v>
      </c>
      <c r="U595" s="3">
        <f t="shared" si="214"/>
        <v>6435000</v>
      </c>
      <c r="V595" s="4">
        <f t="shared" si="215"/>
        <v>1440000</v>
      </c>
      <c r="W595" s="3">
        <f t="shared" si="216"/>
        <v>16500000.000000002</v>
      </c>
      <c r="X595" s="3">
        <f t="shared" si="217"/>
        <v>13500000</v>
      </c>
      <c r="Y595">
        <f t="shared" si="218"/>
        <v>0.22888888888888889</v>
      </c>
      <c r="Z595">
        <f t="shared" si="219"/>
        <v>0.77622377622377625</v>
      </c>
      <c r="AA595" t="str">
        <f t="shared" si="220"/>
        <v>Tier 3 - Upgrade Pipeline</v>
      </c>
      <c r="AB595" s="3">
        <f t="shared" si="221"/>
        <v>72000</v>
      </c>
      <c r="AC595" s="3">
        <f t="shared" si="222"/>
        <v>825000.00000000012</v>
      </c>
      <c r="AD595" s="3">
        <f t="shared" si="223"/>
        <v>321750</v>
      </c>
      <c r="AE595" s="5">
        <f t="shared" si="224"/>
        <v>3.3033033033033035</v>
      </c>
      <c r="AF595" s="10">
        <f t="shared" si="225"/>
        <v>892800</v>
      </c>
      <c r="AG595" s="10">
        <f t="shared" si="226"/>
        <v>288000</v>
      </c>
      <c r="AH595" s="10">
        <f t="shared" si="227"/>
        <v>144000</v>
      </c>
      <c r="AI595" s="10">
        <f t="shared" si="228"/>
        <v>72000</v>
      </c>
      <c r="AJ595" s="10">
        <f t="shared" si="229"/>
        <v>43200</v>
      </c>
    </row>
    <row r="596" spans="1:36" x14ac:dyDescent="0.3">
      <c r="A596" t="s">
        <v>2378</v>
      </c>
      <c r="B596" t="s">
        <v>2379</v>
      </c>
      <c r="C596" t="s">
        <v>1619</v>
      </c>
      <c r="D596" t="s">
        <v>50</v>
      </c>
      <c r="E596">
        <v>78704</v>
      </c>
      <c r="F596" t="s">
        <v>15</v>
      </c>
      <c r="G596">
        <v>8</v>
      </c>
      <c r="H596">
        <v>250</v>
      </c>
      <c r="I596" t="str" cm="1">
        <f t="array" ref="I596">_xlfn.IFS(H596&lt;=120,"V1",H596&lt;=150,"V2",H596&lt;=250,"V3", H596&lt;=350, "V4")</f>
        <v>V3</v>
      </c>
      <c r="J596" t="s">
        <v>2380</v>
      </c>
      <c r="K596" t="str">
        <f t="shared" si="207"/>
        <v>30.247661</v>
      </c>
      <c r="L596" t="str">
        <f t="shared" si="208"/>
        <v>-97.750105</v>
      </c>
      <c r="M596">
        <v>167</v>
      </c>
      <c r="N596" s="1">
        <v>44523</v>
      </c>
      <c r="O596" s="1">
        <v>46099</v>
      </c>
      <c r="P596" s="2">
        <f t="shared" si="209"/>
        <v>4.3148528405201914</v>
      </c>
      <c r="Q596" s="2" t="str">
        <f t="shared" si="210"/>
        <v>Mid</v>
      </c>
      <c r="R596">
        <f t="shared" si="211"/>
        <v>2000</v>
      </c>
      <c r="S596" t="str">
        <f t="shared" si="212"/>
        <v>Small</v>
      </c>
      <c r="T596" t="str">
        <f t="shared" si="213"/>
        <v>High EV Adoption Corridor</v>
      </c>
      <c r="U596" s="3">
        <f t="shared" si="214"/>
        <v>4680000</v>
      </c>
      <c r="V596" s="4">
        <f t="shared" si="215"/>
        <v>1056000</v>
      </c>
      <c r="W596" s="3">
        <f t="shared" si="216"/>
        <v>13200000.000000002</v>
      </c>
      <c r="X596" s="3">
        <f t="shared" si="217"/>
        <v>9900000.0000000019</v>
      </c>
      <c r="Y596">
        <f t="shared" si="218"/>
        <v>0.23999999999999996</v>
      </c>
      <c r="Z596">
        <f t="shared" si="219"/>
        <v>0.77435897435897438</v>
      </c>
      <c r="AA596" t="str">
        <f t="shared" si="220"/>
        <v>Tier 1 - Priority Fleet</v>
      </c>
      <c r="AB596" s="3">
        <f t="shared" si="221"/>
        <v>132000</v>
      </c>
      <c r="AC596" s="3">
        <f t="shared" si="222"/>
        <v>1650000.0000000002</v>
      </c>
      <c r="AD596" s="3">
        <f t="shared" si="223"/>
        <v>585000</v>
      </c>
      <c r="AE596" s="5">
        <f t="shared" si="224"/>
        <v>3.6423841059602653</v>
      </c>
      <c r="AF596" s="10">
        <f t="shared" si="225"/>
        <v>654720</v>
      </c>
      <c r="AG596" s="10">
        <f t="shared" si="226"/>
        <v>211200</v>
      </c>
      <c r="AH596" s="10">
        <f t="shared" si="227"/>
        <v>105600</v>
      </c>
      <c r="AI596" s="10">
        <f t="shared" si="228"/>
        <v>52800</v>
      </c>
      <c r="AJ596" s="10">
        <f t="shared" si="229"/>
        <v>31680</v>
      </c>
    </row>
    <row r="597" spans="1:36" x14ac:dyDescent="0.3">
      <c r="A597" t="s">
        <v>2381</v>
      </c>
      <c r="B597" t="s">
        <v>2382</v>
      </c>
      <c r="C597" t="s">
        <v>2383</v>
      </c>
      <c r="D597" t="s">
        <v>852</v>
      </c>
      <c r="E597">
        <v>8831</v>
      </c>
      <c r="F597" t="s">
        <v>15</v>
      </c>
      <c r="G597">
        <v>8</v>
      </c>
      <c r="H597">
        <v>250</v>
      </c>
      <c r="I597" t="str" cm="1">
        <f t="array" ref="I597">_xlfn.IFS(H597&lt;=120,"V1",H597&lt;=150,"V2",H597&lt;=250,"V3", H597&lt;=350, "V4")</f>
        <v>V3</v>
      </c>
      <c r="J597" t="s">
        <v>2384</v>
      </c>
      <c r="K597" t="str">
        <f t="shared" si="207"/>
        <v>40.267115</v>
      </c>
      <c r="L597" t="str">
        <f t="shared" si="208"/>
        <v>-74.471887</v>
      </c>
      <c r="M597">
        <v>36</v>
      </c>
      <c r="N597" s="1">
        <v>44743</v>
      </c>
      <c r="O597" s="1">
        <v>46099</v>
      </c>
      <c r="P597" s="2">
        <f t="shared" si="209"/>
        <v>3.7125256673511293</v>
      </c>
      <c r="Q597" s="2" t="str">
        <f t="shared" si="210"/>
        <v>Mid</v>
      </c>
      <c r="R597">
        <f t="shared" si="211"/>
        <v>2000</v>
      </c>
      <c r="S597" t="str">
        <f t="shared" si="212"/>
        <v>Small</v>
      </c>
      <c r="T597" t="str">
        <f t="shared" si="213"/>
        <v>High EV Adoption Corridor</v>
      </c>
      <c r="U597" s="3">
        <f t="shared" si="214"/>
        <v>4680000</v>
      </c>
      <c r="V597" s="4">
        <f t="shared" si="215"/>
        <v>1056000</v>
      </c>
      <c r="W597" s="3">
        <f t="shared" si="216"/>
        <v>13200000.000000002</v>
      </c>
      <c r="X597" s="3">
        <f t="shared" si="217"/>
        <v>9900000.0000000019</v>
      </c>
      <c r="Y597">
        <f t="shared" si="218"/>
        <v>0.23999999999999996</v>
      </c>
      <c r="Z597">
        <f t="shared" si="219"/>
        <v>0.77435897435897438</v>
      </c>
      <c r="AA597" t="str">
        <f t="shared" si="220"/>
        <v>Tier 1 - Priority Fleet</v>
      </c>
      <c r="AB597" s="3">
        <f t="shared" si="221"/>
        <v>132000</v>
      </c>
      <c r="AC597" s="3">
        <f t="shared" si="222"/>
        <v>1650000.0000000002</v>
      </c>
      <c r="AD597" s="3">
        <f t="shared" si="223"/>
        <v>585000</v>
      </c>
      <c r="AE597" s="5">
        <f t="shared" si="224"/>
        <v>3.6423841059602653</v>
      </c>
      <c r="AF597" s="10">
        <f t="shared" si="225"/>
        <v>654720</v>
      </c>
      <c r="AG597" s="10">
        <f t="shared" si="226"/>
        <v>211200</v>
      </c>
      <c r="AH597" s="10">
        <f t="shared" si="227"/>
        <v>105600</v>
      </c>
      <c r="AI597" s="10">
        <f t="shared" si="228"/>
        <v>52800</v>
      </c>
      <c r="AJ597" s="10">
        <f t="shared" si="229"/>
        <v>31680</v>
      </c>
    </row>
    <row r="598" spans="1:36" x14ac:dyDescent="0.3">
      <c r="A598" t="s">
        <v>2385</v>
      </c>
      <c r="B598" t="s">
        <v>2386</v>
      </c>
      <c r="C598" t="s">
        <v>2387</v>
      </c>
      <c r="D598" t="s">
        <v>913</v>
      </c>
      <c r="E598">
        <v>20852</v>
      </c>
      <c r="F598" t="s">
        <v>15</v>
      </c>
      <c r="G598">
        <v>8</v>
      </c>
      <c r="H598">
        <v>72</v>
      </c>
      <c r="I598" t="str" cm="1">
        <f t="array" ref="I598">_xlfn.IFS(H598&lt;=120,"V1",H598&lt;=150,"V2",H598&lt;=250,"V3", H598&lt;=350, "V4")</f>
        <v>V1</v>
      </c>
      <c r="J598" t="s">
        <v>2388</v>
      </c>
      <c r="K598" t="str">
        <f t="shared" si="207"/>
        <v>39.050339</v>
      </c>
      <c r="L598" t="str">
        <f t="shared" si="208"/>
        <v>-77.11657</v>
      </c>
      <c r="M598">
        <v>119</v>
      </c>
      <c r="N598" s="1">
        <v>43858</v>
      </c>
      <c r="O598" s="1">
        <v>46099</v>
      </c>
      <c r="P598" s="2">
        <f t="shared" si="209"/>
        <v>6.1355236139630387</v>
      </c>
      <c r="Q598" s="2" t="str">
        <f t="shared" si="210"/>
        <v>Mid</v>
      </c>
      <c r="R598">
        <f t="shared" si="211"/>
        <v>576</v>
      </c>
      <c r="S598" t="str">
        <f t="shared" si="212"/>
        <v>Small</v>
      </c>
      <c r="T598" t="str">
        <f t="shared" si="213"/>
        <v>Lower EV Adoption Corridor</v>
      </c>
      <c r="U598" s="3">
        <f t="shared" si="214"/>
        <v>864000</v>
      </c>
      <c r="V598" s="4">
        <f t="shared" si="215"/>
        <v>207360</v>
      </c>
      <c r="W598" s="3">
        <f t="shared" si="216"/>
        <v>2304000</v>
      </c>
      <c r="X598" s="3">
        <f t="shared" si="217"/>
        <v>1555200</v>
      </c>
      <c r="Y598">
        <f t="shared" si="218"/>
        <v>0.2814814814814815</v>
      </c>
      <c r="Z598">
        <f t="shared" si="219"/>
        <v>0.76</v>
      </c>
      <c r="AA598" t="str">
        <f t="shared" si="220"/>
        <v>Tier 5 - Retirement Pipeline</v>
      </c>
      <c r="AB598" s="3">
        <f t="shared" si="221"/>
        <v>25920</v>
      </c>
      <c r="AC598" s="3">
        <f t="shared" si="222"/>
        <v>288000</v>
      </c>
      <c r="AD598" s="3">
        <f t="shared" si="223"/>
        <v>108000</v>
      </c>
      <c r="AE598" s="5">
        <f t="shared" si="224"/>
        <v>3.5087719298245612</v>
      </c>
      <c r="AF598" s="10">
        <f t="shared" si="225"/>
        <v>128563.2</v>
      </c>
      <c r="AG598" s="10">
        <f t="shared" si="226"/>
        <v>41472</v>
      </c>
      <c r="AH598" s="10">
        <f t="shared" si="227"/>
        <v>20736</v>
      </c>
      <c r="AI598" s="10">
        <f t="shared" si="228"/>
        <v>10368</v>
      </c>
      <c r="AJ598" s="10">
        <f t="shared" si="229"/>
        <v>6220.8</v>
      </c>
    </row>
    <row r="599" spans="1:36" x14ac:dyDescent="0.3">
      <c r="A599" t="s">
        <v>2389</v>
      </c>
      <c r="B599" t="s">
        <v>2390</v>
      </c>
      <c r="C599" t="s">
        <v>2391</v>
      </c>
      <c r="D599" t="s">
        <v>14</v>
      </c>
      <c r="E599">
        <v>94925</v>
      </c>
      <c r="F599" t="s">
        <v>15</v>
      </c>
      <c r="G599">
        <v>10</v>
      </c>
      <c r="H599">
        <v>72</v>
      </c>
      <c r="I599" t="str" cm="1">
        <f t="array" ref="I599">_xlfn.IFS(H599&lt;=120,"V1",H599&lt;=150,"V2",H599&lt;=250,"V3", H599&lt;=350, "V4")</f>
        <v>V1</v>
      </c>
      <c r="J599" t="s">
        <v>2392</v>
      </c>
      <c r="K599" t="str">
        <f t="shared" si="207"/>
        <v>37.928278</v>
      </c>
      <c r="L599" t="str">
        <f t="shared" si="208"/>
        <v>-122.514823</v>
      </c>
      <c r="M599">
        <v>3</v>
      </c>
      <c r="N599" s="1">
        <v>43508</v>
      </c>
      <c r="O599" s="1">
        <v>46099</v>
      </c>
      <c r="P599" s="2">
        <f t="shared" si="209"/>
        <v>7.0937713894592749</v>
      </c>
      <c r="Q599" s="2" t="str">
        <f t="shared" si="210"/>
        <v>Mid</v>
      </c>
      <c r="R599">
        <f t="shared" si="211"/>
        <v>720</v>
      </c>
      <c r="S599" t="str">
        <f t="shared" si="212"/>
        <v>Small</v>
      </c>
      <c r="T599" t="str">
        <f t="shared" si="213"/>
        <v>High EV Adoption Corridor</v>
      </c>
      <c r="U599" s="3">
        <f t="shared" si="214"/>
        <v>1404000</v>
      </c>
      <c r="V599" s="4">
        <f t="shared" si="215"/>
        <v>311040</v>
      </c>
      <c r="W599" s="3">
        <f t="shared" si="216"/>
        <v>3168000.0000000005</v>
      </c>
      <c r="X599" s="3">
        <f t="shared" si="217"/>
        <v>2916000</v>
      </c>
      <c r="Y599">
        <f t="shared" si="218"/>
        <v>0.21530864197530863</v>
      </c>
      <c r="Z599">
        <f t="shared" si="219"/>
        <v>0.77846153846153843</v>
      </c>
      <c r="AA599" t="str">
        <f t="shared" si="220"/>
        <v>Tier 3 - Upgrade Pipeline</v>
      </c>
      <c r="AB599" s="3">
        <f t="shared" si="221"/>
        <v>31104</v>
      </c>
      <c r="AC599" s="3">
        <f t="shared" si="222"/>
        <v>316800.00000000006</v>
      </c>
      <c r="AD599" s="3">
        <f t="shared" si="223"/>
        <v>140400</v>
      </c>
      <c r="AE599" s="5">
        <f t="shared" si="224"/>
        <v>2.8985507246376816</v>
      </c>
      <c r="AF599" s="10">
        <f t="shared" si="225"/>
        <v>192844.79999999999</v>
      </c>
      <c r="AG599" s="10">
        <f t="shared" si="226"/>
        <v>62208</v>
      </c>
      <c r="AH599" s="10">
        <f t="shared" si="227"/>
        <v>31104</v>
      </c>
      <c r="AI599" s="10">
        <f t="shared" si="228"/>
        <v>15552</v>
      </c>
      <c r="AJ599" s="10">
        <f t="shared" si="229"/>
        <v>9331.1999999999989</v>
      </c>
    </row>
    <row r="600" spans="1:36" x14ac:dyDescent="0.3">
      <c r="A600" t="s">
        <v>2393</v>
      </c>
      <c r="B600" t="s">
        <v>2394</v>
      </c>
      <c r="C600" t="s">
        <v>2395</v>
      </c>
      <c r="D600" t="s">
        <v>415</v>
      </c>
      <c r="E600">
        <v>50009</v>
      </c>
      <c r="F600" t="s">
        <v>15</v>
      </c>
      <c r="G600">
        <v>6</v>
      </c>
      <c r="H600">
        <v>150</v>
      </c>
      <c r="I600" t="str" cm="1">
        <f t="array" ref="I600">_xlfn.IFS(H600&lt;=120,"V1",H600&lt;=150,"V2",H600&lt;=250,"V3", H600&lt;=350, "V4")</f>
        <v>V2</v>
      </c>
      <c r="J600" t="s">
        <v>2396</v>
      </c>
      <c r="K600" t="str">
        <f t="shared" si="207"/>
        <v>41.663503</v>
      </c>
      <c r="L600" t="str">
        <f t="shared" si="208"/>
        <v>-93.465484</v>
      </c>
      <c r="M600">
        <v>291</v>
      </c>
      <c r="N600" s="1">
        <v>43513</v>
      </c>
      <c r="O600" s="1">
        <v>46099</v>
      </c>
      <c r="P600" s="2">
        <f t="shared" si="209"/>
        <v>7.0800821355236137</v>
      </c>
      <c r="Q600" s="2" t="str">
        <f t="shared" si="210"/>
        <v>Mid</v>
      </c>
      <c r="R600">
        <f t="shared" si="211"/>
        <v>900</v>
      </c>
      <c r="S600" t="str">
        <f t="shared" si="212"/>
        <v>Small</v>
      </c>
      <c r="T600" t="str">
        <f t="shared" si="213"/>
        <v>Lower EV Adoption Corridor</v>
      </c>
      <c r="U600" s="3">
        <f t="shared" si="214"/>
        <v>1485000.0000000002</v>
      </c>
      <c r="V600" s="4">
        <f t="shared" si="215"/>
        <v>360000</v>
      </c>
      <c r="W600" s="3">
        <f t="shared" si="216"/>
        <v>4500000</v>
      </c>
      <c r="X600" s="3">
        <f t="shared" si="217"/>
        <v>2700000</v>
      </c>
      <c r="Y600">
        <f t="shared" si="218"/>
        <v>0.3</v>
      </c>
      <c r="Z600">
        <f t="shared" si="219"/>
        <v>0.75757575757575757</v>
      </c>
      <c r="AA600" t="str">
        <f t="shared" si="220"/>
        <v>Tier 4 - Stable Network</v>
      </c>
      <c r="AB600" s="3">
        <f t="shared" si="221"/>
        <v>60000</v>
      </c>
      <c r="AC600" s="3">
        <f t="shared" si="222"/>
        <v>750000</v>
      </c>
      <c r="AD600" s="3">
        <f t="shared" si="223"/>
        <v>247500.00000000003</v>
      </c>
      <c r="AE600" s="5">
        <f t="shared" si="224"/>
        <v>3.9999999999999991</v>
      </c>
      <c r="AF600" s="10">
        <f t="shared" si="225"/>
        <v>223200</v>
      </c>
      <c r="AG600" s="10">
        <f t="shared" si="226"/>
        <v>72000</v>
      </c>
      <c r="AH600" s="10">
        <f t="shared" si="227"/>
        <v>36000</v>
      </c>
      <c r="AI600" s="10">
        <f t="shared" si="228"/>
        <v>18000</v>
      </c>
      <c r="AJ600" s="10">
        <f t="shared" si="229"/>
        <v>10800</v>
      </c>
    </row>
    <row r="601" spans="1:36" x14ac:dyDescent="0.3">
      <c r="A601" t="s">
        <v>2397</v>
      </c>
      <c r="B601" t="s">
        <v>2398</v>
      </c>
      <c r="C601" t="s">
        <v>2399</v>
      </c>
      <c r="D601" t="s">
        <v>299</v>
      </c>
      <c r="E601">
        <v>24502</v>
      </c>
      <c r="F601" t="s">
        <v>15</v>
      </c>
      <c r="G601">
        <v>8</v>
      </c>
      <c r="H601">
        <v>250</v>
      </c>
      <c r="I601" t="str" cm="1">
        <f t="array" ref="I601">_xlfn.IFS(H601&lt;=120,"V1",H601&lt;=150,"V2",H601&lt;=250,"V3", H601&lt;=350, "V4")</f>
        <v>V3</v>
      </c>
      <c r="J601" t="s">
        <v>2400</v>
      </c>
      <c r="K601" t="str">
        <f t="shared" si="207"/>
        <v>37.32486</v>
      </c>
      <c r="L601" t="str">
        <f t="shared" si="208"/>
        <v>-79.190523</v>
      </c>
      <c r="M601">
        <v>283</v>
      </c>
      <c r="N601" s="1">
        <v>43867</v>
      </c>
      <c r="O601" s="1">
        <v>46099</v>
      </c>
      <c r="P601" s="2">
        <f t="shared" si="209"/>
        <v>6.1108829568788501</v>
      </c>
      <c r="Q601" s="2" t="str">
        <f t="shared" si="210"/>
        <v>Mid</v>
      </c>
      <c r="R601">
        <f t="shared" si="211"/>
        <v>2000</v>
      </c>
      <c r="S601" t="str">
        <f t="shared" si="212"/>
        <v>Small</v>
      </c>
      <c r="T601" t="str">
        <f t="shared" si="213"/>
        <v>Lower EV Adoption Corridor</v>
      </c>
      <c r="U601" s="3">
        <f t="shared" si="214"/>
        <v>3600000</v>
      </c>
      <c r="V601" s="4">
        <f t="shared" si="215"/>
        <v>880000.00000000012</v>
      </c>
      <c r="W601" s="3">
        <f t="shared" si="216"/>
        <v>12000000</v>
      </c>
      <c r="X601" s="3">
        <f t="shared" si="217"/>
        <v>6600000.0000000009</v>
      </c>
      <c r="Y601">
        <f t="shared" si="218"/>
        <v>0.31515151515151513</v>
      </c>
      <c r="Z601">
        <f t="shared" si="219"/>
        <v>0.75555555555555554</v>
      </c>
      <c r="AA601" t="str">
        <f t="shared" si="220"/>
        <v>Tier 2 - Growth Markets</v>
      </c>
      <c r="AB601" s="3">
        <f t="shared" si="221"/>
        <v>110000.00000000001</v>
      </c>
      <c r="AC601" s="3">
        <f t="shared" si="222"/>
        <v>1500000</v>
      </c>
      <c r="AD601" s="3">
        <f t="shared" si="223"/>
        <v>450000</v>
      </c>
      <c r="AE601" s="5">
        <f t="shared" si="224"/>
        <v>4.4117647058823533</v>
      </c>
      <c r="AF601" s="10">
        <f t="shared" si="225"/>
        <v>545600.00000000012</v>
      </c>
      <c r="AG601" s="10">
        <f t="shared" si="226"/>
        <v>176000.00000000003</v>
      </c>
      <c r="AH601" s="10">
        <f t="shared" si="227"/>
        <v>88000.000000000015</v>
      </c>
      <c r="AI601" s="10">
        <f t="shared" si="228"/>
        <v>44000.000000000007</v>
      </c>
      <c r="AJ601" s="10">
        <f t="shared" si="229"/>
        <v>26400.000000000004</v>
      </c>
    </row>
    <row r="602" spans="1:36" x14ac:dyDescent="0.3">
      <c r="A602" t="s">
        <v>2401</v>
      </c>
      <c r="B602" t="s">
        <v>2402</v>
      </c>
      <c r="C602" t="s">
        <v>315</v>
      </c>
      <c r="D602" t="s">
        <v>958</v>
      </c>
      <c r="E602">
        <v>4101</v>
      </c>
      <c r="F602" t="s">
        <v>15</v>
      </c>
      <c r="G602">
        <v>12</v>
      </c>
      <c r="H602">
        <v>150</v>
      </c>
      <c r="I602" t="str" cm="1">
        <f t="array" ref="I602">_xlfn.IFS(H602&lt;=120,"V1",H602&lt;=150,"V2",H602&lt;=250,"V3", H602&lt;=350, "V4")</f>
        <v>V2</v>
      </c>
      <c r="J602" t="s">
        <v>2403</v>
      </c>
      <c r="K602" t="str">
        <f t="shared" si="207"/>
        <v>43.664423</v>
      </c>
      <c r="L602" t="str">
        <f t="shared" si="208"/>
        <v>-70.269631</v>
      </c>
      <c r="M602">
        <v>4</v>
      </c>
      <c r="N602" s="1">
        <v>43755</v>
      </c>
      <c r="O602" s="1">
        <v>46099</v>
      </c>
      <c r="P602" s="2">
        <f t="shared" si="209"/>
        <v>6.4175222450376452</v>
      </c>
      <c r="Q602" s="2" t="str">
        <f t="shared" si="210"/>
        <v>Mid</v>
      </c>
      <c r="R602">
        <f t="shared" si="211"/>
        <v>1800</v>
      </c>
      <c r="S602" t="str">
        <f t="shared" si="212"/>
        <v>Small</v>
      </c>
      <c r="T602" t="str">
        <f t="shared" si="213"/>
        <v>Lower EV Adoption Corridor</v>
      </c>
      <c r="U602" s="3">
        <f t="shared" si="214"/>
        <v>2970000.0000000005</v>
      </c>
      <c r="V602" s="4">
        <f t="shared" si="215"/>
        <v>720000</v>
      </c>
      <c r="W602" s="3">
        <f t="shared" si="216"/>
        <v>9000000</v>
      </c>
      <c r="X602" s="3">
        <f t="shared" si="217"/>
        <v>5400000</v>
      </c>
      <c r="Y602">
        <f t="shared" si="218"/>
        <v>0.3</v>
      </c>
      <c r="Z602">
        <f t="shared" si="219"/>
        <v>0.75757575757575757</v>
      </c>
      <c r="AA602" t="str">
        <f t="shared" si="220"/>
        <v>Tier 4 - Stable Network</v>
      </c>
      <c r="AB602" s="3">
        <f t="shared" si="221"/>
        <v>60000</v>
      </c>
      <c r="AC602" s="3">
        <f t="shared" si="222"/>
        <v>750000</v>
      </c>
      <c r="AD602" s="3">
        <f t="shared" si="223"/>
        <v>247500.00000000003</v>
      </c>
      <c r="AE602" s="5">
        <f t="shared" si="224"/>
        <v>3.9999999999999991</v>
      </c>
      <c r="AF602" s="10">
        <f t="shared" si="225"/>
        <v>446400</v>
      </c>
      <c r="AG602" s="10">
        <f t="shared" si="226"/>
        <v>144000</v>
      </c>
      <c r="AH602" s="10">
        <f t="shared" si="227"/>
        <v>72000</v>
      </c>
      <c r="AI602" s="10">
        <f t="shared" si="228"/>
        <v>36000</v>
      </c>
      <c r="AJ602" s="10">
        <f t="shared" si="229"/>
        <v>21600</v>
      </c>
    </row>
    <row r="603" spans="1:36" x14ac:dyDescent="0.3">
      <c r="A603" t="s">
        <v>2404</v>
      </c>
      <c r="B603" t="s">
        <v>2405</v>
      </c>
      <c r="C603" t="s">
        <v>2406</v>
      </c>
      <c r="D603" t="s">
        <v>14</v>
      </c>
      <c r="E603">
        <v>93920</v>
      </c>
      <c r="F603" t="s">
        <v>15</v>
      </c>
      <c r="G603">
        <v>8</v>
      </c>
      <c r="H603">
        <v>72</v>
      </c>
      <c r="I603" t="str" cm="1">
        <f t="array" ref="I603">_xlfn.IFS(H603&lt;=120,"V1",H603&lt;=150,"V2",H603&lt;=250,"V3", H603&lt;=350, "V4")</f>
        <v>V1</v>
      </c>
      <c r="J603" t="s">
        <v>2407</v>
      </c>
      <c r="K603" t="str">
        <f t="shared" si="207"/>
        <v>36.226876</v>
      </c>
      <c r="L603" t="str">
        <f t="shared" si="208"/>
        <v>-121.761506</v>
      </c>
      <c r="M603">
        <v>324</v>
      </c>
      <c r="N603" s="1">
        <v>43609</v>
      </c>
      <c r="O603" s="1">
        <v>46099</v>
      </c>
      <c r="P603" s="2">
        <f t="shared" si="209"/>
        <v>6.8172484599589325</v>
      </c>
      <c r="Q603" s="2" t="str">
        <f t="shared" si="210"/>
        <v>Mid</v>
      </c>
      <c r="R603">
        <f t="shared" si="211"/>
        <v>576</v>
      </c>
      <c r="S603" t="str">
        <f t="shared" si="212"/>
        <v>Small</v>
      </c>
      <c r="T603" t="str">
        <f t="shared" si="213"/>
        <v>High EV Adoption Corridor</v>
      </c>
      <c r="U603" s="3">
        <f t="shared" si="214"/>
        <v>1123200</v>
      </c>
      <c r="V603" s="4">
        <f t="shared" si="215"/>
        <v>248832</v>
      </c>
      <c r="W603" s="3">
        <f t="shared" si="216"/>
        <v>2534400</v>
      </c>
      <c r="X603" s="3">
        <f t="shared" si="217"/>
        <v>2332800</v>
      </c>
      <c r="Y603">
        <f t="shared" si="218"/>
        <v>0.21530864197530863</v>
      </c>
      <c r="Z603">
        <f t="shared" si="219"/>
        <v>0.77846153846153843</v>
      </c>
      <c r="AA603" t="str">
        <f t="shared" si="220"/>
        <v>Tier 3 - Upgrade Pipeline</v>
      </c>
      <c r="AB603" s="3">
        <f t="shared" si="221"/>
        <v>31104</v>
      </c>
      <c r="AC603" s="3">
        <f t="shared" si="222"/>
        <v>316800</v>
      </c>
      <c r="AD603" s="3">
        <f t="shared" si="223"/>
        <v>140400</v>
      </c>
      <c r="AE603" s="5">
        <f t="shared" si="224"/>
        <v>2.8985507246376812</v>
      </c>
      <c r="AF603" s="10">
        <f t="shared" si="225"/>
        <v>154275.84</v>
      </c>
      <c r="AG603" s="10">
        <f t="shared" si="226"/>
        <v>49766.400000000001</v>
      </c>
      <c r="AH603" s="10">
        <f t="shared" si="227"/>
        <v>24883.200000000001</v>
      </c>
      <c r="AI603" s="10">
        <f t="shared" si="228"/>
        <v>12441.6</v>
      </c>
      <c r="AJ603" s="10">
        <f t="shared" si="229"/>
        <v>7464.96</v>
      </c>
    </row>
    <row r="604" spans="1:36" x14ac:dyDescent="0.3">
      <c r="A604" t="s">
        <v>2408</v>
      </c>
      <c r="B604" t="s">
        <v>2409</v>
      </c>
      <c r="C604" t="s">
        <v>2410</v>
      </c>
      <c r="D604" t="s">
        <v>1412</v>
      </c>
      <c r="E604">
        <v>19901</v>
      </c>
      <c r="F604" t="s">
        <v>15</v>
      </c>
      <c r="G604">
        <v>8</v>
      </c>
      <c r="H604">
        <v>120</v>
      </c>
      <c r="I604" t="str" cm="1">
        <f t="array" ref="I604">_xlfn.IFS(H604&lt;=120,"V1",H604&lt;=150,"V2",H604&lt;=250,"V3", H604&lt;=350, "V4")</f>
        <v>V1</v>
      </c>
      <c r="J604" t="s">
        <v>2411</v>
      </c>
      <c r="K604" t="str">
        <f t="shared" si="207"/>
        <v>39.19477</v>
      </c>
      <c r="L604" t="str">
        <f t="shared" si="208"/>
        <v>-75.54729</v>
      </c>
      <c r="M604">
        <v>13</v>
      </c>
      <c r="N604" s="1">
        <v>43477</v>
      </c>
      <c r="O604" s="1">
        <v>46099</v>
      </c>
      <c r="P604" s="2">
        <f t="shared" si="209"/>
        <v>7.1786447638603699</v>
      </c>
      <c r="Q604" s="2" t="str">
        <f t="shared" si="210"/>
        <v>Mid</v>
      </c>
      <c r="R604">
        <f t="shared" si="211"/>
        <v>960</v>
      </c>
      <c r="S604" t="str">
        <f t="shared" si="212"/>
        <v>Small</v>
      </c>
      <c r="T604" t="str">
        <f t="shared" si="213"/>
        <v>Lower EV Adoption Corridor</v>
      </c>
      <c r="U604" s="3">
        <f t="shared" si="214"/>
        <v>1440000</v>
      </c>
      <c r="V604" s="4">
        <f t="shared" si="215"/>
        <v>345600</v>
      </c>
      <c r="W604" s="3">
        <f t="shared" si="216"/>
        <v>3840000</v>
      </c>
      <c r="X604" s="3">
        <f t="shared" si="217"/>
        <v>2592000</v>
      </c>
      <c r="Y604">
        <f t="shared" si="218"/>
        <v>0.2814814814814815</v>
      </c>
      <c r="Z604">
        <f t="shared" si="219"/>
        <v>0.76</v>
      </c>
      <c r="AA604" t="str">
        <f t="shared" si="220"/>
        <v>Tier 5 - Retirement Pipeline</v>
      </c>
      <c r="AB604" s="3">
        <f t="shared" si="221"/>
        <v>43200</v>
      </c>
      <c r="AC604" s="3">
        <f t="shared" si="222"/>
        <v>480000</v>
      </c>
      <c r="AD604" s="3">
        <f t="shared" si="223"/>
        <v>180000</v>
      </c>
      <c r="AE604" s="5">
        <f t="shared" si="224"/>
        <v>3.5087719298245612</v>
      </c>
      <c r="AF604" s="10">
        <f t="shared" si="225"/>
        <v>214272</v>
      </c>
      <c r="AG604" s="10">
        <f t="shared" si="226"/>
        <v>69120</v>
      </c>
      <c r="AH604" s="10">
        <f t="shared" si="227"/>
        <v>34560</v>
      </c>
      <c r="AI604" s="10">
        <f t="shared" si="228"/>
        <v>17280</v>
      </c>
      <c r="AJ604" s="10">
        <f t="shared" si="229"/>
        <v>10368</v>
      </c>
    </row>
    <row r="605" spans="1:36" x14ac:dyDescent="0.3">
      <c r="A605" t="s">
        <v>2412</v>
      </c>
      <c r="B605" t="s">
        <v>2413</v>
      </c>
      <c r="C605" t="s">
        <v>2414</v>
      </c>
      <c r="D605" t="s">
        <v>852</v>
      </c>
      <c r="E605">
        <v>8210</v>
      </c>
      <c r="F605" t="s">
        <v>15</v>
      </c>
      <c r="G605">
        <v>12</v>
      </c>
      <c r="H605">
        <v>150</v>
      </c>
      <c r="I605" t="str" cm="1">
        <f t="array" ref="I605">_xlfn.IFS(H605&lt;=120,"V1",H605&lt;=150,"V2",H605&lt;=250,"V3", H605&lt;=350, "V4")</f>
        <v>V2</v>
      </c>
      <c r="J605" t="s">
        <v>2415</v>
      </c>
      <c r="K605" t="str">
        <f t="shared" si="207"/>
        <v>39.088417</v>
      </c>
      <c r="L605" t="str">
        <f t="shared" si="208"/>
        <v>-74.8215</v>
      </c>
      <c r="M605">
        <v>3</v>
      </c>
      <c r="N605" s="1">
        <v>43672</v>
      </c>
      <c r="O605" s="1">
        <v>46099</v>
      </c>
      <c r="P605" s="2">
        <f t="shared" si="209"/>
        <v>6.6447638603696095</v>
      </c>
      <c r="Q605" s="2" t="str">
        <f t="shared" si="210"/>
        <v>Mid</v>
      </c>
      <c r="R605">
        <f t="shared" si="211"/>
        <v>1800</v>
      </c>
      <c r="S605" t="str">
        <f t="shared" si="212"/>
        <v>Small</v>
      </c>
      <c r="T605" t="str">
        <f t="shared" si="213"/>
        <v>High EV Adoption Corridor</v>
      </c>
      <c r="U605" s="3">
        <f t="shared" si="214"/>
        <v>3861000.0000000009</v>
      </c>
      <c r="V605" s="4">
        <f t="shared" si="215"/>
        <v>864000</v>
      </c>
      <c r="W605" s="3">
        <f t="shared" si="216"/>
        <v>9900000</v>
      </c>
      <c r="X605" s="3">
        <f t="shared" si="217"/>
        <v>8100000</v>
      </c>
      <c r="Y605">
        <f t="shared" si="218"/>
        <v>0.22888888888888889</v>
      </c>
      <c r="Z605">
        <f t="shared" si="219"/>
        <v>0.77622377622377625</v>
      </c>
      <c r="AA605" t="str">
        <f t="shared" si="220"/>
        <v>Tier 3 - Upgrade Pipeline</v>
      </c>
      <c r="AB605" s="3">
        <f t="shared" si="221"/>
        <v>72000</v>
      </c>
      <c r="AC605" s="3">
        <f t="shared" si="222"/>
        <v>825000</v>
      </c>
      <c r="AD605" s="3">
        <f t="shared" si="223"/>
        <v>321750.00000000006</v>
      </c>
      <c r="AE605" s="5">
        <f t="shared" si="224"/>
        <v>3.3033033033033021</v>
      </c>
      <c r="AF605" s="10">
        <f t="shared" si="225"/>
        <v>535680</v>
      </c>
      <c r="AG605" s="10">
        <f t="shared" si="226"/>
        <v>172800</v>
      </c>
      <c r="AH605" s="10">
        <f t="shared" si="227"/>
        <v>86400</v>
      </c>
      <c r="AI605" s="10">
        <f t="shared" si="228"/>
        <v>43200</v>
      </c>
      <c r="AJ605" s="10">
        <f t="shared" si="229"/>
        <v>25920</v>
      </c>
    </row>
    <row r="606" spans="1:36" x14ac:dyDescent="0.3">
      <c r="A606" t="s">
        <v>2416</v>
      </c>
      <c r="B606" t="s">
        <v>2417</v>
      </c>
      <c r="C606" t="s">
        <v>2418</v>
      </c>
      <c r="D606" t="s">
        <v>189</v>
      </c>
      <c r="E606">
        <v>53147</v>
      </c>
      <c r="F606" t="s">
        <v>15</v>
      </c>
      <c r="G606">
        <v>6</v>
      </c>
      <c r="H606">
        <v>150</v>
      </c>
      <c r="I606" t="str" cm="1">
        <f t="array" ref="I606">_xlfn.IFS(H606&lt;=120,"V1",H606&lt;=150,"V2",H606&lt;=250,"V3", H606&lt;=350, "V4")</f>
        <v>V2</v>
      </c>
      <c r="J606" t="s">
        <v>2419</v>
      </c>
      <c r="K606" t="str">
        <f t="shared" si="207"/>
        <v>42.60901</v>
      </c>
      <c r="L606" t="str">
        <f t="shared" si="208"/>
        <v>-88.407819</v>
      </c>
      <c r="M606">
        <v>272</v>
      </c>
      <c r="N606" s="1">
        <v>43734</v>
      </c>
      <c r="O606" s="1">
        <v>46099</v>
      </c>
      <c r="P606" s="2">
        <f t="shared" si="209"/>
        <v>6.4750171115674195</v>
      </c>
      <c r="Q606" s="2" t="str">
        <f t="shared" si="210"/>
        <v>Mid</v>
      </c>
      <c r="R606">
        <f t="shared" si="211"/>
        <v>900</v>
      </c>
      <c r="S606" t="str">
        <f t="shared" si="212"/>
        <v>Small</v>
      </c>
      <c r="T606" t="str">
        <f t="shared" si="213"/>
        <v>Lower EV Adoption Corridor</v>
      </c>
      <c r="U606" s="3">
        <f t="shared" si="214"/>
        <v>1485000.0000000002</v>
      </c>
      <c r="V606" s="4">
        <f t="shared" si="215"/>
        <v>360000</v>
      </c>
      <c r="W606" s="3">
        <f t="shared" si="216"/>
        <v>4500000</v>
      </c>
      <c r="X606" s="3">
        <f t="shared" si="217"/>
        <v>2700000</v>
      </c>
      <c r="Y606">
        <f t="shared" si="218"/>
        <v>0.3</v>
      </c>
      <c r="Z606">
        <f t="shared" si="219"/>
        <v>0.75757575757575757</v>
      </c>
      <c r="AA606" t="str">
        <f t="shared" si="220"/>
        <v>Tier 4 - Stable Network</v>
      </c>
      <c r="AB606" s="3">
        <f t="shared" si="221"/>
        <v>60000</v>
      </c>
      <c r="AC606" s="3">
        <f t="shared" si="222"/>
        <v>750000</v>
      </c>
      <c r="AD606" s="3">
        <f t="shared" si="223"/>
        <v>247500.00000000003</v>
      </c>
      <c r="AE606" s="5">
        <f t="shared" si="224"/>
        <v>3.9999999999999991</v>
      </c>
      <c r="AF606" s="10">
        <f t="shared" si="225"/>
        <v>223200</v>
      </c>
      <c r="AG606" s="10">
        <f t="shared" si="226"/>
        <v>72000</v>
      </c>
      <c r="AH606" s="10">
        <f t="shared" si="227"/>
        <v>36000</v>
      </c>
      <c r="AI606" s="10">
        <f t="shared" si="228"/>
        <v>18000</v>
      </c>
      <c r="AJ606" s="10">
        <f t="shared" si="229"/>
        <v>10800</v>
      </c>
    </row>
    <row r="607" spans="1:36" x14ac:dyDescent="0.3">
      <c r="A607" t="s">
        <v>2420</v>
      </c>
      <c r="B607" t="s">
        <v>2421</v>
      </c>
      <c r="C607" t="s">
        <v>2422</v>
      </c>
      <c r="D607" t="s">
        <v>148</v>
      </c>
      <c r="E607">
        <v>66061</v>
      </c>
      <c r="F607" t="s">
        <v>15</v>
      </c>
      <c r="G607">
        <v>8</v>
      </c>
      <c r="H607">
        <v>150</v>
      </c>
      <c r="I607" t="str" cm="1">
        <f t="array" ref="I607">_xlfn.IFS(H607&lt;=120,"V1",H607&lt;=150,"V2",H607&lt;=250,"V3", H607&lt;=350, "V4")</f>
        <v>V2</v>
      </c>
      <c r="J607" t="s">
        <v>2423</v>
      </c>
      <c r="K607" t="str">
        <f t="shared" si="207"/>
        <v>38.912194</v>
      </c>
      <c r="L607" t="str">
        <f t="shared" si="208"/>
        <v>-94.795583</v>
      </c>
      <c r="M607">
        <v>309</v>
      </c>
      <c r="N607" s="1">
        <v>43627</v>
      </c>
      <c r="O607" s="1">
        <v>46099</v>
      </c>
      <c r="P607" s="2">
        <f t="shared" si="209"/>
        <v>6.7679671457905544</v>
      </c>
      <c r="Q607" s="2" t="str">
        <f t="shared" si="210"/>
        <v>Mid</v>
      </c>
      <c r="R607">
        <f t="shared" si="211"/>
        <v>1200</v>
      </c>
      <c r="S607" t="str">
        <f t="shared" si="212"/>
        <v>Small</v>
      </c>
      <c r="T607" t="str">
        <f t="shared" si="213"/>
        <v>Lower EV Adoption Corridor</v>
      </c>
      <c r="U607" s="3">
        <f t="shared" si="214"/>
        <v>1980000.0000000002</v>
      </c>
      <c r="V607" s="4">
        <f t="shared" si="215"/>
        <v>480000</v>
      </c>
      <c r="W607" s="3">
        <f t="shared" si="216"/>
        <v>6000000</v>
      </c>
      <c r="X607" s="3">
        <f t="shared" si="217"/>
        <v>3600000</v>
      </c>
      <c r="Y607">
        <f t="shared" si="218"/>
        <v>0.3</v>
      </c>
      <c r="Z607">
        <f t="shared" si="219"/>
        <v>0.75757575757575757</v>
      </c>
      <c r="AA607" t="str">
        <f t="shared" si="220"/>
        <v>Tier 4 - Stable Network</v>
      </c>
      <c r="AB607" s="3">
        <f t="shared" si="221"/>
        <v>60000</v>
      </c>
      <c r="AC607" s="3">
        <f t="shared" si="222"/>
        <v>750000</v>
      </c>
      <c r="AD607" s="3">
        <f t="shared" si="223"/>
        <v>247500.00000000003</v>
      </c>
      <c r="AE607" s="5">
        <f t="shared" si="224"/>
        <v>3.9999999999999996</v>
      </c>
      <c r="AF607" s="10">
        <f t="shared" si="225"/>
        <v>297600</v>
      </c>
      <c r="AG607" s="10">
        <f t="shared" si="226"/>
        <v>96000</v>
      </c>
      <c r="AH607" s="10">
        <f t="shared" si="227"/>
        <v>48000</v>
      </c>
      <c r="AI607" s="10">
        <f t="shared" si="228"/>
        <v>24000</v>
      </c>
      <c r="AJ607" s="10">
        <f t="shared" si="229"/>
        <v>14400</v>
      </c>
    </row>
    <row r="608" spans="1:36" x14ac:dyDescent="0.3">
      <c r="A608" t="s">
        <v>2424</v>
      </c>
      <c r="B608" t="s">
        <v>2425</v>
      </c>
      <c r="C608" t="s">
        <v>2426</v>
      </c>
      <c r="D608" t="s">
        <v>158</v>
      </c>
      <c r="E608">
        <v>10941</v>
      </c>
      <c r="F608" t="s">
        <v>15</v>
      </c>
      <c r="G608">
        <v>8</v>
      </c>
      <c r="H608">
        <v>150</v>
      </c>
      <c r="I608" t="str" cm="1">
        <f t="array" ref="I608">_xlfn.IFS(H608&lt;=120,"V1",H608&lt;=150,"V2",H608&lt;=250,"V3", H608&lt;=350, "V4")</f>
        <v>V2</v>
      </c>
      <c r="J608" t="s">
        <v>2427</v>
      </c>
      <c r="K608" t="str">
        <f t="shared" si="207"/>
        <v>41.442449</v>
      </c>
      <c r="L608" t="str">
        <f t="shared" si="208"/>
        <v>-74.376565</v>
      </c>
      <c r="M608">
        <v>136</v>
      </c>
      <c r="N608" s="1">
        <v>43736</v>
      </c>
      <c r="O608" s="1">
        <v>46099</v>
      </c>
      <c r="P608" s="2">
        <f t="shared" si="209"/>
        <v>6.4695414099931554</v>
      </c>
      <c r="Q608" s="2" t="str">
        <f t="shared" si="210"/>
        <v>Mid</v>
      </c>
      <c r="R608">
        <f t="shared" si="211"/>
        <v>1200</v>
      </c>
      <c r="S608" t="str">
        <f t="shared" si="212"/>
        <v>Small</v>
      </c>
      <c r="T608" t="str">
        <f t="shared" si="213"/>
        <v>Lower EV Adoption Corridor</v>
      </c>
      <c r="U608" s="3">
        <f t="shared" si="214"/>
        <v>1980000.0000000002</v>
      </c>
      <c r="V608" s="4">
        <f t="shared" si="215"/>
        <v>480000</v>
      </c>
      <c r="W608" s="3">
        <f t="shared" si="216"/>
        <v>6000000</v>
      </c>
      <c r="X608" s="3">
        <f t="shared" si="217"/>
        <v>3600000</v>
      </c>
      <c r="Y608">
        <f t="shared" si="218"/>
        <v>0.3</v>
      </c>
      <c r="Z608">
        <f t="shared" si="219"/>
        <v>0.75757575757575757</v>
      </c>
      <c r="AA608" t="str">
        <f t="shared" si="220"/>
        <v>Tier 4 - Stable Network</v>
      </c>
      <c r="AB608" s="3">
        <f t="shared" si="221"/>
        <v>60000</v>
      </c>
      <c r="AC608" s="3">
        <f t="shared" si="222"/>
        <v>750000</v>
      </c>
      <c r="AD608" s="3">
        <f t="shared" si="223"/>
        <v>247500.00000000003</v>
      </c>
      <c r="AE608" s="5">
        <f t="shared" si="224"/>
        <v>3.9999999999999996</v>
      </c>
      <c r="AF608" s="10">
        <f t="shared" si="225"/>
        <v>297600</v>
      </c>
      <c r="AG608" s="10">
        <f t="shared" si="226"/>
        <v>96000</v>
      </c>
      <c r="AH608" s="10">
        <f t="shared" si="227"/>
        <v>48000</v>
      </c>
      <c r="AI608" s="10">
        <f t="shared" si="228"/>
        <v>24000</v>
      </c>
      <c r="AJ608" s="10">
        <f t="shared" si="229"/>
        <v>14400</v>
      </c>
    </row>
    <row r="609" spans="1:36" x14ac:dyDescent="0.3">
      <c r="A609" t="s">
        <v>2428</v>
      </c>
      <c r="B609" t="s">
        <v>2429</v>
      </c>
      <c r="C609" t="s">
        <v>2430</v>
      </c>
      <c r="D609" t="s">
        <v>630</v>
      </c>
      <c r="E609">
        <v>49544</v>
      </c>
      <c r="F609" t="s">
        <v>15</v>
      </c>
      <c r="G609">
        <v>4</v>
      </c>
      <c r="H609">
        <v>150</v>
      </c>
      <c r="I609" t="str" cm="1">
        <f t="array" ref="I609">_xlfn.IFS(H609&lt;=120,"V1",H609&lt;=150,"V2",H609&lt;=250,"V3", H609&lt;=350, "V4")</f>
        <v>V2</v>
      </c>
      <c r="J609" t="s">
        <v>2431</v>
      </c>
      <c r="K609" t="str">
        <f t="shared" si="207"/>
        <v>43.018501</v>
      </c>
      <c r="L609" t="str">
        <f t="shared" si="208"/>
        <v>-85.723629</v>
      </c>
      <c r="M609">
        <v>228</v>
      </c>
      <c r="N609" s="1">
        <v>43458</v>
      </c>
      <c r="O609" s="1">
        <v>46099</v>
      </c>
      <c r="P609" s="2">
        <f t="shared" si="209"/>
        <v>7.2306639288158792</v>
      </c>
      <c r="Q609" s="2" t="str">
        <f t="shared" si="210"/>
        <v>Mid</v>
      </c>
      <c r="R609">
        <f t="shared" si="211"/>
        <v>600</v>
      </c>
      <c r="S609" t="str">
        <f t="shared" si="212"/>
        <v>Small</v>
      </c>
      <c r="T609" t="str">
        <f t="shared" si="213"/>
        <v>Lower EV Adoption Corridor</v>
      </c>
      <c r="U609" s="3">
        <f t="shared" si="214"/>
        <v>990000.00000000012</v>
      </c>
      <c r="V609" s="4">
        <f t="shared" si="215"/>
        <v>240000</v>
      </c>
      <c r="W609" s="3">
        <f t="shared" si="216"/>
        <v>3000000</v>
      </c>
      <c r="X609" s="3">
        <f t="shared" si="217"/>
        <v>1800000</v>
      </c>
      <c r="Y609">
        <f t="shared" si="218"/>
        <v>0.3</v>
      </c>
      <c r="Z609">
        <f t="shared" si="219"/>
        <v>0.75757575757575757</v>
      </c>
      <c r="AA609" t="str">
        <f t="shared" si="220"/>
        <v>Tier 4 - Stable Network</v>
      </c>
      <c r="AB609" s="3">
        <f t="shared" si="221"/>
        <v>60000</v>
      </c>
      <c r="AC609" s="3">
        <f t="shared" si="222"/>
        <v>750000</v>
      </c>
      <c r="AD609" s="3">
        <f t="shared" si="223"/>
        <v>247500.00000000003</v>
      </c>
      <c r="AE609" s="5">
        <f t="shared" si="224"/>
        <v>3.9999999999999996</v>
      </c>
      <c r="AF609" s="10">
        <f t="shared" si="225"/>
        <v>148800</v>
      </c>
      <c r="AG609" s="10">
        <f t="shared" si="226"/>
        <v>48000</v>
      </c>
      <c r="AH609" s="10">
        <f t="shared" si="227"/>
        <v>24000</v>
      </c>
      <c r="AI609" s="10">
        <f t="shared" si="228"/>
        <v>12000</v>
      </c>
      <c r="AJ609" s="10">
        <f t="shared" si="229"/>
        <v>7200</v>
      </c>
    </row>
    <row r="610" spans="1:36" x14ac:dyDescent="0.3">
      <c r="A610" t="s">
        <v>2432</v>
      </c>
      <c r="B610" t="s">
        <v>2433</v>
      </c>
      <c r="C610" t="s">
        <v>701</v>
      </c>
      <c r="D610" t="s">
        <v>14</v>
      </c>
      <c r="E610">
        <v>95482</v>
      </c>
      <c r="F610" t="s">
        <v>15</v>
      </c>
      <c r="G610">
        <v>12</v>
      </c>
      <c r="H610">
        <v>250</v>
      </c>
      <c r="I610" t="str" cm="1">
        <f t="array" ref="I610">_xlfn.IFS(H610&lt;=120,"V1",H610&lt;=150,"V2",H610&lt;=250,"V3", H610&lt;=350, "V4")</f>
        <v>V3</v>
      </c>
      <c r="J610" t="s">
        <v>2434</v>
      </c>
      <c r="K610" t="str">
        <f t="shared" si="207"/>
        <v>39.168351</v>
      </c>
      <c r="L610" t="str">
        <f t="shared" si="208"/>
        <v>-123.210046</v>
      </c>
      <c r="M610">
        <v>191</v>
      </c>
      <c r="N610" s="1">
        <v>44817</v>
      </c>
      <c r="O610" s="1">
        <v>46099</v>
      </c>
      <c r="P610" s="2">
        <f t="shared" si="209"/>
        <v>3.5099247091033541</v>
      </c>
      <c r="Q610" s="2" t="str">
        <f t="shared" si="210"/>
        <v>Mid</v>
      </c>
      <c r="R610">
        <f t="shared" si="211"/>
        <v>3000</v>
      </c>
      <c r="S610" t="str">
        <f t="shared" si="212"/>
        <v>Small</v>
      </c>
      <c r="T610" t="str">
        <f t="shared" si="213"/>
        <v>High EV Adoption Corridor</v>
      </c>
      <c r="U610" s="3">
        <f t="shared" si="214"/>
        <v>7020000</v>
      </c>
      <c r="V610" s="4">
        <f t="shared" si="215"/>
        <v>1584000</v>
      </c>
      <c r="W610" s="3">
        <f t="shared" si="216"/>
        <v>19800000</v>
      </c>
      <c r="X610" s="3">
        <f t="shared" si="217"/>
        <v>14850000</v>
      </c>
      <c r="Y610">
        <f t="shared" si="218"/>
        <v>0.24</v>
      </c>
      <c r="Z610">
        <f t="shared" si="219"/>
        <v>0.77435897435897438</v>
      </c>
      <c r="AA610" t="str">
        <f t="shared" si="220"/>
        <v>Tier 1 - Priority Fleet</v>
      </c>
      <c r="AB610" s="3">
        <f t="shared" si="221"/>
        <v>132000</v>
      </c>
      <c r="AC610" s="3">
        <f t="shared" si="222"/>
        <v>1650000</v>
      </c>
      <c r="AD610" s="3">
        <f t="shared" si="223"/>
        <v>585000</v>
      </c>
      <c r="AE610" s="5">
        <f t="shared" si="224"/>
        <v>3.6423841059602649</v>
      </c>
      <c r="AF610" s="10">
        <f t="shared" si="225"/>
        <v>982080</v>
      </c>
      <c r="AG610" s="10">
        <f t="shared" si="226"/>
        <v>316800</v>
      </c>
      <c r="AH610" s="10">
        <f t="shared" si="227"/>
        <v>158400</v>
      </c>
      <c r="AI610" s="10">
        <f t="shared" si="228"/>
        <v>79200</v>
      </c>
      <c r="AJ610" s="10">
        <f t="shared" si="229"/>
        <v>47520</v>
      </c>
    </row>
    <row r="611" spans="1:36" x14ac:dyDescent="0.3">
      <c r="A611" t="s">
        <v>2435</v>
      </c>
      <c r="B611" t="s">
        <v>2436</v>
      </c>
      <c r="C611" t="s">
        <v>1097</v>
      </c>
      <c r="D611" t="s">
        <v>299</v>
      </c>
      <c r="E611">
        <v>22201</v>
      </c>
      <c r="F611" t="s">
        <v>15</v>
      </c>
      <c r="G611">
        <v>18</v>
      </c>
      <c r="H611">
        <v>72</v>
      </c>
      <c r="I611" t="str" cm="1">
        <f t="array" ref="I611">_xlfn.IFS(H611&lt;=120,"V1",H611&lt;=150,"V2",H611&lt;=250,"V3", H611&lt;=350, "V4")</f>
        <v>V1</v>
      </c>
      <c r="J611" t="s">
        <v>2437</v>
      </c>
      <c r="K611" t="str">
        <f t="shared" si="207"/>
        <v>38.887481</v>
      </c>
      <c r="L611" t="str">
        <f t="shared" si="208"/>
        <v>-77.092956</v>
      </c>
      <c r="M611">
        <v>77</v>
      </c>
      <c r="N611" s="1">
        <v>43573</v>
      </c>
      <c r="O611" s="1">
        <v>46099</v>
      </c>
      <c r="P611" s="2">
        <f t="shared" si="209"/>
        <v>6.9158110882956878</v>
      </c>
      <c r="Q611" s="2" t="str">
        <f t="shared" si="210"/>
        <v>Mid</v>
      </c>
      <c r="R611">
        <f t="shared" si="211"/>
        <v>1296</v>
      </c>
      <c r="S611" t="str">
        <f t="shared" si="212"/>
        <v>Small</v>
      </c>
      <c r="T611" t="str">
        <f t="shared" si="213"/>
        <v>Lower EV Adoption Corridor</v>
      </c>
      <c r="U611" s="3">
        <f t="shared" si="214"/>
        <v>1944000</v>
      </c>
      <c r="V611" s="4">
        <f t="shared" si="215"/>
        <v>466560</v>
      </c>
      <c r="W611" s="3">
        <f t="shared" si="216"/>
        <v>5184000</v>
      </c>
      <c r="X611" s="3">
        <f t="shared" si="217"/>
        <v>3499200</v>
      </c>
      <c r="Y611">
        <f t="shared" si="218"/>
        <v>0.2814814814814815</v>
      </c>
      <c r="Z611">
        <f t="shared" si="219"/>
        <v>0.76</v>
      </c>
      <c r="AA611" t="str">
        <f t="shared" si="220"/>
        <v>Tier 5 - Retirement Pipeline</v>
      </c>
      <c r="AB611" s="3">
        <f t="shared" si="221"/>
        <v>25920</v>
      </c>
      <c r="AC611" s="3">
        <f t="shared" si="222"/>
        <v>288000</v>
      </c>
      <c r="AD611" s="3">
        <f t="shared" si="223"/>
        <v>108000</v>
      </c>
      <c r="AE611" s="5">
        <f t="shared" si="224"/>
        <v>3.5087719298245612</v>
      </c>
      <c r="AF611" s="10">
        <f t="shared" si="225"/>
        <v>289267.20000000001</v>
      </c>
      <c r="AG611" s="10">
        <f t="shared" si="226"/>
        <v>93312</v>
      </c>
      <c r="AH611" s="10">
        <f t="shared" si="227"/>
        <v>46656</v>
      </c>
      <c r="AI611" s="10">
        <f t="shared" si="228"/>
        <v>23328</v>
      </c>
      <c r="AJ611" s="10">
        <f t="shared" si="229"/>
        <v>13996.8</v>
      </c>
    </row>
    <row r="612" spans="1:36" x14ac:dyDescent="0.3">
      <c r="A612" t="s">
        <v>2438</v>
      </c>
      <c r="B612" t="s">
        <v>2439</v>
      </c>
      <c r="C612" t="s">
        <v>1495</v>
      </c>
      <c r="D612" t="s">
        <v>98</v>
      </c>
      <c r="E612">
        <v>6824</v>
      </c>
      <c r="F612" t="s">
        <v>15</v>
      </c>
      <c r="G612">
        <v>12</v>
      </c>
      <c r="H612">
        <v>250</v>
      </c>
      <c r="I612" t="str" cm="1">
        <f t="array" ref="I612">_xlfn.IFS(H612&lt;=120,"V1",H612&lt;=150,"V2",H612&lt;=250,"V3", H612&lt;=350, "V4")</f>
        <v>V3</v>
      </c>
      <c r="J612" t="s">
        <v>2440</v>
      </c>
      <c r="K612" t="str">
        <f t="shared" si="207"/>
        <v>41.146266</v>
      </c>
      <c r="L612" t="str">
        <f t="shared" si="208"/>
        <v>-73.257157</v>
      </c>
      <c r="M612">
        <v>15</v>
      </c>
      <c r="N612" s="1">
        <v>43822</v>
      </c>
      <c r="O612" s="1">
        <v>46099</v>
      </c>
      <c r="P612" s="2">
        <f t="shared" si="209"/>
        <v>6.2340862422997949</v>
      </c>
      <c r="Q612" s="2" t="str">
        <f t="shared" si="210"/>
        <v>Mid</v>
      </c>
      <c r="R612">
        <f t="shared" si="211"/>
        <v>3000</v>
      </c>
      <c r="S612" t="str">
        <f t="shared" si="212"/>
        <v>Small</v>
      </c>
      <c r="T612" t="str">
        <f t="shared" si="213"/>
        <v>Lower EV Adoption Corridor</v>
      </c>
      <c r="U612" s="3">
        <f t="shared" si="214"/>
        <v>5400000</v>
      </c>
      <c r="V612" s="4">
        <f t="shared" si="215"/>
        <v>1320000</v>
      </c>
      <c r="W612" s="3">
        <f t="shared" si="216"/>
        <v>18000000</v>
      </c>
      <c r="X612" s="3">
        <f t="shared" si="217"/>
        <v>9900000</v>
      </c>
      <c r="Y612">
        <f t="shared" si="218"/>
        <v>0.31515151515151513</v>
      </c>
      <c r="Z612">
        <f t="shared" si="219"/>
        <v>0.75555555555555554</v>
      </c>
      <c r="AA612" t="str">
        <f t="shared" si="220"/>
        <v>Tier 2 - Growth Markets</v>
      </c>
      <c r="AB612" s="3">
        <f t="shared" si="221"/>
        <v>110000</v>
      </c>
      <c r="AC612" s="3">
        <f t="shared" si="222"/>
        <v>1500000</v>
      </c>
      <c r="AD612" s="3">
        <f t="shared" si="223"/>
        <v>450000</v>
      </c>
      <c r="AE612" s="5">
        <f t="shared" si="224"/>
        <v>4.4117647058823533</v>
      </c>
      <c r="AF612" s="10">
        <f t="shared" si="225"/>
        <v>818400</v>
      </c>
      <c r="AG612" s="10">
        <f t="shared" si="226"/>
        <v>264000</v>
      </c>
      <c r="AH612" s="10">
        <f t="shared" si="227"/>
        <v>132000</v>
      </c>
      <c r="AI612" s="10">
        <f t="shared" si="228"/>
        <v>66000</v>
      </c>
      <c r="AJ612" s="10">
        <f t="shared" si="229"/>
        <v>39600</v>
      </c>
    </row>
    <row r="613" spans="1:36" x14ac:dyDescent="0.3">
      <c r="A613" t="s">
        <v>2441</v>
      </c>
      <c r="B613" t="s">
        <v>2442</v>
      </c>
      <c r="C613" t="s">
        <v>2443</v>
      </c>
      <c r="D613" t="s">
        <v>630</v>
      </c>
      <c r="E613">
        <v>49783</v>
      </c>
      <c r="F613" t="s">
        <v>15</v>
      </c>
      <c r="G613">
        <v>8</v>
      </c>
      <c r="H613">
        <v>250</v>
      </c>
      <c r="I613" t="str" cm="1">
        <f t="array" ref="I613">_xlfn.IFS(H613&lt;=120,"V1",H613&lt;=150,"V2",H613&lt;=250,"V3", H613&lt;=350, "V4")</f>
        <v>V3</v>
      </c>
      <c r="J613" t="s">
        <v>2444</v>
      </c>
      <c r="K613" t="str">
        <f t="shared" si="207"/>
        <v>46.463553</v>
      </c>
      <c r="L613" t="str">
        <f t="shared" si="208"/>
        <v>-84.386795</v>
      </c>
      <c r="M613">
        <v>222</v>
      </c>
      <c r="N613" s="1">
        <v>44434</v>
      </c>
      <c r="O613" s="1">
        <v>46099</v>
      </c>
      <c r="P613" s="2">
        <f t="shared" si="209"/>
        <v>4.5585215605749489</v>
      </c>
      <c r="Q613" s="2" t="str">
        <f t="shared" si="210"/>
        <v>Mid</v>
      </c>
      <c r="R613">
        <f t="shared" si="211"/>
        <v>2000</v>
      </c>
      <c r="S613" t="str">
        <f t="shared" si="212"/>
        <v>Small</v>
      </c>
      <c r="T613" t="str">
        <f t="shared" si="213"/>
        <v>Lower EV Adoption Corridor</v>
      </c>
      <c r="U613" s="3">
        <f t="shared" si="214"/>
        <v>3600000</v>
      </c>
      <c r="V613" s="4">
        <f t="shared" si="215"/>
        <v>880000.00000000012</v>
      </c>
      <c r="W613" s="3">
        <f t="shared" si="216"/>
        <v>12000000</v>
      </c>
      <c r="X613" s="3">
        <f t="shared" si="217"/>
        <v>6600000.0000000009</v>
      </c>
      <c r="Y613">
        <f t="shared" si="218"/>
        <v>0.31515151515151513</v>
      </c>
      <c r="Z613">
        <f t="shared" si="219"/>
        <v>0.75555555555555554</v>
      </c>
      <c r="AA613" t="str">
        <f t="shared" si="220"/>
        <v>Tier 2 - Growth Markets</v>
      </c>
      <c r="AB613" s="3">
        <f t="shared" si="221"/>
        <v>110000.00000000001</v>
      </c>
      <c r="AC613" s="3">
        <f t="shared" si="222"/>
        <v>1500000</v>
      </c>
      <c r="AD613" s="3">
        <f t="shared" si="223"/>
        <v>450000</v>
      </c>
      <c r="AE613" s="5">
        <f t="shared" si="224"/>
        <v>4.4117647058823533</v>
      </c>
      <c r="AF613" s="10">
        <f t="shared" si="225"/>
        <v>545600.00000000012</v>
      </c>
      <c r="AG613" s="10">
        <f t="shared" si="226"/>
        <v>176000.00000000003</v>
      </c>
      <c r="AH613" s="10">
        <f t="shared" si="227"/>
        <v>88000.000000000015</v>
      </c>
      <c r="AI613" s="10">
        <f t="shared" si="228"/>
        <v>44000.000000000007</v>
      </c>
      <c r="AJ613" s="10">
        <f t="shared" si="229"/>
        <v>26400.000000000004</v>
      </c>
    </row>
    <row r="614" spans="1:36" x14ac:dyDescent="0.3">
      <c r="A614" t="s">
        <v>2445</v>
      </c>
      <c r="B614" t="s">
        <v>2446</v>
      </c>
      <c r="C614" t="s">
        <v>2447</v>
      </c>
      <c r="D614" t="s">
        <v>321</v>
      </c>
      <c r="E614">
        <v>1566</v>
      </c>
      <c r="F614" t="s">
        <v>15</v>
      </c>
      <c r="G614">
        <v>12</v>
      </c>
      <c r="H614">
        <v>250</v>
      </c>
      <c r="I614" t="str" cm="1">
        <f t="array" ref="I614">_xlfn.IFS(H614&lt;=120,"V1",H614&lt;=150,"V2",H614&lt;=250,"V3", H614&lt;=350, "V4")</f>
        <v>V3</v>
      </c>
      <c r="J614" t="s">
        <v>2448</v>
      </c>
      <c r="K614" t="str">
        <f t="shared" si="207"/>
        <v>42.098547</v>
      </c>
      <c r="L614" t="str">
        <f t="shared" si="208"/>
        <v>-72.072596</v>
      </c>
      <c r="M614">
        <v>216</v>
      </c>
      <c r="N614" s="1">
        <v>45009</v>
      </c>
      <c r="O614" s="1">
        <v>46099</v>
      </c>
      <c r="P614" s="2">
        <f t="shared" si="209"/>
        <v>2.9842573579739904</v>
      </c>
      <c r="Q614" s="2" t="str">
        <f t="shared" si="210"/>
        <v>New</v>
      </c>
      <c r="R614">
        <f t="shared" si="211"/>
        <v>3000</v>
      </c>
      <c r="S614" t="str">
        <f t="shared" si="212"/>
        <v>Small</v>
      </c>
      <c r="T614" t="str">
        <f t="shared" si="213"/>
        <v>Lower EV Adoption Corridor</v>
      </c>
      <c r="U614" s="3">
        <f t="shared" si="214"/>
        <v>5400000</v>
      </c>
      <c r="V614" s="4">
        <f t="shared" si="215"/>
        <v>1320000</v>
      </c>
      <c r="W614" s="3">
        <f t="shared" si="216"/>
        <v>18000000</v>
      </c>
      <c r="X614" s="3">
        <f t="shared" si="217"/>
        <v>9900000</v>
      </c>
      <c r="Y614">
        <f t="shared" si="218"/>
        <v>0.31515151515151513</v>
      </c>
      <c r="Z614">
        <f t="shared" si="219"/>
        <v>0.75555555555555554</v>
      </c>
      <c r="AA614" t="str">
        <f t="shared" si="220"/>
        <v>Tier 2 - Growth Markets</v>
      </c>
      <c r="AB614" s="3">
        <f t="shared" si="221"/>
        <v>110000</v>
      </c>
      <c r="AC614" s="3">
        <f t="shared" si="222"/>
        <v>1500000</v>
      </c>
      <c r="AD614" s="3">
        <f t="shared" si="223"/>
        <v>450000</v>
      </c>
      <c r="AE614" s="5">
        <f t="shared" si="224"/>
        <v>4.4117647058823533</v>
      </c>
      <c r="AF614" s="10">
        <f t="shared" si="225"/>
        <v>818400</v>
      </c>
      <c r="AG614" s="10">
        <f t="shared" si="226"/>
        <v>264000</v>
      </c>
      <c r="AH614" s="10">
        <f t="shared" si="227"/>
        <v>132000</v>
      </c>
      <c r="AI614" s="10">
        <f t="shared" si="228"/>
        <v>66000</v>
      </c>
      <c r="AJ614" s="10">
        <f t="shared" si="229"/>
        <v>39600</v>
      </c>
    </row>
    <row r="615" spans="1:36" x14ac:dyDescent="0.3">
      <c r="A615" t="s">
        <v>2449</v>
      </c>
      <c r="B615" t="s">
        <v>2450</v>
      </c>
      <c r="C615" t="s">
        <v>2451</v>
      </c>
      <c r="D615" t="s">
        <v>321</v>
      </c>
      <c r="E615">
        <v>1749</v>
      </c>
      <c r="F615" t="s">
        <v>15</v>
      </c>
      <c r="G615">
        <v>8</v>
      </c>
      <c r="H615">
        <v>120</v>
      </c>
      <c r="I615" t="str" cm="1">
        <f t="array" ref="I615">_xlfn.IFS(H615&lt;=120,"V1",H615&lt;=150,"V2",H615&lt;=250,"V3", H615&lt;=350, "V4")</f>
        <v>V1</v>
      </c>
      <c r="J615" t="s">
        <v>2452</v>
      </c>
      <c r="K615" t="str">
        <f t="shared" si="207"/>
        <v>42.395775</v>
      </c>
      <c r="L615" t="str">
        <f t="shared" si="208"/>
        <v>-71.594724</v>
      </c>
      <c r="M615">
        <v>122</v>
      </c>
      <c r="N615" s="1">
        <v>43494</v>
      </c>
      <c r="O615" s="1">
        <v>46099</v>
      </c>
      <c r="P615" s="2">
        <f t="shared" si="209"/>
        <v>7.1321013004791238</v>
      </c>
      <c r="Q615" s="2" t="str">
        <f t="shared" si="210"/>
        <v>Mid</v>
      </c>
      <c r="R615">
        <f t="shared" si="211"/>
        <v>960</v>
      </c>
      <c r="S615" t="str">
        <f t="shared" si="212"/>
        <v>Small</v>
      </c>
      <c r="T615" t="str">
        <f t="shared" si="213"/>
        <v>Lower EV Adoption Corridor</v>
      </c>
      <c r="U615" s="3">
        <f t="shared" si="214"/>
        <v>1440000</v>
      </c>
      <c r="V615" s="4">
        <f t="shared" si="215"/>
        <v>345600</v>
      </c>
      <c r="W615" s="3">
        <f t="shared" si="216"/>
        <v>3840000</v>
      </c>
      <c r="X615" s="3">
        <f t="shared" si="217"/>
        <v>2592000</v>
      </c>
      <c r="Y615">
        <f t="shared" si="218"/>
        <v>0.2814814814814815</v>
      </c>
      <c r="Z615">
        <f t="shared" si="219"/>
        <v>0.76</v>
      </c>
      <c r="AA615" t="str">
        <f t="shared" si="220"/>
        <v>Tier 5 - Retirement Pipeline</v>
      </c>
      <c r="AB615" s="3">
        <f t="shared" si="221"/>
        <v>43200</v>
      </c>
      <c r="AC615" s="3">
        <f t="shared" si="222"/>
        <v>480000</v>
      </c>
      <c r="AD615" s="3">
        <f t="shared" si="223"/>
        <v>180000</v>
      </c>
      <c r="AE615" s="5">
        <f t="shared" si="224"/>
        <v>3.5087719298245612</v>
      </c>
      <c r="AF615" s="10">
        <f t="shared" si="225"/>
        <v>214272</v>
      </c>
      <c r="AG615" s="10">
        <f t="shared" si="226"/>
        <v>69120</v>
      </c>
      <c r="AH615" s="10">
        <f t="shared" si="227"/>
        <v>34560</v>
      </c>
      <c r="AI615" s="10">
        <f t="shared" si="228"/>
        <v>17280</v>
      </c>
      <c r="AJ615" s="10">
        <f t="shared" si="229"/>
        <v>10368</v>
      </c>
    </row>
    <row r="616" spans="1:36" x14ac:dyDescent="0.3">
      <c r="A616" t="s">
        <v>2453</v>
      </c>
      <c r="B616" t="s">
        <v>2454</v>
      </c>
      <c r="C616" t="s">
        <v>2455</v>
      </c>
      <c r="D616" t="s">
        <v>158</v>
      </c>
      <c r="E616">
        <v>14850</v>
      </c>
      <c r="F616" t="s">
        <v>15</v>
      </c>
      <c r="G616">
        <v>8</v>
      </c>
      <c r="H616">
        <v>150</v>
      </c>
      <c r="I616" t="str" cm="1">
        <f t="array" ref="I616">_xlfn.IFS(H616&lt;=120,"V1",H616&lt;=150,"V2",H616&lt;=250,"V3", H616&lt;=350, "V4")</f>
        <v>V2</v>
      </c>
      <c r="J616" t="s">
        <v>2456</v>
      </c>
      <c r="K616" t="str">
        <f t="shared" si="207"/>
        <v>42.428639</v>
      </c>
      <c r="L616" t="str">
        <f t="shared" si="208"/>
        <v>-76.509111</v>
      </c>
      <c r="M616">
        <v>117</v>
      </c>
      <c r="N616" s="1">
        <v>43670</v>
      </c>
      <c r="O616" s="1">
        <v>46099</v>
      </c>
      <c r="P616" s="2">
        <f t="shared" si="209"/>
        <v>6.6502395619438737</v>
      </c>
      <c r="Q616" s="2" t="str">
        <f t="shared" si="210"/>
        <v>Mid</v>
      </c>
      <c r="R616">
        <f t="shared" si="211"/>
        <v>1200</v>
      </c>
      <c r="S616" t="str">
        <f t="shared" si="212"/>
        <v>Small</v>
      </c>
      <c r="T616" t="str">
        <f t="shared" si="213"/>
        <v>Lower EV Adoption Corridor</v>
      </c>
      <c r="U616" s="3">
        <f t="shared" si="214"/>
        <v>1980000.0000000002</v>
      </c>
      <c r="V616" s="4">
        <f t="shared" si="215"/>
        <v>480000</v>
      </c>
      <c r="W616" s="3">
        <f t="shared" si="216"/>
        <v>6000000</v>
      </c>
      <c r="X616" s="3">
        <f t="shared" si="217"/>
        <v>3600000</v>
      </c>
      <c r="Y616">
        <f t="shared" si="218"/>
        <v>0.3</v>
      </c>
      <c r="Z616">
        <f t="shared" si="219"/>
        <v>0.75757575757575757</v>
      </c>
      <c r="AA616" t="str">
        <f t="shared" si="220"/>
        <v>Tier 4 - Stable Network</v>
      </c>
      <c r="AB616" s="3">
        <f t="shared" si="221"/>
        <v>60000</v>
      </c>
      <c r="AC616" s="3">
        <f t="shared" si="222"/>
        <v>750000</v>
      </c>
      <c r="AD616" s="3">
        <f t="shared" si="223"/>
        <v>247500.00000000003</v>
      </c>
      <c r="AE616" s="5">
        <f t="shared" si="224"/>
        <v>3.9999999999999996</v>
      </c>
      <c r="AF616" s="10">
        <f t="shared" si="225"/>
        <v>297600</v>
      </c>
      <c r="AG616" s="10">
        <f t="shared" si="226"/>
        <v>96000</v>
      </c>
      <c r="AH616" s="10">
        <f t="shared" si="227"/>
        <v>48000</v>
      </c>
      <c r="AI616" s="10">
        <f t="shared" si="228"/>
        <v>24000</v>
      </c>
      <c r="AJ616" s="10">
        <f t="shared" si="229"/>
        <v>14400</v>
      </c>
    </row>
    <row r="617" spans="1:36" x14ac:dyDescent="0.3">
      <c r="A617" t="s">
        <v>2457</v>
      </c>
      <c r="B617" t="s">
        <v>2458</v>
      </c>
      <c r="C617" t="s">
        <v>2459</v>
      </c>
      <c r="D617" t="s">
        <v>14</v>
      </c>
      <c r="E617">
        <v>94531</v>
      </c>
      <c r="F617" t="s">
        <v>15</v>
      </c>
      <c r="G617">
        <v>10</v>
      </c>
      <c r="H617">
        <v>150</v>
      </c>
      <c r="I617" t="str" cm="1">
        <f t="array" ref="I617">_xlfn.IFS(H617&lt;=120,"V1",H617&lt;=150,"V2",H617&lt;=250,"V3", H617&lt;=350, "V4")</f>
        <v>V2</v>
      </c>
      <c r="J617" t="s">
        <v>2460</v>
      </c>
      <c r="K617" t="str">
        <f t="shared" si="207"/>
        <v>37.963695</v>
      </c>
      <c r="L617" t="str">
        <f t="shared" si="208"/>
        <v>-121.737262</v>
      </c>
      <c r="M617">
        <v>34</v>
      </c>
      <c r="N617" s="1">
        <v>43544</v>
      </c>
      <c r="O617" s="1">
        <v>46099</v>
      </c>
      <c r="P617" s="2">
        <f t="shared" si="209"/>
        <v>6.9952087611225187</v>
      </c>
      <c r="Q617" s="2" t="str">
        <f t="shared" si="210"/>
        <v>Mid</v>
      </c>
      <c r="R617">
        <f t="shared" si="211"/>
        <v>1500</v>
      </c>
      <c r="S617" t="str">
        <f t="shared" si="212"/>
        <v>Small</v>
      </c>
      <c r="T617" t="str">
        <f t="shared" si="213"/>
        <v>High EV Adoption Corridor</v>
      </c>
      <c r="U617" s="3">
        <f t="shared" si="214"/>
        <v>3217500</v>
      </c>
      <c r="V617" s="4">
        <f t="shared" si="215"/>
        <v>720000</v>
      </c>
      <c r="W617" s="3">
        <f t="shared" si="216"/>
        <v>8250000.0000000009</v>
      </c>
      <c r="X617" s="3">
        <f t="shared" si="217"/>
        <v>6750000</v>
      </c>
      <c r="Y617">
        <f t="shared" si="218"/>
        <v>0.22888888888888889</v>
      </c>
      <c r="Z617">
        <f t="shared" si="219"/>
        <v>0.77622377622377625</v>
      </c>
      <c r="AA617" t="str">
        <f t="shared" si="220"/>
        <v>Tier 3 - Upgrade Pipeline</v>
      </c>
      <c r="AB617" s="3">
        <f t="shared" si="221"/>
        <v>72000</v>
      </c>
      <c r="AC617" s="3">
        <f t="shared" si="222"/>
        <v>825000.00000000012</v>
      </c>
      <c r="AD617" s="3">
        <f t="shared" si="223"/>
        <v>321750</v>
      </c>
      <c r="AE617" s="5">
        <f t="shared" si="224"/>
        <v>3.3033033033033035</v>
      </c>
      <c r="AF617" s="10">
        <f t="shared" si="225"/>
        <v>446400</v>
      </c>
      <c r="AG617" s="10">
        <f t="shared" si="226"/>
        <v>144000</v>
      </c>
      <c r="AH617" s="10">
        <f t="shared" si="227"/>
        <v>72000</v>
      </c>
      <c r="AI617" s="10">
        <f t="shared" si="228"/>
        <v>36000</v>
      </c>
      <c r="AJ617" s="10">
        <f t="shared" si="229"/>
        <v>21600</v>
      </c>
    </row>
    <row r="618" spans="1:36" x14ac:dyDescent="0.3">
      <c r="A618" t="s">
        <v>2461</v>
      </c>
      <c r="B618" t="s">
        <v>2462</v>
      </c>
      <c r="C618" t="s">
        <v>2463</v>
      </c>
      <c r="D618" t="s">
        <v>77</v>
      </c>
      <c r="E618">
        <v>27030</v>
      </c>
      <c r="F618" t="s">
        <v>15</v>
      </c>
      <c r="G618">
        <v>8</v>
      </c>
      <c r="H618">
        <v>150</v>
      </c>
      <c r="I618" t="str" cm="1">
        <f t="array" ref="I618">_xlfn.IFS(H618&lt;=120,"V1",H618&lt;=150,"V2",H618&lt;=250,"V3", H618&lt;=350, "V4")</f>
        <v>V2</v>
      </c>
      <c r="J618" t="s">
        <v>2464</v>
      </c>
      <c r="K618" t="str">
        <f t="shared" si="207"/>
        <v>36.458847</v>
      </c>
      <c r="L618" t="str">
        <f t="shared" si="208"/>
        <v>-80.636683</v>
      </c>
      <c r="M618">
        <v>313</v>
      </c>
      <c r="N618" s="1">
        <v>43638</v>
      </c>
      <c r="O618" s="1">
        <v>46099</v>
      </c>
      <c r="P618" s="2">
        <f t="shared" si="209"/>
        <v>6.7378507871321016</v>
      </c>
      <c r="Q618" s="2" t="str">
        <f t="shared" si="210"/>
        <v>Mid</v>
      </c>
      <c r="R618">
        <f t="shared" si="211"/>
        <v>1200</v>
      </c>
      <c r="S618" t="str">
        <f t="shared" si="212"/>
        <v>Small</v>
      </c>
      <c r="T618" t="str">
        <f t="shared" si="213"/>
        <v>Lower EV Adoption Corridor</v>
      </c>
      <c r="U618" s="3">
        <f t="shared" si="214"/>
        <v>1980000.0000000002</v>
      </c>
      <c r="V618" s="4">
        <f t="shared" si="215"/>
        <v>480000</v>
      </c>
      <c r="W618" s="3">
        <f t="shared" si="216"/>
        <v>6000000</v>
      </c>
      <c r="X618" s="3">
        <f t="shared" si="217"/>
        <v>3600000</v>
      </c>
      <c r="Y618">
        <f t="shared" si="218"/>
        <v>0.3</v>
      </c>
      <c r="Z618">
        <f t="shared" si="219"/>
        <v>0.75757575757575757</v>
      </c>
      <c r="AA618" t="str">
        <f t="shared" si="220"/>
        <v>Tier 4 - Stable Network</v>
      </c>
      <c r="AB618" s="3">
        <f t="shared" si="221"/>
        <v>60000</v>
      </c>
      <c r="AC618" s="3">
        <f t="shared" si="222"/>
        <v>750000</v>
      </c>
      <c r="AD618" s="3">
        <f t="shared" si="223"/>
        <v>247500.00000000003</v>
      </c>
      <c r="AE618" s="5">
        <f t="shared" si="224"/>
        <v>3.9999999999999996</v>
      </c>
      <c r="AF618" s="10">
        <f t="shared" si="225"/>
        <v>297600</v>
      </c>
      <c r="AG618" s="10">
        <f t="shared" si="226"/>
        <v>96000</v>
      </c>
      <c r="AH618" s="10">
        <f t="shared" si="227"/>
        <v>48000</v>
      </c>
      <c r="AI618" s="10">
        <f t="shared" si="228"/>
        <v>24000</v>
      </c>
      <c r="AJ618" s="10">
        <f t="shared" si="229"/>
        <v>14400</v>
      </c>
    </row>
    <row r="619" spans="1:36" x14ac:dyDescent="0.3">
      <c r="A619" t="s">
        <v>2465</v>
      </c>
      <c r="B619" t="s">
        <v>2466</v>
      </c>
      <c r="C619" t="s">
        <v>2467</v>
      </c>
      <c r="D619" t="s">
        <v>14</v>
      </c>
      <c r="E619">
        <v>92270</v>
      </c>
      <c r="F619" t="s">
        <v>15</v>
      </c>
      <c r="G619">
        <v>24</v>
      </c>
      <c r="H619">
        <v>72</v>
      </c>
      <c r="I619" t="str" cm="1">
        <f t="array" ref="I619">_xlfn.IFS(H619&lt;=120,"V1",H619&lt;=150,"V2",H619&lt;=250,"V3", H619&lt;=350, "V4")</f>
        <v>V1</v>
      </c>
      <c r="J619" t="s">
        <v>2468</v>
      </c>
      <c r="K619" t="str">
        <f t="shared" si="207"/>
        <v>33.741311</v>
      </c>
      <c r="L619" t="str">
        <f t="shared" si="208"/>
        <v>-116.409258</v>
      </c>
      <c r="M619">
        <v>70</v>
      </c>
      <c r="N619" s="1">
        <v>43726</v>
      </c>
      <c r="O619" s="1">
        <v>46099</v>
      </c>
      <c r="P619" s="2">
        <f t="shared" si="209"/>
        <v>6.4969199178644761</v>
      </c>
      <c r="Q619" s="2" t="str">
        <f t="shared" si="210"/>
        <v>Mid</v>
      </c>
      <c r="R619">
        <f t="shared" si="211"/>
        <v>1728</v>
      </c>
      <c r="S619" t="str">
        <f t="shared" si="212"/>
        <v>Small</v>
      </c>
      <c r="T619" t="str">
        <f t="shared" si="213"/>
        <v>High EV Adoption Corridor</v>
      </c>
      <c r="U619" s="3">
        <f t="shared" si="214"/>
        <v>3369600</v>
      </c>
      <c r="V619" s="4">
        <f t="shared" si="215"/>
        <v>746496</v>
      </c>
      <c r="W619" s="3">
        <f t="shared" si="216"/>
        <v>7603200.0000000009</v>
      </c>
      <c r="X619" s="3">
        <f t="shared" si="217"/>
        <v>6998400</v>
      </c>
      <c r="Y619">
        <f t="shared" si="218"/>
        <v>0.21530864197530863</v>
      </c>
      <c r="Z619">
        <f t="shared" si="219"/>
        <v>0.77846153846153843</v>
      </c>
      <c r="AA619" t="str">
        <f t="shared" si="220"/>
        <v>Tier 3 - Upgrade Pipeline</v>
      </c>
      <c r="AB619" s="3">
        <f t="shared" si="221"/>
        <v>31104</v>
      </c>
      <c r="AC619" s="3">
        <f t="shared" si="222"/>
        <v>316800.00000000006</v>
      </c>
      <c r="AD619" s="3">
        <f t="shared" si="223"/>
        <v>140400</v>
      </c>
      <c r="AE619" s="5">
        <f t="shared" si="224"/>
        <v>2.8985507246376816</v>
      </c>
      <c r="AF619" s="10">
        <f t="shared" si="225"/>
        <v>462827.52000000002</v>
      </c>
      <c r="AG619" s="10">
        <f t="shared" si="226"/>
        <v>149299.20000000001</v>
      </c>
      <c r="AH619" s="10">
        <f t="shared" si="227"/>
        <v>74649.600000000006</v>
      </c>
      <c r="AI619" s="10">
        <f t="shared" si="228"/>
        <v>37324.800000000003</v>
      </c>
      <c r="AJ619" s="10">
        <f t="shared" si="229"/>
        <v>22394.879999999997</v>
      </c>
    </row>
    <row r="620" spans="1:36" x14ac:dyDescent="0.3">
      <c r="A620" t="s">
        <v>2469</v>
      </c>
      <c r="B620" t="s">
        <v>2470</v>
      </c>
      <c r="C620" t="s">
        <v>2471</v>
      </c>
      <c r="D620" t="s">
        <v>630</v>
      </c>
      <c r="E620">
        <v>49426</v>
      </c>
      <c r="F620" t="s">
        <v>15</v>
      </c>
      <c r="G620">
        <v>10</v>
      </c>
      <c r="H620">
        <v>150</v>
      </c>
      <c r="I620" t="str" cm="1">
        <f t="array" ref="I620">_xlfn.IFS(H620&lt;=120,"V1",H620&lt;=150,"V2",H620&lt;=250,"V3", H620&lt;=350, "V4")</f>
        <v>V2</v>
      </c>
      <c r="J620" t="s">
        <v>2472</v>
      </c>
      <c r="K620" t="str">
        <f t="shared" si="207"/>
        <v>42.843659</v>
      </c>
      <c r="L620" t="str">
        <f t="shared" si="208"/>
        <v>-85.862462</v>
      </c>
      <c r="M620">
        <v>221</v>
      </c>
      <c r="N620" s="1">
        <v>43693</v>
      </c>
      <c r="O620" s="1">
        <v>46099</v>
      </c>
      <c r="P620" s="2">
        <f t="shared" si="209"/>
        <v>6.5872689938398361</v>
      </c>
      <c r="Q620" s="2" t="str">
        <f t="shared" si="210"/>
        <v>Mid</v>
      </c>
      <c r="R620">
        <f t="shared" si="211"/>
        <v>1500</v>
      </c>
      <c r="S620" t="str">
        <f t="shared" si="212"/>
        <v>Small</v>
      </c>
      <c r="T620" t="str">
        <f t="shared" si="213"/>
        <v>Lower EV Adoption Corridor</v>
      </c>
      <c r="U620" s="3">
        <f t="shared" si="214"/>
        <v>2475000</v>
      </c>
      <c r="V620" s="4">
        <f t="shared" si="215"/>
        <v>600000</v>
      </c>
      <c r="W620" s="3">
        <f t="shared" si="216"/>
        <v>7500000</v>
      </c>
      <c r="X620" s="3">
        <f t="shared" si="217"/>
        <v>4500000</v>
      </c>
      <c r="Y620">
        <f t="shared" si="218"/>
        <v>0.3</v>
      </c>
      <c r="Z620">
        <f t="shared" si="219"/>
        <v>0.75757575757575757</v>
      </c>
      <c r="AA620" t="str">
        <f t="shared" si="220"/>
        <v>Tier 4 - Stable Network</v>
      </c>
      <c r="AB620" s="3">
        <f t="shared" si="221"/>
        <v>60000</v>
      </c>
      <c r="AC620" s="3">
        <f t="shared" si="222"/>
        <v>750000</v>
      </c>
      <c r="AD620" s="3">
        <f t="shared" si="223"/>
        <v>247500</v>
      </c>
      <c r="AE620" s="5">
        <f t="shared" si="224"/>
        <v>4</v>
      </c>
      <c r="AF620" s="10">
        <f t="shared" si="225"/>
        <v>372000</v>
      </c>
      <c r="AG620" s="10">
        <f t="shared" si="226"/>
        <v>120000</v>
      </c>
      <c r="AH620" s="10">
        <f t="shared" si="227"/>
        <v>60000</v>
      </c>
      <c r="AI620" s="10">
        <f t="shared" si="228"/>
        <v>30000</v>
      </c>
      <c r="AJ620" s="10">
        <f t="shared" si="229"/>
        <v>18000</v>
      </c>
    </row>
    <row r="621" spans="1:36" x14ac:dyDescent="0.3">
      <c r="A621" t="s">
        <v>2473</v>
      </c>
      <c r="B621" t="s">
        <v>2474</v>
      </c>
      <c r="C621" t="s">
        <v>2475</v>
      </c>
      <c r="D621" t="s">
        <v>958</v>
      </c>
      <c r="E621">
        <v>4976</v>
      </c>
      <c r="F621" t="s">
        <v>15</v>
      </c>
      <c r="G621">
        <v>8</v>
      </c>
      <c r="H621">
        <v>150</v>
      </c>
      <c r="I621" t="str" cm="1">
        <f t="array" ref="I621">_xlfn.IFS(H621&lt;=120,"V1",H621&lt;=150,"V2",H621&lt;=250,"V3", H621&lt;=350, "V4")</f>
        <v>V2</v>
      </c>
      <c r="J621" t="s">
        <v>2476</v>
      </c>
      <c r="K621" t="str">
        <f t="shared" si="207"/>
        <v>44.780304</v>
      </c>
      <c r="L621" t="str">
        <f t="shared" si="208"/>
        <v>-69.727027</v>
      </c>
      <c r="M621">
        <v>74</v>
      </c>
      <c r="N621" s="1">
        <v>43831</v>
      </c>
      <c r="O621" s="1">
        <v>46099</v>
      </c>
      <c r="P621" s="2">
        <f t="shared" si="209"/>
        <v>6.2094455852156054</v>
      </c>
      <c r="Q621" s="2" t="str">
        <f t="shared" si="210"/>
        <v>Mid</v>
      </c>
      <c r="R621">
        <f t="shared" si="211"/>
        <v>1200</v>
      </c>
      <c r="S621" t="str">
        <f t="shared" si="212"/>
        <v>Small</v>
      </c>
      <c r="T621" t="str">
        <f t="shared" si="213"/>
        <v>Lower EV Adoption Corridor</v>
      </c>
      <c r="U621" s="3">
        <f t="shared" si="214"/>
        <v>1980000.0000000002</v>
      </c>
      <c r="V621" s="4">
        <f t="shared" si="215"/>
        <v>480000</v>
      </c>
      <c r="W621" s="3">
        <f t="shared" si="216"/>
        <v>6000000</v>
      </c>
      <c r="X621" s="3">
        <f t="shared" si="217"/>
        <v>3600000</v>
      </c>
      <c r="Y621">
        <f t="shared" si="218"/>
        <v>0.3</v>
      </c>
      <c r="Z621">
        <f t="shared" si="219"/>
        <v>0.75757575757575757</v>
      </c>
      <c r="AA621" t="str">
        <f t="shared" si="220"/>
        <v>Tier 4 - Stable Network</v>
      </c>
      <c r="AB621" s="3">
        <f t="shared" si="221"/>
        <v>60000</v>
      </c>
      <c r="AC621" s="3">
        <f t="shared" si="222"/>
        <v>750000</v>
      </c>
      <c r="AD621" s="3">
        <f t="shared" si="223"/>
        <v>247500.00000000003</v>
      </c>
      <c r="AE621" s="5">
        <f t="shared" si="224"/>
        <v>3.9999999999999996</v>
      </c>
      <c r="AF621" s="10">
        <f t="shared" si="225"/>
        <v>297600</v>
      </c>
      <c r="AG621" s="10">
        <f t="shared" si="226"/>
        <v>96000</v>
      </c>
      <c r="AH621" s="10">
        <f t="shared" si="227"/>
        <v>48000</v>
      </c>
      <c r="AI621" s="10">
        <f t="shared" si="228"/>
        <v>24000</v>
      </c>
      <c r="AJ621" s="10">
        <f t="shared" si="229"/>
        <v>14400</v>
      </c>
    </row>
    <row r="622" spans="1:36" x14ac:dyDescent="0.3">
      <c r="A622" t="s">
        <v>2477</v>
      </c>
      <c r="B622" t="s">
        <v>2478</v>
      </c>
      <c r="C622" t="s">
        <v>557</v>
      </c>
      <c r="D622" t="s">
        <v>433</v>
      </c>
      <c r="E622">
        <v>89106</v>
      </c>
      <c r="F622" t="s">
        <v>15</v>
      </c>
      <c r="G622">
        <v>8</v>
      </c>
      <c r="H622">
        <v>250</v>
      </c>
      <c r="I622" t="str" cm="1">
        <f t="array" ref="I622">_xlfn.IFS(H622&lt;=120,"V1",H622&lt;=150,"V2",H622&lt;=250,"V3", H622&lt;=350, "V4")</f>
        <v>V3</v>
      </c>
      <c r="J622" t="s">
        <v>2479</v>
      </c>
      <c r="K622" t="str">
        <f t="shared" si="207"/>
        <v>36.165908</v>
      </c>
      <c r="L622" t="str">
        <f t="shared" si="208"/>
        <v>-115.158343</v>
      </c>
      <c r="M622">
        <v>622</v>
      </c>
      <c r="N622" s="1">
        <v>44089</v>
      </c>
      <c r="O622" s="1">
        <v>46099</v>
      </c>
      <c r="P622" s="2">
        <f t="shared" si="209"/>
        <v>5.5030800821355239</v>
      </c>
      <c r="Q622" s="2" t="str">
        <f t="shared" si="210"/>
        <v>Mid</v>
      </c>
      <c r="R622">
        <f t="shared" si="211"/>
        <v>2000</v>
      </c>
      <c r="S622" t="str">
        <f t="shared" si="212"/>
        <v>Small</v>
      </c>
      <c r="T622" t="str">
        <f t="shared" si="213"/>
        <v>Lower EV Adoption Corridor</v>
      </c>
      <c r="U622" s="3">
        <f t="shared" si="214"/>
        <v>3600000</v>
      </c>
      <c r="V622" s="4">
        <f t="shared" si="215"/>
        <v>880000.00000000012</v>
      </c>
      <c r="W622" s="3">
        <f t="shared" si="216"/>
        <v>12000000</v>
      </c>
      <c r="X622" s="3">
        <f t="shared" si="217"/>
        <v>6600000.0000000009</v>
      </c>
      <c r="Y622">
        <f t="shared" si="218"/>
        <v>0.31515151515151513</v>
      </c>
      <c r="Z622">
        <f t="shared" si="219"/>
        <v>0.75555555555555554</v>
      </c>
      <c r="AA622" t="str">
        <f t="shared" si="220"/>
        <v>Tier 2 - Growth Markets</v>
      </c>
      <c r="AB622" s="3">
        <f t="shared" si="221"/>
        <v>110000.00000000001</v>
      </c>
      <c r="AC622" s="3">
        <f t="shared" si="222"/>
        <v>1500000</v>
      </c>
      <c r="AD622" s="3">
        <f t="shared" si="223"/>
        <v>450000</v>
      </c>
      <c r="AE622" s="5">
        <f t="shared" si="224"/>
        <v>4.4117647058823533</v>
      </c>
      <c r="AF622" s="10">
        <f t="shared" si="225"/>
        <v>545600.00000000012</v>
      </c>
      <c r="AG622" s="10">
        <f t="shared" si="226"/>
        <v>176000.00000000003</v>
      </c>
      <c r="AH622" s="10">
        <f t="shared" si="227"/>
        <v>88000.000000000015</v>
      </c>
      <c r="AI622" s="10">
        <f t="shared" si="228"/>
        <v>44000.000000000007</v>
      </c>
      <c r="AJ622" s="10">
        <f t="shared" si="229"/>
        <v>26400.000000000004</v>
      </c>
    </row>
    <row r="623" spans="1:36" x14ac:dyDescent="0.3">
      <c r="A623" t="s">
        <v>2480</v>
      </c>
      <c r="B623" t="s">
        <v>2481</v>
      </c>
      <c r="C623" t="s">
        <v>2482</v>
      </c>
      <c r="D623" t="s">
        <v>28</v>
      </c>
      <c r="E623">
        <v>30101</v>
      </c>
      <c r="F623" t="s">
        <v>15</v>
      </c>
      <c r="G623">
        <v>12</v>
      </c>
      <c r="H623">
        <v>150</v>
      </c>
      <c r="I623" t="str" cm="1">
        <f t="array" ref="I623">_xlfn.IFS(H623&lt;=120,"V1",H623&lt;=150,"V2",H623&lt;=250,"V3", H623&lt;=350, "V4")</f>
        <v>V2</v>
      </c>
      <c r="J623" t="s">
        <v>2483</v>
      </c>
      <c r="K623" t="str">
        <f t="shared" si="207"/>
        <v>34.075443</v>
      </c>
      <c r="L623" t="str">
        <f t="shared" si="208"/>
        <v>-84.652009</v>
      </c>
      <c r="M623">
        <v>297</v>
      </c>
      <c r="N623" s="1">
        <v>43696</v>
      </c>
      <c r="O623" s="1">
        <v>46099</v>
      </c>
      <c r="P623" s="2">
        <f t="shared" si="209"/>
        <v>6.579055441478439</v>
      </c>
      <c r="Q623" s="2" t="str">
        <f t="shared" si="210"/>
        <v>Mid</v>
      </c>
      <c r="R623">
        <f t="shared" si="211"/>
        <v>1800</v>
      </c>
      <c r="S623" t="str">
        <f t="shared" si="212"/>
        <v>Small</v>
      </c>
      <c r="T623" t="str">
        <f t="shared" si="213"/>
        <v>Lower EV Adoption Corridor</v>
      </c>
      <c r="U623" s="3">
        <f t="shared" si="214"/>
        <v>2970000.0000000005</v>
      </c>
      <c r="V623" s="4">
        <f t="shared" si="215"/>
        <v>720000</v>
      </c>
      <c r="W623" s="3">
        <f t="shared" si="216"/>
        <v>9000000</v>
      </c>
      <c r="X623" s="3">
        <f t="shared" si="217"/>
        <v>5400000</v>
      </c>
      <c r="Y623">
        <f t="shared" si="218"/>
        <v>0.3</v>
      </c>
      <c r="Z623">
        <f t="shared" si="219"/>
        <v>0.75757575757575757</v>
      </c>
      <c r="AA623" t="str">
        <f t="shared" si="220"/>
        <v>Tier 4 - Stable Network</v>
      </c>
      <c r="AB623" s="3">
        <f t="shared" si="221"/>
        <v>60000</v>
      </c>
      <c r="AC623" s="3">
        <f t="shared" si="222"/>
        <v>750000</v>
      </c>
      <c r="AD623" s="3">
        <f t="shared" si="223"/>
        <v>247500.00000000003</v>
      </c>
      <c r="AE623" s="5">
        <f t="shared" si="224"/>
        <v>3.9999999999999991</v>
      </c>
      <c r="AF623" s="10">
        <f t="shared" si="225"/>
        <v>446400</v>
      </c>
      <c r="AG623" s="10">
        <f t="shared" si="226"/>
        <v>144000</v>
      </c>
      <c r="AH623" s="10">
        <f t="shared" si="227"/>
        <v>72000</v>
      </c>
      <c r="AI623" s="10">
        <f t="shared" si="228"/>
        <v>36000</v>
      </c>
      <c r="AJ623" s="10">
        <f t="shared" si="229"/>
        <v>21600</v>
      </c>
    </row>
    <row r="624" spans="1:36" x14ac:dyDescent="0.3">
      <c r="A624" t="s">
        <v>2484</v>
      </c>
      <c r="B624" t="s">
        <v>2485</v>
      </c>
      <c r="C624" t="s">
        <v>2486</v>
      </c>
      <c r="D624" t="s">
        <v>153</v>
      </c>
      <c r="E624">
        <v>17701</v>
      </c>
      <c r="F624" t="s">
        <v>15</v>
      </c>
      <c r="G624">
        <v>8</v>
      </c>
      <c r="H624">
        <v>250</v>
      </c>
      <c r="I624" t="str" cm="1">
        <f t="array" ref="I624">_xlfn.IFS(H624&lt;=120,"V1",H624&lt;=150,"V2",H624&lt;=250,"V3", H624&lt;=350, "V4")</f>
        <v>V3</v>
      </c>
      <c r="J624" t="s">
        <v>2487</v>
      </c>
      <c r="K624" t="str">
        <f t="shared" si="207"/>
        <v>41.2328</v>
      </c>
      <c r="L624" t="str">
        <f t="shared" si="208"/>
        <v>-77.019865</v>
      </c>
      <c r="M624">
        <v>160</v>
      </c>
      <c r="N624" s="1">
        <v>43886</v>
      </c>
      <c r="O624" s="1">
        <v>46099</v>
      </c>
      <c r="P624" s="2">
        <f t="shared" si="209"/>
        <v>6.0588637919233399</v>
      </c>
      <c r="Q624" s="2" t="str">
        <f t="shared" si="210"/>
        <v>Mid</v>
      </c>
      <c r="R624">
        <f t="shared" si="211"/>
        <v>2000</v>
      </c>
      <c r="S624" t="str">
        <f t="shared" si="212"/>
        <v>Small</v>
      </c>
      <c r="T624" t="str">
        <f t="shared" si="213"/>
        <v>Lower EV Adoption Corridor</v>
      </c>
      <c r="U624" s="3">
        <f t="shared" si="214"/>
        <v>3600000</v>
      </c>
      <c r="V624" s="4">
        <f t="shared" si="215"/>
        <v>880000.00000000012</v>
      </c>
      <c r="W624" s="3">
        <f t="shared" si="216"/>
        <v>12000000</v>
      </c>
      <c r="X624" s="3">
        <f t="shared" si="217"/>
        <v>6600000.0000000009</v>
      </c>
      <c r="Y624">
        <f t="shared" si="218"/>
        <v>0.31515151515151513</v>
      </c>
      <c r="Z624">
        <f t="shared" si="219"/>
        <v>0.75555555555555554</v>
      </c>
      <c r="AA624" t="str">
        <f t="shared" si="220"/>
        <v>Tier 2 - Growth Markets</v>
      </c>
      <c r="AB624" s="3">
        <f t="shared" si="221"/>
        <v>110000.00000000001</v>
      </c>
      <c r="AC624" s="3">
        <f t="shared" si="222"/>
        <v>1500000</v>
      </c>
      <c r="AD624" s="3">
        <f t="shared" si="223"/>
        <v>450000</v>
      </c>
      <c r="AE624" s="5">
        <f t="shared" si="224"/>
        <v>4.4117647058823533</v>
      </c>
      <c r="AF624" s="10">
        <f t="shared" si="225"/>
        <v>545600.00000000012</v>
      </c>
      <c r="AG624" s="10">
        <f t="shared" si="226"/>
        <v>176000.00000000003</v>
      </c>
      <c r="AH624" s="10">
        <f t="shared" si="227"/>
        <v>88000.000000000015</v>
      </c>
      <c r="AI624" s="10">
        <f t="shared" si="228"/>
        <v>44000.000000000007</v>
      </c>
      <c r="AJ624" s="10">
        <f t="shared" si="229"/>
        <v>26400.000000000004</v>
      </c>
    </row>
    <row r="625" spans="1:36" x14ac:dyDescent="0.3">
      <c r="A625" t="s">
        <v>2488</v>
      </c>
      <c r="B625" t="s">
        <v>2489</v>
      </c>
      <c r="C625" t="s">
        <v>2490</v>
      </c>
      <c r="D625" t="s">
        <v>321</v>
      </c>
      <c r="E625">
        <v>1701</v>
      </c>
      <c r="F625" t="s">
        <v>15</v>
      </c>
      <c r="G625">
        <v>12</v>
      </c>
      <c r="H625">
        <v>120</v>
      </c>
      <c r="I625" t="str" cm="1">
        <f t="array" ref="I625">_xlfn.IFS(H625&lt;=120,"V1",H625&lt;=150,"V2",H625&lt;=250,"V3", H625&lt;=350, "V4")</f>
        <v>V1</v>
      </c>
      <c r="J625" t="s">
        <v>2491</v>
      </c>
      <c r="K625" t="str">
        <f t="shared" si="207"/>
        <v>42.303637</v>
      </c>
      <c r="L625" t="str">
        <f t="shared" si="208"/>
        <v>-71.394171</v>
      </c>
      <c r="M625">
        <v>51</v>
      </c>
      <c r="N625" s="1">
        <v>43280</v>
      </c>
      <c r="O625" s="1">
        <v>46099</v>
      </c>
      <c r="P625" s="2">
        <f t="shared" si="209"/>
        <v>7.7180013689253935</v>
      </c>
      <c r="Q625" s="2" t="str">
        <f t="shared" si="210"/>
        <v>Mid</v>
      </c>
      <c r="R625">
        <f t="shared" si="211"/>
        <v>1440</v>
      </c>
      <c r="S625" t="str">
        <f t="shared" si="212"/>
        <v>Small</v>
      </c>
      <c r="T625" t="str">
        <f t="shared" si="213"/>
        <v>Lower EV Adoption Corridor</v>
      </c>
      <c r="U625" s="3">
        <f t="shared" si="214"/>
        <v>2160000</v>
      </c>
      <c r="V625" s="4">
        <f t="shared" si="215"/>
        <v>518400</v>
      </c>
      <c r="W625" s="3">
        <f t="shared" si="216"/>
        <v>5760000</v>
      </c>
      <c r="X625" s="3">
        <f t="shared" si="217"/>
        <v>3888000</v>
      </c>
      <c r="Y625">
        <f t="shared" si="218"/>
        <v>0.2814814814814815</v>
      </c>
      <c r="Z625">
        <f t="shared" si="219"/>
        <v>0.76</v>
      </c>
      <c r="AA625" t="str">
        <f t="shared" si="220"/>
        <v>Tier 5 - Retirement Pipeline</v>
      </c>
      <c r="AB625" s="3">
        <f t="shared" si="221"/>
        <v>43200</v>
      </c>
      <c r="AC625" s="3">
        <f t="shared" si="222"/>
        <v>480000</v>
      </c>
      <c r="AD625" s="3">
        <f t="shared" si="223"/>
        <v>180000</v>
      </c>
      <c r="AE625" s="5">
        <f t="shared" si="224"/>
        <v>3.5087719298245612</v>
      </c>
      <c r="AF625" s="10">
        <f t="shared" si="225"/>
        <v>321408</v>
      </c>
      <c r="AG625" s="10">
        <f t="shared" si="226"/>
        <v>103680</v>
      </c>
      <c r="AH625" s="10">
        <f t="shared" si="227"/>
        <v>51840</v>
      </c>
      <c r="AI625" s="10">
        <f t="shared" si="228"/>
        <v>25920</v>
      </c>
      <c r="AJ625" s="10">
        <f t="shared" si="229"/>
        <v>15552</v>
      </c>
    </row>
    <row r="626" spans="1:36" x14ac:dyDescent="0.3">
      <c r="A626" t="s">
        <v>2492</v>
      </c>
      <c r="B626" t="s">
        <v>2493</v>
      </c>
      <c r="C626" t="s">
        <v>2494</v>
      </c>
      <c r="D626" t="s">
        <v>299</v>
      </c>
      <c r="E626">
        <v>24402</v>
      </c>
      <c r="F626" t="s">
        <v>15</v>
      </c>
      <c r="G626">
        <v>8</v>
      </c>
      <c r="H626">
        <v>120</v>
      </c>
      <c r="I626" t="str" cm="1">
        <f t="array" ref="I626">_xlfn.IFS(H626&lt;=120,"V1",H626&lt;=150,"V2",H626&lt;=250,"V3", H626&lt;=350, "V4")</f>
        <v>V1</v>
      </c>
      <c r="J626" t="s">
        <v>2495</v>
      </c>
      <c r="K626" t="str">
        <f t="shared" si="207"/>
        <v>38.1334859</v>
      </c>
      <c r="L626" t="str">
        <f t="shared" si="208"/>
        <v>-79.0434692</v>
      </c>
      <c r="M626">
        <v>441</v>
      </c>
      <c r="N626" s="1">
        <v>43496</v>
      </c>
      <c r="O626" s="1">
        <v>46099</v>
      </c>
      <c r="P626" s="2">
        <f t="shared" si="209"/>
        <v>7.1266255989048597</v>
      </c>
      <c r="Q626" s="2" t="str">
        <f t="shared" si="210"/>
        <v>Mid</v>
      </c>
      <c r="R626">
        <f t="shared" si="211"/>
        <v>960</v>
      </c>
      <c r="S626" t="str">
        <f t="shared" si="212"/>
        <v>Small</v>
      </c>
      <c r="T626" t="str">
        <f t="shared" si="213"/>
        <v>Lower EV Adoption Corridor</v>
      </c>
      <c r="U626" s="3">
        <f t="shared" si="214"/>
        <v>1440000</v>
      </c>
      <c r="V626" s="4">
        <f t="shared" si="215"/>
        <v>345600</v>
      </c>
      <c r="W626" s="3">
        <f t="shared" si="216"/>
        <v>3840000</v>
      </c>
      <c r="X626" s="3">
        <f t="shared" si="217"/>
        <v>2592000</v>
      </c>
      <c r="Y626">
        <f t="shared" si="218"/>
        <v>0.2814814814814815</v>
      </c>
      <c r="Z626">
        <f t="shared" si="219"/>
        <v>0.76</v>
      </c>
      <c r="AA626" t="str">
        <f t="shared" si="220"/>
        <v>Tier 5 - Retirement Pipeline</v>
      </c>
      <c r="AB626" s="3">
        <f t="shared" si="221"/>
        <v>43200</v>
      </c>
      <c r="AC626" s="3">
        <f t="shared" si="222"/>
        <v>480000</v>
      </c>
      <c r="AD626" s="3">
        <f t="shared" si="223"/>
        <v>180000</v>
      </c>
      <c r="AE626" s="5">
        <f t="shared" si="224"/>
        <v>3.5087719298245612</v>
      </c>
      <c r="AF626" s="10">
        <f t="shared" si="225"/>
        <v>214272</v>
      </c>
      <c r="AG626" s="10">
        <f t="shared" si="226"/>
        <v>69120</v>
      </c>
      <c r="AH626" s="10">
        <f t="shared" si="227"/>
        <v>34560</v>
      </c>
      <c r="AI626" s="10">
        <f t="shared" si="228"/>
        <v>17280</v>
      </c>
      <c r="AJ626" s="10">
        <f t="shared" si="229"/>
        <v>10368</v>
      </c>
    </row>
    <row r="627" spans="1:36" x14ac:dyDescent="0.3">
      <c r="A627" t="s">
        <v>2496</v>
      </c>
      <c r="B627" t="s">
        <v>2497</v>
      </c>
      <c r="C627" t="s">
        <v>307</v>
      </c>
      <c r="D627" t="s">
        <v>14</v>
      </c>
      <c r="E627">
        <v>95110</v>
      </c>
      <c r="F627" t="s">
        <v>15</v>
      </c>
      <c r="G627">
        <v>12</v>
      </c>
      <c r="H627">
        <v>150</v>
      </c>
      <c r="I627" t="str" cm="1">
        <f t="array" ref="I627">_xlfn.IFS(H627&lt;=120,"V1",H627&lt;=150,"V2",H627&lt;=250,"V3", H627&lt;=350, "V4")</f>
        <v>V2</v>
      </c>
      <c r="J627" t="s">
        <v>2498</v>
      </c>
      <c r="K627" t="str">
        <f t="shared" si="207"/>
        <v>37.339661</v>
      </c>
      <c r="L627" t="str">
        <f t="shared" si="208"/>
        <v>-121.905085</v>
      </c>
      <c r="M627">
        <v>24</v>
      </c>
      <c r="N627" s="1">
        <v>43344</v>
      </c>
      <c r="O627" s="1">
        <v>46099</v>
      </c>
      <c r="P627" s="2">
        <f t="shared" si="209"/>
        <v>7.5427789185489393</v>
      </c>
      <c r="Q627" s="2" t="str">
        <f t="shared" si="210"/>
        <v>Mid</v>
      </c>
      <c r="R627">
        <f t="shared" si="211"/>
        <v>1800</v>
      </c>
      <c r="S627" t="str">
        <f t="shared" si="212"/>
        <v>Small</v>
      </c>
      <c r="T627" t="str">
        <f t="shared" si="213"/>
        <v>High EV Adoption Corridor</v>
      </c>
      <c r="U627" s="3">
        <f t="shared" si="214"/>
        <v>3861000.0000000009</v>
      </c>
      <c r="V627" s="4">
        <f t="shared" si="215"/>
        <v>864000</v>
      </c>
      <c r="W627" s="3">
        <f t="shared" si="216"/>
        <v>9900000</v>
      </c>
      <c r="X627" s="3">
        <f t="shared" si="217"/>
        <v>8100000</v>
      </c>
      <c r="Y627">
        <f t="shared" si="218"/>
        <v>0.22888888888888889</v>
      </c>
      <c r="Z627">
        <f t="shared" si="219"/>
        <v>0.77622377622377625</v>
      </c>
      <c r="AA627" t="str">
        <f t="shared" si="220"/>
        <v>Tier 3 - Upgrade Pipeline</v>
      </c>
      <c r="AB627" s="3">
        <f t="shared" si="221"/>
        <v>72000</v>
      </c>
      <c r="AC627" s="3">
        <f t="shared" si="222"/>
        <v>825000</v>
      </c>
      <c r="AD627" s="3">
        <f t="shared" si="223"/>
        <v>321750.00000000006</v>
      </c>
      <c r="AE627" s="5">
        <f t="shared" si="224"/>
        <v>3.3033033033033021</v>
      </c>
      <c r="AF627" s="10">
        <f t="shared" si="225"/>
        <v>535680</v>
      </c>
      <c r="AG627" s="10">
        <f t="shared" si="226"/>
        <v>172800</v>
      </c>
      <c r="AH627" s="10">
        <f t="shared" si="227"/>
        <v>86400</v>
      </c>
      <c r="AI627" s="10">
        <f t="shared" si="228"/>
        <v>43200</v>
      </c>
      <c r="AJ627" s="10">
        <f t="shared" si="229"/>
        <v>25920</v>
      </c>
    </row>
    <row r="628" spans="1:36" x14ac:dyDescent="0.3">
      <c r="A628" t="s">
        <v>2499</v>
      </c>
      <c r="B628" t="s">
        <v>2500</v>
      </c>
      <c r="C628" t="s">
        <v>2501</v>
      </c>
      <c r="D628" t="s">
        <v>14</v>
      </c>
      <c r="E628">
        <v>95928</v>
      </c>
      <c r="F628" t="s">
        <v>15</v>
      </c>
      <c r="G628">
        <v>18</v>
      </c>
      <c r="H628">
        <v>150</v>
      </c>
      <c r="I628" t="str" cm="1">
        <f t="array" ref="I628">_xlfn.IFS(H628&lt;=120,"V1",H628&lt;=150,"V2",H628&lt;=250,"V3", H628&lt;=350, "V4")</f>
        <v>V2</v>
      </c>
      <c r="J628" t="s">
        <v>2502</v>
      </c>
      <c r="K628" t="str">
        <f t="shared" si="207"/>
        <v>39.726633</v>
      </c>
      <c r="L628" t="str">
        <f t="shared" si="208"/>
        <v>-121.802538</v>
      </c>
      <c r="M628">
        <v>70</v>
      </c>
      <c r="N628" s="1">
        <v>43635</v>
      </c>
      <c r="O628" s="1">
        <v>46099</v>
      </c>
      <c r="P628" s="2">
        <f t="shared" si="209"/>
        <v>6.7460643394934978</v>
      </c>
      <c r="Q628" s="2" t="str">
        <f t="shared" si="210"/>
        <v>Mid</v>
      </c>
      <c r="R628">
        <f t="shared" si="211"/>
        <v>2700</v>
      </c>
      <c r="S628" t="str">
        <f t="shared" si="212"/>
        <v>Small</v>
      </c>
      <c r="T628" t="str">
        <f t="shared" si="213"/>
        <v>High EV Adoption Corridor</v>
      </c>
      <c r="U628" s="3">
        <f t="shared" si="214"/>
        <v>5791500</v>
      </c>
      <c r="V628" s="4">
        <f t="shared" si="215"/>
        <v>1296000</v>
      </c>
      <c r="W628" s="3">
        <f t="shared" si="216"/>
        <v>14850000.000000002</v>
      </c>
      <c r="X628" s="3">
        <f t="shared" si="217"/>
        <v>12150000</v>
      </c>
      <c r="Y628">
        <f t="shared" si="218"/>
        <v>0.22888888888888889</v>
      </c>
      <c r="Z628">
        <f t="shared" si="219"/>
        <v>0.77622377622377625</v>
      </c>
      <c r="AA628" t="str">
        <f t="shared" si="220"/>
        <v>Tier 3 - Upgrade Pipeline</v>
      </c>
      <c r="AB628" s="3">
        <f t="shared" si="221"/>
        <v>72000</v>
      </c>
      <c r="AC628" s="3">
        <f t="shared" si="222"/>
        <v>825000.00000000012</v>
      </c>
      <c r="AD628" s="3">
        <f t="shared" si="223"/>
        <v>321750</v>
      </c>
      <c r="AE628" s="5">
        <f t="shared" si="224"/>
        <v>3.3033033033033039</v>
      </c>
      <c r="AF628" s="10">
        <f t="shared" si="225"/>
        <v>803520</v>
      </c>
      <c r="AG628" s="10">
        <f t="shared" si="226"/>
        <v>259200</v>
      </c>
      <c r="AH628" s="10">
        <f t="shared" si="227"/>
        <v>129600</v>
      </c>
      <c r="AI628" s="10">
        <f t="shared" si="228"/>
        <v>64800</v>
      </c>
      <c r="AJ628" s="10">
        <f t="shared" si="229"/>
        <v>38880</v>
      </c>
    </row>
    <row r="629" spans="1:36" x14ac:dyDescent="0.3">
      <c r="A629" t="s">
        <v>2503</v>
      </c>
      <c r="B629" t="s">
        <v>2504</v>
      </c>
      <c r="C629" t="s">
        <v>2505</v>
      </c>
      <c r="D629" t="s">
        <v>14</v>
      </c>
      <c r="E629">
        <v>92262</v>
      </c>
      <c r="F629" t="s">
        <v>15</v>
      </c>
      <c r="G629">
        <v>24</v>
      </c>
      <c r="H629">
        <v>250</v>
      </c>
      <c r="I629" t="str" cm="1">
        <f t="array" ref="I629">_xlfn.IFS(H629&lt;=120,"V1",H629&lt;=150,"V2",H629&lt;=250,"V3", H629&lt;=350, "V4")</f>
        <v>V3</v>
      </c>
      <c r="J629" t="s">
        <v>2506</v>
      </c>
      <c r="K629" t="str">
        <f t="shared" si="207"/>
        <v>33.824931</v>
      </c>
      <c r="L629" t="str">
        <f t="shared" si="208"/>
        <v>-116.548824</v>
      </c>
      <c r="M629">
        <v>143</v>
      </c>
      <c r="N629" s="1">
        <v>43635</v>
      </c>
      <c r="O629" s="1">
        <v>46099</v>
      </c>
      <c r="P629" s="2">
        <f t="shared" si="209"/>
        <v>6.7460643394934978</v>
      </c>
      <c r="Q629" s="2" t="str">
        <f t="shared" si="210"/>
        <v>Mid</v>
      </c>
      <c r="R629">
        <f t="shared" si="211"/>
        <v>6000</v>
      </c>
      <c r="S629" t="str">
        <f t="shared" si="212"/>
        <v>Small</v>
      </c>
      <c r="T629" t="str">
        <f t="shared" si="213"/>
        <v>High EV Adoption Corridor</v>
      </c>
      <c r="U629" s="3">
        <f t="shared" si="214"/>
        <v>14040000</v>
      </c>
      <c r="V629" s="4">
        <f t="shared" si="215"/>
        <v>3168000</v>
      </c>
      <c r="W629" s="3">
        <f t="shared" si="216"/>
        <v>39600000</v>
      </c>
      <c r="X629" s="3">
        <f t="shared" si="217"/>
        <v>29700000</v>
      </c>
      <c r="Y629">
        <f t="shared" si="218"/>
        <v>0.24</v>
      </c>
      <c r="Z629">
        <f t="shared" si="219"/>
        <v>0.77435897435897438</v>
      </c>
      <c r="AA629" t="str">
        <f t="shared" si="220"/>
        <v>Tier 1 - Priority Fleet</v>
      </c>
      <c r="AB629" s="3">
        <f t="shared" si="221"/>
        <v>132000</v>
      </c>
      <c r="AC629" s="3">
        <f t="shared" si="222"/>
        <v>1650000</v>
      </c>
      <c r="AD629" s="3">
        <f t="shared" si="223"/>
        <v>585000</v>
      </c>
      <c r="AE629" s="5">
        <f t="shared" si="224"/>
        <v>3.6423841059602649</v>
      </c>
      <c r="AF629" s="10">
        <f t="shared" si="225"/>
        <v>1964160</v>
      </c>
      <c r="AG629" s="10">
        <f t="shared" si="226"/>
        <v>633600</v>
      </c>
      <c r="AH629" s="10">
        <f t="shared" si="227"/>
        <v>316800</v>
      </c>
      <c r="AI629" s="10">
        <f t="shared" si="228"/>
        <v>158400</v>
      </c>
      <c r="AJ629" s="10">
        <f t="shared" si="229"/>
        <v>95040</v>
      </c>
    </row>
    <row r="630" spans="1:36" x14ac:dyDescent="0.3">
      <c r="A630" t="s">
        <v>2507</v>
      </c>
      <c r="B630" t="s">
        <v>2508</v>
      </c>
      <c r="C630" t="s">
        <v>2509</v>
      </c>
      <c r="D630" t="s">
        <v>158</v>
      </c>
      <c r="E630">
        <v>10598</v>
      </c>
      <c r="F630" t="s">
        <v>15</v>
      </c>
      <c r="G630">
        <v>12</v>
      </c>
      <c r="H630">
        <v>120</v>
      </c>
      <c r="I630" t="str" cm="1">
        <f t="array" ref="I630">_xlfn.IFS(H630&lt;=120,"V1",H630&lt;=150,"V2",H630&lt;=250,"V3", H630&lt;=350, "V4")</f>
        <v>V1</v>
      </c>
      <c r="J630" t="s">
        <v>2510</v>
      </c>
      <c r="K630" t="str">
        <f t="shared" si="207"/>
        <v>41.29053</v>
      </c>
      <c r="L630" t="str">
        <f t="shared" si="208"/>
        <v>-73.832532</v>
      </c>
      <c r="M630">
        <v>94</v>
      </c>
      <c r="N630" s="1">
        <v>43629</v>
      </c>
      <c r="O630" s="1">
        <v>46099</v>
      </c>
      <c r="P630" s="2">
        <f t="shared" si="209"/>
        <v>6.7624914442162902</v>
      </c>
      <c r="Q630" s="2" t="str">
        <f t="shared" si="210"/>
        <v>Mid</v>
      </c>
      <c r="R630">
        <f t="shared" si="211"/>
        <v>1440</v>
      </c>
      <c r="S630" t="str">
        <f t="shared" si="212"/>
        <v>Small</v>
      </c>
      <c r="T630" t="str">
        <f t="shared" si="213"/>
        <v>Lower EV Adoption Corridor</v>
      </c>
      <c r="U630" s="3">
        <f t="shared" si="214"/>
        <v>2160000</v>
      </c>
      <c r="V630" s="4">
        <f t="shared" si="215"/>
        <v>518400</v>
      </c>
      <c r="W630" s="3">
        <f t="shared" si="216"/>
        <v>5760000</v>
      </c>
      <c r="X630" s="3">
        <f t="shared" si="217"/>
        <v>3888000</v>
      </c>
      <c r="Y630">
        <f t="shared" si="218"/>
        <v>0.2814814814814815</v>
      </c>
      <c r="Z630">
        <f t="shared" si="219"/>
        <v>0.76</v>
      </c>
      <c r="AA630" t="str">
        <f t="shared" si="220"/>
        <v>Tier 5 - Retirement Pipeline</v>
      </c>
      <c r="AB630" s="3">
        <f t="shared" si="221"/>
        <v>43200</v>
      </c>
      <c r="AC630" s="3">
        <f t="shared" si="222"/>
        <v>480000</v>
      </c>
      <c r="AD630" s="3">
        <f t="shared" si="223"/>
        <v>180000</v>
      </c>
      <c r="AE630" s="5">
        <f t="shared" si="224"/>
        <v>3.5087719298245612</v>
      </c>
      <c r="AF630" s="10">
        <f t="shared" si="225"/>
        <v>321408</v>
      </c>
      <c r="AG630" s="10">
        <f t="shared" si="226"/>
        <v>103680</v>
      </c>
      <c r="AH630" s="10">
        <f t="shared" si="227"/>
        <v>51840</v>
      </c>
      <c r="AI630" s="10">
        <f t="shared" si="228"/>
        <v>25920</v>
      </c>
      <c r="AJ630" s="10">
        <f t="shared" si="229"/>
        <v>15552</v>
      </c>
    </row>
    <row r="631" spans="1:36" x14ac:dyDescent="0.3">
      <c r="A631" t="s">
        <v>2511</v>
      </c>
      <c r="B631" t="s">
        <v>2512</v>
      </c>
      <c r="C631" t="s">
        <v>2513</v>
      </c>
      <c r="D631" t="s">
        <v>111</v>
      </c>
      <c r="E631">
        <v>56007</v>
      </c>
      <c r="F631" t="s">
        <v>15</v>
      </c>
      <c r="G631">
        <v>8</v>
      </c>
      <c r="H631">
        <v>150</v>
      </c>
      <c r="I631" t="str" cm="1">
        <f t="array" ref="I631">_xlfn.IFS(H631&lt;=120,"V1",H631&lt;=150,"V2",H631&lt;=250,"V3", H631&lt;=350, "V4")</f>
        <v>V2</v>
      </c>
      <c r="J631" t="s">
        <v>2514</v>
      </c>
      <c r="K631" t="str">
        <f t="shared" si="207"/>
        <v>43.657608</v>
      </c>
      <c r="L631" t="str">
        <f t="shared" si="208"/>
        <v>-93.318547</v>
      </c>
      <c r="M631">
        <v>382</v>
      </c>
      <c r="N631" s="1">
        <v>43692</v>
      </c>
      <c r="O631" s="1">
        <v>46099</v>
      </c>
      <c r="P631" s="2">
        <f t="shared" si="209"/>
        <v>6.5900068446269682</v>
      </c>
      <c r="Q631" s="2" t="str">
        <f t="shared" si="210"/>
        <v>Mid</v>
      </c>
      <c r="R631">
        <f t="shared" si="211"/>
        <v>1200</v>
      </c>
      <c r="S631" t="str">
        <f t="shared" si="212"/>
        <v>Small</v>
      </c>
      <c r="T631" t="str">
        <f t="shared" si="213"/>
        <v>Lower EV Adoption Corridor</v>
      </c>
      <c r="U631" s="3">
        <f t="shared" si="214"/>
        <v>1980000.0000000002</v>
      </c>
      <c r="V631" s="4">
        <f t="shared" si="215"/>
        <v>480000</v>
      </c>
      <c r="W631" s="3">
        <f t="shared" si="216"/>
        <v>6000000</v>
      </c>
      <c r="X631" s="3">
        <f t="shared" si="217"/>
        <v>3600000</v>
      </c>
      <c r="Y631">
        <f t="shared" si="218"/>
        <v>0.3</v>
      </c>
      <c r="Z631">
        <f t="shared" si="219"/>
        <v>0.75757575757575757</v>
      </c>
      <c r="AA631" t="str">
        <f t="shared" si="220"/>
        <v>Tier 4 - Stable Network</v>
      </c>
      <c r="AB631" s="3">
        <f t="shared" si="221"/>
        <v>60000</v>
      </c>
      <c r="AC631" s="3">
        <f t="shared" si="222"/>
        <v>750000</v>
      </c>
      <c r="AD631" s="3">
        <f t="shared" si="223"/>
        <v>247500.00000000003</v>
      </c>
      <c r="AE631" s="5">
        <f t="shared" si="224"/>
        <v>3.9999999999999996</v>
      </c>
      <c r="AF631" s="10">
        <f t="shared" si="225"/>
        <v>297600</v>
      </c>
      <c r="AG631" s="10">
        <f t="shared" si="226"/>
        <v>96000</v>
      </c>
      <c r="AH631" s="10">
        <f t="shared" si="227"/>
        <v>48000</v>
      </c>
      <c r="AI631" s="10">
        <f t="shared" si="228"/>
        <v>24000</v>
      </c>
      <c r="AJ631" s="10">
        <f t="shared" si="229"/>
        <v>14400</v>
      </c>
    </row>
    <row r="632" spans="1:36" x14ac:dyDescent="0.3">
      <c r="A632" t="s">
        <v>2515</v>
      </c>
      <c r="B632" t="s">
        <v>2516</v>
      </c>
      <c r="C632" t="s">
        <v>2517</v>
      </c>
      <c r="D632" t="s">
        <v>299</v>
      </c>
      <c r="E632">
        <v>20169</v>
      </c>
      <c r="F632" t="s">
        <v>15</v>
      </c>
      <c r="G632">
        <v>8</v>
      </c>
      <c r="H632">
        <v>120</v>
      </c>
      <c r="I632" t="str" cm="1">
        <f t="array" ref="I632">_xlfn.IFS(H632&lt;=120,"V1",H632&lt;=150,"V2",H632&lt;=250,"V3", H632&lt;=350, "V4")</f>
        <v>V1</v>
      </c>
      <c r="J632" t="s">
        <v>2518</v>
      </c>
      <c r="K632" t="str">
        <f t="shared" si="207"/>
        <v>38.815129</v>
      </c>
      <c r="L632" t="str">
        <f t="shared" si="208"/>
        <v>-77.642614</v>
      </c>
      <c r="M632">
        <v>112</v>
      </c>
      <c r="N632" s="1">
        <v>43453</v>
      </c>
      <c r="O632" s="1">
        <v>46099</v>
      </c>
      <c r="P632" s="2">
        <f t="shared" si="209"/>
        <v>7.2443531827515404</v>
      </c>
      <c r="Q632" s="2" t="str">
        <f t="shared" si="210"/>
        <v>Mid</v>
      </c>
      <c r="R632">
        <f t="shared" si="211"/>
        <v>960</v>
      </c>
      <c r="S632" t="str">
        <f t="shared" si="212"/>
        <v>Small</v>
      </c>
      <c r="T632" t="str">
        <f t="shared" si="213"/>
        <v>Lower EV Adoption Corridor</v>
      </c>
      <c r="U632" s="3">
        <f t="shared" si="214"/>
        <v>1440000</v>
      </c>
      <c r="V632" s="4">
        <f t="shared" si="215"/>
        <v>345600</v>
      </c>
      <c r="W632" s="3">
        <f t="shared" si="216"/>
        <v>3840000</v>
      </c>
      <c r="X632" s="3">
        <f t="shared" si="217"/>
        <v>2592000</v>
      </c>
      <c r="Y632">
        <f t="shared" si="218"/>
        <v>0.2814814814814815</v>
      </c>
      <c r="Z632">
        <f t="shared" si="219"/>
        <v>0.76</v>
      </c>
      <c r="AA632" t="str">
        <f t="shared" si="220"/>
        <v>Tier 5 - Retirement Pipeline</v>
      </c>
      <c r="AB632" s="3">
        <f t="shared" si="221"/>
        <v>43200</v>
      </c>
      <c r="AC632" s="3">
        <f t="shared" si="222"/>
        <v>480000</v>
      </c>
      <c r="AD632" s="3">
        <f t="shared" si="223"/>
        <v>180000</v>
      </c>
      <c r="AE632" s="5">
        <f t="shared" si="224"/>
        <v>3.5087719298245612</v>
      </c>
      <c r="AF632" s="10">
        <f t="shared" si="225"/>
        <v>214272</v>
      </c>
      <c r="AG632" s="10">
        <f t="shared" si="226"/>
        <v>69120</v>
      </c>
      <c r="AH632" s="10">
        <f t="shared" si="227"/>
        <v>34560</v>
      </c>
      <c r="AI632" s="10">
        <f t="shared" si="228"/>
        <v>17280</v>
      </c>
      <c r="AJ632" s="10">
        <f t="shared" si="229"/>
        <v>10368</v>
      </c>
    </row>
    <row r="633" spans="1:36" x14ac:dyDescent="0.3">
      <c r="A633" t="s">
        <v>2519</v>
      </c>
      <c r="B633" t="s">
        <v>2520</v>
      </c>
      <c r="C633" t="s">
        <v>2521</v>
      </c>
      <c r="D633" t="s">
        <v>14</v>
      </c>
      <c r="E633">
        <v>94501</v>
      </c>
      <c r="F633" t="s">
        <v>15</v>
      </c>
      <c r="G633">
        <v>12</v>
      </c>
      <c r="H633">
        <v>150</v>
      </c>
      <c r="I633" t="str" cm="1">
        <f t="array" ref="I633">_xlfn.IFS(H633&lt;=120,"V1",H633&lt;=150,"V2",H633&lt;=250,"V3", H633&lt;=350, "V4")</f>
        <v>V2</v>
      </c>
      <c r="J633" t="s">
        <v>2522</v>
      </c>
      <c r="K633" t="str">
        <f t="shared" si="207"/>
        <v>37.756265</v>
      </c>
      <c r="L633" t="str">
        <f t="shared" si="208"/>
        <v>-122.249306</v>
      </c>
      <c r="M633">
        <v>3</v>
      </c>
      <c r="N633" s="1">
        <v>43449</v>
      </c>
      <c r="O633" s="1">
        <v>46099</v>
      </c>
      <c r="P633" s="2">
        <f t="shared" si="209"/>
        <v>7.2553045859000687</v>
      </c>
      <c r="Q633" s="2" t="str">
        <f t="shared" si="210"/>
        <v>Mid</v>
      </c>
      <c r="R633">
        <f t="shared" si="211"/>
        <v>1800</v>
      </c>
      <c r="S633" t="str">
        <f t="shared" si="212"/>
        <v>Small</v>
      </c>
      <c r="T633" t="str">
        <f t="shared" si="213"/>
        <v>High EV Adoption Corridor</v>
      </c>
      <c r="U633" s="3">
        <f t="shared" si="214"/>
        <v>3861000.0000000009</v>
      </c>
      <c r="V633" s="4">
        <f t="shared" si="215"/>
        <v>864000</v>
      </c>
      <c r="W633" s="3">
        <f t="shared" si="216"/>
        <v>9900000</v>
      </c>
      <c r="X633" s="3">
        <f t="shared" si="217"/>
        <v>8100000</v>
      </c>
      <c r="Y633">
        <f t="shared" si="218"/>
        <v>0.22888888888888889</v>
      </c>
      <c r="Z633">
        <f t="shared" si="219"/>
        <v>0.77622377622377625</v>
      </c>
      <c r="AA633" t="str">
        <f t="shared" si="220"/>
        <v>Tier 3 - Upgrade Pipeline</v>
      </c>
      <c r="AB633" s="3">
        <f t="shared" si="221"/>
        <v>72000</v>
      </c>
      <c r="AC633" s="3">
        <f t="shared" si="222"/>
        <v>825000</v>
      </c>
      <c r="AD633" s="3">
        <f t="shared" si="223"/>
        <v>321750.00000000006</v>
      </c>
      <c r="AE633" s="5">
        <f t="shared" si="224"/>
        <v>3.3033033033033021</v>
      </c>
      <c r="AF633" s="10">
        <f t="shared" si="225"/>
        <v>535680</v>
      </c>
      <c r="AG633" s="10">
        <f t="shared" si="226"/>
        <v>172800</v>
      </c>
      <c r="AH633" s="10">
        <f t="shared" si="227"/>
        <v>86400</v>
      </c>
      <c r="AI633" s="10">
        <f t="shared" si="228"/>
        <v>43200</v>
      </c>
      <c r="AJ633" s="10">
        <f t="shared" si="229"/>
        <v>25920</v>
      </c>
    </row>
    <row r="634" spans="1:36" x14ac:dyDescent="0.3">
      <c r="A634" t="s">
        <v>2523</v>
      </c>
      <c r="B634" t="s">
        <v>2524</v>
      </c>
      <c r="C634" t="s">
        <v>1754</v>
      </c>
      <c r="D634" t="s">
        <v>50</v>
      </c>
      <c r="E634">
        <v>77494</v>
      </c>
      <c r="F634" t="s">
        <v>15</v>
      </c>
      <c r="G634">
        <v>12</v>
      </c>
      <c r="H634">
        <v>150</v>
      </c>
      <c r="I634" t="str" cm="1">
        <f t="array" ref="I634">_xlfn.IFS(H634&lt;=120,"V1",H634&lt;=150,"V2",H634&lt;=250,"V3", H634&lt;=350, "V4")</f>
        <v>V2</v>
      </c>
      <c r="J634" t="s">
        <v>2525</v>
      </c>
      <c r="K634" t="str">
        <f t="shared" si="207"/>
        <v>29.774658</v>
      </c>
      <c r="L634" t="str">
        <f t="shared" si="208"/>
        <v>-95.821859</v>
      </c>
      <c r="M634">
        <v>42</v>
      </c>
      <c r="N634" s="1">
        <v>44036</v>
      </c>
      <c r="O634" s="1">
        <v>46099</v>
      </c>
      <c r="P634" s="2">
        <f t="shared" si="209"/>
        <v>5.6481861738535253</v>
      </c>
      <c r="Q634" s="2" t="str">
        <f t="shared" si="210"/>
        <v>Mid</v>
      </c>
      <c r="R634">
        <f t="shared" si="211"/>
        <v>1800</v>
      </c>
      <c r="S634" t="str">
        <f t="shared" si="212"/>
        <v>Small</v>
      </c>
      <c r="T634" t="str">
        <f t="shared" si="213"/>
        <v>High EV Adoption Corridor</v>
      </c>
      <c r="U634" s="3">
        <f t="shared" si="214"/>
        <v>3861000.0000000009</v>
      </c>
      <c r="V634" s="4">
        <f t="shared" si="215"/>
        <v>864000</v>
      </c>
      <c r="W634" s="3">
        <f t="shared" si="216"/>
        <v>9900000</v>
      </c>
      <c r="X634" s="3">
        <f t="shared" si="217"/>
        <v>8100000</v>
      </c>
      <c r="Y634">
        <f t="shared" si="218"/>
        <v>0.22888888888888889</v>
      </c>
      <c r="Z634">
        <f t="shared" si="219"/>
        <v>0.77622377622377625</v>
      </c>
      <c r="AA634" t="str">
        <f t="shared" si="220"/>
        <v>Tier 3 - Upgrade Pipeline</v>
      </c>
      <c r="AB634" s="3">
        <f t="shared" si="221"/>
        <v>72000</v>
      </c>
      <c r="AC634" s="3">
        <f t="shared" si="222"/>
        <v>825000</v>
      </c>
      <c r="AD634" s="3">
        <f t="shared" si="223"/>
        <v>321750.00000000006</v>
      </c>
      <c r="AE634" s="5">
        <f t="shared" si="224"/>
        <v>3.3033033033033021</v>
      </c>
      <c r="AF634" s="10">
        <f t="shared" si="225"/>
        <v>535680</v>
      </c>
      <c r="AG634" s="10">
        <f t="shared" si="226"/>
        <v>172800</v>
      </c>
      <c r="AH634" s="10">
        <f t="shared" si="227"/>
        <v>86400</v>
      </c>
      <c r="AI634" s="10">
        <f t="shared" si="228"/>
        <v>43200</v>
      </c>
      <c r="AJ634" s="10">
        <f t="shared" si="229"/>
        <v>25920</v>
      </c>
    </row>
    <row r="635" spans="1:36" x14ac:dyDescent="0.3">
      <c r="A635" t="s">
        <v>2526</v>
      </c>
      <c r="B635" t="s">
        <v>2527</v>
      </c>
      <c r="C635" t="s">
        <v>2528</v>
      </c>
      <c r="D635" t="s">
        <v>14</v>
      </c>
      <c r="E635">
        <v>94965</v>
      </c>
      <c r="F635" t="s">
        <v>15</v>
      </c>
      <c r="G635">
        <v>16</v>
      </c>
      <c r="H635">
        <v>72</v>
      </c>
      <c r="I635" t="str" cm="1">
        <f t="array" ref="I635">_xlfn.IFS(H635&lt;=120,"V1",H635&lt;=150,"V2",H635&lt;=250,"V3", H635&lt;=350, "V4")</f>
        <v>V1</v>
      </c>
      <c r="J635" t="s">
        <v>2529</v>
      </c>
      <c r="K635" t="str">
        <f t="shared" si="207"/>
        <v>37.872835</v>
      </c>
      <c r="L635" t="str">
        <f t="shared" si="208"/>
        <v>-122.510499</v>
      </c>
      <c r="M635">
        <v>3</v>
      </c>
      <c r="N635" s="1">
        <v>44077</v>
      </c>
      <c r="O635" s="1">
        <v>46099</v>
      </c>
      <c r="P635" s="2">
        <f t="shared" si="209"/>
        <v>5.5359342915811087</v>
      </c>
      <c r="Q635" s="2" t="str">
        <f t="shared" si="210"/>
        <v>Mid</v>
      </c>
      <c r="R635">
        <f t="shared" si="211"/>
        <v>1152</v>
      </c>
      <c r="S635" t="str">
        <f t="shared" si="212"/>
        <v>Small</v>
      </c>
      <c r="T635" t="str">
        <f t="shared" si="213"/>
        <v>High EV Adoption Corridor</v>
      </c>
      <c r="U635" s="3">
        <f t="shared" si="214"/>
        <v>2246400</v>
      </c>
      <c r="V635" s="4">
        <f t="shared" si="215"/>
        <v>497664</v>
      </c>
      <c r="W635" s="3">
        <f t="shared" si="216"/>
        <v>5068800</v>
      </c>
      <c r="X635" s="3">
        <f t="shared" si="217"/>
        <v>4665600</v>
      </c>
      <c r="Y635">
        <f t="shared" si="218"/>
        <v>0.21530864197530863</v>
      </c>
      <c r="Z635">
        <f t="shared" si="219"/>
        <v>0.77846153846153843</v>
      </c>
      <c r="AA635" t="str">
        <f t="shared" si="220"/>
        <v>Tier 3 - Upgrade Pipeline</v>
      </c>
      <c r="AB635" s="3">
        <f t="shared" si="221"/>
        <v>31104</v>
      </c>
      <c r="AC635" s="3">
        <f t="shared" si="222"/>
        <v>316800</v>
      </c>
      <c r="AD635" s="3">
        <f t="shared" si="223"/>
        <v>140400</v>
      </c>
      <c r="AE635" s="5">
        <f t="shared" si="224"/>
        <v>2.8985507246376812</v>
      </c>
      <c r="AF635" s="10">
        <f t="shared" si="225"/>
        <v>308551.67999999999</v>
      </c>
      <c r="AG635" s="10">
        <f t="shared" si="226"/>
        <v>99532.800000000003</v>
      </c>
      <c r="AH635" s="10">
        <f t="shared" si="227"/>
        <v>49766.400000000001</v>
      </c>
      <c r="AI635" s="10">
        <f t="shared" si="228"/>
        <v>24883.200000000001</v>
      </c>
      <c r="AJ635" s="10">
        <f t="shared" si="229"/>
        <v>14929.92</v>
      </c>
    </row>
    <row r="636" spans="1:36" x14ac:dyDescent="0.3">
      <c r="A636" t="s">
        <v>2530</v>
      </c>
      <c r="B636" t="s">
        <v>2531</v>
      </c>
      <c r="C636" t="s">
        <v>2395</v>
      </c>
      <c r="D636" t="s">
        <v>153</v>
      </c>
      <c r="E636">
        <v>16602</v>
      </c>
      <c r="F636" t="s">
        <v>15</v>
      </c>
      <c r="G636">
        <v>8</v>
      </c>
      <c r="H636">
        <v>120</v>
      </c>
      <c r="I636" t="str" cm="1">
        <f t="array" ref="I636">_xlfn.IFS(H636&lt;=120,"V1",H636&lt;=150,"V2",H636&lt;=250,"V3", H636&lt;=350, "V4")</f>
        <v>V1</v>
      </c>
      <c r="J636" t="s">
        <v>2532</v>
      </c>
      <c r="K636" t="str">
        <f t="shared" si="207"/>
        <v>40.499647</v>
      </c>
      <c r="L636" t="str">
        <f t="shared" si="208"/>
        <v>-78.391352</v>
      </c>
      <c r="M636">
        <v>338</v>
      </c>
      <c r="N636" s="1">
        <v>43465</v>
      </c>
      <c r="O636" s="1">
        <v>46099</v>
      </c>
      <c r="P636" s="2">
        <f t="shared" si="209"/>
        <v>7.2114989733059547</v>
      </c>
      <c r="Q636" s="2" t="str">
        <f t="shared" si="210"/>
        <v>Mid</v>
      </c>
      <c r="R636">
        <f t="shared" si="211"/>
        <v>960</v>
      </c>
      <c r="S636" t="str">
        <f t="shared" si="212"/>
        <v>Small</v>
      </c>
      <c r="T636" t="str">
        <f t="shared" si="213"/>
        <v>Lower EV Adoption Corridor</v>
      </c>
      <c r="U636" s="3">
        <f t="shared" si="214"/>
        <v>1440000</v>
      </c>
      <c r="V636" s="4">
        <f t="shared" si="215"/>
        <v>345600</v>
      </c>
      <c r="W636" s="3">
        <f t="shared" si="216"/>
        <v>3840000</v>
      </c>
      <c r="X636" s="3">
        <f t="shared" si="217"/>
        <v>2592000</v>
      </c>
      <c r="Y636">
        <f t="shared" si="218"/>
        <v>0.2814814814814815</v>
      </c>
      <c r="Z636">
        <f t="shared" si="219"/>
        <v>0.76</v>
      </c>
      <c r="AA636" t="str">
        <f t="shared" si="220"/>
        <v>Tier 5 - Retirement Pipeline</v>
      </c>
      <c r="AB636" s="3">
        <f t="shared" si="221"/>
        <v>43200</v>
      </c>
      <c r="AC636" s="3">
        <f t="shared" si="222"/>
        <v>480000</v>
      </c>
      <c r="AD636" s="3">
        <f t="shared" si="223"/>
        <v>180000</v>
      </c>
      <c r="AE636" s="5">
        <f t="shared" si="224"/>
        <v>3.5087719298245612</v>
      </c>
      <c r="AF636" s="10">
        <f t="shared" si="225"/>
        <v>214272</v>
      </c>
      <c r="AG636" s="10">
        <f t="shared" si="226"/>
        <v>69120</v>
      </c>
      <c r="AH636" s="10">
        <f t="shared" si="227"/>
        <v>34560</v>
      </c>
      <c r="AI636" s="10">
        <f t="shared" si="228"/>
        <v>17280</v>
      </c>
      <c r="AJ636" s="10">
        <f t="shared" si="229"/>
        <v>10368</v>
      </c>
    </row>
    <row r="637" spans="1:36" x14ac:dyDescent="0.3">
      <c r="A637" t="s">
        <v>2533</v>
      </c>
      <c r="B637" t="s">
        <v>2534</v>
      </c>
      <c r="C637" t="s">
        <v>138</v>
      </c>
      <c r="D637" t="s">
        <v>50</v>
      </c>
      <c r="E637">
        <v>77469</v>
      </c>
      <c r="F637" t="s">
        <v>15</v>
      </c>
      <c r="G637">
        <v>8</v>
      </c>
      <c r="H637">
        <v>150</v>
      </c>
      <c r="I637" t="str" cm="1">
        <f t="array" ref="I637">_xlfn.IFS(H637&lt;=120,"V1",H637&lt;=150,"V2",H637&lt;=250,"V3", H637&lt;=350, "V4")</f>
        <v>V2</v>
      </c>
      <c r="J637" t="s">
        <v>2535</v>
      </c>
      <c r="K637" t="str">
        <f t="shared" si="207"/>
        <v>29.561504</v>
      </c>
      <c r="L637" t="str">
        <f t="shared" si="208"/>
        <v>-95.695242</v>
      </c>
      <c r="M637">
        <v>23</v>
      </c>
      <c r="N637" s="1">
        <v>43451</v>
      </c>
      <c r="O637" s="1">
        <v>46099</v>
      </c>
      <c r="P637" s="2">
        <f t="shared" si="209"/>
        <v>7.2498288843258045</v>
      </c>
      <c r="Q637" s="2" t="str">
        <f t="shared" si="210"/>
        <v>Mid</v>
      </c>
      <c r="R637">
        <f t="shared" si="211"/>
        <v>1200</v>
      </c>
      <c r="S637" t="str">
        <f t="shared" si="212"/>
        <v>Small</v>
      </c>
      <c r="T637" t="str">
        <f t="shared" si="213"/>
        <v>High EV Adoption Corridor</v>
      </c>
      <c r="U637" s="3">
        <f t="shared" si="214"/>
        <v>2574000.0000000005</v>
      </c>
      <c r="V637" s="4">
        <f t="shared" si="215"/>
        <v>576000</v>
      </c>
      <c r="W637" s="3">
        <f t="shared" si="216"/>
        <v>6600000.0000000009</v>
      </c>
      <c r="X637" s="3">
        <f t="shared" si="217"/>
        <v>5400000</v>
      </c>
      <c r="Y637">
        <f t="shared" si="218"/>
        <v>0.22888888888888889</v>
      </c>
      <c r="Z637">
        <f t="shared" si="219"/>
        <v>0.77622377622377625</v>
      </c>
      <c r="AA637" t="str">
        <f t="shared" si="220"/>
        <v>Tier 3 - Upgrade Pipeline</v>
      </c>
      <c r="AB637" s="3">
        <f t="shared" si="221"/>
        <v>72000</v>
      </c>
      <c r="AC637" s="3">
        <f t="shared" si="222"/>
        <v>825000.00000000012</v>
      </c>
      <c r="AD637" s="3">
        <f t="shared" si="223"/>
        <v>321750.00000000006</v>
      </c>
      <c r="AE637" s="5">
        <f t="shared" si="224"/>
        <v>3.303303303303303</v>
      </c>
      <c r="AF637" s="10">
        <f t="shared" si="225"/>
        <v>357120</v>
      </c>
      <c r="AG637" s="10">
        <f t="shared" si="226"/>
        <v>115200</v>
      </c>
      <c r="AH637" s="10">
        <f t="shared" si="227"/>
        <v>57600</v>
      </c>
      <c r="AI637" s="10">
        <f t="shared" si="228"/>
        <v>28800</v>
      </c>
      <c r="AJ637" s="10">
        <f t="shared" si="229"/>
        <v>17280</v>
      </c>
    </row>
    <row r="638" spans="1:36" x14ac:dyDescent="0.3">
      <c r="A638" t="s">
        <v>2536</v>
      </c>
      <c r="B638" t="s">
        <v>2537</v>
      </c>
      <c r="C638" t="s">
        <v>2538</v>
      </c>
      <c r="D638" t="s">
        <v>98</v>
      </c>
      <c r="E638">
        <v>6705</v>
      </c>
      <c r="F638" t="s">
        <v>15</v>
      </c>
      <c r="G638">
        <v>8</v>
      </c>
      <c r="H638">
        <v>120</v>
      </c>
      <c r="I638" t="str" cm="1">
        <f t="array" ref="I638">_xlfn.IFS(H638&lt;=120,"V1",H638&lt;=150,"V2",H638&lt;=250,"V3", H638&lt;=350, "V4")</f>
        <v>V1</v>
      </c>
      <c r="J638" t="s">
        <v>2539</v>
      </c>
      <c r="K638" t="str">
        <f t="shared" si="207"/>
        <v>41.53713</v>
      </c>
      <c r="L638" t="str">
        <f t="shared" si="208"/>
        <v>-73.005368</v>
      </c>
      <c r="M638">
        <v>122</v>
      </c>
      <c r="N638" s="1">
        <v>43453</v>
      </c>
      <c r="O638" s="1">
        <v>46099</v>
      </c>
      <c r="P638" s="2">
        <f t="shared" si="209"/>
        <v>7.2443531827515404</v>
      </c>
      <c r="Q638" s="2" t="str">
        <f t="shared" si="210"/>
        <v>Mid</v>
      </c>
      <c r="R638">
        <f t="shared" si="211"/>
        <v>960</v>
      </c>
      <c r="S638" t="str">
        <f t="shared" si="212"/>
        <v>Small</v>
      </c>
      <c r="T638" t="str">
        <f t="shared" si="213"/>
        <v>Lower EV Adoption Corridor</v>
      </c>
      <c r="U638" s="3">
        <f t="shared" si="214"/>
        <v>1440000</v>
      </c>
      <c r="V638" s="4">
        <f t="shared" si="215"/>
        <v>345600</v>
      </c>
      <c r="W638" s="3">
        <f t="shared" si="216"/>
        <v>3840000</v>
      </c>
      <c r="X638" s="3">
        <f t="shared" si="217"/>
        <v>2592000</v>
      </c>
      <c r="Y638">
        <f t="shared" si="218"/>
        <v>0.2814814814814815</v>
      </c>
      <c r="Z638">
        <f t="shared" si="219"/>
        <v>0.76</v>
      </c>
      <c r="AA638" t="str">
        <f t="shared" si="220"/>
        <v>Tier 5 - Retirement Pipeline</v>
      </c>
      <c r="AB638" s="3">
        <f t="shared" si="221"/>
        <v>43200</v>
      </c>
      <c r="AC638" s="3">
        <f t="shared" si="222"/>
        <v>480000</v>
      </c>
      <c r="AD638" s="3">
        <f t="shared" si="223"/>
        <v>180000</v>
      </c>
      <c r="AE638" s="5">
        <f t="shared" si="224"/>
        <v>3.5087719298245612</v>
      </c>
      <c r="AF638" s="10">
        <f t="shared" si="225"/>
        <v>214272</v>
      </c>
      <c r="AG638" s="10">
        <f t="shared" si="226"/>
        <v>69120</v>
      </c>
      <c r="AH638" s="10">
        <f t="shared" si="227"/>
        <v>34560</v>
      </c>
      <c r="AI638" s="10">
        <f t="shared" si="228"/>
        <v>17280</v>
      </c>
      <c r="AJ638" s="10">
        <f t="shared" si="229"/>
        <v>10368</v>
      </c>
    </row>
    <row r="639" spans="1:36" x14ac:dyDescent="0.3">
      <c r="A639" t="s">
        <v>2540</v>
      </c>
      <c r="B639" t="s">
        <v>2541</v>
      </c>
      <c r="C639" t="s">
        <v>2542</v>
      </c>
      <c r="D639" t="s">
        <v>522</v>
      </c>
      <c r="E639">
        <v>64506</v>
      </c>
      <c r="F639" t="s">
        <v>15</v>
      </c>
      <c r="G639">
        <v>8</v>
      </c>
      <c r="H639">
        <v>150</v>
      </c>
      <c r="I639" t="str" cm="1">
        <f t="array" ref="I639">_xlfn.IFS(H639&lt;=120,"V1",H639&lt;=150,"V2",H639&lt;=250,"V3", H639&lt;=350, "V4")</f>
        <v>V2</v>
      </c>
      <c r="J639" t="s">
        <v>2543</v>
      </c>
      <c r="K639" t="str">
        <f t="shared" si="207"/>
        <v>39.768966</v>
      </c>
      <c r="L639" t="str">
        <f t="shared" si="208"/>
        <v>-94.801118</v>
      </c>
      <c r="M639">
        <v>305</v>
      </c>
      <c r="N639" s="1">
        <v>43424</v>
      </c>
      <c r="O639" s="1">
        <v>46099</v>
      </c>
      <c r="P639" s="2">
        <f t="shared" si="209"/>
        <v>7.3237508555783712</v>
      </c>
      <c r="Q639" s="2" t="str">
        <f t="shared" si="210"/>
        <v>Mid</v>
      </c>
      <c r="R639">
        <f t="shared" si="211"/>
        <v>1200</v>
      </c>
      <c r="S639" t="str">
        <f t="shared" si="212"/>
        <v>Small</v>
      </c>
      <c r="T639" t="str">
        <f t="shared" si="213"/>
        <v>Lower EV Adoption Corridor</v>
      </c>
      <c r="U639" s="3">
        <f t="shared" si="214"/>
        <v>1980000.0000000002</v>
      </c>
      <c r="V639" s="4">
        <f t="shared" si="215"/>
        <v>480000</v>
      </c>
      <c r="W639" s="3">
        <f t="shared" si="216"/>
        <v>6000000</v>
      </c>
      <c r="X639" s="3">
        <f t="shared" si="217"/>
        <v>3600000</v>
      </c>
      <c r="Y639">
        <f t="shared" si="218"/>
        <v>0.3</v>
      </c>
      <c r="Z639">
        <f t="shared" si="219"/>
        <v>0.75757575757575757</v>
      </c>
      <c r="AA639" t="str">
        <f t="shared" si="220"/>
        <v>Tier 4 - Stable Network</v>
      </c>
      <c r="AB639" s="3">
        <f t="shared" si="221"/>
        <v>60000</v>
      </c>
      <c r="AC639" s="3">
        <f t="shared" si="222"/>
        <v>750000</v>
      </c>
      <c r="AD639" s="3">
        <f t="shared" si="223"/>
        <v>247500.00000000003</v>
      </c>
      <c r="AE639" s="5">
        <f t="shared" si="224"/>
        <v>3.9999999999999996</v>
      </c>
      <c r="AF639" s="10">
        <f t="shared" si="225"/>
        <v>297600</v>
      </c>
      <c r="AG639" s="10">
        <f t="shared" si="226"/>
        <v>96000</v>
      </c>
      <c r="AH639" s="10">
        <f t="shared" si="227"/>
        <v>48000</v>
      </c>
      <c r="AI639" s="10">
        <f t="shared" si="228"/>
        <v>24000</v>
      </c>
      <c r="AJ639" s="10">
        <f t="shared" si="229"/>
        <v>14400</v>
      </c>
    </row>
    <row r="640" spans="1:36" x14ac:dyDescent="0.3">
      <c r="A640" t="s">
        <v>2544</v>
      </c>
      <c r="B640" t="s">
        <v>2545</v>
      </c>
      <c r="C640" t="s">
        <v>2279</v>
      </c>
      <c r="D640" t="s">
        <v>230</v>
      </c>
      <c r="E640">
        <v>98101</v>
      </c>
      <c r="F640" t="s">
        <v>15</v>
      </c>
      <c r="G640">
        <v>10</v>
      </c>
      <c r="H640">
        <v>72</v>
      </c>
      <c r="I640" t="str" cm="1">
        <f t="array" ref="I640">_xlfn.IFS(H640&lt;=120,"V1",H640&lt;=150,"V2",H640&lt;=250,"V3", H640&lt;=350, "V4")</f>
        <v>V1</v>
      </c>
      <c r="J640" t="s">
        <v>2546</v>
      </c>
      <c r="K640" t="str">
        <f t="shared" si="207"/>
        <v>47.609686</v>
      </c>
      <c r="L640" t="str">
        <f t="shared" si="208"/>
        <v>-122.332152</v>
      </c>
      <c r="M640">
        <v>54</v>
      </c>
      <c r="N640" s="1">
        <v>43655</v>
      </c>
      <c r="O640" s="1">
        <v>46099</v>
      </c>
      <c r="P640" s="2">
        <f t="shared" si="209"/>
        <v>6.6913073237508556</v>
      </c>
      <c r="Q640" s="2" t="str">
        <f t="shared" si="210"/>
        <v>Mid</v>
      </c>
      <c r="R640">
        <f t="shared" si="211"/>
        <v>720</v>
      </c>
      <c r="S640" t="str">
        <f t="shared" si="212"/>
        <v>Small</v>
      </c>
      <c r="T640" t="str">
        <f t="shared" si="213"/>
        <v>High EV Adoption Corridor</v>
      </c>
      <c r="U640" s="3">
        <f t="shared" si="214"/>
        <v>1404000</v>
      </c>
      <c r="V640" s="4">
        <f t="shared" si="215"/>
        <v>311040</v>
      </c>
      <c r="W640" s="3">
        <f t="shared" si="216"/>
        <v>3168000.0000000005</v>
      </c>
      <c r="X640" s="3">
        <f t="shared" si="217"/>
        <v>2916000</v>
      </c>
      <c r="Y640">
        <f t="shared" si="218"/>
        <v>0.21530864197530863</v>
      </c>
      <c r="Z640">
        <f t="shared" si="219"/>
        <v>0.77846153846153843</v>
      </c>
      <c r="AA640" t="str">
        <f t="shared" si="220"/>
        <v>Tier 3 - Upgrade Pipeline</v>
      </c>
      <c r="AB640" s="3">
        <f t="shared" si="221"/>
        <v>31104</v>
      </c>
      <c r="AC640" s="3">
        <f t="shared" si="222"/>
        <v>316800.00000000006</v>
      </c>
      <c r="AD640" s="3">
        <f t="shared" si="223"/>
        <v>140400</v>
      </c>
      <c r="AE640" s="5">
        <f t="shared" si="224"/>
        <v>2.8985507246376816</v>
      </c>
      <c r="AF640" s="10">
        <f t="shared" si="225"/>
        <v>192844.79999999999</v>
      </c>
      <c r="AG640" s="10">
        <f t="shared" si="226"/>
        <v>62208</v>
      </c>
      <c r="AH640" s="10">
        <f t="shared" si="227"/>
        <v>31104</v>
      </c>
      <c r="AI640" s="10">
        <f t="shared" si="228"/>
        <v>15552</v>
      </c>
      <c r="AJ640" s="10">
        <f t="shared" si="229"/>
        <v>9331.1999999999989</v>
      </c>
    </row>
    <row r="641" spans="1:36" x14ac:dyDescent="0.3">
      <c r="A641" t="s">
        <v>2547</v>
      </c>
      <c r="B641" t="s">
        <v>2548</v>
      </c>
      <c r="C641" t="s">
        <v>2549</v>
      </c>
      <c r="D641" t="s">
        <v>77</v>
      </c>
      <c r="E641">
        <v>27609</v>
      </c>
      <c r="F641" t="s">
        <v>15</v>
      </c>
      <c r="G641">
        <v>24</v>
      </c>
      <c r="H641">
        <v>250</v>
      </c>
      <c r="I641" t="str" cm="1">
        <f t="array" ref="I641">_xlfn.IFS(H641&lt;=120,"V1",H641&lt;=150,"V2",H641&lt;=250,"V3", H641&lt;=350, "V4")</f>
        <v>V3</v>
      </c>
      <c r="J641" t="s">
        <v>2550</v>
      </c>
      <c r="K641" t="str">
        <f t="shared" si="207"/>
        <v>35.835623</v>
      </c>
      <c r="L641" t="str">
        <f t="shared" si="208"/>
        <v>-78.642569</v>
      </c>
      <c r="M641">
        <v>110</v>
      </c>
      <c r="N641" s="1">
        <v>43041</v>
      </c>
      <c r="O641" s="1">
        <v>46099</v>
      </c>
      <c r="P641" s="2">
        <f t="shared" si="209"/>
        <v>8.3723477070499666</v>
      </c>
      <c r="Q641" s="2" t="str">
        <f t="shared" si="210"/>
        <v>Old</v>
      </c>
      <c r="R641">
        <f t="shared" si="211"/>
        <v>6000</v>
      </c>
      <c r="S641" t="str">
        <f t="shared" si="212"/>
        <v>Small</v>
      </c>
      <c r="T641" t="str">
        <f t="shared" si="213"/>
        <v>Lower EV Adoption Corridor</v>
      </c>
      <c r="U641" s="3">
        <f t="shared" si="214"/>
        <v>10800000</v>
      </c>
      <c r="V641" s="4">
        <f t="shared" si="215"/>
        <v>2640000</v>
      </c>
      <c r="W641" s="3">
        <f t="shared" si="216"/>
        <v>36000000</v>
      </c>
      <c r="X641" s="3">
        <f t="shared" si="217"/>
        <v>19800000</v>
      </c>
      <c r="Y641">
        <f t="shared" si="218"/>
        <v>0.31515151515151513</v>
      </c>
      <c r="Z641">
        <f t="shared" si="219"/>
        <v>0.75555555555555554</v>
      </c>
      <c r="AA641" t="str">
        <f t="shared" si="220"/>
        <v>Tier 2 - Growth Markets</v>
      </c>
      <c r="AB641" s="3">
        <f t="shared" si="221"/>
        <v>110000</v>
      </c>
      <c r="AC641" s="3">
        <f t="shared" si="222"/>
        <v>1500000</v>
      </c>
      <c r="AD641" s="3">
        <f t="shared" si="223"/>
        <v>450000</v>
      </c>
      <c r="AE641" s="5">
        <f t="shared" si="224"/>
        <v>4.4117647058823533</v>
      </c>
      <c r="AF641" s="10">
        <f t="shared" si="225"/>
        <v>1636800</v>
      </c>
      <c r="AG641" s="10">
        <f t="shared" si="226"/>
        <v>528000</v>
      </c>
      <c r="AH641" s="10">
        <f t="shared" si="227"/>
        <v>264000</v>
      </c>
      <c r="AI641" s="10">
        <f t="shared" si="228"/>
        <v>132000</v>
      </c>
      <c r="AJ641" s="10">
        <f t="shared" si="229"/>
        <v>79200</v>
      </c>
    </row>
    <row r="642" spans="1:36" x14ac:dyDescent="0.3">
      <c r="A642" t="s">
        <v>2551</v>
      </c>
      <c r="B642" t="s">
        <v>2552</v>
      </c>
      <c r="C642" t="s">
        <v>2553</v>
      </c>
      <c r="D642" t="s">
        <v>852</v>
      </c>
      <c r="E642">
        <v>7032</v>
      </c>
      <c r="F642" t="s">
        <v>15</v>
      </c>
      <c r="G642">
        <v>8</v>
      </c>
      <c r="H642">
        <v>120</v>
      </c>
      <c r="I642" t="str" cm="1">
        <f t="array" ref="I642">_xlfn.IFS(H642&lt;=120,"V1",H642&lt;=150,"V2",H642&lt;=250,"V3", H642&lt;=350, "V4")</f>
        <v>V1</v>
      </c>
      <c r="J642" t="s">
        <v>2554</v>
      </c>
      <c r="K642" t="str">
        <f t="shared" si="207"/>
        <v>40.749156</v>
      </c>
      <c r="L642" t="str">
        <f t="shared" si="208"/>
        <v>-74.136392</v>
      </c>
      <c r="M642">
        <v>3</v>
      </c>
      <c r="N642" s="1">
        <v>43512</v>
      </c>
      <c r="O642" s="1">
        <v>46099</v>
      </c>
      <c r="P642" s="2">
        <f t="shared" si="209"/>
        <v>7.0828199863107457</v>
      </c>
      <c r="Q642" s="2" t="str">
        <f t="shared" si="210"/>
        <v>Mid</v>
      </c>
      <c r="R642">
        <f t="shared" si="211"/>
        <v>960</v>
      </c>
      <c r="S642" t="str">
        <f t="shared" si="212"/>
        <v>Small</v>
      </c>
      <c r="T642" t="str">
        <f t="shared" si="213"/>
        <v>High EV Adoption Corridor</v>
      </c>
      <c r="U642" s="3">
        <f t="shared" si="214"/>
        <v>1872000</v>
      </c>
      <c r="V642" s="4">
        <f t="shared" si="215"/>
        <v>414720</v>
      </c>
      <c r="W642" s="3">
        <f t="shared" si="216"/>
        <v>4224000</v>
      </c>
      <c r="X642" s="3">
        <f t="shared" si="217"/>
        <v>3888000</v>
      </c>
      <c r="Y642">
        <f t="shared" si="218"/>
        <v>0.21530864197530863</v>
      </c>
      <c r="Z642">
        <f t="shared" si="219"/>
        <v>0.77846153846153843</v>
      </c>
      <c r="AA642" t="str">
        <f t="shared" si="220"/>
        <v>Tier 3 - Upgrade Pipeline</v>
      </c>
      <c r="AB642" s="3">
        <f t="shared" si="221"/>
        <v>51840</v>
      </c>
      <c r="AC642" s="3">
        <f t="shared" si="222"/>
        <v>528000</v>
      </c>
      <c r="AD642" s="3">
        <f t="shared" si="223"/>
        <v>234000</v>
      </c>
      <c r="AE642" s="5">
        <f t="shared" si="224"/>
        <v>2.8985507246376812</v>
      </c>
      <c r="AF642" s="10">
        <f t="shared" si="225"/>
        <v>257126.39999999999</v>
      </c>
      <c r="AG642" s="10">
        <f t="shared" si="226"/>
        <v>82944</v>
      </c>
      <c r="AH642" s="10">
        <f t="shared" si="227"/>
        <v>41472</v>
      </c>
      <c r="AI642" s="10">
        <f t="shared" si="228"/>
        <v>20736</v>
      </c>
      <c r="AJ642" s="10">
        <f t="shared" si="229"/>
        <v>12441.6</v>
      </c>
    </row>
    <row r="643" spans="1:36" x14ac:dyDescent="0.3">
      <c r="A643" t="s">
        <v>2555</v>
      </c>
      <c r="B643" t="s">
        <v>2556</v>
      </c>
      <c r="C643" t="s">
        <v>2557</v>
      </c>
      <c r="D643" t="s">
        <v>852</v>
      </c>
      <c r="E643">
        <v>7866</v>
      </c>
      <c r="F643" t="s">
        <v>15</v>
      </c>
      <c r="G643">
        <v>12</v>
      </c>
      <c r="H643">
        <v>120</v>
      </c>
      <c r="I643" t="str" cm="1">
        <f t="array" ref="I643">_xlfn.IFS(H643&lt;=120,"V1",H643&lt;=150,"V2",H643&lt;=250,"V3", H643&lt;=350, "V4")</f>
        <v>V1</v>
      </c>
      <c r="J643" t="s">
        <v>2558</v>
      </c>
      <c r="K643" t="str">
        <f t="shared" ref="K643:K706" si="230">TRIM(LEFT(J643, FIND(",", J643) - 1))</f>
        <v>40.908225</v>
      </c>
      <c r="L643" t="str">
        <f t="shared" ref="L643:L706" si="231">TRIM(MID(J643, FIND(",", J643) + 1, LEN(J643)))</f>
        <v>-74.557405</v>
      </c>
      <c r="M643">
        <v>214</v>
      </c>
      <c r="N643" s="1">
        <v>43526</v>
      </c>
      <c r="O643" s="1">
        <v>46099</v>
      </c>
      <c r="P643" s="2">
        <f t="shared" ref="P643:P706" si="232">(O643-N643)/365.25</f>
        <v>7.0444900752908968</v>
      </c>
      <c r="Q643" s="2" t="str">
        <f t="shared" ref="Q643:Q706" si="233">IF(P643&lt;3,"New",IF(P643&lt;=8,"Mid","Old"))</f>
        <v>Mid</v>
      </c>
      <c r="R643">
        <f t="shared" ref="R643:R706" si="234">G643*H643</f>
        <v>1440</v>
      </c>
      <c r="S643" t="str">
        <f t="shared" ref="S643:S706" si="235">IF(G643&lt;=30,"Small",IF(G643&lt;=60,"Medium","Large"))</f>
        <v>Small</v>
      </c>
      <c r="T643" t="str">
        <f t="shared" ref="T643:T706" si="236">IF(OR(D643="CA",D643="FL",D643="WA",D643="CO",D643="TX",D643="NJ"),"High EV Adoption Corridor","Lower EV Adoption Corridor")</f>
        <v>High EV Adoption Corridor</v>
      </c>
      <c r="U643" s="3">
        <f t="shared" ref="U643:U706" si="237" xml:space="preserve"> R643 * 1500 *
  IF(I643="V1",1,
     IF(I643="V2",1.1,1.2)) *
  IF(T643="High EV Adoption Corridor",1.3,1)</f>
        <v>2808000</v>
      </c>
      <c r="V643" s="4">
        <f t="shared" ref="V643:V706" si="238" xml:space="preserve"> R643 * 400 *
  IF(I643="V1",0.9,
     IF(I643="V2",1,1.1)) *
  IF(T643="High EV Adoption Corridor",1.2,1)</f>
        <v>622080</v>
      </c>
      <c r="W643" s="3">
        <f t="shared" ref="W643:W706" si="239" xml:space="preserve"> R643 * 5000 *
  IF(I643="V1",0.8,
     IF(I643="V2",1,1.2)) *
  IF(T643="High EV Adoption Corridor",1.1,1)</f>
        <v>6336000.0000000009</v>
      </c>
      <c r="X643" s="3">
        <f t="shared" ref="X643:X706" si="240" xml:space="preserve"> R643 * 3000 *
  IF(I643="V1",0.9,
     IF(I643="V2",1,1.1)) *
  IF(T643="High EV Adoption Corridor",1.5,1)</f>
        <v>5832000</v>
      </c>
      <c r="Y643">
        <f t="shared" ref="Y643:Y706" si="241" xml:space="preserve"> ((W643/10) + V643) / X643</f>
        <v>0.21530864197530863</v>
      </c>
      <c r="Z643">
        <f t="shared" ref="Z643:Z706" si="242">(U643-V643)/U643</f>
        <v>0.77846153846153843</v>
      </c>
      <c r="AA643" t="str">
        <f t="shared" ref="AA643:AA706" si="243">IF(AND(I643="V3",T643="High EV Adoption Corridor"),
"Tier 1 - Priority Fleet",
IF(AND(I643="V3",T643="Lower EV Adoption Corridor"),
"Tier 2 - Growth Markets",
IF(AND(OR(I643="V1",I643="V2"),T643="High EV Adoption Corridor"),
"Tier 3 - Upgrade Pipeline",
IF(AND(I643="V2",T643="Lower EV Adoption Corridor"),
"Tier 4 - Stable Network",
"Tier 5 - Retirement Pipeline"))))</f>
        <v>Tier 3 - Upgrade Pipeline</v>
      </c>
      <c r="AB643" s="3">
        <f t="shared" ref="AB643:AB706" si="244">V643/G643</f>
        <v>51840</v>
      </c>
      <c r="AC643" s="3">
        <f t="shared" ref="AC643:AC706" si="245">W643/G643</f>
        <v>528000.00000000012</v>
      </c>
      <c r="AD643" s="3">
        <f t="shared" ref="AD643:AD706" si="246">U643/G643</f>
        <v>234000</v>
      </c>
      <c r="AE643" s="5">
        <f t="shared" ref="AE643:AE706" si="247">W643/(U643-V643)</f>
        <v>2.8985507246376816</v>
      </c>
      <c r="AF643" s="10">
        <f t="shared" ref="AF643:AF706" si="248">V643*0.62</f>
        <v>385689.59999999998</v>
      </c>
      <c r="AG643" s="10">
        <f t="shared" ref="AG643:AG706" si="249">V643*0.2</f>
        <v>124416</v>
      </c>
      <c r="AH643" s="10">
        <f t="shared" ref="AH643:AH706" si="250">V643*0.1</f>
        <v>62208</v>
      </c>
      <c r="AI643" s="10">
        <f t="shared" ref="AI643:AI706" si="251">V643*0.05</f>
        <v>31104</v>
      </c>
      <c r="AJ643" s="10">
        <f t="shared" ref="AJ643:AJ706" si="252">V643*0.03</f>
        <v>18662.399999999998</v>
      </c>
    </row>
    <row r="644" spans="1:36" x14ac:dyDescent="0.3">
      <c r="A644" t="s">
        <v>2559</v>
      </c>
      <c r="B644" t="s">
        <v>2560</v>
      </c>
      <c r="C644" t="s">
        <v>216</v>
      </c>
      <c r="D644" t="s">
        <v>299</v>
      </c>
      <c r="E644">
        <v>22727</v>
      </c>
      <c r="F644" t="s">
        <v>15</v>
      </c>
      <c r="G644">
        <v>8</v>
      </c>
      <c r="H644">
        <v>250</v>
      </c>
      <c r="I644" t="str" cm="1">
        <f t="array" ref="I644">_xlfn.IFS(H644&lt;=120,"V1",H644&lt;=150,"V2",H644&lt;=250,"V3", H644&lt;=350, "V4")</f>
        <v>V3</v>
      </c>
      <c r="J644" t="s">
        <v>2561</v>
      </c>
      <c r="K644" t="str">
        <f t="shared" si="230"/>
        <v>38.34664</v>
      </c>
      <c r="L644" t="str">
        <f t="shared" si="231"/>
        <v>-78.286103</v>
      </c>
      <c r="M644">
        <v>192</v>
      </c>
      <c r="N644" s="1">
        <v>43868</v>
      </c>
      <c r="O644" s="1">
        <v>46099</v>
      </c>
      <c r="P644" s="2">
        <f t="shared" si="232"/>
        <v>6.108145106091718</v>
      </c>
      <c r="Q644" s="2" t="str">
        <f t="shared" si="233"/>
        <v>Mid</v>
      </c>
      <c r="R644">
        <f t="shared" si="234"/>
        <v>2000</v>
      </c>
      <c r="S644" t="str">
        <f t="shared" si="235"/>
        <v>Small</v>
      </c>
      <c r="T644" t="str">
        <f t="shared" si="236"/>
        <v>Lower EV Adoption Corridor</v>
      </c>
      <c r="U644" s="3">
        <f t="shared" si="237"/>
        <v>3600000</v>
      </c>
      <c r="V644" s="4">
        <f t="shared" si="238"/>
        <v>880000.00000000012</v>
      </c>
      <c r="W644" s="3">
        <f t="shared" si="239"/>
        <v>12000000</v>
      </c>
      <c r="X644" s="3">
        <f t="shared" si="240"/>
        <v>6600000.0000000009</v>
      </c>
      <c r="Y644">
        <f t="shared" si="241"/>
        <v>0.31515151515151513</v>
      </c>
      <c r="Z644">
        <f t="shared" si="242"/>
        <v>0.75555555555555554</v>
      </c>
      <c r="AA644" t="str">
        <f t="shared" si="243"/>
        <v>Tier 2 - Growth Markets</v>
      </c>
      <c r="AB644" s="3">
        <f t="shared" si="244"/>
        <v>110000.00000000001</v>
      </c>
      <c r="AC644" s="3">
        <f t="shared" si="245"/>
        <v>1500000</v>
      </c>
      <c r="AD644" s="3">
        <f t="shared" si="246"/>
        <v>450000</v>
      </c>
      <c r="AE644" s="5">
        <f t="shared" si="247"/>
        <v>4.4117647058823533</v>
      </c>
      <c r="AF644" s="10">
        <f t="shared" si="248"/>
        <v>545600.00000000012</v>
      </c>
      <c r="AG644" s="10">
        <f t="shared" si="249"/>
        <v>176000.00000000003</v>
      </c>
      <c r="AH644" s="10">
        <f t="shared" si="250"/>
        <v>88000.000000000015</v>
      </c>
      <c r="AI644" s="10">
        <f t="shared" si="251"/>
        <v>44000.000000000007</v>
      </c>
      <c r="AJ644" s="10">
        <f t="shared" si="252"/>
        <v>26400.000000000004</v>
      </c>
    </row>
    <row r="645" spans="1:36" x14ac:dyDescent="0.3">
      <c r="A645" t="s">
        <v>2562</v>
      </c>
      <c r="B645" t="s">
        <v>2563</v>
      </c>
      <c r="C645" t="s">
        <v>2564</v>
      </c>
      <c r="D645" t="s">
        <v>321</v>
      </c>
      <c r="E645">
        <v>1940</v>
      </c>
      <c r="F645" t="s">
        <v>15</v>
      </c>
      <c r="G645">
        <v>12</v>
      </c>
      <c r="H645">
        <v>150</v>
      </c>
      <c r="I645" t="str" cm="1">
        <f t="array" ref="I645">_xlfn.IFS(H645&lt;=120,"V1",H645&lt;=150,"V2",H645&lt;=250,"V3", H645&lt;=350, "V4")</f>
        <v>V2</v>
      </c>
      <c r="J645" t="s">
        <v>2565</v>
      </c>
      <c r="K645" t="str">
        <f t="shared" si="230"/>
        <v>42.516609</v>
      </c>
      <c r="L645" t="str">
        <f t="shared" si="231"/>
        <v>-71.032521</v>
      </c>
      <c r="M645">
        <v>33</v>
      </c>
      <c r="N645" s="1">
        <v>43679</v>
      </c>
      <c r="O645" s="1">
        <v>46099</v>
      </c>
      <c r="P645" s="2">
        <f t="shared" si="232"/>
        <v>6.6255989048596851</v>
      </c>
      <c r="Q645" s="2" t="str">
        <f t="shared" si="233"/>
        <v>Mid</v>
      </c>
      <c r="R645">
        <f t="shared" si="234"/>
        <v>1800</v>
      </c>
      <c r="S645" t="str">
        <f t="shared" si="235"/>
        <v>Small</v>
      </c>
      <c r="T645" t="str">
        <f t="shared" si="236"/>
        <v>Lower EV Adoption Corridor</v>
      </c>
      <c r="U645" s="3">
        <f t="shared" si="237"/>
        <v>2970000.0000000005</v>
      </c>
      <c r="V645" s="4">
        <f t="shared" si="238"/>
        <v>720000</v>
      </c>
      <c r="W645" s="3">
        <f t="shared" si="239"/>
        <v>9000000</v>
      </c>
      <c r="X645" s="3">
        <f t="shared" si="240"/>
        <v>5400000</v>
      </c>
      <c r="Y645">
        <f t="shared" si="241"/>
        <v>0.3</v>
      </c>
      <c r="Z645">
        <f t="shared" si="242"/>
        <v>0.75757575757575757</v>
      </c>
      <c r="AA645" t="str">
        <f t="shared" si="243"/>
        <v>Tier 4 - Stable Network</v>
      </c>
      <c r="AB645" s="3">
        <f t="shared" si="244"/>
        <v>60000</v>
      </c>
      <c r="AC645" s="3">
        <f t="shared" si="245"/>
        <v>750000</v>
      </c>
      <c r="AD645" s="3">
        <f t="shared" si="246"/>
        <v>247500.00000000003</v>
      </c>
      <c r="AE645" s="5">
        <f t="shared" si="247"/>
        <v>3.9999999999999991</v>
      </c>
      <c r="AF645" s="10">
        <f t="shared" si="248"/>
        <v>446400</v>
      </c>
      <c r="AG645" s="10">
        <f t="shared" si="249"/>
        <v>144000</v>
      </c>
      <c r="AH645" s="10">
        <f t="shared" si="250"/>
        <v>72000</v>
      </c>
      <c r="AI645" s="10">
        <f t="shared" si="251"/>
        <v>36000</v>
      </c>
      <c r="AJ645" s="10">
        <f t="shared" si="252"/>
        <v>21600</v>
      </c>
    </row>
    <row r="646" spans="1:36" x14ac:dyDescent="0.3">
      <c r="A646" t="s">
        <v>2566</v>
      </c>
      <c r="B646" t="s">
        <v>2567</v>
      </c>
      <c r="C646" t="s">
        <v>2568</v>
      </c>
      <c r="D646" t="s">
        <v>158</v>
      </c>
      <c r="E646">
        <v>11373</v>
      </c>
      <c r="F646" t="s">
        <v>15</v>
      </c>
      <c r="G646">
        <v>10</v>
      </c>
      <c r="H646">
        <v>72</v>
      </c>
      <c r="I646" t="str" cm="1">
        <f t="array" ref="I646">_xlfn.IFS(H646&lt;=120,"V1",H646&lt;=150,"V2",H646&lt;=250,"V3", H646&lt;=350, "V4")</f>
        <v>V1</v>
      </c>
      <c r="J646" t="s">
        <v>2569</v>
      </c>
      <c r="K646" t="str">
        <f t="shared" si="230"/>
        <v>40.735082</v>
      </c>
      <c r="L646" t="str">
        <f t="shared" si="231"/>
        <v>-73.87067</v>
      </c>
      <c r="M646">
        <v>8</v>
      </c>
      <c r="N646" s="1">
        <v>43376</v>
      </c>
      <c r="O646" s="1">
        <v>46099</v>
      </c>
      <c r="P646" s="2">
        <f t="shared" si="232"/>
        <v>7.4551676933607123</v>
      </c>
      <c r="Q646" s="2" t="str">
        <f t="shared" si="233"/>
        <v>Mid</v>
      </c>
      <c r="R646">
        <f t="shared" si="234"/>
        <v>720</v>
      </c>
      <c r="S646" t="str">
        <f t="shared" si="235"/>
        <v>Small</v>
      </c>
      <c r="T646" t="str">
        <f t="shared" si="236"/>
        <v>Lower EV Adoption Corridor</v>
      </c>
      <c r="U646" s="3">
        <f t="shared" si="237"/>
        <v>1080000</v>
      </c>
      <c r="V646" s="4">
        <f t="shared" si="238"/>
        <v>259200</v>
      </c>
      <c r="W646" s="3">
        <f t="shared" si="239"/>
        <v>2880000</v>
      </c>
      <c r="X646" s="3">
        <f t="shared" si="240"/>
        <v>1944000</v>
      </c>
      <c r="Y646">
        <f t="shared" si="241"/>
        <v>0.2814814814814815</v>
      </c>
      <c r="Z646">
        <f t="shared" si="242"/>
        <v>0.76</v>
      </c>
      <c r="AA646" t="str">
        <f t="shared" si="243"/>
        <v>Tier 5 - Retirement Pipeline</v>
      </c>
      <c r="AB646" s="3">
        <f t="shared" si="244"/>
        <v>25920</v>
      </c>
      <c r="AC646" s="3">
        <f t="shared" si="245"/>
        <v>288000</v>
      </c>
      <c r="AD646" s="3">
        <f t="shared" si="246"/>
        <v>108000</v>
      </c>
      <c r="AE646" s="5">
        <f t="shared" si="247"/>
        <v>3.5087719298245612</v>
      </c>
      <c r="AF646" s="10">
        <f t="shared" si="248"/>
        <v>160704</v>
      </c>
      <c r="AG646" s="10">
        <f t="shared" si="249"/>
        <v>51840</v>
      </c>
      <c r="AH646" s="10">
        <f t="shared" si="250"/>
        <v>25920</v>
      </c>
      <c r="AI646" s="10">
        <f t="shared" si="251"/>
        <v>12960</v>
      </c>
      <c r="AJ646" s="10">
        <f t="shared" si="252"/>
        <v>7776</v>
      </c>
    </row>
    <row r="647" spans="1:36" x14ac:dyDescent="0.3">
      <c r="A647" t="s">
        <v>2570</v>
      </c>
      <c r="B647" t="s">
        <v>2571</v>
      </c>
      <c r="C647" t="s">
        <v>2572</v>
      </c>
      <c r="D647" t="s">
        <v>268</v>
      </c>
      <c r="E647">
        <v>80112</v>
      </c>
      <c r="F647" t="s">
        <v>15</v>
      </c>
      <c r="G647">
        <v>12</v>
      </c>
      <c r="H647">
        <v>250</v>
      </c>
      <c r="I647" t="str" cm="1">
        <f t="array" ref="I647">_xlfn.IFS(H647&lt;=120,"V1",H647&lt;=150,"V2",H647&lt;=250,"V3", H647&lt;=350, "V4")</f>
        <v>V3</v>
      </c>
      <c r="J647" t="s">
        <v>2573</v>
      </c>
      <c r="K647" t="str">
        <f t="shared" si="230"/>
        <v>39.567218</v>
      </c>
      <c r="L647" t="str">
        <f t="shared" si="231"/>
        <v>-104.877928</v>
      </c>
      <c r="M647">
        <v>1776</v>
      </c>
      <c r="N647" s="1">
        <v>43996</v>
      </c>
      <c r="O647" s="1">
        <v>46099</v>
      </c>
      <c r="P647" s="2">
        <f t="shared" si="232"/>
        <v>5.7577002053388089</v>
      </c>
      <c r="Q647" s="2" t="str">
        <f t="shared" si="233"/>
        <v>Mid</v>
      </c>
      <c r="R647">
        <f t="shared" si="234"/>
        <v>3000</v>
      </c>
      <c r="S647" t="str">
        <f t="shared" si="235"/>
        <v>Small</v>
      </c>
      <c r="T647" t="str">
        <f t="shared" si="236"/>
        <v>High EV Adoption Corridor</v>
      </c>
      <c r="U647" s="3">
        <f t="shared" si="237"/>
        <v>7020000</v>
      </c>
      <c r="V647" s="4">
        <f t="shared" si="238"/>
        <v>1584000</v>
      </c>
      <c r="W647" s="3">
        <f t="shared" si="239"/>
        <v>19800000</v>
      </c>
      <c r="X647" s="3">
        <f t="shared" si="240"/>
        <v>14850000</v>
      </c>
      <c r="Y647">
        <f t="shared" si="241"/>
        <v>0.24</v>
      </c>
      <c r="Z647">
        <f t="shared" si="242"/>
        <v>0.77435897435897438</v>
      </c>
      <c r="AA647" t="str">
        <f t="shared" si="243"/>
        <v>Tier 1 - Priority Fleet</v>
      </c>
      <c r="AB647" s="3">
        <f t="shared" si="244"/>
        <v>132000</v>
      </c>
      <c r="AC647" s="3">
        <f t="shared" si="245"/>
        <v>1650000</v>
      </c>
      <c r="AD647" s="3">
        <f t="shared" si="246"/>
        <v>585000</v>
      </c>
      <c r="AE647" s="5">
        <f t="shared" si="247"/>
        <v>3.6423841059602649</v>
      </c>
      <c r="AF647" s="10">
        <f t="shared" si="248"/>
        <v>982080</v>
      </c>
      <c r="AG647" s="10">
        <f t="shared" si="249"/>
        <v>316800</v>
      </c>
      <c r="AH647" s="10">
        <f t="shared" si="250"/>
        <v>158400</v>
      </c>
      <c r="AI647" s="10">
        <f t="shared" si="251"/>
        <v>79200</v>
      </c>
      <c r="AJ647" s="10">
        <f t="shared" si="252"/>
        <v>47520</v>
      </c>
    </row>
    <row r="648" spans="1:36" x14ac:dyDescent="0.3">
      <c r="A648" t="s">
        <v>2574</v>
      </c>
      <c r="B648" t="s">
        <v>2575</v>
      </c>
      <c r="C648" t="s">
        <v>2576</v>
      </c>
      <c r="D648" t="s">
        <v>158</v>
      </c>
      <c r="E648">
        <v>11354</v>
      </c>
      <c r="F648" t="s">
        <v>15</v>
      </c>
      <c r="G648">
        <v>4</v>
      </c>
      <c r="H648">
        <v>72</v>
      </c>
      <c r="I648" t="str" cm="1">
        <f t="array" ref="I648">_xlfn.IFS(H648&lt;=120,"V1",H648&lt;=150,"V2",H648&lt;=250,"V3", H648&lt;=350, "V4")</f>
        <v>V1</v>
      </c>
      <c r="J648" t="s">
        <v>2577</v>
      </c>
      <c r="K648" t="str">
        <f t="shared" si="230"/>
        <v>40.760821</v>
      </c>
      <c r="L648" t="str">
        <f t="shared" si="231"/>
        <v>-73.829676</v>
      </c>
      <c r="M648">
        <v>14</v>
      </c>
      <c r="N648" s="1">
        <v>43858</v>
      </c>
      <c r="O648" s="1">
        <v>46099</v>
      </c>
      <c r="P648" s="2">
        <f t="shared" si="232"/>
        <v>6.1355236139630387</v>
      </c>
      <c r="Q648" s="2" t="str">
        <f t="shared" si="233"/>
        <v>Mid</v>
      </c>
      <c r="R648">
        <f t="shared" si="234"/>
        <v>288</v>
      </c>
      <c r="S648" t="str">
        <f t="shared" si="235"/>
        <v>Small</v>
      </c>
      <c r="T648" t="str">
        <f t="shared" si="236"/>
        <v>Lower EV Adoption Corridor</v>
      </c>
      <c r="U648" s="3">
        <f t="shared" si="237"/>
        <v>432000</v>
      </c>
      <c r="V648" s="4">
        <f t="shared" si="238"/>
        <v>103680</v>
      </c>
      <c r="W648" s="3">
        <f t="shared" si="239"/>
        <v>1152000</v>
      </c>
      <c r="X648" s="3">
        <f t="shared" si="240"/>
        <v>777600</v>
      </c>
      <c r="Y648">
        <f t="shared" si="241"/>
        <v>0.2814814814814815</v>
      </c>
      <c r="Z648">
        <f t="shared" si="242"/>
        <v>0.76</v>
      </c>
      <c r="AA648" t="str">
        <f t="shared" si="243"/>
        <v>Tier 5 - Retirement Pipeline</v>
      </c>
      <c r="AB648" s="3">
        <f t="shared" si="244"/>
        <v>25920</v>
      </c>
      <c r="AC648" s="3">
        <f t="shared" si="245"/>
        <v>288000</v>
      </c>
      <c r="AD648" s="3">
        <f t="shared" si="246"/>
        <v>108000</v>
      </c>
      <c r="AE648" s="5">
        <f t="shared" si="247"/>
        <v>3.5087719298245612</v>
      </c>
      <c r="AF648" s="10">
        <f t="shared" si="248"/>
        <v>64281.599999999999</v>
      </c>
      <c r="AG648" s="10">
        <f t="shared" si="249"/>
        <v>20736</v>
      </c>
      <c r="AH648" s="10">
        <f t="shared" si="250"/>
        <v>10368</v>
      </c>
      <c r="AI648" s="10">
        <f t="shared" si="251"/>
        <v>5184</v>
      </c>
      <c r="AJ648" s="10">
        <f t="shared" si="252"/>
        <v>3110.4</v>
      </c>
    </row>
    <row r="649" spans="1:36" x14ac:dyDescent="0.3">
      <c r="A649" t="s">
        <v>2578</v>
      </c>
      <c r="B649" t="s">
        <v>2579</v>
      </c>
      <c r="C649" t="s">
        <v>2580</v>
      </c>
      <c r="D649" t="s">
        <v>1110</v>
      </c>
      <c r="E649">
        <v>72745</v>
      </c>
      <c r="F649" t="s">
        <v>15</v>
      </c>
      <c r="G649">
        <v>8</v>
      </c>
      <c r="H649">
        <v>250</v>
      </c>
      <c r="I649" t="str" cm="1">
        <f t="array" ref="I649">_xlfn.IFS(H649&lt;=120,"V1",H649&lt;=150,"V2",H649&lt;=250,"V3", H649&lt;=350, "V4")</f>
        <v>V3</v>
      </c>
      <c r="J649" t="s">
        <v>2581</v>
      </c>
      <c r="K649" t="str">
        <f t="shared" si="230"/>
        <v>36.255329</v>
      </c>
      <c r="L649" t="str">
        <f t="shared" si="231"/>
        <v>-94.152637</v>
      </c>
      <c r="M649">
        <v>401</v>
      </c>
      <c r="N649" s="1">
        <v>43882</v>
      </c>
      <c r="O649" s="1">
        <v>46099</v>
      </c>
      <c r="P649" s="2">
        <f t="shared" si="232"/>
        <v>6.0698151950718682</v>
      </c>
      <c r="Q649" s="2" t="str">
        <f t="shared" si="233"/>
        <v>Mid</v>
      </c>
      <c r="R649">
        <f t="shared" si="234"/>
        <v>2000</v>
      </c>
      <c r="S649" t="str">
        <f t="shared" si="235"/>
        <v>Small</v>
      </c>
      <c r="T649" t="str">
        <f t="shared" si="236"/>
        <v>Lower EV Adoption Corridor</v>
      </c>
      <c r="U649" s="3">
        <f t="shared" si="237"/>
        <v>3600000</v>
      </c>
      <c r="V649" s="4">
        <f t="shared" si="238"/>
        <v>880000.00000000012</v>
      </c>
      <c r="W649" s="3">
        <f t="shared" si="239"/>
        <v>12000000</v>
      </c>
      <c r="X649" s="3">
        <f t="shared" si="240"/>
        <v>6600000.0000000009</v>
      </c>
      <c r="Y649">
        <f t="shared" si="241"/>
        <v>0.31515151515151513</v>
      </c>
      <c r="Z649">
        <f t="shared" si="242"/>
        <v>0.75555555555555554</v>
      </c>
      <c r="AA649" t="str">
        <f t="shared" si="243"/>
        <v>Tier 2 - Growth Markets</v>
      </c>
      <c r="AB649" s="3">
        <f t="shared" si="244"/>
        <v>110000.00000000001</v>
      </c>
      <c r="AC649" s="3">
        <f t="shared" si="245"/>
        <v>1500000</v>
      </c>
      <c r="AD649" s="3">
        <f t="shared" si="246"/>
        <v>450000</v>
      </c>
      <c r="AE649" s="5">
        <f t="shared" si="247"/>
        <v>4.4117647058823533</v>
      </c>
      <c r="AF649" s="10">
        <f t="shared" si="248"/>
        <v>545600.00000000012</v>
      </c>
      <c r="AG649" s="10">
        <f t="shared" si="249"/>
        <v>176000.00000000003</v>
      </c>
      <c r="AH649" s="10">
        <f t="shared" si="250"/>
        <v>88000.000000000015</v>
      </c>
      <c r="AI649" s="10">
        <f t="shared" si="251"/>
        <v>44000.000000000007</v>
      </c>
      <c r="AJ649" s="10">
        <f t="shared" si="252"/>
        <v>26400.000000000004</v>
      </c>
    </row>
    <row r="650" spans="1:36" x14ac:dyDescent="0.3">
      <c r="A650" t="s">
        <v>2582</v>
      </c>
      <c r="B650" t="s">
        <v>2583</v>
      </c>
      <c r="C650" t="s">
        <v>2584</v>
      </c>
      <c r="D650" t="s">
        <v>350</v>
      </c>
      <c r="E650">
        <v>70501</v>
      </c>
      <c r="F650" t="s">
        <v>15</v>
      </c>
      <c r="G650">
        <v>8</v>
      </c>
      <c r="H650">
        <v>250</v>
      </c>
      <c r="I650" t="str" cm="1">
        <f t="array" ref="I650">_xlfn.IFS(H650&lt;=120,"V1",H650&lt;=150,"V2",H650&lt;=250,"V3", H650&lt;=350, "V4")</f>
        <v>V3</v>
      </c>
      <c r="J650" t="s">
        <v>2585</v>
      </c>
      <c r="K650" t="str">
        <f t="shared" si="230"/>
        <v>30.265264</v>
      </c>
      <c r="L650" t="str">
        <f t="shared" si="231"/>
        <v>-91.994232</v>
      </c>
      <c r="M650">
        <v>3</v>
      </c>
      <c r="N650" s="1">
        <v>43874</v>
      </c>
      <c r="O650" s="1">
        <v>46099</v>
      </c>
      <c r="P650" s="2">
        <f t="shared" si="232"/>
        <v>6.0917180013689256</v>
      </c>
      <c r="Q650" s="2" t="str">
        <f t="shared" si="233"/>
        <v>Mid</v>
      </c>
      <c r="R650">
        <f t="shared" si="234"/>
        <v>2000</v>
      </c>
      <c r="S650" t="str">
        <f t="shared" si="235"/>
        <v>Small</v>
      </c>
      <c r="T650" t="str">
        <f t="shared" si="236"/>
        <v>Lower EV Adoption Corridor</v>
      </c>
      <c r="U650" s="3">
        <f t="shared" si="237"/>
        <v>3600000</v>
      </c>
      <c r="V650" s="4">
        <f t="shared" si="238"/>
        <v>880000.00000000012</v>
      </c>
      <c r="W650" s="3">
        <f t="shared" si="239"/>
        <v>12000000</v>
      </c>
      <c r="X650" s="3">
        <f t="shared" si="240"/>
        <v>6600000.0000000009</v>
      </c>
      <c r="Y650">
        <f t="shared" si="241"/>
        <v>0.31515151515151513</v>
      </c>
      <c r="Z650">
        <f t="shared" si="242"/>
        <v>0.75555555555555554</v>
      </c>
      <c r="AA650" t="str">
        <f t="shared" si="243"/>
        <v>Tier 2 - Growth Markets</v>
      </c>
      <c r="AB650" s="3">
        <f t="shared" si="244"/>
        <v>110000.00000000001</v>
      </c>
      <c r="AC650" s="3">
        <f t="shared" si="245"/>
        <v>1500000</v>
      </c>
      <c r="AD650" s="3">
        <f t="shared" si="246"/>
        <v>450000</v>
      </c>
      <c r="AE650" s="5">
        <f t="shared" si="247"/>
        <v>4.4117647058823533</v>
      </c>
      <c r="AF650" s="10">
        <f t="shared" si="248"/>
        <v>545600.00000000012</v>
      </c>
      <c r="AG650" s="10">
        <f t="shared" si="249"/>
        <v>176000.00000000003</v>
      </c>
      <c r="AH650" s="10">
        <f t="shared" si="250"/>
        <v>88000.000000000015</v>
      </c>
      <c r="AI650" s="10">
        <f t="shared" si="251"/>
        <v>44000.000000000007</v>
      </c>
      <c r="AJ650" s="10">
        <f t="shared" si="252"/>
        <v>26400.000000000004</v>
      </c>
    </row>
    <row r="651" spans="1:36" x14ac:dyDescent="0.3">
      <c r="A651" t="s">
        <v>2586</v>
      </c>
      <c r="B651" t="s">
        <v>2587</v>
      </c>
      <c r="C651" t="s">
        <v>2588</v>
      </c>
      <c r="D651" t="s">
        <v>158</v>
      </c>
      <c r="E651">
        <v>12776</v>
      </c>
      <c r="F651" t="s">
        <v>15</v>
      </c>
      <c r="G651">
        <v>8</v>
      </c>
      <c r="H651">
        <v>150</v>
      </c>
      <c r="I651" t="str" cm="1">
        <f t="array" ref="I651">_xlfn.IFS(H651&lt;=120,"V1",H651&lt;=150,"V2",H651&lt;=250,"V3", H651&lt;=350, "V4")</f>
        <v>V2</v>
      </c>
      <c r="J651" t="s">
        <v>2589</v>
      </c>
      <c r="K651" t="str">
        <f t="shared" si="230"/>
        <v>41.93056</v>
      </c>
      <c r="L651" t="str">
        <f t="shared" si="231"/>
        <v>-74.908742</v>
      </c>
      <c r="M651">
        <v>393</v>
      </c>
      <c r="N651" s="1">
        <v>43508</v>
      </c>
      <c r="O651" s="1">
        <v>46099</v>
      </c>
      <c r="P651" s="2">
        <f t="shared" si="232"/>
        <v>7.0937713894592749</v>
      </c>
      <c r="Q651" s="2" t="str">
        <f t="shared" si="233"/>
        <v>Mid</v>
      </c>
      <c r="R651">
        <f t="shared" si="234"/>
        <v>1200</v>
      </c>
      <c r="S651" t="str">
        <f t="shared" si="235"/>
        <v>Small</v>
      </c>
      <c r="T651" t="str">
        <f t="shared" si="236"/>
        <v>Lower EV Adoption Corridor</v>
      </c>
      <c r="U651" s="3">
        <f t="shared" si="237"/>
        <v>1980000.0000000002</v>
      </c>
      <c r="V651" s="4">
        <f t="shared" si="238"/>
        <v>480000</v>
      </c>
      <c r="W651" s="3">
        <f t="shared" si="239"/>
        <v>6000000</v>
      </c>
      <c r="X651" s="3">
        <f t="shared" si="240"/>
        <v>3600000</v>
      </c>
      <c r="Y651">
        <f t="shared" si="241"/>
        <v>0.3</v>
      </c>
      <c r="Z651">
        <f t="shared" si="242"/>
        <v>0.75757575757575757</v>
      </c>
      <c r="AA651" t="str">
        <f t="shared" si="243"/>
        <v>Tier 4 - Stable Network</v>
      </c>
      <c r="AB651" s="3">
        <f t="shared" si="244"/>
        <v>60000</v>
      </c>
      <c r="AC651" s="3">
        <f t="shared" si="245"/>
        <v>750000</v>
      </c>
      <c r="AD651" s="3">
        <f t="shared" si="246"/>
        <v>247500.00000000003</v>
      </c>
      <c r="AE651" s="5">
        <f t="shared" si="247"/>
        <v>3.9999999999999996</v>
      </c>
      <c r="AF651" s="10">
        <f t="shared" si="248"/>
        <v>297600</v>
      </c>
      <c r="AG651" s="10">
        <f t="shared" si="249"/>
        <v>96000</v>
      </c>
      <c r="AH651" s="10">
        <f t="shared" si="250"/>
        <v>48000</v>
      </c>
      <c r="AI651" s="10">
        <f t="shared" si="251"/>
        <v>24000</v>
      </c>
      <c r="AJ651" s="10">
        <f t="shared" si="252"/>
        <v>14400</v>
      </c>
    </row>
    <row r="652" spans="1:36" x14ac:dyDescent="0.3">
      <c r="A652" t="s">
        <v>2590</v>
      </c>
      <c r="B652" t="s">
        <v>2591</v>
      </c>
      <c r="C652" t="s">
        <v>2542</v>
      </c>
      <c r="D652" t="s">
        <v>630</v>
      </c>
      <c r="E652">
        <v>49085</v>
      </c>
      <c r="F652" t="s">
        <v>15</v>
      </c>
      <c r="G652">
        <v>8</v>
      </c>
      <c r="H652">
        <v>120</v>
      </c>
      <c r="I652" t="str" cm="1">
        <f t="array" ref="I652">_xlfn.IFS(H652&lt;=120,"V1",H652&lt;=150,"V2",H652&lt;=250,"V3", H652&lt;=350, "V4")</f>
        <v>V1</v>
      </c>
      <c r="J652" t="s">
        <v>2592</v>
      </c>
      <c r="K652" t="str">
        <f t="shared" si="230"/>
        <v>42.056357</v>
      </c>
      <c r="L652" t="str">
        <f t="shared" si="231"/>
        <v>-86.456352</v>
      </c>
      <c r="M652">
        <v>210</v>
      </c>
      <c r="N652" s="1">
        <v>41604</v>
      </c>
      <c r="O652" s="1">
        <v>46099</v>
      </c>
      <c r="P652" s="2">
        <f t="shared" si="232"/>
        <v>12.306639288158795</v>
      </c>
      <c r="Q652" s="2" t="str">
        <f t="shared" si="233"/>
        <v>Old</v>
      </c>
      <c r="R652">
        <f t="shared" si="234"/>
        <v>960</v>
      </c>
      <c r="S652" t="str">
        <f t="shared" si="235"/>
        <v>Small</v>
      </c>
      <c r="T652" t="str">
        <f t="shared" si="236"/>
        <v>Lower EV Adoption Corridor</v>
      </c>
      <c r="U652" s="3">
        <f t="shared" si="237"/>
        <v>1440000</v>
      </c>
      <c r="V652" s="4">
        <f t="shared" si="238"/>
        <v>345600</v>
      </c>
      <c r="W652" s="3">
        <f t="shared" si="239"/>
        <v>3840000</v>
      </c>
      <c r="X652" s="3">
        <f t="shared" si="240"/>
        <v>2592000</v>
      </c>
      <c r="Y652">
        <f t="shared" si="241"/>
        <v>0.2814814814814815</v>
      </c>
      <c r="Z652">
        <f t="shared" si="242"/>
        <v>0.76</v>
      </c>
      <c r="AA652" t="str">
        <f t="shared" si="243"/>
        <v>Tier 5 - Retirement Pipeline</v>
      </c>
      <c r="AB652" s="3">
        <f t="shared" si="244"/>
        <v>43200</v>
      </c>
      <c r="AC652" s="3">
        <f t="shared" si="245"/>
        <v>480000</v>
      </c>
      <c r="AD652" s="3">
        <f t="shared" si="246"/>
        <v>180000</v>
      </c>
      <c r="AE652" s="5">
        <f t="shared" si="247"/>
        <v>3.5087719298245612</v>
      </c>
      <c r="AF652" s="10">
        <f t="shared" si="248"/>
        <v>214272</v>
      </c>
      <c r="AG652" s="10">
        <f t="shared" si="249"/>
        <v>69120</v>
      </c>
      <c r="AH652" s="10">
        <f t="shared" si="250"/>
        <v>34560</v>
      </c>
      <c r="AI652" s="10">
        <f t="shared" si="251"/>
        <v>17280</v>
      </c>
      <c r="AJ652" s="10">
        <f t="shared" si="252"/>
        <v>10368</v>
      </c>
    </row>
    <row r="653" spans="1:36" x14ac:dyDescent="0.3">
      <c r="A653" t="s">
        <v>2593</v>
      </c>
      <c r="B653" t="s">
        <v>2594</v>
      </c>
      <c r="C653" t="s">
        <v>2595</v>
      </c>
      <c r="D653" t="s">
        <v>158</v>
      </c>
      <c r="E653">
        <v>13820</v>
      </c>
      <c r="F653" t="s">
        <v>15</v>
      </c>
      <c r="G653">
        <v>8</v>
      </c>
      <c r="H653">
        <v>250</v>
      </c>
      <c r="I653" t="str" cm="1">
        <f t="array" ref="I653">_xlfn.IFS(H653&lt;=120,"V1",H653&lt;=150,"V2",H653&lt;=250,"V3", H653&lt;=350, "V4")</f>
        <v>V3</v>
      </c>
      <c r="J653" t="s">
        <v>2596</v>
      </c>
      <c r="K653" t="str">
        <f t="shared" si="230"/>
        <v>42.447575</v>
      </c>
      <c r="L653" t="str">
        <f t="shared" si="231"/>
        <v>-75.048622</v>
      </c>
      <c r="M653">
        <v>334</v>
      </c>
      <c r="N653" s="1">
        <v>43868</v>
      </c>
      <c r="O653" s="1">
        <v>46099</v>
      </c>
      <c r="P653" s="2">
        <f t="shared" si="232"/>
        <v>6.108145106091718</v>
      </c>
      <c r="Q653" s="2" t="str">
        <f t="shared" si="233"/>
        <v>Mid</v>
      </c>
      <c r="R653">
        <f t="shared" si="234"/>
        <v>2000</v>
      </c>
      <c r="S653" t="str">
        <f t="shared" si="235"/>
        <v>Small</v>
      </c>
      <c r="T653" t="str">
        <f t="shared" si="236"/>
        <v>Lower EV Adoption Corridor</v>
      </c>
      <c r="U653" s="3">
        <f t="shared" si="237"/>
        <v>3600000</v>
      </c>
      <c r="V653" s="4">
        <f t="shared" si="238"/>
        <v>880000.00000000012</v>
      </c>
      <c r="W653" s="3">
        <f t="shared" si="239"/>
        <v>12000000</v>
      </c>
      <c r="X653" s="3">
        <f t="shared" si="240"/>
        <v>6600000.0000000009</v>
      </c>
      <c r="Y653">
        <f t="shared" si="241"/>
        <v>0.31515151515151513</v>
      </c>
      <c r="Z653">
        <f t="shared" si="242"/>
        <v>0.75555555555555554</v>
      </c>
      <c r="AA653" t="str">
        <f t="shared" si="243"/>
        <v>Tier 2 - Growth Markets</v>
      </c>
      <c r="AB653" s="3">
        <f t="shared" si="244"/>
        <v>110000.00000000001</v>
      </c>
      <c r="AC653" s="3">
        <f t="shared" si="245"/>
        <v>1500000</v>
      </c>
      <c r="AD653" s="3">
        <f t="shared" si="246"/>
        <v>450000</v>
      </c>
      <c r="AE653" s="5">
        <f t="shared" si="247"/>
        <v>4.4117647058823533</v>
      </c>
      <c r="AF653" s="10">
        <f t="shared" si="248"/>
        <v>545600.00000000012</v>
      </c>
      <c r="AG653" s="10">
        <f t="shared" si="249"/>
        <v>176000.00000000003</v>
      </c>
      <c r="AH653" s="10">
        <f t="shared" si="250"/>
        <v>88000.000000000015</v>
      </c>
      <c r="AI653" s="10">
        <f t="shared" si="251"/>
        <v>44000.000000000007</v>
      </c>
      <c r="AJ653" s="10">
        <f t="shared" si="252"/>
        <v>26400.000000000004</v>
      </c>
    </row>
    <row r="654" spans="1:36" x14ac:dyDescent="0.3">
      <c r="A654" t="s">
        <v>2597</v>
      </c>
      <c r="B654" t="s">
        <v>2598</v>
      </c>
      <c r="C654" t="s">
        <v>2599</v>
      </c>
      <c r="D654" t="s">
        <v>630</v>
      </c>
      <c r="E654">
        <v>48706</v>
      </c>
      <c r="F654" t="s">
        <v>15</v>
      </c>
      <c r="G654">
        <v>8</v>
      </c>
      <c r="H654">
        <v>150</v>
      </c>
      <c r="I654" t="str" cm="1">
        <f t="array" ref="I654">_xlfn.IFS(H654&lt;=120,"V1",H654&lt;=150,"V2",H654&lt;=250,"V3", H654&lt;=350, "V4")</f>
        <v>V2</v>
      </c>
      <c r="J654" t="s">
        <v>2600</v>
      </c>
      <c r="K654" t="str">
        <f t="shared" si="230"/>
        <v>43.622061</v>
      </c>
      <c r="L654" t="str">
        <f t="shared" si="231"/>
        <v>-83.932241</v>
      </c>
      <c r="M654">
        <v>181</v>
      </c>
      <c r="N654" s="1">
        <v>42640</v>
      </c>
      <c r="O654" s="1">
        <v>46099</v>
      </c>
      <c r="P654" s="2">
        <f t="shared" si="232"/>
        <v>9.4702258726899391</v>
      </c>
      <c r="Q654" s="2" t="str">
        <f t="shared" si="233"/>
        <v>Old</v>
      </c>
      <c r="R654">
        <f t="shared" si="234"/>
        <v>1200</v>
      </c>
      <c r="S654" t="str">
        <f t="shared" si="235"/>
        <v>Small</v>
      </c>
      <c r="T654" t="str">
        <f t="shared" si="236"/>
        <v>Lower EV Adoption Corridor</v>
      </c>
      <c r="U654" s="3">
        <f t="shared" si="237"/>
        <v>1980000.0000000002</v>
      </c>
      <c r="V654" s="4">
        <f t="shared" si="238"/>
        <v>480000</v>
      </c>
      <c r="W654" s="3">
        <f t="shared" si="239"/>
        <v>6000000</v>
      </c>
      <c r="X654" s="3">
        <f t="shared" si="240"/>
        <v>3600000</v>
      </c>
      <c r="Y654">
        <f t="shared" si="241"/>
        <v>0.3</v>
      </c>
      <c r="Z654">
        <f t="shared" si="242"/>
        <v>0.75757575757575757</v>
      </c>
      <c r="AA654" t="str">
        <f t="shared" si="243"/>
        <v>Tier 4 - Stable Network</v>
      </c>
      <c r="AB654" s="3">
        <f t="shared" si="244"/>
        <v>60000</v>
      </c>
      <c r="AC654" s="3">
        <f t="shared" si="245"/>
        <v>750000</v>
      </c>
      <c r="AD654" s="3">
        <f t="shared" si="246"/>
        <v>247500.00000000003</v>
      </c>
      <c r="AE654" s="5">
        <f t="shared" si="247"/>
        <v>3.9999999999999996</v>
      </c>
      <c r="AF654" s="10">
        <f t="shared" si="248"/>
        <v>297600</v>
      </c>
      <c r="AG654" s="10">
        <f t="shared" si="249"/>
        <v>96000</v>
      </c>
      <c r="AH654" s="10">
        <f t="shared" si="250"/>
        <v>48000</v>
      </c>
      <c r="AI654" s="10">
        <f t="shared" si="251"/>
        <v>24000</v>
      </c>
      <c r="AJ654" s="10">
        <f t="shared" si="252"/>
        <v>14400</v>
      </c>
    </row>
    <row r="655" spans="1:36" x14ac:dyDescent="0.3">
      <c r="A655" t="s">
        <v>2601</v>
      </c>
      <c r="B655" t="s">
        <v>2602</v>
      </c>
      <c r="C655" t="s">
        <v>2603</v>
      </c>
      <c r="D655" t="s">
        <v>41</v>
      </c>
      <c r="E655">
        <v>32966</v>
      </c>
      <c r="F655" t="s">
        <v>15</v>
      </c>
      <c r="G655">
        <v>8</v>
      </c>
      <c r="H655">
        <v>250</v>
      </c>
      <c r="I655" t="str" cm="1">
        <f t="array" ref="I655">_xlfn.IFS(H655&lt;=120,"V1",H655&lt;=150,"V2",H655&lt;=250,"V3", H655&lt;=350, "V4")</f>
        <v>V3</v>
      </c>
      <c r="J655" t="s">
        <v>2604</v>
      </c>
      <c r="K655" t="str">
        <f t="shared" si="230"/>
        <v>27.6400894</v>
      </c>
      <c r="L655" t="str">
        <f t="shared" si="231"/>
        <v>-80.5135068</v>
      </c>
      <c r="M655">
        <v>7</v>
      </c>
      <c r="N655" s="1">
        <v>43905</v>
      </c>
      <c r="O655" s="1">
        <v>46099</v>
      </c>
      <c r="P655" s="2">
        <f t="shared" si="232"/>
        <v>6.0068446269678306</v>
      </c>
      <c r="Q655" s="2" t="str">
        <f t="shared" si="233"/>
        <v>Mid</v>
      </c>
      <c r="R655">
        <f t="shared" si="234"/>
        <v>2000</v>
      </c>
      <c r="S655" t="str">
        <f t="shared" si="235"/>
        <v>Small</v>
      </c>
      <c r="T655" t="str">
        <f t="shared" si="236"/>
        <v>High EV Adoption Corridor</v>
      </c>
      <c r="U655" s="3">
        <f t="shared" si="237"/>
        <v>4680000</v>
      </c>
      <c r="V655" s="4">
        <f t="shared" si="238"/>
        <v>1056000</v>
      </c>
      <c r="W655" s="3">
        <f t="shared" si="239"/>
        <v>13200000.000000002</v>
      </c>
      <c r="X655" s="3">
        <f t="shared" si="240"/>
        <v>9900000.0000000019</v>
      </c>
      <c r="Y655">
        <f t="shared" si="241"/>
        <v>0.23999999999999996</v>
      </c>
      <c r="Z655">
        <f t="shared" si="242"/>
        <v>0.77435897435897438</v>
      </c>
      <c r="AA655" t="str">
        <f t="shared" si="243"/>
        <v>Tier 1 - Priority Fleet</v>
      </c>
      <c r="AB655" s="3">
        <f t="shared" si="244"/>
        <v>132000</v>
      </c>
      <c r="AC655" s="3">
        <f t="shared" si="245"/>
        <v>1650000.0000000002</v>
      </c>
      <c r="AD655" s="3">
        <f t="shared" si="246"/>
        <v>585000</v>
      </c>
      <c r="AE655" s="5">
        <f t="shared" si="247"/>
        <v>3.6423841059602653</v>
      </c>
      <c r="AF655" s="10">
        <f t="shared" si="248"/>
        <v>654720</v>
      </c>
      <c r="AG655" s="10">
        <f t="shared" si="249"/>
        <v>211200</v>
      </c>
      <c r="AH655" s="10">
        <f t="shared" si="250"/>
        <v>105600</v>
      </c>
      <c r="AI655" s="10">
        <f t="shared" si="251"/>
        <v>52800</v>
      </c>
      <c r="AJ655" s="10">
        <f t="shared" si="252"/>
        <v>31680</v>
      </c>
    </row>
    <row r="656" spans="1:36" x14ac:dyDescent="0.3">
      <c r="A656" t="s">
        <v>2605</v>
      </c>
      <c r="B656" t="s">
        <v>2606</v>
      </c>
      <c r="C656" t="s">
        <v>2607</v>
      </c>
      <c r="D656" t="s">
        <v>59</v>
      </c>
      <c r="E656">
        <v>62234</v>
      </c>
      <c r="F656" t="s">
        <v>15</v>
      </c>
      <c r="G656">
        <v>8</v>
      </c>
      <c r="H656">
        <v>250</v>
      </c>
      <c r="I656" t="str" cm="1">
        <f t="array" ref="I656">_xlfn.IFS(H656&lt;=120,"V1",H656&lt;=150,"V2",H656&lt;=250,"V3", H656&lt;=350, "V4")</f>
        <v>V3</v>
      </c>
      <c r="J656" t="s">
        <v>2608</v>
      </c>
      <c r="K656" t="str">
        <f t="shared" si="230"/>
        <v>38.67344</v>
      </c>
      <c r="L656" t="str">
        <f t="shared" si="231"/>
        <v>-90.013486</v>
      </c>
      <c r="M656">
        <v>133</v>
      </c>
      <c r="N656" s="1">
        <v>44365</v>
      </c>
      <c r="O656" s="1">
        <v>46099</v>
      </c>
      <c r="P656" s="2">
        <f t="shared" si="232"/>
        <v>4.7474332648870634</v>
      </c>
      <c r="Q656" s="2" t="str">
        <f t="shared" si="233"/>
        <v>Mid</v>
      </c>
      <c r="R656">
        <f t="shared" si="234"/>
        <v>2000</v>
      </c>
      <c r="S656" t="str">
        <f t="shared" si="235"/>
        <v>Small</v>
      </c>
      <c r="T656" t="str">
        <f t="shared" si="236"/>
        <v>Lower EV Adoption Corridor</v>
      </c>
      <c r="U656" s="3">
        <f t="shared" si="237"/>
        <v>3600000</v>
      </c>
      <c r="V656" s="4">
        <f t="shared" si="238"/>
        <v>880000.00000000012</v>
      </c>
      <c r="W656" s="3">
        <f t="shared" si="239"/>
        <v>12000000</v>
      </c>
      <c r="X656" s="3">
        <f t="shared" si="240"/>
        <v>6600000.0000000009</v>
      </c>
      <c r="Y656">
        <f t="shared" si="241"/>
        <v>0.31515151515151513</v>
      </c>
      <c r="Z656">
        <f t="shared" si="242"/>
        <v>0.75555555555555554</v>
      </c>
      <c r="AA656" t="str">
        <f t="shared" si="243"/>
        <v>Tier 2 - Growth Markets</v>
      </c>
      <c r="AB656" s="3">
        <f t="shared" si="244"/>
        <v>110000.00000000001</v>
      </c>
      <c r="AC656" s="3">
        <f t="shared" si="245"/>
        <v>1500000</v>
      </c>
      <c r="AD656" s="3">
        <f t="shared" si="246"/>
        <v>450000</v>
      </c>
      <c r="AE656" s="5">
        <f t="shared" si="247"/>
        <v>4.4117647058823533</v>
      </c>
      <c r="AF656" s="10">
        <f t="shared" si="248"/>
        <v>545600.00000000012</v>
      </c>
      <c r="AG656" s="10">
        <f t="shared" si="249"/>
        <v>176000.00000000003</v>
      </c>
      <c r="AH656" s="10">
        <f t="shared" si="250"/>
        <v>88000.000000000015</v>
      </c>
      <c r="AI656" s="10">
        <f t="shared" si="251"/>
        <v>44000.000000000007</v>
      </c>
      <c r="AJ656" s="10">
        <f t="shared" si="252"/>
        <v>26400.000000000004</v>
      </c>
    </row>
    <row r="657" spans="1:36" x14ac:dyDescent="0.3">
      <c r="A657" t="s">
        <v>2609</v>
      </c>
      <c r="B657" t="s">
        <v>2610</v>
      </c>
      <c r="C657" t="s">
        <v>2611</v>
      </c>
      <c r="D657" t="s">
        <v>415</v>
      </c>
      <c r="E657">
        <v>52641</v>
      </c>
      <c r="F657" t="s">
        <v>15</v>
      </c>
      <c r="G657">
        <v>8</v>
      </c>
      <c r="H657">
        <v>250</v>
      </c>
      <c r="I657" t="str" cm="1">
        <f t="array" ref="I657">_xlfn.IFS(H657&lt;=120,"V1",H657&lt;=150,"V2",H657&lt;=250,"V3", H657&lt;=350, "V4")</f>
        <v>V3</v>
      </c>
      <c r="J657" t="s">
        <v>2612</v>
      </c>
      <c r="K657" t="str">
        <f t="shared" si="230"/>
        <v>40.961378</v>
      </c>
      <c r="L657" t="str">
        <f t="shared" si="231"/>
        <v>-91.528249</v>
      </c>
      <c r="M657">
        <v>219</v>
      </c>
      <c r="N657" s="1">
        <v>44357</v>
      </c>
      <c r="O657" s="1">
        <v>46099</v>
      </c>
      <c r="P657" s="2">
        <f t="shared" si="232"/>
        <v>4.7693360711841208</v>
      </c>
      <c r="Q657" s="2" t="str">
        <f t="shared" si="233"/>
        <v>Mid</v>
      </c>
      <c r="R657">
        <f t="shared" si="234"/>
        <v>2000</v>
      </c>
      <c r="S657" t="str">
        <f t="shared" si="235"/>
        <v>Small</v>
      </c>
      <c r="T657" t="str">
        <f t="shared" si="236"/>
        <v>Lower EV Adoption Corridor</v>
      </c>
      <c r="U657" s="3">
        <f t="shared" si="237"/>
        <v>3600000</v>
      </c>
      <c r="V657" s="4">
        <f t="shared" si="238"/>
        <v>880000.00000000012</v>
      </c>
      <c r="W657" s="3">
        <f t="shared" si="239"/>
        <v>12000000</v>
      </c>
      <c r="X657" s="3">
        <f t="shared" si="240"/>
        <v>6600000.0000000009</v>
      </c>
      <c r="Y657">
        <f t="shared" si="241"/>
        <v>0.31515151515151513</v>
      </c>
      <c r="Z657">
        <f t="shared" si="242"/>
        <v>0.75555555555555554</v>
      </c>
      <c r="AA657" t="str">
        <f t="shared" si="243"/>
        <v>Tier 2 - Growth Markets</v>
      </c>
      <c r="AB657" s="3">
        <f t="shared" si="244"/>
        <v>110000.00000000001</v>
      </c>
      <c r="AC657" s="3">
        <f t="shared" si="245"/>
        <v>1500000</v>
      </c>
      <c r="AD657" s="3">
        <f t="shared" si="246"/>
        <v>450000</v>
      </c>
      <c r="AE657" s="5">
        <f t="shared" si="247"/>
        <v>4.4117647058823533</v>
      </c>
      <c r="AF657" s="10">
        <f t="shared" si="248"/>
        <v>545600.00000000012</v>
      </c>
      <c r="AG657" s="10">
        <f t="shared" si="249"/>
        <v>176000.00000000003</v>
      </c>
      <c r="AH657" s="10">
        <f t="shared" si="250"/>
        <v>88000.000000000015</v>
      </c>
      <c r="AI657" s="10">
        <f t="shared" si="251"/>
        <v>44000.000000000007</v>
      </c>
      <c r="AJ657" s="10">
        <f t="shared" si="252"/>
        <v>26400.000000000004</v>
      </c>
    </row>
    <row r="658" spans="1:36" x14ac:dyDescent="0.3">
      <c r="A658" t="s">
        <v>2613</v>
      </c>
      <c r="B658" t="s">
        <v>2614</v>
      </c>
      <c r="C658" t="s">
        <v>2615</v>
      </c>
      <c r="D658" t="s">
        <v>299</v>
      </c>
      <c r="E658">
        <v>20190</v>
      </c>
      <c r="F658" t="s">
        <v>15</v>
      </c>
      <c r="G658">
        <v>8</v>
      </c>
      <c r="H658">
        <v>250</v>
      </c>
      <c r="I658" t="str" cm="1">
        <f t="array" ref="I658">_xlfn.IFS(H658&lt;=120,"V1",H658&lt;=150,"V2",H658&lt;=250,"V3", H658&lt;=350, "V4")</f>
        <v>V3</v>
      </c>
      <c r="J658" t="s">
        <v>2616</v>
      </c>
      <c r="K658" t="str">
        <f t="shared" si="230"/>
        <v>38.949021</v>
      </c>
      <c r="L658" t="str">
        <f t="shared" si="231"/>
        <v>-77.339711</v>
      </c>
      <c r="M658">
        <v>117</v>
      </c>
      <c r="N658" s="1">
        <v>44008</v>
      </c>
      <c r="O658" s="1">
        <v>46099</v>
      </c>
      <c r="P658" s="2">
        <f t="shared" si="232"/>
        <v>5.7248459958932241</v>
      </c>
      <c r="Q658" s="2" t="str">
        <f t="shared" si="233"/>
        <v>Mid</v>
      </c>
      <c r="R658">
        <f t="shared" si="234"/>
        <v>2000</v>
      </c>
      <c r="S658" t="str">
        <f t="shared" si="235"/>
        <v>Small</v>
      </c>
      <c r="T658" t="str">
        <f t="shared" si="236"/>
        <v>Lower EV Adoption Corridor</v>
      </c>
      <c r="U658" s="3">
        <f t="shared" si="237"/>
        <v>3600000</v>
      </c>
      <c r="V658" s="4">
        <f t="shared" si="238"/>
        <v>880000.00000000012</v>
      </c>
      <c r="W658" s="3">
        <f t="shared" si="239"/>
        <v>12000000</v>
      </c>
      <c r="X658" s="3">
        <f t="shared" si="240"/>
        <v>6600000.0000000009</v>
      </c>
      <c r="Y658">
        <f t="shared" si="241"/>
        <v>0.31515151515151513</v>
      </c>
      <c r="Z658">
        <f t="shared" si="242"/>
        <v>0.75555555555555554</v>
      </c>
      <c r="AA658" t="str">
        <f t="shared" si="243"/>
        <v>Tier 2 - Growth Markets</v>
      </c>
      <c r="AB658" s="3">
        <f t="shared" si="244"/>
        <v>110000.00000000001</v>
      </c>
      <c r="AC658" s="3">
        <f t="shared" si="245"/>
        <v>1500000</v>
      </c>
      <c r="AD658" s="3">
        <f t="shared" si="246"/>
        <v>450000</v>
      </c>
      <c r="AE658" s="5">
        <f t="shared" si="247"/>
        <v>4.4117647058823533</v>
      </c>
      <c r="AF658" s="10">
        <f t="shared" si="248"/>
        <v>545600.00000000012</v>
      </c>
      <c r="AG658" s="10">
        <f t="shared" si="249"/>
        <v>176000.00000000003</v>
      </c>
      <c r="AH658" s="10">
        <f t="shared" si="250"/>
        <v>88000.000000000015</v>
      </c>
      <c r="AI658" s="10">
        <f t="shared" si="251"/>
        <v>44000.000000000007</v>
      </c>
      <c r="AJ658" s="10">
        <f t="shared" si="252"/>
        <v>26400.000000000004</v>
      </c>
    </row>
    <row r="659" spans="1:36" x14ac:dyDescent="0.3">
      <c r="A659" t="s">
        <v>2617</v>
      </c>
      <c r="B659" t="s">
        <v>2618</v>
      </c>
      <c r="C659" t="s">
        <v>2619</v>
      </c>
      <c r="D659" t="s">
        <v>111</v>
      </c>
      <c r="E659">
        <v>55416</v>
      </c>
      <c r="F659" t="s">
        <v>15</v>
      </c>
      <c r="G659">
        <v>8</v>
      </c>
      <c r="H659">
        <v>250</v>
      </c>
      <c r="I659" t="str" cm="1">
        <f t="array" ref="I659">_xlfn.IFS(H659&lt;=120,"V1",H659&lt;=150,"V2",H659&lt;=250,"V3", H659&lt;=350, "V4")</f>
        <v>V3</v>
      </c>
      <c r="J659" t="s">
        <v>2620</v>
      </c>
      <c r="K659" t="str">
        <f t="shared" si="230"/>
        <v>44.935964</v>
      </c>
      <c r="L659" t="str">
        <f t="shared" si="231"/>
        <v>-93.347857</v>
      </c>
      <c r="M659">
        <v>269</v>
      </c>
      <c r="N659" s="1">
        <v>43978</v>
      </c>
      <c r="O659" s="1">
        <v>46099</v>
      </c>
      <c r="P659" s="2">
        <f t="shared" si="232"/>
        <v>5.806981519507187</v>
      </c>
      <c r="Q659" s="2" t="str">
        <f t="shared" si="233"/>
        <v>Mid</v>
      </c>
      <c r="R659">
        <f t="shared" si="234"/>
        <v>2000</v>
      </c>
      <c r="S659" t="str">
        <f t="shared" si="235"/>
        <v>Small</v>
      </c>
      <c r="T659" t="str">
        <f t="shared" si="236"/>
        <v>Lower EV Adoption Corridor</v>
      </c>
      <c r="U659" s="3">
        <f t="shared" si="237"/>
        <v>3600000</v>
      </c>
      <c r="V659" s="4">
        <f t="shared" si="238"/>
        <v>880000.00000000012</v>
      </c>
      <c r="W659" s="3">
        <f t="shared" si="239"/>
        <v>12000000</v>
      </c>
      <c r="X659" s="3">
        <f t="shared" si="240"/>
        <v>6600000.0000000009</v>
      </c>
      <c r="Y659">
        <f t="shared" si="241"/>
        <v>0.31515151515151513</v>
      </c>
      <c r="Z659">
        <f t="shared" si="242"/>
        <v>0.75555555555555554</v>
      </c>
      <c r="AA659" t="str">
        <f t="shared" si="243"/>
        <v>Tier 2 - Growth Markets</v>
      </c>
      <c r="AB659" s="3">
        <f t="shared" si="244"/>
        <v>110000.00000000001</v>
      </c>
      <c r="AC659" s="3">
        <f t="shared" si="245"/>
        <v>1500000</v>
      </c>
      <c r="AD659" s="3">
        <f t="shared" si="246"/>
        <v>450000</v>
      </c>
      <c r="AE659" s="5">
        <f t="shared" si="247"/>
        <v>4.4117647058823533</v>
      </c>
      <c r="AF659" s="10">
        <f t="shared" si="248"/>
        <v>545600.00000000012</v>
      </c>
      <c r="AG659" s="10">
        <f t="shared" si="249"/>
        <v>176000.00000000003</v>
      </c>
      <c r="AH659" s="10">
        <f t="shared" si="250"/>
        <v>88000.000000000015</v>
      </c>
      <c r="AI659" s="10">
        <f t="shared" si="251"/>
        <v>44000.000000000007</v>
      </c>
      <c r="AJ659" s="10">
        <f t="shared" si="252"/>
        <v>26400.000000000004</v>
      </c>
    </row>
    <row r="660" spans="1:36" x14ac:dyDescent="0.3">
      <c r="A660" t="s">
        <v>2621</v>
      </c>
      <c r="B660" t="s">
        <v>1790</v>
      </c>
      <c r="C660" t="s">
        <v>2622</v>
      </c>
      <c r="D660" t="s">
        <v>958</v>
      </c>
      <c r="E660">
        <v>4945</v>
      </c>
      <c r="F660" t="s">
        <v>15</v>
      </c>
      <c r="G660">
        <v>4</v>
      </c>
      <c r="H660">
        <v>150</v>
      </c>
      <c r="I660" t="str" cm="1">
        <f t="array" ref="I660">_xlfn.IFS(H660&lt;=120,"V1",H660&lt;=150,"V2",H660&lt;=250,"V3", H660&lt;=350, "V4")</f>
        <v>V2</v>
      </c>
      <c r="J660" t="s">
        <v>2623</v>
      </c>
      <c r="K660" t="str">
        <f t="shared" si="230"/>
        <v>45.624071</v>
      </c>
      <c r="L660" t="str">
        <f t="shared" si="231"/>
        <v>-70.25201</v>
      </c>
      <c r="M660">
        <v>374</v>
      </c>
      <c r="N660" s="1">
        <v>43757</v>
      </c>
      <c r="O660" s="1">
        <v>46099</v>
      </c>
      <c r="P660" s="2">
        <f t="shared" si="232"/>
        <v>6.4120465434633811</v>
      </c>
      <c r="Q660" s="2" t="str">
        <f t="shared" si="233"/>
        <v>Mid</v>
      </c>
      <c r="R660">
        <f t="shared" si="234"/>
        <v>600</v>
      </c>
      <c r="S660" t="str">
        <f t="shared" si="235"/>
        <v>Small</v>
      </c>
      <c r="T660" t="str">
        <f t="shared" si="236"/>
        <v>Lower EV Adoption Corridor</v>
      </c>
      <c r="U660" s="3">
        <f t="shared" si="237"/>
        <v>990000.00000000012</v>
      </c>
      <c r="V660" s="4">
        <f t="shared" si="238"/>
        <v>240000</v>
      </c>
      <c r="W660" s="3">
        <f t="shared" si="239"/>
        <v>3000000</v>
      </c>
      <c r="X660" s="3">
        <f t="shared" si="240"/>
        <v>1800000</v>
      </c>
      <c r="Y660">
        <f t="shared" si="241"/>
        <v>0.3</v>
      </c>
      <c r="Z660">
        <f t="shared" si="242"/>
        <v>0.75757575757575757</v>
      </c>
      <c r="AA660" t="str">
        <f t="shared" si="243"/>
        <v>Tier 4 - Stable Network</v>
      </c>
      <c r="AB660" s="3">
        <f t="shared" si="244"/>
        <v>60000</v>
      </c>
      <c r="AC660" s="3">
        <f t="shared" si="245"/>
        <v>750000</v>
      </c>
      <c r="AD660" s="3">
        <f t="shared" si="246"/>
        <v>247500.00000000003</v>
      </c>
      <c r="AE660" s="5">
        <f t="shared" si="247"/>
        <v>3.9999999999999996</v>
      </c>
      <c r="AF660" s="10">
        <f t="shared" si="248"/>
        <v>148800</v>
      </c>
      <c r="AG660" s="10">
        <f t="shared" si="249"/>
        <v>48000</v>
      </c>
      <c r="AH660" s="10">
        <f t="shared" si="250"/>
        <v>24000</v>
      </c>
      <c r="AI660" s="10">
        <f t="shared" si="251"/>
        <v>12000</v>
      </c>
      <c r="AJ660" s="10">
        <f t="shared" si="252"/>
        <v>7200</v>
      </c>
    </row>
    <row r="661" spans="1:36" x14ac:dyDescent="0.3">
      <c r="A661" t="s">
        <v>2624</v>
      </c>
      <c r="B661" t="s">
        <v>2625</v>
      </c>
      <c r="C661" t="s">
        <v>423</v>
      </c>
      <c r="D661" t="s">
        <v>268</v>
      </c>
      <c r="E661">
        <v>80027</v>
      </c>
      <c r="F661" t="s">
        <v>15</v>
      </c>
      <c r="G661">
        <v>16</v>
      </c>
      <c r="H661">
        <v>250</v>
      </c>
      <c r="I661" t="str" cm="1">
        <f t="array" ref="I661">_xlfn.IFS(H661&lt;=120,"V1",H661&lt;=150,"V2",H661&lt;=250,"V3", H661&lt;=350, "V4")</f>
        <v>V3</v>
      </c>
      <c r="J661" t="s">
        <v>2626</v>
      </c>
      <c r="K661" t="str">
        <f t="shared" si="230"/>
        <v>39.9548017</v>
      </c>
      <c r="L661" t="str">
        <f t="shared" si="231"/>
        <v>-105.1646291</v>
      </c>
      <c r="M661">
        <v>1669</v>
      </c>
      <c r="N661" s="1">
        <v>44106</v>
      </c>
      <c r="O661" s="1">
        <v>46099</v>
      </c>
      <c r="P661" s="2">
        <f t="shared" si="232"/>
        <v>5.4565366187542779</v>
      </c>
      <c r="Q661" s="2" t="str">
        <f t="shared" si="233"/>
        <v>Mid</v>
      </c>
      <c r="R661">
        <f t="shared" si="234"/>
        <v>4000</v>
      </c>
      <c r="S661" t="str">
        <f t="shared" si="235"/>
        <v>Small</v>
      </c>
      <c r="T661" t="str">
        <f t="shared" si="236"/>
        <v>High EV Adoption Corridor</v>
      </c>
      <c r="U661" s="3">
        <f t="shared" si="237"/>
        <v>9360000</v>
      </c>
      <c r="V661" s="4">
        <f t="shared" si="238"/>
        <v>2112000</v>
      </c>
      <c r="W661" s="3">
        <f t="shared" si="239"/>
        <v>26400000.000000004</v>
      </c>
      <c r="X661" s="3">
        <f t="shared" si="240"/>
        <v>19800000.000000004</v>
      </c>
      <c r="Y661">
        <f t="shared" si="241"/>
        <v>0.23999999999999996</v>
      </c>
      <c r="Z661">
        <f t="shared" si="242"/>
        <v>0.77435897435897438</v>
      </c>
      <c r="AA661" t="str">
        <f t="shared" si="243"/>
        <v>Tier 1 - Priority Fleet</v>
      </c>
      <c r="AB661" s="3">
        <f t="shared" si="244"/>
        <v>132000</v>
      </c>
      <c r="AC661" s="3">
        <f t="shared" si="245"/>
        <v>1650000.0000000002</v>
      </c>
      <c r="AD661" s="3">
        <f t="shared" si="246"/>
        <v>585000</v>
      </c>
      <c r="AE661" s="5">
        <f t="shared" si="247"/>
        <v>3.6423841059602653</v>
      </c>
      <c r="AF661" s="10">
        <f t="shared" si="248"/>
        <v>1309440</v>
      </c>
      <c r="AG661" s="10">
        <f t="shared" si="249"/>
        <v>422400</v>
      </c>
      <c r="AH661" s="10">
        <f t="shared" si="250"/>
        <v>211200</v>
      </c>
      <c r="AI661" s="10">
        <f t="shared" si="251"/>
        <v>105600</v>
      </c>
      <c r="AJ661" s="10">
        <f t="shared" si="252"/>
        <v>63360</v>
      </c>
    </row>
    <row r="662" spans="1:36" x14ac:dyDescent="0.3">
      <c r="A662" t="s">
        <v>2627</v>
      </c>
      <c r="B662" t="s">
        <v>2628</v>
      </c>
      <c r="C662" t="s">
        <v>2629</v>
      </c>
      <c r="D662" t="s">
        <v>230</v>
      </c>
      <c r="E662">
        <v>98045</v>
      </c>
      <c r="F662" t="s">
        <v>15</v>
      </c>
      <c r="G662">
        <v>8</v>
      </c>
      <c r="H662">
        <v>250</v>
      </c>
      <c r="I662" t="str" cm="1">
        <f t="array" ref="I662">_xlfn.IFS(H662&lt;=120,"V1",H662&lt;=150,"V2",H662&lt;=250,"V3", H662&lt;=350, "V4")</f>
        <v>V3</v>
      </c>
      <c r="J662" t="s">
        <v>2630</v>
      </c>
      <c r="K662" t="str">
        <f t="shared" si="230"/>
        <v>47.468107</v>
      </c>
      <c r="L662" t="str">
        <f t="shared" si="231"/>
        <v>-121.716454</v>
      </c>
      <c r="M662">
        <v>209</v>
      </c>
      <c r="N662" s="1">
        <v>43811</v>
      </c>
      <c r="O662" s="1">
        <v>46099</v>
      </c>
      <c r="P662" s="2">
        <f t="shared" si="232"/>
        <v>6.2642026009582477</v>
      </c>
      <c r="Q662" s="2" t="str">
        <f t="shared" si="233"/>
        <v>Mid</v>
      </c>
      <c r="R662">
        <f t="shared" si="234"/>
        <v>2000</v>
      </c>
      <c r="S662" t="str">
        <f t="shared" si="235"/>
        <v>Small</v>
      </c>
      <c r="T662" t="str">
        <f t="shared" si="236"/>
        <v>High EV Adoption Corridor</v>
      </c>
      <c r="U662" s="3">
        <f t="shared" si="237"/>
        <v>4680000</v>
      </c>
      <c r="V662" s="4">
        <f t="shared" si="238"/>
        <v>1056000</v>
      </c>
      <c r="W662" s="3">
        <f t="shared" si="239"/>
        <v>13200000.000000002</v>
      </c>
      <c r="X662" s="3">
        <f t="shared" si="240"/>
        <v>9900000.0000000019</v>
      </c>
      <c r="Y662">
        <f t="shared" si="241"/>
        <v>0.23999999999999996</v>
      </c>
      <c r="Z662">
        <f t="shared" si="242"/>
        <v>0.77435897435897438</v>
      </c>
      <c r="AA662" t="str">
        <f t="shared" si="243"/>
        <v>Tier 1 - Priority Fleet</v>
      </c>
      <c r="AB662" s="3">
        <f t="shared" si="244"/>
        <v>132000</v>
      </c>
      <c r="AC662" s="3">
        <f t="shared" si="245"/>
        <v>1650000.0000000002</v>
      </c>
      <c r="AD662" s="3">
        <f t="shared" si="246"/>
        <v>585000</v>
      </c>
      <c r="AE662" s="5">
        <f t="shared" si="247"/>
        <v>3.6423841059602653</v>
      </c>
      <c r="AF662" s="10">
        <f t="shared" si="248"/>
        <v>654720</v>
      </c>
      <c r="AG662" s="10">
        <f t="shared" si="249"/>
        <v>211200</v>
      </c>
      <c r="AH662" s="10">
        <f t="shared" si="250"/>
        <v>105600</v>
      </c>
      <c r="AI662" s="10">
        <f t="shared" si="251"/>
        <v>52800</v>
      </c>
      <c r="AJ662" s="10">
        <f t="shared" si="252"/>
        <v>31680</v>
      </c>
    </row>
    <row r="663" spans="1:36" x14ac:dyDescent="0.3">
      <c r="A663" t="s">
        <v>2631</v>
      </c>
      <c r="B663" t="s">
        <v>2632</v>
      </c>
      <c r="C663" t="s">
        <v>2633</v>
      </c>
      <c r="D663" t="s">
        <v>225</v>
      </c>
      <c r="E663">
        <v>84337</v>
      </c>
      <c r="F663" t="s">
        <v>15</v>
      </c>
      <c r="G663">
        <v>10</v>
      </c>
      <c r="H663">
        <v>150</v>
      </c>
      <c r="I663" t="str" cm="1">
        <f t="array" ref="I663">_xlfn.IFS(H663&lt;=120,"V1",H663&lt;=150,"V2",H663&lt;=250,"V3", H663&lt;=350, "V4")</f>
        <v>V2</v>
      </c>
      <c r="J663" t="s">
        <v>2634</v>
      </c>
      <c r="K663" t="str">
        <f t="shared" si="230"/>
        <v>41.70995</v>
      </c>
      <c r="L663" t="str">
        <f t="shared" si="231"/>
        <v>-112.198576</v>
      </c>
      <c r="M663">
        <v>1317</v>
      </c>
      <c r="N663" s="1">
        <v>42095</v>
      </c>
      <c r="O663" s="1">
        <v>46099</v>
      </c>
      <c r="P663" s="2">
        <f t="shared" si="232"/>
        <v>10.962354551676933</v>
      </c>
      <c r="Q663" s="2" t="str">
        <f t="shared" si="233"/>
        <v>Old</v>
      </c>
      <c r="R663">
        <f t="shared" si="234"/>
        <v>1500</v>
      </c>
      <c r="S663" t="str">
        <f t="shared" si="235"/>
        <v>Small</v>
      </c>
      <c r="T663" t="str">
        <f t="shared" si="236"/>
        <v>Lower EV Adoption Corridor</v>
      </c>
      <c r="U663" s="3">
        <f t="shared" si="237"/>
        <v>2475000</v>
      </c>
      <c r="V663" s="4">
        <f t="shared" si="238"/>
        <v>600000</v>
      </c>
      <c r="W663" s="3">
        <f t="shared" si="239"/>
        <v>7500000</v>
      </c>
      <c r="X663" s="3">
        <f t="shared" si="240"/>
        <v>4500000</v>
      </c>
      <c r="Y663">
        <f t="shared" si="241"/>
        <v>0.3</v>
      </c>
      <c r="Z663">
        <f t="shared" si="242"/>
        <v>0.75757575757575757</v>
      </c>
      <c r="AA663" t="str">
        <f t="shared" si="243"/>
        <v>Tier 4 - Stable Network</v>
      </c>
      <c r="AB663" s="3">
        <f t="shared" si="244"/>
        <v>60000</v>
      </c>
      <c r="AC663" s="3">
        <f t="shared" si="245"/>
        <v>750000</v>
      </c>
      <c r="AD663" s="3">
        <f t="shared" si="246"/>
        <v>247500</v>
      </c>
      <c r="AE663" s="5">
        <f t="shared" si="247"/>
        <v>4</v>
      </c>
      <c r="AF663" s="10">
        <f t="shared" si="248"/>
        <v>372000</v>
      </c>
      <c r="AG663" s="10">
        <f t="shared" si="249"/>
        <v>120000</v>
      </c>
      <c r="AH663" s="10">
        <f t="shared" si="250"/>
        <v>60000</v>
      </c>
      <c r="AI663" s="10">
        <f t="shared" si="251"/>
        <v>30000</v>
      </c>
      <c r="AJ663" s="10">
        <f t="shared" si="252"/>
        <v>18000</v>
      </c>
    </row>
    <row r="664" spans="1:36" x14ac:dyDescent="0.3">
      <c r="A664" t="s">
        <v>2635</v>
      </c>
      <c r="B664" t="s">
        <v>2636</v>
      </c>
      <c r="C664" t="s">
        <v>2637</v>
      </c>
      <c r="D664" t="s">
        <v>230</v>
      </c>
      <c r="E664">
        <v>99224</v>
      </c>
      <c r="F664" t="s">
        <v>15</v>
      </c>
      <c r="G664">
        <v>8</v>
      </c>
      <c r="H664">
        <v>250</v>
      </c>
      <c r="I664" t="str" cm="1">
        <f t="array" ref="I664">_xlfn.IFS(H664&lt;=120,"V1",H664&lt;=150,"V2",H664&lt;=250,"V3", H664&lt;=350, "V4")</f>
        <v>V3</v>
      </c>
      <c r="J664" t="s">
        <v>2638</v>
      </c>
      <c r="K664" t="str">
        <f t="shared" si="230"/>
        <v>47.590359</v>
      </c>
      <c r="L664" t="str">
        <f t="shared" si="231"/>
        <v>-117.56168</v>
      </c>
      <c r="M664">
        <v>739</v>
      </c>
      <c r="N664" s="1">
        <v>43820</v>
      </c>
      <c r="O664" s="1">
        <v>46099</v>
      </c>
      <c r="P664" s="2">
        <f t="shared" si="232"/>
        <v>6.239561943874059</v>
      </c>
      <c r="Q664" s="2" t="str">
        <f t="shared" si="233"/>
        <v>Mid</v>
      </c>
      <c r="R664">
        <f t="shared" si="234"/>
        <v>2000</v>
      </c>
      <c r="S664" t="str">
        <f t="shared" si="235"/>
        <v>Small</v>
      </c>
      <c r="T664" t="str">
        <f t="shared" si="236"/>
        <v>High EV Adoption Corridor</v>
      </c>
      <c r="U664" s="3">
        <f t="shared" si="237"/>
        <v>4680000</v>
      </c>
      <c r="V664" s="4">
        <f t="shared" si="238"/>
        <v>1056000</v>
      </c>
      <c r="W664" s="3">
        <f t="shared" si="239"/>
        <v>13200000.000000002</v>
      </c>
      <c r="X664" s="3">
        <f t="shared" si="240"/>
        <v>9900000.0000000019</v>
      </c>
      <c r="Y664">
        <f t="shared" si="241"/>
        <v>0.23999999999999996</v>
      </c>
      <c r="Z664">
        <f t="shared" si="242"/>
        <v>0.77435897435897438</v>
      </c>
      <c r="AA664" t="str">
        <f t="shared" si="243"/>
        <v>Tier 1 - Priority Fleet</v>
      </c>
      <c r="AB664" s="3">
        <f t="shared" si="244"/>
        <v>132000</v>
      </c>
      <c r="AC664" s="3">
        <f t="shared" si="245"/>
        <v>1650000.0000000002</v>
      </c>
      <c r="AD664" s="3">
        <f t="shared" si="246"/>
        <v>585000</v>
      </c>
      <c r="AE664" s="5">
        <f t="shared" si="247"/>
        <v>3.6423841059602653</v>
      </c>
      <c r="AF664" s="10">
        <f t="shared" si="248"/>
        <v>654720</v>
      </c>
      <c r="AG664" s="10">
        <f t="shared" si="249"/>
        <v>211200</v>
      </c>
      <c r="AH664" s="10">
        <f t="shared" si="250"/>
        <v>105600</v>
      </c>
      <c r="AI664" s="10">
        <f t="shared" si="251"/>
        <v>52800</v>
      </c>
      <c r="AJ664" s="10">
        <f t="shared" si="252"/>
        <v>31680</v>
      </c>
    </row>
    <row r="665" spans="1:36" x14ac:dyDescent="0.3">
      <c r="A665" t="s">
        <v>2639</v>
      </c>
      <c r="B665" t="s">
        <v>2640</v>
      </c>
      <c r="C665" t="s">
        <v>2641</v>
      </c>
      <c r="D665" t="s">
        <v>98</v>
      </c>
      <c r="E665">
        <v>6450</v>
      </c>
      <c r="F665" t="s">
        <v>15</v>
      </c>
      <c r="G665">
        <v>8</v>
      </c>
      <c r="H665">
        <v>250</v>
      </c>
      <c r="I665" t="str" cm="1">
        <f t="array" ref="I665">_xlfn.IFS(H665&lt;=120,"V1",H665&lt;=150,"V2",H665&lt;=250,"V3", H665&lt;=350, "V4")</f>
        <v>V3</v>
      </c>
      <c r="J665" t="s">
        <v>2642</v>
      </c>
      <c r="K665" t="str">
        <f t="shared" si="230"/>
        <v>41.527018</v>
      </c>
      <c r="L665" t="str">
        <f t="shared" si="231"/>
        <v>-72.773982</v>
      </c>
      <c r="M665">
        <v>98</v>
      </c>
      <c r="N665" s="1">
        <v>43870</v>
      </c>
      <c r="O665" s="1">
        <v>46099</v>
      </c>
      <c r="P665" s="2">
        <f t="shared" si="232"/>
        <v>6.1026694045174539</v>
      </c>
      <c r="Q665" s="2" t="str">
        <f t="shared" si="233"/>
        <v>Mid</v>
      </c>
      <c r="R665">
        <f t="shared" si="234"/>
        <v>2000</v>
      </c>
      <c r="S665" t="str">
        <f t="shared" si="235"/>
        <v>Small</v>
      </c>
      <c r="T665" t="str">
        <f t="shared" si="236"/>
        <v>Lower EV Adoption Corridor</v>
      </c>
      <c r="U665" s="3">
        <f t="shared" si="237"/>
        <v>3600000</v>
      </c>
      <c r="V665" s="4">
        <f t="shared" si="238"/>
        <v>880000.00000000012</v>
      </c>
      <c r="W665" s="3">
        <f t="shared" si="239"/>
        <v>12000000</v>
      </c>
      <c r="X665" s="3">
        <f t="shared" si="240"/>
        <v>6600000.0000000009</v>
      </c>
      <c r="Y665">
        <f t="shared" si="241"/>
        <v>0.31515151515151513</v>
      </c>
      <c r="Z665">
        <f t="shared" si="242"/>
        <v>0.75555555555555554</v>
      </c>
      <c r="AA665" t="str">
        <f t="shared" si="243"/>
        <v>Tier 2 - Growth Markets</v>
      </c>
      <c r="AB665" s="3">
        <f t="shared" si="244"/>
        <v>110000.00000000001</v>
      </c>
      <c r="AC665" s="3">
        <f t="shared" si="245"/>
        <v>1500000</v>
      </c>
      <c r="AD665" s="3">
        <f t="shared" si="246"/>
        <v>450000</v>
      </c>
      <c r="AE665" s="5">
        <f t="shared" si="247"/>
        <v>4.4117647058823533</v>
      </c>
      <c r="AF665" s="10">
        <f t="shared" si="248"/>
        <v>545600.00000000012</v>
      </c>
      <c r="AG665" s="10">
        <f t="shared" si="249"/>
        <v>176000.00000000003</v>
      </c>
      <c r="AH665" s="10">
        <f t="shared" si="250"/>
        <v>88000.000000000015</v>
      </c>
      <c r="AI665" s="10">
        <f t="shared" si="251"/>
        <v>44000.000000000007</v>
      </c>
      <c r="AJ665" s="10">
        <f t="shared" si="252"/>
        <v>26400.000000000004</v>
      </c>
    </row>
    <row r="666" spans="1:36" x14ac:dyDescent="0.3">
      <c r="A666" t="s">
        <v>2643</v>
      </c>
      <c r="B666" t="s">
        <v>2644</v>
      </c>
      <c r="C666" t="s">
        <v>2645</v>
      </c>
      <c r="D666" t="s">
        <v>59</v>
      </c>
      <c r="E666">
        <v>60422</v>
      </c>
      <c r="F666" t="s">
        <v>15</v>
      </c>
      <c r="G666">
        <v>8</v>
      </c>
      <c r="H666">
        <v>250</v>
      </c>
      <c r="I666" t="str" cm="1">
        <f t="array" ref="I666">_xlfn.IFS(H666&lt;=120,"V1",H666&lt;=150,"V2",H666&lt;=250,"V3", H666&lt;=350, "V4")</f>
        <v>V3</v>
      </c>
      <c r="J666" t="s">
        <v>2646</v>
      </c>
      <c r="K666" t="str">
        <f t="shared" si="230"/>
        <v>41.529391</v>
      </c>
      <c r="L666" t="str">
        <f t="shared" si="231"/>
        <v>-87.709287</v>
      </c>
      <c r="M666">
        <v>212</v>
      </c>
      <c r="N666" s="1">
        <v>44001</v>
      </c>
      <c r="O666" s="1">
        <v>46099</v>
      </c>
      <c r="P666" s="2">
        <f t="shared" si="232"/>
        <v>5.7440109514031485</v>
      </c>
      <c r="Q666" s="2" t="str">
        <f t="shared" si="233"/>
        <v>Mid</v>
      </c>
      <c r="R666">
        <f t="shared" si="234"/>
        <v>2000</v>
      </c>
      <c r="S666" t="str">
        <f t="shared" si="235"/>
        <v>Small</v>
      </c>
      <c r="T666" t="str">
        <f t="shared" si="236"/>
        <v>Lower EV Adoption Corridor</v>
      </c>
      <c r="U666" s="3">
        <f t="shared" si="237"/>
        <v>3600000</v>
      </c>
      <c r="V666" s="4">
        <f t="shared" si="238"/>
        <v>880000.00000000012</v>
      </c>
      <c r="W666" s="3">
        <f t="shared" si="239"/>
        <v>12000000</v>
      </c>
      <c r="X666" s="3">
        <f t="shared" si="240"/>
        <v>6600000.0000000009</v>
      </c>
      <c r="Y666">
        <f t="shared" si="241"/>
        <v>0.31515151515151513</v>
      </c>
      <c r="Z666">
        <f t="shared" si="242"/>
        <v>0.75555555555555554</v>
      </c>
      <c r="AA666" t="str">
        <f t="shared" si="243"/>
        <v>Tier 2 - Growth Markets</v>
      </c>
      <c r="AB666" s="3">
        <f t="shared" si="244"/>
        <v>110000.00000000001</v>
      </c>
      <c r="AC666" s="3">
        <f t="shared" si="245"/>
        <v>1500000</v>
      </c>
      <c r="AD666" s="3">
        <f t="shared" si="246"/>
        <v>450000</v>
      </c>
      <c r="AE666" s="5">
        <f t="shared" si="247"/>
        <v>4.4117647058823533</v>
      </c>
      <c r="AF666" s="10">
        <f t="shared" si="248"/>
        <v>545600.00000000012</v>
      </c>
      <c r="AG666" s="10">
        <f t="shared" si="249"/>
        <v>176000.00000000003</v>
      </c>
      <c r="AH666" s="10">
        <f t="shared" si="250"/>
        <v>88000.000000000015</v>
      </c>
      <c r="AI666" s="10">
        <f t="shared" si="251"/>
        <v>44000.000000000007</v>
      </c>
      <c r="AJ666" s="10">
        <f t="shared" si="252"/>
        <v>26400.000000000004</v>
      </c>
    </row>
    <row r="667" spans="1:36" x14ac:dyDescent="0.3">
      <c r="A667" t="s">
        <v>2647</v>
      </c>
      <c r="B667" t="s">
        <v>2648</v>
      </c>
      <c r="C667" t="s">
        <v>2649</v>
      </c>
      <c r="D667" t="s">
        <v>230</v>
      </c>
      <c r="E667">
        <v>98662</v>
      </c>
      <c r="F667" t="s">
        <v>15</v>
      </c>
      <c r="G667">
        <v>8</v>
      </c>
      <c r="H667">
        <v>250</v>
      </c>
      <c r="I667" t="str" cm="1">
        <f t="array" ref="I667">_xlfn.IFS(H667&lt;=120,"V1",H667&lt;=150,"V2",H667&lt;=250,"V3", H667&lt;=350, "V4")</f>
        <v>V3</v>
      </c>
      <c r="J667" t="s">
        <v>2650</v>
      </c>
      <c r="K667" t="str">
        <f t="shared" si="230"/>
        <v>45.659872</v>
      </c>
      <c r="L667" t="str">
        <f t="shared" si="231"/>
        <v>-122.582467</v>
      </c>
      <c r="M667">
        <v>74</v>
      </c>
      <c r="N667" s="1">
        <v>43914</v>
      </c>
      <c r="O667" s="1">
        <v>46099</v>
      </c>
      <c r="P667" s="2">
        <f t="shared" si="232"/>
        <v>5.9822039698836411</v>
      </c>
      <c r="Q667" s="2" t="str">
        <f t="shared" si="233"/>
        <v>Mid</v>
      </c>
      <c r="R667">
        <f t="shared" si="234"/>
        <v>2000</v>
      </c>
      <c r="S667" t="str">
        <f t="shared" si="235"/>
        <v>Small</v>
      </c>
      <c r="T667" t="str">
        <f t="shared" si="236"/>
        <v>High EV Adoption Corridor</v>
      </c>
      <c r="U667" s="3">
        <f t="shared" si="237"/>
        <v>4680000</v>
      </c>
      <c r="V667" s="4">
        <f t="shared" si="238"/>
        <v>1056000</v>
      </c>
      <c r="W667" s="3">
        <f t="shared" si="239"/>
        <v>13200000.000000002</v>
      </c>
      <c r="X667" s="3">
        <f t="shared" si="240"/>
        <v>9900000.0000000019</v>
      </c>
      <c r="Y667">
        <f t="shared" si="241"/>
        <v>0.23999999999999996</v>
      </c>
      <c r="Z667">
        <f t="shared" si="242"/>
        <v>0.77435897435897438</v>
      </c>
      <c r="AA667" t="str">
        <f t="shared" si="243"/>
        <v>Tier 1 - Priority Fleet</v>
      </c>
      <c r="AB667" s="3">
        <f t="shared" si="244"/>
        <v>132000</v>
      </c>
      <c r="AC667" s="3">
        <f t="shared" si="245"/>
        <v>1650000.0000000002</v>
      </c>
      <c r="AD667" s="3">
        <f t="shared" si="246"/>
        <v>585000</v>
      </c>
      <c r="AE667" s="5">
        <f t="shared" si="247"/>
        <v>3.6423841059602653</v>
      </c>
      <c r="AF667" s="10">
        <f t="shared" si="248"/>
        <v>654720</v>
      </c>
      <c r="AG667" s="10">
        <f t="shared" si="249"/>
        <v>211200</v>
      </c>
      <c r="AH667" s="10">
        <f t="shared" si="250"/>
        <v>105600</v>
      </c>
      <c r="AI667" s="10">
        <f t="shared" si="251"/>
        <v>52800</v>
      </c>
      <c r="AJ667" s="10">
        <f t="shared" si="252"/>
        <v>31680</v>
      </c>
    </row>
    <row r="668" spans="1:36" x14ac:dyDescent="0.3">
      <c r="A668" t="s">
        <v>2651</v>
      </c>
      <c r="B668" t="s">
        <v>2652</v>
      </c>
      <c r="C668" t="s">
        <v>2653</v>
      </c>
      <c r="D668" t="s">
        <v>14</v>
      </c>
      <c r="E668">
        <v>95667</v>
      </c>
      <c r="F668" t="s">
        <v>15</v>
      </c>
      <c r="G668">
        <v>12</v>
      </c>
      <c r="H668">
        <v>150</v>
      </c>
      <c r="I668" t="str" cm="1">
        <f t="array" ref="I668">_xlfn.IFS(H668&lt;=120,"V1",H668&lt;=150,"V2",H668&lt;=250,"V3", H668&lt;=350, "V4")</f>
        <v>V2</v>
      </c>
      <c r="J668" t="s">
        <v>2654</v>
      </c>
      <c r="K668" t="str">
        <f t="shared" si="230"/>
        <v>38.730606</v>
      </c>
      <c r="L668" t="str">
        <f t="shared" si="231"/>
        <v>-120.788085</v>
      </c>
      <c r="M668">
        <v>578</v>
      </c>
      <c r="N668" s="1">
        <v>43708</v>
      </c>
      <c r="O668" s="1">
        <v>46099</v>
      </c>
      <c r="P668" s="2">
        <f t="shared" si="232"/>
        <v>6.5462012320328542</v>
      </c>
      <c r="Q668" s="2" t="str">
        <f t="shared" si="233"/>
        <v>Mid</v>
      </c>
      <c r="R668">
        <f t="shared" si="234"/>
        <v>1800</v>
      </c>
      <c r="S668" t="str">
        <f t="shared" si="235"/>
        <v>Small</v>
      </c>
      <c r="T668" t="str">
        <f t="shared" si="236"/>
        <v>High EV Adoption Corridor</v>
      </c>
      <c r="U668" s="3">
        <f t="shared" si="237"/>
        <v>3861000.0000000009</v>
      </c>
      <c r="V668" s="4">
        <f t="shared" si="238"/>
        <v>864000</v>
      </c>
      <c r="W668" s="3">
        <f t="shared" si="239"/>
        <v>9900000</v>
      </c>
      <c r="X668" s="3">
        <f t="shared" si="240"/>
        <v>8100000</v>
      </c>
      <c r="Y668">
        <f t="shared" si="241"/>
        <v>0.22888888888888889</v>
      </c>
      <c r="Z668">
        <f t="shared" si="242"/>
        <v>0.77622377622377625</v>
      </c>
      <c r="AA668" t="str">
        <f t="shared" si="243"/>
        <v>Tier 3 - Upgrade Pipeline</v>
      </c>
      <c r="AB668" s="3">
        <f t="shared" si="244"/>
        <v>72000</v>
      </c>
      <c r="AC668" s="3">
        <f t="shared" si="245"/>
        <v>825000</v>
      </c>
      <c r="AD668" s="3">
        <f t="shared" si="246"/>
        <v>321750.00000000006</v>
      </c>
      <c r="AE668" s="5">
        <f t="shared" si="247"/>
        <v>3.3033033033033021</v>
      </c>
      <c r="AF668" s="10">
        <f t="shared" si="248"/>
        <v>535680</v>
      </c>
      <c r="AG668" s="10">
        <f t="shared" si="249"/>
        <v>172800</v>
      </c>
      <c r="AH668" s="10">
        <f t="shared" si="250"/>
        <v>86400</v>
      </c>
      <c r="AI668" s="10">
        <f t="shared" si="251"/>
        <v>43200</v>
      </c>
      <c r="AJ668" s="10">
        <f t="shared" si="252"/>
        <v>25920</v>
      </c>
    </row>
    <row r="669" spans="1:36" x14ac:dyDescent="0.3">
      <c r="A669" t="s">
        <v>2655</v>
      </c>
      <c r="B669" t="s">
        <v>2656</v>
      </c>
      <c r="C669" t="s">
        <v>2657</v>
      </c>
      <c r="D669" t="s">
        <v>316</v>
      </c>
      <c r="E669">
        <v>97914</v>
      </c>
      <c r="F669" t="s">
        <v>15</v>
      </c>
      <c r="G669">
        <v>8</v>
      </c>
      <c r="H669">
        <v>250</v>
      </c>
      <c r="I669" t="str" cm="1">
        <f t="array" ref="I669">_xlfn.IFS(H669&lt;=120,"V1",H669&lt;=150,"V2",H669&lt;=250,"V3", H669&lt;=350, "V4")</f>
        <v>V3</v>
      </c>
      <c r="J669" t="s">
        <v>2658</v>
      </c>
      <c r="K669" t="str">
        <f t="shared" si="230"/>
        <v>44.025597</v>
      </c>
      <c r="L669" t="str">
        <f t="shared" si="231"/>
        <v>-116.942114</v>
      </c>
      <c r="M669">
        <v>655</v>
      </c>
      <c r="N669" s="1">
        <v>44077</v>
      </c>
      <c r="O669" s="1">
        <v>46099</v>
      </c>
      <c r="P669" s="2">
        <f t="shared" si="232"/>
        <v>5.5359342915811087</v>
      </c>
      <c r="Q669" s="2" t="str">
        <f t="shared" si="233"/>
        <v>Mid</v>
      </c>
      <c r="R669">
        <f t="shared" si="234"/>
        <v>2000</v>
      </c>
      <c r="S669" t="str">
        <f t="shared" si="235"/>
        <v>Small</v>
      </c>
      <c r="T669" t="str">
        <f t="shared" si="236"/>
        <v>Lower EV Adoption Corridor</v>
      </c>
      <c r="U669" s="3">
        <f t="shared" si="237"/>
        <v>3600000</v>
      </c>
      <c r="V669" s="4">
        <f t="shared" si="238"/>
        <v>880000.00000000012</v>
      </c>
      <c r="W669" s="3">
        <f t="shared" si="239"/>
        <v>12000000</v>
      </c>
      <c r="X669" s="3">
        <f t="shared" si="240"/>
        <v>6600000.0000000009</v>
      </c>
      <c r="Y669">
        <f t="shared" si="241"/>
        <v>0.31515151515151513</v>
      </c>
      <c r="Z669">
        <f t="shared" si="242"/>
        <v>0.75555555555555554</v>
      </c>
      <c r="AA669" t="str">
        <f t="shared" si="243"/>
        <v>Tier 2 - Growth Markets</v>
      </c>
      <c r="AB669" s="3">
        <f t="shared" si="244"/>
        <v>110000.00000000001</v>
      </c>
      <c r="AC669" s="3">
        <f t="shared" si="245"/>
        <v>1500000</v>
      </c>
      <c r="AD669" s="3">
        <f t="shared" si="246"/>
        <v>450000</v>
      </c>
      <c r="AE669" s="5">
        <f t="shared" si="247"/>
        <v>4.4117647058823533</v>
      </c>
      <c r="AF669" s="10">
        <f t="shared" si="248"/>
        <v>545600.00000000012</v>
      </c>
      <c r="AG669" s="10">
        <f t="shared" si="249"/>
        <v>176000.00000000003</v>
      </c>
      <c r="AH669" s="10">
        <f t="shared" si="250"/>
        <v>88000.000000000015</v>
      </c>
      <c r="AI669" s="10">
        <f t="shared" si="251"/>
        <v>44000.000000000007</v>
      </c>
      <c r="AJ669" s="10">
        <f t="shared" si="252"/>
        <v>26400.000000000004</v>
      </c>
    </row>
    <row r="670" spans="1:36" x14ac:dyDescent="0.3">
      <c r="A670" t="s">
        <v>2659</v>
      </c>
      <c r="B670" t="s">
        <v>2660</v>
      </c>
      <c r="C670" t="s">
        <v>2661</v>
      </c>
      <c r="D670" t="s">
        <v>268</v>
      </c>
      <c r="E670">
        <v>80301</v>
      </c>
      <c r="F670" t="s">
        <v>15</v>
      </c>
      <c r="G670">
        <v>10</v>
      </c>
      <c r="H670">
        <v>150</v>
      </c>
      <c r="I670" t="str" cm="1">
        <f t="array" ref="I670">_xlfn.IFS(H670&lt;=120,"V1",H670&lt;=150,"V2",H670&lt;=250,"V3", H670&lt;=350, "V4")</f>
        <v>V2</v>
      </c>
      <c r="J670" t="s">
        <v>2662</v>
      </c>
      <c r="K670" t="str">
        <f t="shared" si="230"/>
        <v>40.020306</v>
      </c>
      <c r="L670" t="str">
        <f t="shared" si="231"/>
        <v>-105.257028</v>
      </c>
      <c r="M670">
        <v>1611</v>
      </c>
      <c r="N670" s="1">
        <v>43250</v>
      </c>
      <c r="O670" s="1">
        <v>46099</v>
      </c>
      <c r="P670" s="2">
        <f t="shared" si="232"/>
        <v>7.8001368925393564</v>
      </c>
      <c r="Q670" s="2" t="str">
        <f t="shared" si="233"/>
        <v>Mid</v>
      </c>
      <c r="R670">
        <f t="shared" si="234"/>
        <v>1500</v>
      </c>
      <c r="S670" t="str">
        <f t="shared" si="235"/>
        <v>Small</v>
      </c>
      <c r="T670" t="str">
        <f t="shared" si="236"/>
        <v>High EV Adoption Corridor</v>
      </c>
      <c r="U670" s="3">
        <f t="shared" si="237"/>
        <v>3217500</v>
      </c>
      <c r="V670" s="4">
        <f t="shared" si="238"/>
        <v>720000</v>
      </c>
      <c r="W670" s="3">
        <f t="shared" si="239"/>
        <v>8250000.0000000009</v>
      </c>
      <c r="X670" s="3">
        <f t="shared" si="240"/>
        <v>6750000</v>
      </c>
      <c r="Y670">
        <f t="shared" si="241"/>
        <v>0.22888888888888889</v>
      </c>
      <c r="Z670">
        <f t="shared" si="242"/>
        <v>0.77622377622377625</v>
      </c>
      <c r="AA670" t="str">
        <f t="shared" si="243"/>
        <v>Tier 3 - Upgrade Pipeline</v>
      </c>
      <c r="AB670" s="3">
        <f t="shared" si="244"/>
        <v>72000</v>
      </c>
      <c r="AC670" s="3">
        <f t="shared" si="245"/>
        <v>825000.00000000012</v>
      </c>
      <c r="AD670" s="3">
        <f t="shared" si="246"/>
        <v>321750</v>
      </c>
      <c r="AE670" s="5">
        <f t="shared" si="247"/>
        <v>3.3033033033033035</v>
      </c>
      <c r="AF670" s="10">
        <f t="shared" si="248"/>
        <v>446400</v>
      </c>
      <c r="AG670" s="10">
        <f t="shared" si="249"/>
        <v>144000</v>
      </c>
      <c r="AH670" s="10">
        <f t="shared" si="250"/>
        <v>72000</v>
      </c>
      <c r="AI670" s="10">
        <f t="shared" si="251"/>
        <v>36000</v>
      </c>
      <c r="AJ670" s="10">
        <f t="shared" si="252"/>
        <v>21600</v>
      </c>
    </row>
    <row r="671" spans="1:36" x14ac:dyDescent="0.3">
      <c r="A671" t="s">
        <v>2663</v>
      </c>
      <c r="B671" t="s">
        <v>2664</v>
      </c>
      <c r="C671" t="s">
        <v>1436</v>
      </c>
      <c r="D671" t="s">
        <v>41</v>
      </c>
      <c r="E671">
        <v>33312</v>
      </c>
      <c r="F671" t="s">
        <v>15</v>
      </c>
      <c r="G671">
        <v>8</v>
      </c>
      <c r="H671">
        <v>250</v>
      </c>
      <c r="I671" t="str" cm="1">
        <f t="array" ref="I671">_xlfn.IFS(H671&lt;=120,"V1",H671&lt;=150,"V2",H671&lt;=250,"V3", H671&lt;=350, "V4")</f>
        <v>V3</v>
      </c>
      <c r="J671" t="s">
        <v>2665</v>
      </c>
      <c r="K671" t="str">
        <f t="shared" si="230"/>
        <v>26.120885</v>
      </c>
      <c r="L671" t="str">
        <f t="shared" si="231"/>
        <v>-80.177098</v>
      </c>
      <c r="M671">
        <v>2</v>
      </c>
      <c r="N671" s="1">
        <v>43927</v>
      </c>
      <c r="O671" s="1">
        <v>46099</v>
      </c>
      <c r="P671" s="2">
        <f t="shared" si="232"/>
        <v>5.9466119096509242</v>
      </c>
      <c r="Q671" s="2" t="str">
        <f t="shared" si="233"/>
        <v>Mid</v>
      </c>
      <c r="R671">
        <f t="shared" si="234"/>
        <v>2000</v>
      </c>
      <c r="S671" t="str">
        <f t="shared" si="235"/>
        <v>Small</v>
      </c>
      <c r="T671" t="str">
        <f t="shared" si="236"/>
        <v>High EV Adoption Corridor</v>
      </c>
      <c r="U671" s="3">
        <f t="shared" si="237"/>
        <v>4680000</v>
      </c>
      <c r="V671" s="4">
        <f t="shared" si="238"/>
        <v>1056000</v>
      </c>
      <c r="W671" s="3">
        <f t="shared" si="239"/>
        <v>13200000.000000002</v>
      </c>
      <c r="X671" s="3">
        <f t="shared" si="240"/>
        <v>9900000.0000000019</v>
      </c>
      <c r="Y671">
        <f t="shared" si="241"/>
        <v>0.23999999999999996</v>
      </c>
      <c r="Z671">
        <f t="shared" si="242"/>
        <v>0.77435897435897438</v>
      </c>
      <c r="AA671" t="str">
        <f t="shared" si="243"/>
        <v>Tier 1 - Priority Fleet</v>
      </c>
      <c r="AB671" s="3">
        <f t="shared" si="244"/>
        <v>132000</v>
      </c>
      <c r="AC671" s="3">
        <f t="shared" si="245"/>
        <v>1650000.0000000002</v>
      </c>
      <c r="AD671" s="3">
        <f t="shared" si="246"/>
        <v>585000</v>
      </c>
      <c r="AE671" s="5">
        <f t="shared" si="247"/>
        <v>3.6423841059602653</v>
      </c>
      <c r="AF671" s="10">
        <f t="shared" si="248"/>
        <v>654720</v>
      </c>
      <c r="AG671" s="10">
        <f t="shared" si="249"/>
        <v>211200</v>
      </c>
      <c r="AH671" s="10">
        <f t="shared" si="250"/>
        <v>105600</v>
      </c>
      <c r="AI671" s="10">
        <f t="shared" si="251"/>
        <v>52800</v>
      </c>
      <c r="AJ671" s="10">
        <f t="shared" si="252"/>
        <v>31680</v>
      </c>
    </row>
    <row r="672" spans="1:36" x14ac:dyDescent="0.3">
      <c r="A672" t="s">
        <v>2666</v>
      </c>
      <c r="B672" t="s">
        <v>2667</v>
      </c>
      <c r="C672" t="s">
        <v>1080</v>
      </c>
      <c r="D672" t="s">
        <v>41</v>
      </c>
      <c r="E672">
        <v>33761</v>
      </c>
      <c r="F672" t="s">
        <v>15</v>
      </c>
      <c r="G672">
        <v>8</v>
      </c>
      <c r="H672">
        <v>250</v>
      </c>
      <c r="I672" t="str" cm="1">
        <f t="array" ref="I672">_xlfn.IFS(H672&lt;=120,"V1",H672&lt;=150,"V2",H672&lt;=250,"V3", H672&lt;=350, "V4")</f>
        <v>V3</v>
      </c>
      <c r="J672" t="s">
        <v>2668</v>
      </c>
      <c r="K672" t="str">
        <f t="shared" si="230"/>
        <v>28.013295</v>
      </c>
      <c r="L672" t="str">
        <f t="shared" si="231"/>
        <v>-82.736244</v>
      </c>
      <c r="M672">
        <v>25</v>
      </c>
      <c r="N672" s="1">
        <v>43879</v>
      </c>
      <c r="O672" s="1">
        <v>46099</v>
      </c>
      <c r="P672" s="2">
        <f t="shared" si="232"/>
        <v>6.0780287474332653</v>
      </c>
      <c r="Q672" s="2" t="str">
        <f t="shared" si="233"/>
        <v>Mid</v>
      </c>
      <c r="R672">
        <f t="shared" si="234"/>
        <v>2000</v>
      </c>
      <c r="S672" t="str">
        <f t="shared" si="235"/>
        <v>Small</v>
      </c>
      <c r="T672" t="str">
        <f t="shared" si="236"/>
        <v>High EV Adoption Corridor</v>
      </c>
      <c r="U672" s="3">
        <f t="shared" si="237"/>
        <v>4680000</v>
      </c>
      <c r="V672" s="4">
        <f t="shared" si="238"/>
        <v>1056000</v>
      </c>
      <c r="W672" s="3">
        <f t="shared" si="239"/>
        <v>13200000.000000002</v>
      </c>
      <c r="X672" s="3">
        <f t="shared" si="240"/>
        <v>9900000.0000000019</v>
      </c>
      <c r="Y672">
        <f t="shared" si="241"/>
        <v>0.23999999999999996</v>
      </c>
      <c r="Z672">
        <f t="shared" si="242"/>
        <v>0.77435897435897438</v>
      </c>
      <c r="AA672" t="str">
        <f t="shared" si="243"/>
        <v>Tier 1 - Priority Fleet</v>
      </c>
      <c r="AB672" s="3">
        <f t="shared" si="244"/>
        <v>132000</v>
      </c>
      <c r="AC672" s="3">
        <f t="shared" si="245"/>
        <v>1650000.0000000002</v>
      </c>
      <c r="AD672" s="3">
        <f t="shared" si="246"/>
        <v>585000</v>
      </c>
      <c r="AE672" s="5">
        <f t="shared" si="247"/>
        <v>3.6423841059602653</v>
      </c>
      <c r="AF672" s="10">
        <f t="shared" si="248"/>
        <v>654720</v>
      </c>
      <c r="AG672" s="10">
        <f t="shared" si="249"/>
        <v>211200</v>
      </c>
      <c r="AH672" s="10">
        <f t="shared" si="250"/>
        <v>105600</v>
      </c>
      <c r="AI672" s="10">
        <f t="shared" si="251"/>
        <v>52800</v>
      </c>
      <c r="AJ672" s="10">
        <f t="shared" si="252"/>
        <v>31680</v>
      </c>
    </row>
    <row r="673" spans="1:36" x14ac:dyDescent="0.3">
      <c r="A673" t="s">
        <v>2669</v>
      </c>
      <c r="B673" t="s">
        <v>2670</v>
      </c>
      <c r="C673" t="s">
        <v>2671</v>
      </c>
      <c r="D673" t="s">
        <v>765</v>
      </c>
      <c r="E673">
        <v>39402</v>
      </c>
      <c r="F673" t="s">
        <v>15</v>
      </c>
      <c r="G673">
        <v>8</v>
      </c>
      <c r="H673">
        <v>150</v>
      </c>
      <c r="I673" t="str" cm="1">
        <f t="array" ref="I673">_xlfn.IFS(H673&lt;=120,"V1",H673&lt;=150,"V2",H673&lt;=250,"V3", H673&lt;=350, "V4")</f>
        <v>V2</v>
      </c>
      <c r="J673" t="s">
        <v>2672</v>
      </c>
      <c r="K673" t="str">
        <f t="shared" si="230"/>
        <v>31.322701</v>
      </c>
      <c r="L673" t="str">
        <f t="shared" si="231"/>
        <v>-89.38188</v>
      </c>
      <c r="M673">
        <v>77</v>
      </c>
      <c r="N673" s="1">
        <v>43793</v>
      </c>
      <c r="O673" s="1">
        <v>46099</v>
      </c>
      <c r="P673" s="2">
        <f t="shared" si="232"/>
        <v>6.3134839151266258</v>
      </c>
      <c r="Q673" s="2" t="str">
        <f t="shared" si="233"/>
        <v>Mid</v>
      </c>
      <c r="R673">
        <f t="shared" si="234"/>
        <v>1200</v>
      </c>
      <c r="S673" t="str">
        <f t="shared" si="235"/>
        <v>Small</v>
      </c>
      <c r="T673" t="str">
        <f t="shared" si="236"/>
        <v>Lower EV Adoption Corridor</v>
      </c>
      <c r="U673" s="3">
        <f t="shared" si="237"/>
        <v>1980000.0000000002</v>
      </c>
      <c r="V673" s="4">
        <f t="shared" si="238"/>
        <v>480000</v>
      </c>
      <c r="W673" s="3">
        <f t="shared" si="239"/>
        <v>6000000</v>
      </c>
      <c r="X673" s="3">
        <f t="shared" si="240"/>
        <v>3600000</v>
      </c>
      <c r="Y673">
        <f t="shared" si="241"/>
        <v>0.3</v>
      </c>
      <c r="Z673">
        <f t="shared" si="242"/>
        <v>0.75757575757575757</v>
      </c>
      <c r="AA673" t="str">
        <f t="shared" si="243"/>
        <v>Tier 4 - Stable Network</v>
      </c>
      <c r="AB673" s="3">
        <f t="shared" si="244"/>
        <v>60000</v>
      </c>
      <c r="AC673" s="3">
        <f t="shared" si="245"/>
        <v>750000</v>
      </c>
      <c r="AD673" s="3">
        <f t="shared" si="246"/>
        <v>247500.00000000003</v>
      </c>
      <c r="AE673" s="5">
        <f t="shared" si="247"/>
        <v>3.9999999999999996</v>
      </c>
      <c r="AF673" s="10">
        <f t="shared" si="248"/>
        <v>297600</v>
      </c>
      <c r="AG673" s="10">
        <f t="shared" si="249"/>
        <v>96000</v>
      </c>
      <c r="AH673" s="10">
        <f t="shared" si="250"/>
        <v>48000</v>
      </c>
      <c r="AI673" s="10">
        <f t="shared" si="251"/>
        <v>24000</v>
      </c>
      <c r="AJ673" s="10">
        <f t="shared" si="252"/>
        <v>14400</v>
      </c>
    </row>
    <row r="674" spans="1:36" x14ac:dyDescent="0.3">
      <c r="A674" t="s">
        <v>2673</v>
      </c>
      <c r="B674" t="s">
        <v>2674</v>
      </c>
      <c r="C674" t="s">
        <v>1627</v>
      </c>
      <c r="D674" t="s">
        <v>14</v>
      </c>
      <c r="E674">
        <v>92101</v>
      </c>
      <c r="F674" t="s">
        <v>15</v>
      </c>
      <c r="G674">
        <v>16</v>
      </c>
      <c r="H674">
        <v>72</v>
      </c>
      <c r="I674" t="str" cm="1">
        <f t="array" ref="I674">_xlfn.IFS(H674&lt;=120,"V1",H674&lt;=150,"V2",H674&lt;=250,"V3", H674&lt;=350, "V4")</f>
        <v>V1</v>
      </c>
      <c r="J674" t="s">
        <v>2675</v>
      </c>
      <c r="K674" t="str">
        <f t="shared" si="230"/>
        <v>32.719384</v>
      </c>
      <c r="L674" t="str">
        <f t="shared" si="231"/>
        <v>-117.159567</v>
      </c>
      <c r="M674">
        <v>28</v>
      </c>
      <c r="N674" s="1">
        <v>43278</v>
      </c>
      <c r="O674" s="1">
        <v>46099</v>
      </c>
      <c r="P674" s="2">
        <f t="shared" si="232"/>
        <v>7.7234770704996576</v>
      </c>
      <c r="Q674" s="2" t="str">
        <f t="shared" si="233"/>
        <v>Mid</v>
      </c>
      <c r="R674">
        <f t="shared" si="234"/>
        <v>1152</v>
      </c>
      <c r="S674" t="str">
        <f t="shared" si="235"/>
        <v>Small</v>
      </c>
      <c r="T674" t="str">
        <f t="shared" si="236"/>
        <v>High EV Adoption Corridor</v>
      </c>
      <c r="U674" s="3">
        <f t="shared" si="237"/>
        <v>2246400</v>
      </c>
      <c r="V674" s="4">
        <f t="shared" si="238"/>
        <v>497664</v>
      </c>
      <c r="W674" s="3">
        <f t="shared" si="239"/>
        <v>5068800</v>
      </c>
      <c r="X674" s="3">
        <f t="shared" si="240"/>
        <v>4665600</v>
      </c>
      <c r="Y674">
        <f t="shared" si="241"/>
        <v>0.21530864197530863</v>
      </c>
      <c r="Z674">
        <f t="shared" si="242"/>
        <v>0.77846153846153843</v>
      </c>
      <c r="AA674" t="str">
        <f t="shared" si="243"/>
        <v>Tier 3 - Upgrade Pipeline</v>
      </c>
      <c r="AB674" s="3">
        <f t="shared" si="244"/>
        <v>31104</v>
      </c>
      <c r="AC674" s="3">
        <f t="shared" si="245"/>
        <v>316800</v>
      </c>
      <c r="AD674" s="3">
        <f t="shared" si="246"/>
        <v>140400</v>
      </c>
      <c r="AE674" s="5">
        <f t="shared" si="247"/>
        <v>2.8985507246376812</v>
      </c>
      <c r="AF674" s="10">
        <f t="shared" si="248"/>
        <v>308551.67999999999</v>
      </c>
      <c r="AG674" s="10">
        <f t="shared" si="249"/>
        <v>99532.800000000003</v>
      </c>
      <c r="AH674" s="10">
        <f t="shared" si="250"/>
        <v>49766.400000000001</v>
      </c>
      <c r="AI674" s="10">
        <f t="shared" si="251"/>
        <v>24883.200000000001</v>
      </c>
      <c r="AJ674" s="10">
        <f t="shared" si="252"/>
        <v>14929.92</v>
      </c>
    </row>
    <row r="675" spans="1:36" x14ac:dyDescent="0.3">
      <c r="A675" t="s">
        <v>2676</v>
      </c>
      <c r="B675" t="s">
        <v>2677</v>
      </c>
      <c r="C675" t="s">
        <v>2678</v>
      </c>
      <c r="D675" t="s">
        <v>14</v>
      </c>
      <c r="E675">
        <v>94022</v>
      </c>
      <c r="F675" t="s">
        <v>15</v>
      </c>
      <c r="G675">
        <v>16</v>
      </c>
      <c r="H675">
        <v>72</v>
      </c>
      <c r="I675" t="str" cm="1">
        <f t="array" ref="I675">_xlfn.IFS(H675&lt;=120,"V1",H675&lt;=150,"V2",H675&lt;=250,"V3", H675&lt;=350, "V4")</f>
        <v>V1</v>
      </c>
      <c r="J675" t="s">
        <v>2679</v>
      </c>
      <c r="K675" t="str">
        <f t="shared" si="230"/>
        <v>37.398894</v>
      </c>
      <c r="L675" t="str">
        <f t="shared" si="231"/>
        <v>-122.110682</v>
      </c>
      <c r="M675">
        <v>24</v>
      </c>
      <c r="N675" s="1">
        <v>44050</v>
      </c>
      <c r="O675" s="1">
        <v>46099</v>
      </c>
      <c r="P675" s="2">
        <f t="shared" si="232"/>
        <v>5.6098562628336754</v>
      </c>
      <c r="Q675" s="2" t="str">
        <f t="shared" si="233"/>
        <v>Mid</v>
      </c>
      <c r="R675">
        <f t="shared" si="234"/>
        <v>1152</v>
      </c>
      <c r="S675" t="str">
        <f t="shared" si="235"/>
        <v>Small</v>
      </c>
      <c r="T675" t="str">
        <f t="shared" si="236"/>
        <v>High EV Adoption Corridor</v>
      </c>
      <c r="U675" s="3">
        <f t="shared" si="237"/>
        <v>2246400</v>
      </c>
      <c r="V675" s="4">
        <f t="shared" si="238"/>
        <v>497664</v>
      </c>
      <c r="W675" s="3">
        <f t="shared" si="239"/>
        <v>5068800</v>
      </c>
      <c r="X675" s="3">
        <f t="shared" si="240"/>
        <v>4665600</v>
      </c>
      <c r="Y675">
        <f t="shared" si="241"/>
        <v>0.21530864197530863</v>
      </c>
      <c r="Z675">
        <f t="shared" si="242"/>
        <v>0.77846153846153843</v>
      </c>
      <c r="AA675" t="str">
        <f t="shared" si="243"/>
        <v>Tier 3 - Upgrade Pipeline</v>
      </c>
      <c r="AB675" s="3">
        <f t="shared" si="244"/>
        <v>31104</v>
      </c>
      <c r="AC675" s="3">
        <f t="shared" si="245"/>
        <v>316800</v>
      </c>
      <c r="AD675" s="3">
        <f t="shared" si="246"/>
        <v>140400</v>
      </c>
      <c r="AE675" s="5">
        <f t="shared" si="247"/>
        <v>2.8985507246376812</v>
      </c>
      <c r="AF675" s="10">
        <f t="shared" si="248"/>
        <v>308551.67999999999</v>
      </c>
      <c r="AG675" s="10">
        <f t="shared" si="249"/>
        <v>99532.800000000003</v>
      </c>
      <c r="AH675" s="10">
        <f t="shared" si="250"/>
        <v>49766.400000000001</v>
      </c>
      <c r="AI675" s="10">
        <f t="shared" si="251"/>
        <v>24883.200000000001</v>
      </c>
      <c r="AJ675" s="10">
        <f t="shared" si="252"/>
        <v>14929.92</v>
      </c>
    </row>
    <row r="676" spans="1:36" x14ac:dyDescent="0.3">
      <c r="A676" t="s">
        <v>2680</v>
      </c>
      <c r="B676" t="s">
        <v>2681</v>
      </c>
      <c r="C676" t="s">
        <v>1871</v>
      </c>
      <c r="D676" t="s">
        <v>153</v>
      </c>
      <c r="E676">
        <v>15301</v>
      </c>
      <c r="F676" t="s">
        <v>15</v>
      </c>
      <c r="G676">
        <v>8</v>
      </c>
      <c r="H676">
        <v>250</v>
      </c>
      <c r="I676" t="str" cm="1">
        <f t="array" ref="I676">_xlfn.IFS(H676&lt;=120,"V1",H676&lt;=150,"V2",H676&lt;=250,"V3", H676&lt;=350, "V4")</f>
        <v>V3</v>
      </c>
      <c r="J676" t="s">
        <v>2682</v>
      </c>
      <c r="K676" t="str">
        <f t="shared" si="230"/>
        <v>40.1873056</v>
      </c>
      <c r="L676" t="str">
        <f t="shared" si="231"/>
        <v>-80.2293889</v>
      </c>
      <c r="M676">
        <v>370</v>
      </c>
      <c r="N676" s="1">
        <v>44048</v>
      </c>
      <c r="O676" s="1">
        <v>46099</v>
      </c>
      <c r="P676" s="2">
        <f t="shared" si="232"/>
        <v>5.6153319644079396</v>
      </c>
      <c r="Q676" s="2" t="str">
        <f t="shared" si="233"/>
        <v>Mid</v>
      </c>
      <c r="R676">
        <f t="shared" si="234"/>
        <v>2000</v>
      </c>
      <c r="S676" t="str">
        <f t="shared" si="235"/>
        <v>Small</v>
      </c>
      <c r="T676" t="str">
        <f t="shared" si="236"/>
        <v>Lower EV Adoption Corridor</v>
      </c>
      <c r="U676" s="3">
        <f t="shared" si="237"/>
        <v>3600000</v>
      </c>
      <c r="V676" s="4">
        <f t="shared" si="238"/>
        <v>880000.00000000012</v>
      </c>
      <c r="W676" s="3">
        <f t="shared" si="239"/>
        <v>12000000</v>
      </c>
      <c r="X676" s="3">
        <f t="shared" si="240"/>
        <v>6600000.0000000009</v>
      </c>
      <c r="Y676">
        <f t="shared" si="241"/>
        <v>0.31515151515151513</v>
      </c>
      <c r="Z676">
        <f t="shared" si="242"/>
        <v>0.75555555555555554</v>
      </c>
      <c r="AA676" t="str">
        <f t="shared" si="243"/>
        <v>Tier 2 - Growth Markets</v>
      </c>
      <c r="AB676" s="3">
        <f t="shared" si="244"/>
        <v>110000.00000000001</v>
      </c>
      <c r="AC676" s="3">
        <f t="shared" si="245"/>
        <v>1500000</v>
      </c>
      <c r="AD676" s="3">
        <f t="shared" si="246"/>
        <v>450000</v>
      </c>
      <c r="AE676" s="5">
        <f t="shared" si="247"/>
        <v>4.4117647058823533</v>
      </c>
      <c r="AF676" s="10">
        <f t="shared" si="248"/>
        <v>545600.00000000012</v>
      </c>
      <c r="AG676" s="10">
        <f t="shared" si="249"/>
        <v>176000.00000000003</v>
      </c>
      <c r="AH676" s="10">
        <f t="shared" si="250"/>
        <v>88000.000000000015</v>
      </c>
      <c r="AI676" s="10">
        <f t="shared" si="251"/>
        <v>44000.000000000007</v>
      </c>
      <c r="AJ676" s="10">
        <f t="shared" si="252"/>
        <v>26400.000000000004</v>
      </c>
    </row>
    <row r="677" spans="1:36" x14ac:dyDescent="0.3">
      <c r="A677" t="s">
        <v>2683</v>
      </c>
      <c r="B677" t="s">
        <v>2684</v>
      </c>
      <c r="C677" t="s">
        <v>2685</v>
      </c>
      <c r="D677" t="s">
        <v>14</v>
      </c>
      <c r="E677">
        <v>92691</v>
      </c>
      <c r="F677" t="s">
        <v>15</v>
      </c>
      <c r="G677">
        <v>10</v>
      </c>
      <c r="H677">
        <v>72</v>
      </c>
      <c r="I677" t="str" cm="1">
        <f t="array" ref="I677">_xlfn.IFS(H677&lt;=120,"V1",H677&lt;=150,"V2",H677&lt;=250,"V3", H677&lt;=350, "V4")</f>
        <v>V1</v>
      </c>
      <c r="J677" t="s">
        <v>2686</v>
      </c>
      <c r="K677" t="str">
        <f t="shared" si="230"/>
        <v>33.557279</v>
      </c>
      <c r="L677" t="str">
        <f t="shared" si="231"/>
        <v>-117.668035</v>
      </c>
      <c r="M677">
        <v>120</v>
      </c>
      <c r="N677" s="1">
        <v>43915</v>
      </c>
      <c r="O677" s="1">
        <v>46099</v>
      </c>
      <c r="P677" s="2">
        <f t="shared" si="232"/>
        <v>5.979466119096509</v>
      </c>
      <c r="Q677" s="2" t="str">
        <f t="shared" si="233"/>
        <v>Mid</v>
      </c>
      <c r="R677">
        <f t="shared" si="234"/>
        <v>720</v>
      </c>
      <c r="S677" t="str">
        <f t="shared" si="235"/>
        <v>Small</v>
      </c>
      <c r="T677" t="str">
        <f t="shared" si="236"/>
        <v>High EV Adoption Corridor</v>
      </c>
      <c r="U677" s="3">
        <f t="shared" si="237"/>
        <v>1404000</v>
      </c>
      <c r="V677" s="4">
        <f t="shared" si="238"/>
        <v>311040</v>
      </c>
      <c r="W677" s="3">
        <f t="shared" si="239"/>
        <v>3168000.0000000005</v>
      </c>
      <c r="X677" s="3">
        <f t="shared" si="240"/>
        <v>2916000</v>
      </c>
      <c r="Y677">
        <f t="shared" si="241"/>
        <v>0.21530864197530863</v>
      </c>
      <c r="Z677">
        <f t="shared" si="242"/>
        <v>0.77846153846153843</v>
      </c>
      <c r="AA677" t="str">
        <f t="shared" si="243"/>
        <v>Tier 3 - Upgrade Pipeline</v>
      </c>
      <c r="AB677" s="3">
        <f t="shared" si="244"/>
        <v>31104</v>
      </c>
      <c r="AC677" s="3">
        <f t="shared" si="245"/>
        <v>316800.00000000006</v>
      </c>
      <c r="AD677" s="3">
        <f t="shared" si="246"/>
        <v>140400</v>
      </c>
      <c r="AE677" s="5">
        <f t="shared" si="247"/>
        <v>2.8985507246376816</v>
      </c>
      <c r="AF677" s="10">
        <f t="shared" si="248"/>
        <v>192844.79999999999</v>
      </c>
      <c r="AG677" s="10">
        <f t="shared" si="249"/>
        <v>62208</v>
      </c>
      <c r="AH677" s="10">
        <f t="shared" si="250"/>
        <v>31104</v>
      </c>
      <c r="AI677" s="10">
        <f t="shared" si="251"/>
        <v>15552</v>
      </c>
      <c r="AJ677" s="10">
        <f t="shared" si="252"/>
        <v>9331.1999999999989</v>
      </c>
    </row>
    <row r="678" spans="1:36" x14ac:dyDescent="0.3">
      <c r="A678" t="s">
        <v>2687</v>
      </c>
      <c r="B678" t="s">
        <v>2688</v>
      </c>
      <c r="C678" t="s">
        <v>2689</v>
      </c>
      <c r="D678" t="s">
        <v>98</v>
      </c>
      <c r="E678">
        <v>6018</v>
      </c>
      <c r="F678" t="s">
        <v>15</v>
      </c>
      <c r="G678">
        <v>8</v>
      </c>
      <c r="H678">
        <v>250</v>
      </c>
      <c r="I678" t="str" cm="1">
        <f t="array" ref="I678">_xlfn.IFS(H678&lt;=120,"V1",H678&lt;=150,"V2",H678&lt;=250,"V3", H678&lt;=350, "V4")</f>
        <v>V3</v>
      </c>
      <c r="J678" t="s">
        <v>2690</v>
      </c>
      <c r="K678" t="str">
        <f t="shared" si="230"/>
        <v>42.024331</v>
      </c>
      <c r="L678" t="str">
        <f t="shared" si="231"/>
        <v>-73.322684</v>
      </c>
      <c r="M678">
        <v>207</v>
      </c>
      <c r="N678" s="1">
        <v>43938</v>
      </c>
      <c r="O678" s="1">
        <v>46099</v>
      </c>
      <c r="P678" s="2">
        <f t="shared" si="232"/>
        <v>5.9164955509924706</v>
      </c>
      <c r="Q678" s="2" t="str">
        <f t="shared" si="233"/>
        <v>Mid</v>
      </c>
      <c r="R678">
        <f t="shared" si="234"/>
        <v>2000</v>
      </c>
      <c r="S678" t="str">
        <f t="shared" si="235"/>
        <v>Small</v>
      </c>
      <c r="T678" t="str">
        <f t="shared" si="236"/>
        <v>Lower EV Adoption Corridor</v>
      </c>
      <c r="U678" s="3">
        <f t="shared" si="237"/>
        <v>3600000</v>
      </c>
      <c r="V678" s="4">
        <f t="shared" si="238"/>
        <v>880000.00000000012</v>
      </c>
      <c r="W678" s="3">
        <f t="shared" si="239"/>
        <v>12000000</v>
      </c>
      <c r="X678" s="3">
        <f t="shared" si="240"/>
        <v>6600000.0000000009</v>
      </c>
      <c r="Y678">
        <f t="shared" si="241"/>
        <v>0.31515151515151513</v>
      </c>
      <c r="Z678">
        <f t="shared" si="242"/>
        <v>0.75555555555555554</v>
      </c>
      <c r="AA678" t="str">
        <f t="shared" si="243"/>
        <v>Tier 2 - Growth Markets</v>
      </c>
      <c r="AB678" s="3">
        <f t="shared" si="244"/>
        <v>110000.00000000001</v>
      </c>
      <c r="AC678" s="3">
        <f t="shared" si="245"/>
        <v>1500000</v>
      </c>
      <c r="AD678" s="3">
        <f t="shared" si="246"/>
        <v>450000</v>
      </c>
      <c r="AE678" s="5">
        <f t="shared" si="247"/>
        <v>4.4117647058823533</v>
      </c>
      <c r="AF678" s="10">
        <f t="shared" si="248"/>
        <v>545600.00000000012</v>
      </c>
      <c r="AG678" s="10">
        <f t="shared" si="249"/>
        <v>176000.00000000003</v>
      </c>
      <c r="AH678" s="10">
        <f t="shared" si="250"/>
        <v>88000.000000000015</v>
      </c>
      <c r="AI678" s="10">
        <f t="shared" si="251"/>
        <v>44000.000000000007</v>
      </c>
      <c r="AJ678" s="10">
        <f t="shared" si="252"/>
        <v>26400.000000000004</v>
      </c>
    </row>
    <row r="679" spans="1:36" x14ac:dyDescent="0.3">
      <c r="A679" t="s">
        <v>2691</v>
      </c>
      <c r="B679" t="s">
        <v>2692</v>
      </c>
      <c r="C679" t="s">
        <v>2693</v>
      </c>
      <c r="D679" t="s">
        <v>268</v>
      </c>
      <c r="E679">
        <v>80401</v>
      </c>
      <c r="F679" t="s">
        <v>15</v>
      </c>
      <c r="G679">
        <v>16</v>
      </c>
      <c r="H679">
        <v>250</v>
      </c>
      <c r="I679" t="str" cm="1">
        <f t="array" ref="I679">_xlfn.IFS(H679&lt;=120,"V1",H679&lt;=150,"V2",H679&lt;=250,"V3", H679&lt;=350, "V4")</f>
        <v>V3</v>
      </c>
      <c r="J679" t="s">
        <v>2694</v>
      </c>
      <c r="K679" t="str">
        <f t="shared" si="230"/>
        <v>39.733697</v>
      </c>
      <c r="L679" t="str">
        <f t="shared" si="231"/>
        <v>-105.154154</v>
      </c>
      <c r="M679">
        <v>1750</v>
      </c>
      <c r="N679" s="1">
        <v>43921</v>
      </c>
      <c r="O679" s="1">
        <v>46099</v>
      </c>
      <c r="P679" s="2">
        <f t="shared" si="232"/>
        <v>5.9630390143737166</v>
      </c>
      <c r="Q679" s="2" t="str">
        <f t="shared" si="233"/>
        <v>Mid</v>
      </c>
      <c r="R679">
        <f t="shared" si="234"/>
        <v>4000</v>
      </c>
      <c r="S679" t="str">
        <f t="shared" si="235"/>
        <v>Small</v>
      </c>
      <c r="T679" t="str">
        <f t="shared" si="236"/>
        <v>High EV Adoption Corridor</v>
      </c>
      <c r="U679" s="3">
        <f t="shared" si="237"/>
        <v>9360000</v>
      </c>
      <c r="V679" s="4">
        <f t="shared" si="238"/>
        <v>2112000</v>
      </c>
      <c r="W679" s="3">
        <f t="shared" si="239"/>
        <v>26400000.000000004</v>
      </c>
      <c r="X679" s="3">
        <f t="shared" si="240"/>
        <v>19800000.000000004</v>
      </c>
      <c r="Y679">
        <f t="shared" si="241"/>
        <v>0.23999999999999996</v>
      </c>
      <c r="Z679">
        <f t="shared" si="242"/>
        <v>0.77435897435897438</v>
      </c>
      <c r="AA679" t="str">
        <f t="shared" si="243"/>
        <v>Tier 1 - Priority Fleet</v>
      </c>
      <c r="AB679" s="3">
        <f t="shared" si="244"/>
        <v>132000</v>
      </c>
      <c r="AC679" s="3">
        <f t="shared" si="245"/>
        <v>1650000.0000000002</v>
      </c>
      <c r="AD679" s="3">
        <f t="shared" si="246"/>
        <v>585000</v>
      </c>
      <c r="AE679" s="5">
        <f t="shared" si="247"/>
        <v>3.6423841059602653</v>
      </c>
      <c r="AF679" s="10">
        <f t="shared" si="248"/>
        <v>1309440</v>
      </c>
      <c r="AG679" s="10">
        <f t="shared" si="249"/>
        <v>422400</v>
      </c>
      <c r="AH679" s="10">
        <f t="shared" si="250"/>
        <v>211200</v>
      </c>
      <c r="AI679" s="10">
        <f t="shared" si="251"/>
        <v>105600</v>
      </c>
      <c r="AJ679" s="10">
        <f t="shared" si="252"/>
        <v>63360</v>
      </c>
    </row>
    <row r="680" spans="1:36" x14ac:dyDescent="0.3">
      <c r="A680" t="s">
        <v>2695</v>
      </c>
      <c r="B680" t="s">
        <v>2696</v>
      </c>
      <c r="C680" t="s">
        <v>2697</v>
      </c>
      <c r="D680" t="s">
        <v>913</v>
      </c>
      <c r="E680">
        <v>21601</v>
      </c>
      <c r="F680" t="s">
        <v>15</v>
      </c>
      <c r="G680">
        <v>8</v>
      </c>
      <c r="H680">
        <v>250</v>
      </c>
      <c r="I680" t="str" cm="1">
        <f t="array" ref="I680">_xlfn.IFS(H680&lt;=120,"V1",H680&lt;=150,"V2",H680&lt;=250,"V3", H680&lt;=350, "V4")</f>
        <v>V3</v>
      </c>
      <c r="J680" t="s">
        <v>2698</v>
      </c>
      <c r="K680" t="str">
        <f t="shared" si="230"/>
        <v>38.759257</v>
      </c>
      <c r="L680" t="str">
        <f t="shared" si="231"/>
        <v>-76.061405</v>
      </c>
      <c r="M680">
        <v>13</v>
      </c>
      <c r="N680" s="1">
        <v>43979</v>
      </c>
      <c r="O680" s="1">
        <v>46099</v>
      </c>
      <c r="P680" s="2">
        <f t="shared" si="232"/>
        <v>5.8042436687200549</v>
      </c>
      <c r="Q680" s="2" t="str">
        <f t="shared" si="233"/>
        <v>Mid</v>
      </c>
      <c r="R680">
        <f t="shared" si="234"/>
        <v>2000</v>
      </c>
      <c r="S680" t="str">
        <f t="shared" si="235"/>
        <v>Small</v>
      </c>
      <c r="T680" t="str">
        <f t="shared" si="236"/>
        <v>Lower EV Adoption Corridor</v>
      </c>
      <c r="U680" s="3">
        <f t="shared" si="237"/>
        <v>3600000</v>
      </c>
      <c r="V680" s="4">
        <f t="shared" si="238"/>
        <v>880000.00000000012</v>
      </c>
      <c r="W680" s="3">
        <f t="shared" si="239"/>
        <v>12000000</v>
      </c>
      <c r="X680" s="3">
        <f t="shared" si="240"/>
        <v>6600000.0000000009</v>
      </c>
      <c r="Y680">
        <f t="shared" si="241"/>
        <v>0.31515151515151513</v>
      </c>
      <c r="Z680">
        <f t="shared" si="242"/>
        <v>0.75555555555555554</v>
      </c>
      <c r="AA680" t="str">
        <f t="shared" si="243"/>
        <v>Tier 2 - Growth Markets</v>
      </c>
      <c r="AB680" s="3">
        <f t="shared" si="244"/>
        <v>110000.00000000001</v>
      </c>
      <c r="AC680" s="3">
        <f t="shared" si="245"/>
        <v>1500000</v>
      </c>
      <c r="AD680" s="3">
        <f t="shared" si="246"/>
        <v>450000</v>
      </c>
      <c r="AE680" s="5">
        <f t="shared" si="247"/>
        <v>4.4117647058823533</v>
      </c>
      <c r="AF680" s="10">
        <f t="shared" si="248"/>
        <v>545600.00000000012</v>
      </c>
      <c r="AG680" s="10">
        <f t="shared" si="249"/>
        <v>176000.00000000003</v>
      </c>
      <c r="AH680" s="10">
        <f t="shared" si="250"/>
        <v>88000.000000000015</v>
      </c>
      <c r="AI680" s="10">
        <f t="shared" si="251"/>
        <v>44000.000000000007</v>
      </c>
      <c r="AJ680" s="10">
        <f t="shared" si="252"/>
        <v>26400.000000000004</v>
      </c>
    </row>
    <row r="681" spans="1:36" x14ac:dyDescent="0.3">
      <c r="A681" t="s">
        <v>2699</v>
      </c>
      <c r="B681" t="s">
        <v>2700</v>
      </c>
      <c r="C681" t="s">
        <v>2701</v>
      </c>
      <c r="D681" t="s">
        <v>913</v>
      </c>
      <c r="E681">
        <v>21842</v>
      </c>
      <c r="F681" t="s">
        <v>15</v>
      </c>
      <c r="G681">
        <v>8</v>
      </c>
      <c r="H681">
        <v>250</v>
      </c>
      <c r="I681" t="str" cm="1">
        <f t="array" ref="I681">_xlfn.IFS(H681&lt;=120,"V1",H681&lt;=150,"V2",H681&lt;=250,"V3", H681&lt;=350, "V4")</f>
        <v>V3</v>
      </c>
      <c r="J681" t="s">
        <v>2702</v>
      </c>
      <c r="K681" t="str">
        <f t="shared" si="230"/>
        <v>38.335586</v>
      </c>
      <c r="L681" t="str">
        <f t="shared" si="231"/>
        <v>-75.104509</v>
      </c>
      <c r="M681">
        <v>2</v>
      </c>
      <c r="N681" s="1">
        <v>43867</v>
      </c>
      <c r="O681" s="1">
        <v>46099</v>
      </c>
      <c r="P681" s="2">
        <f t="shared" si="232"/>
        <v>6.1108829568788501</v>
      </c>
      <c r="Q681" s="2" t="str">
        <f t="shared" si="233"/>
        <v>Mid</v>
      </c>
      <c r="R681">
        <f t="shared" si="234"/>
        <v>2000</v>
      </c>
      <c r="S681" t="str">
        <f t="shared" si="235"/>
        <v>Small</v>
      </c>
      <c r="T681" t="str">
        <f t="shared" si="236"/>
        <v>Lower EV Adoption Corridor</v>
      </c>
      <c r="U681" s="3">
        <f t="shared" si="237"/>
        <v>3600000</v>
      </c>
      <c r="V681" s="4">
        <f t="shared" si="238"/>
        <v>880000.00000000012</v>
      </c>
      <c r="W681" s="3">
        <f t="shared" si="239"/>
        <v>12000000</v>
      </c>
      <c r="X681" s="3">
        <f t="shared" si="240"/>
        <v>6600000.0000000009</v>
      </c>
      <c r="Y681">
        <f t="shared" si="241"/>
        <v>0.31515151515151513</v>
      </c>
      <c r="Z681">
        <f t="shared" si="242"/>
        <v>0.75555555555555554</v>
      </c>
      <c r="AA681" t="str">
        <f t="shared" si="243"/>
        <v>Tier 2 - Growth Markets</v>
      </c>
      <c r="AB681" s="3">
        <f t="shared" si="244"/>
        <v>110000.00000000001</v>
      </c>
      <c r="AC681" s="3">
        <f t="shared" si="245"/>
        <v>1500000</v>
      </c>
      <c r="AD681" s="3">
        <f t="shared" si="246"/>
        <v>450000</v>
      </c>
      <c r="AE681" s="5">
        <f t="shared" si="247"/>
        <v>4.4117647058823533</v>
      </c>
      <c r="AF681" s="10">
        <f t="shared" si="248"/>
        <v>545600.00000000012</v>
      </c>
      <c r="AG681" s="10">
        <f t="shared" si="249"/>
        <v>176000.00000000003</v>
      </c>
      <c r="AH681" s="10">
        <f t="shared" si="250"/>
        <v>88000.000000000015</v>
      </c>
      <c r="AI681" s="10">
        <f t="shared" si="251"/>
        <v>44000.000000000007</v>
      </c>
      <c r="AJ681" s="10">
        <f t="shared" si="252"/>
        <v>26400.000000000004</v>
      </c>
    </row>
    <row r="682" spans="1:36" x14ac:dyDescent="0.3">
      <c r="A682" t="s">
        <v>2703</v>
      </c>
      <c r="B682" t="s">
        <v>2704</v>
      </c>
      <c r="C682" t="s">
        <v>2705</v>
      </c>
      <c r="D682" t="s">
        <v>153</v>
      </c>
      <c r="E682">
        <v>17601</v>
      </c>
      <c r="F682" t="s">
        <v>15</v>
      </c>
      <c r="G682">
        <v>8</v>
      </c>
      <c r="H682">
        <v>250</v>
      </c>
      <c r="I682" t="str" cm="1">
        <f t="array" ref="I682">_xlfn.IFS(H682&lt;=120,"V1",H682&lt;=150,"V2",H682&lt;=250,"V3", H682&lt;=350, "V4")</f>
        <v>V3</v>
      </c>
      <c r="J682" t="s">
        <v>2706</v>
      </c>
      <c r="K682" t="str">
        <f t="shared" si="230"/>
        <v>40.052622</v>
      </c>
      <c r="L682" t="str">
        <f t="shared" si="231"/>
        <v>-76.254776</v>
      </c>
      <c r="M682">
        <v>107</v>
      </c>
      <c r="N682" s="1">
        <v>43903</v>
      </c>
      <c r="O682" s="1">
        <v>46099</v>
      </c>
      <c r="P682" s="2">
        <f t="shared" si="232"/>
        <v>6.0123203285420947</v>
      </c>
      <c r="Q682" s="2" t="str">
        <f t="shared" si="233"/>
        <v>Mid</v>
      </c>
      <c r="R682">
        <f t="shared" si="234"/>
        <v>2000</v>
      </c>
      <c r="S682" t="str">
        <f t="shared" si="235"/>
        <v>Small</v>
      </c>
      <c r="T682" t="str">
        <f t="shared" si="236"/>
        <v>Lower EV Adoption Corridor</v>
      </c>
      <c r="U682" s="3">
        <f t="shared" si="237"/>
        <v>3600000</v>
      </c>
      <c r="V682" s="4">
        <f t="shared" si="238"/>
        <v>880000.00000000012</v>
      </c>
      <c r="W682" s="3">
        <f t="shared" si="239"/>
        <v>12000000</v>
      </c>
      <c r="X682" s="3">
        <f t="shared" si="240"/>
        <v>6600000.0000000009</v>
      </c>
      <c r="Y682">
        <f t="shared" si="241"/>
        <v>0.31515151515151513</v>
      </c>
      <c r="Z682">
        <f t="shared" si="242"/>
        <v>0.75555555555555554</v>
      </c>
      <c r="AA682" t="str">
        <f t="shared" si="243"/>
        <v>Tier 2 - Growth Markets</v>
      </c>
      <c r="AB682" s="3">
        <f t="shared" si="244"/>
        <v>110000.00000000001</v>
      </c>
      <c r="AC682" s="3">
        <f t="shared" si="245"/>
        <v>1500000</v>
      </c>
      <c r="AD682" s="3">
        <f t="shared" si="246"/>
        <v>450000</v>
      </c>
      <c r="AE682" s="5">
        <f t="shared" si="247"/>
        <v>4.4117647058823533</v>
      </c>
      <c r="AF682" s="10">
        <f t="shared" si="248"/>
        <v>545600.00000000012</v>
      </c>
      <c r="AG682" s="10">
        <f t="shared" si="249"/>
        <v>176000.00000000003</v>
      </c>
      <c r="AH682" s="10">
        <f t="shared" si="250"/>
        <v>88000.000000000015</v>
      </c>
      <c r="AI682" s="10">
        <f t="shared" si="251"/>
        <v>44000.000000000007</v>
      </c>
      <c r="AJ682" s="10">
        <f t="shared" si="252"/>
        <v>26400.000000000004</v>
      </c>
    </row>
    <row r="683" spans="1:36" x14ac:dyDescent="0.3">
      <c r="A683" t="s">
        <v>2707</v>
      </c>
      <c r="B683" t="s">
        <v>2708</v>
      </c>
      <c r="C683" t="s">
        <v>2709</v>
      </c>
      <c r="D683" t="s">
        <v>77</v>
      </c>
      <c r="E683">
        <v>27834</v>
      </c>
      <c r="F683" t="s">
        <v>15</v>
      </c>
      <c r="G683">
        <v>8</v>
      </c>
      <c r="H683">
        <v>250</v>
      </c>
      <c r="I683" t="str" cm="1">
        <f t="array" ref="I683">_xlfn.IFS(H683&lt;=120,"V1",H683&lt;=150,"V2",H683&lt;=250,"V3", H683&lt;=350, "V4")</f>
        <v>V3</v>
      </c>
      <c r="J683" t="s">
        <v>2710</v>
      </c>
      <c r="K683" t="str">
        <f t="shared" si="230"/>
        <v>35.6055</v>
      </c>
      <c r="L683" t="str">
        <f t="shared" si="231"/>
        <v>-77.4</v>
      </c>
      <c r="M683">
        <v>23</v>
      </c>
      <c r="N683" s="1">
        <v>44707</v>
      </c>
      <c r="O683" s="1">
        <v>46099</v>
      </c>
      <c r="P683" s="2">
        <f t="shared" si="232"/>
        <v>3.8110882956878851</v>
      </c>
      <c r="Q683" s="2" t="str">
        <f t="shared" si="233"/>
        <v>Mid</v>
      </c>
      <c r="R683">
        <f t="shared" si="234"/>
        <v>2000</v>
      </c>
      <c r="S683" t="str">
        <f t="shared" si="235"/>
        <v>Small</v>
      </c>
      <c r="T683" t="str">
        <f t="shared" si="236"/>
        <v>Lower EV Adoption Corridor</v>
      </c>
      <c r="U683" s="3">
        <f t="shared" si="237"/>
        <v>3600000</v>
      </c>
      <c r="V683" s="4">
        <f t="shared" si="238"/>
        <v>880000.00000000012</v>
      </c>
      <c r="W683" s="3">
        <f t="shared" si="239"/>
        <v>12000000</v>
      </c>
      <c r="X683" s="3">
        <f t="shared" si="240"/>
        <v>6600000.0000000009</v>
      </c>
      <c r="Y683">
        <f t="shared" si="241"/>
        <v>0.31515151515151513</v>
      </c>
      <c r="Z683">
        <f t="shared" si="242"/>
        <v>0.75555555555555554</v>
      </c>
      <c r="AA683" t="str">
        <f t="shared" si="243"/>
        <v>Tier 2 - Growth Markets</v>
      </c>
      <c r="AB683" s="3">
        <f t="shared" si="244"/>
        <v>110000.00000000001</v>
      </c>
      <c r="AC683" s="3">
        <f t="shared" si="245"/>
        <v>1500000</v>
      </c>
      <c r="AD683" s="3">
        <f t="shared" si="246"/>
        <v>450000</v>
      </c>
      <c r="AE683" s="5">
        <f t="shared" si="247"/>
        <v>4.4117647058823533</v>
      </c>
      <c r="AF683" s="10">
        <f t="shared" si="248"/>
        <v>545600.00000000012</v>
      </c>
      <c r="AG683" s="10">
        <f t="shared" si="249"/>
        <v>176000.00000000003</v>
      </c>
      <c r="AH683" s="10">
        <f t="shared" si="250"/>
        <v>88000.000000000015</v>
      </c>
      <c r="AI683" s="10">
        <f t="shared" si="251"/>
        <v>44000.000000000007</v>
      </c>
      <c r="AJ683" s="10">
        <f t="shared" si="252"/>
        <v>26400.000000000004</v>
      </c>
    </row>
    <row r="684" spans="1:36" x14ac:dyDescent="0.3">
      <c r="A684" t="s">
        <v>2711</v>
      </c>
      <c r="B684" t="s">
        <v>2712</v>
      </c>
      <c r="C684" t="s">
        <v>2713</v>
      </c>
      <c r="D684" t="s">
        <v>281</v>
      </c>
      <c r="E684">
        <v>59330</v>
      </c>
      <c r="F684" t="s">
        <v>15</v>
      </c>
      <c r="G684">
        <v>8</v>
      </c>
      <c r="H684">
        <v>250</v>
      </c>
      <c r="I684" t="str" cm="1">
        <f t="array" ref="I684">_xlfn.IFS(H684&lt;=120,"V1",H684&lt;=150,"V2",H684&lt;=250,"V3", H684&lt;=350, "V4")</f>
        <v>V3</v>
      </c>
      <c r="J684" t="s">
        <v>2714</v>
      </c>
      <c r="K684" t="str">
        <f t="shared" si="230"/>
        <v>47.127042</v>
      </c>
      <c r="L684" t="str">
        <f t="shared" si="231"/>
        <v>-104.694456</v>
      </c>
      <c r="M684">
        <v>642</v>
      </c>
      <c r="N684" s="1">
        <v>44001</v>
      </c>
      <c r="O684" s="1">
        <v>46099</v>
      </c>
      <c r="P684" s="2">
        <f t="shared" si="232"/>
        <v>5.7440109514031485</v>
      </c>
      <c r="Q684" s="2" t="str">
        <f t="shared" si="233"/>
        <v>Mid</v>
      </c>
      <c r="R684">
        <f t="shared" si="234"/>
        <v>2000</v>
      </c>
      <c r="S684" t="str">
        <f t="shared" si="235"/>
        <v>Small</v>
      </c>
      <c r="T684" t="str">
        <f t="shared" si="236"/>
        <v>Lower EV Adoption Corridor</v>
      </c>
      <c r="U684" s="3">
        <f t="shared" si="237"/>
        <v>3600000</v>
      </c>
      <c r="V684" s="4">
        <f t="shared" si="238"/>
        <v>880000.00000000012</v>
      </c>
      <c r="W684" s="3">
        <f t="shared" si="239"/>
        <v>12000000</v>
      </c>
      <c r="X684" s="3">
        <f t="shared" si="240"/>
        <v>6600000.0000000009</v>
      </c>
      <c r="Y684">
        <f t="shared" si="241"/>
        <v>0.31515151515151513</v>
      </c>
      <c r="Z684">
        <f t="shared" si="242"/>
        <v>0.75555555555555554</v>
      </c>
      <c r="AA684" t="str">
        <f t="shared" si="243"/>
        <v>Tier 2 - Growth Markets</v>
      </c>
      <c r="AB684" s="3">
        <f t="shared" si="244"/>
        <v>110000.00000000001</v>
      </c>
      <c r="AC684" s="3">
        <f t="shared" si="245"/>
        <v>1500000</v>
      </c>
      <c r="AD684" s="3">
        <f t="shared" si="246"/>
        <v>450000</v>
      </c>
      <c r="AE684" s="5">
        <f t="shared" si="247"/>
        <v>4.4117647058823533</v>
      </c>
      <c r="AF684" s="10">
        <f t="shared" si="248"/>
        <v>545600.00000000012</v>
      </c>
      <c r="AG684" s="10">
        <f t="shared" si="249"/>
        <v>176000.00000000003</v>
      </c>
      <c r="AH684" s="10">
        <f t="shared" si="250"/>
        <v>88000.000000000015</v>
      </c>
      <c r="AI684" s="10">
        <f t="shared" si="251"/>
        <v>44000.000000000007</v>
      </c>
      <c r="AJ684" s="10">
        <f t="shared" si="252"/>
        <v>26400.000000000004</v>
      </c>
    </row>
    <row r="685" spans="1:36" x14ac:dyDescent="0.3">
      <c r="A685" t="s">
        <v>2715</v>
      </c>
      <c r="B685" t="s">
        <v>2716</v>
      </c>
      <c r="C685" t="s">
        <v>2717</v>
      </c>
      <c r="D685" t="s">
        <v>14</v>
      </c>
      <c r="E685">
        <v>94596</v>
      </c>
      <c r="F685" t="s">
        <v>15</v>
      </c>
      <c r="G685">
        <v>24</v>
      </c>
      <c r="H685">
        <v>72</v>
      </c>
      <c r="I685" t="str" cm="1">
        <f t="array" ref="I685">_xlfn.IFS(H685&lt;=120,"V1",H685&lt;=150,"V2",H685&lt;=250,"V3", H685&lt;=350, "V4")</f>
        <v>V1</v>
      </c>
      <c r="J685" t="s">
        <v>2718</v>
      </c>
      <c r="K685" t="str">
        <f t="shared" si="230"/>
        <v>37.895277</v>
      </c>
      <c r="L685" t="str">
        <f t="shared" si="231"/>
        <v>-122.061828</v>
      </c>
      <c r="M685">
        <v>50</v>
      </c>
      <c r="N685" s="1">
        <v>43762</v>
      </c>
      <c r="O685" s="1">
        <v>46099</v>
      </c>
      <c r="P685" s="2">
        <f t="shared" si="232"/>
        <v>6.3983572895277208</v>
      </c>
      <c r="Q685" s="2" t="str">
        <f t="shared" si="233"/>
        <v>Mid</v>
      </c>
      <c r="R685">
        <f t="shared" si="234"/>
        <v>1728</v>
      </c>
      <c r="S685" t="str">
        <f t="shared" si="235"/>
        <v>Small</v>
      </c>
      <c r="T685" t="str">
        <f t="shared" si="236"/>
        <v>High EV Adoption Corridor</v>
      </c>
      <c r="U685" s="3">
        <f t="shared" si="237"/>
        <v>3369600</v>
      </c>
      <c r="V685" s="4">
        <f t="shared" si="238"/>
        <v>746496</v>
      </c>
      <c r="W685" s="3">
        <f t="shared" si="239"/>
        <v>7603200.0000000009</v>
      </c>
      <c r="X685" s="3">
        <f t="shared" si="240"/>
        <v>6998400</v>
      </c>
      <c r="Y685">
        <f t="shared" si="241"/>
        <v>0.21530864197530863</v>
      </c>
      <c r="Z685">
        <f t="shared" si="242"/>
        <v>0.77846153846153843</v>
      </c>
      <c r="AA685" t="str">
        <f t="shared" si="243"/>
        <v>Tier 3 - Upgrade Pipeline</v>
      </c>
      <c r="AB685" s="3">
        <f t="shared" si="244"/>
        <v>31104</v>
      </c>
      <c r="AC685" s="3">
        <f t="shared" si="245"/>
        <v>316800.00000000006</v>
      </c>
      <c r="AD685" s="3">
        <f t="shared" si="246"/>
        <v>140400</v>
      </c>
      <c r="AE685" s="5">
        <f t="shared" si="247"/>
        <v>2.8985507246376816</v>
      </c>
      <c r="AF685" s="10">
        <f t="shared" si="248"/>
        <v>462827.52000000002</v>
      </c>
      <c r="AG685" s="10">
        <f t="shared" si="249"/>
        <v>149299.20000000001</v>
      </c>
      <c r="AH685" s="10">
        <f t="shared" si="250"/>
        <v>74649.600000000006</v>
      </c>
      <c r="AI685" s="10">
        <f t="shared" si="251"/>
        <v>37324.800000000003</v>
      </c>
      <c r="AJ685" s="10">
        <f t="shared" si="252"/>
        <v>22394.879999999997</v>
      </c>
    </row>
    <row r="686" spans="1:36" x14ac:dyDescent="0.3">
      <c r="A686" t="s">
        <v>2719</v>
      </c>
      <c r="B686" t="s">
        <v>2720</v>
      </c>
      <c r="C686" t="s">
        <v>2721</v>
      </c>
      <c r="D686" t="s">
        <v>14</v>
      </c>
      <c r="E686">
        <v>95758</v>
      </c>
      <c r="F686" t="s">
        <v>15</v>
      </c>
      <c r="G686">
        <v>16</v>
      </c>
      <c r="H686">
        <v>250</v>
      </c>
      <c r="I686" t="str" cm="1">
        <f t="array" ref="I686">_xlfn.IFS(H686&lt;=120,"V1",H686&lt;=150,"V2",H686&lt;=250,"V3", H686&lt;=350, "V4")</f>
        <v>V3</v>
      </c>
      <c r="J686" t="s">
        <v>2722</v>
      </c>
      <c r="K686" t="str">
        <f t="shared" si="230"/>
        <v>38.409389</v>
      </c>
      <c r="L686" t="str">
        <f t="shared" si="231"/>
        <v>-121.391028</v>
      </c>
      <c r="M686">
        <v>11</v>
      </c>
      <c r="N686" s="1">
        <v>44033</v>
      </c>
      <c r="O686" s="1">
        <v>46099</v>
      </c>
      <c r="P686" s="2">
        <f t="shared" si="232"/>
        <v>5.6563997262149215</v>
      </c>
      <c r="Q686" s="2" t="str">
        <f t="shared" si="233"/>
        <v>Mid</v>
      </c>
      <c r="R686">
        <f t="shared" si="234"/>
        <v>4000</v>
      </c>
      <c r="S686" t="str">
        <f t="shared" si="235"/>
        <v>Small</v>
      </c>
      <c r="T686" t="str">
        <f t="shared" si="236"/>
        <v>High EV Adoption Corridor</v>
      </c>
      <c r="U686" s="3">
        <f t="shared" si="237"/>
        <v>9360000</v>
      </c>
      <c r="V686" s="4">
        <f t="shared" si="238"/>
        <v>2112000</v>
      </c>
      <c r="W686" s="3">
        <f t="shared" si="239"/>
        <v>26400000.000000004</v>
      </c>
      <c r="X686" s="3">
        <f t="shared" si="240"/>
        <v>19800000.000000004</v>
      </c>
      <c r="Y686">
        <f t="shared" si="241"/>
        <v>0.23999999999999996</v>
      </c>
      <c r="Z686">
        <f t="shared" si="242"/>
        <v>0.77435897435897438</v>
      </c>
      <c r="AA686" t="str">
        <f t="shared" si="243"/>
        <v>Tier 1 - Priority Fleet</v>
      </c>
      <c r="AB686" s="3">
        <f t="shared" si="244"/>
        <v>132000</v>
      </c>
      <c r="AC686" s="3">
        <f t="shared" si="245"/>
        <v>1650000.0000000002</v>
      </c>
      <c r="AD686" s="3">
        <f t="shared" si="246"/>
        <v>585000</v>
      </c>
      <c r="AE686" s="5">
        <f t="shared" si="247"/>
        <v>3.6423841059602653</v>
      </c>
      <c r="AF686" s="10">
        <f t="shared" si="248"/>
        <v>1309440</v>
      </c>
      <c r="AG686" s="10">
        <f t="shared" si="249"/>
        <v>422400</v>
      </c>
      <c r="AH686" s="10">
        <f t="shared" si="250"/>
        <v>211200</v>
      </c>
      <c r="AI686" s="10">
        <f t="shared" si="251"/>
        <v>105600</v>
      </c>
      <c r="AJ686" s="10">
        <f t="shared" si="252"/>
        <v>63360</v>
      </c>
    </row>
    <row r="687" spans="1:36" x14ac:dyDescent="0.3">
      <c r="A687" t="s">
        <v>2723</v>
      </c>
      <c r="B687" t="s">
        <v>2724</v>
      </c>
      <c r="C687" t="s">
        <v>2725</v>
      </c>
      <c r="D687" t="s">
        <v>268</v>
      </c>
      <c r="E687">
        <v>80459</v>
      </c>
      <c r="F687" t="s">
        <v>15</v>
      </c>
      <c r="G687">
        <v>8</v>
      </c>
      <c r="H687">
        <v>250</v>
      </c>
      <c r="I687" t="str" cm="1">
        <f t="array" ref="I687">_xlfn.IFS(H687&lt;=120,"V1",H687&lt;=150,"V2",H687&lt;=250,"V3", H687&lt;=350, "V4")</f>
        <v>V3</v>
      </c>
      <c r="J687" t="s">
        <v>2726</v>
      </c>
      <c r="K687" t="str">
        <f t="shared" si="230"/>
        <v>40.059575</v>
      </c>
      <c r="L687" t="str">
        <f t="shared" si="231"/>
        <v>-106.387881</v>
      </c>
      <c r="M687">
        <v>2247</v>
      </c>
      <c r="N687" s="1">
        <v>44051</v>
      </c>
      <c r="O687" s="1">
        <v>46099</v>
      </c>
      <c r="P687" s="2">
        <f t="shared" si="232"/>
        <v>5.6071184120465434</v>
      </c>
      <c r="Q687" s="2" t="str">
        <f t="shared" si="233"/>
        <v>Mid</v>
      </c>
      <c r="R687">
        <f t="shared" si="234"/>
        <v>2000</v>
      </c>
      <c r="S687" t="str">
        <f t="shared" si="235"/>
        <v>Small</v>
      </c>
      <c r="T687" t="str">
        <f t="shared" si="236"/>
        <v>High EV Adoption Corridor</v>
      </c>
      <c r="U687" s="3">
        <f t="shared" si="237"/>
        <v>4680000</v>
      </c>
      <c r="V687" s="4">
        <f t="shared" si="238"/>
        <v>1056000</v>
      </c>
      <c r="W687" s="3">
        <f t="shared" si="239"/>
        <v>13200000.000000002</v>
      </c>
      <c r="X687" s="3">
        <f t="shared" si="240"/>
        <v>9900000.0000000019</v>
      </c>
      <c r="Y687">
        <f t="shared" si="241"/>
        <v>0.23999999999999996</v>
      </c>
      <c r="Z687">
        <f t="shared" si="242"/>
        <v>0.77435897435897438</v>
      </c>
      <c r="AA687" t="str">
        <f t="shared" si="243"/>
        <v>Tier 1 - Priority Fleet</v>
      </c>
      <c r="AB687" s="3">
        <f t="shared" si="244"/>
        <v>132000</v>
      </c>
      <c r="AC687" s="3">
        <f t="shared" si="245"/>
        <v>1650000.0000000002</v>
      </c>
      <c r="AD687" s="3">
        <f t="shared" si="246"/>
        <v>585000</v>
      </c>
      <c r="AE687" s="5">
        <f t="shared" si="247"/>
        <v>3.6423841059602653</v>
      </c>
      <c r="AF687" s="10">
        <f t="shared" si="248"/>
        <v>654720</v>
      </c>
      <c r="AG687" s="10">
        <f t="shared" si="249"/>
        <v>211200</v>
      </c>
      <c r="AH687" s="10">
        <f t="shared" si="250"/>
        <v>105600</v>
      </c>
      <c r="AI687" s="10">
        <f t="shared" si="251"/>
        <v>52800</v>
      </c>
      <c r="AJ687" s="10">
        <f t="shared" si="252"/>
        <v>31680</v>
      </c>
    </row>
    <row r="688" spans="1:36" x14ac:dyDescent="0.3">
      <c r="A688" t="s">
        <v>2727</v>
      </c>
      <c r="B688" t="s">
        <v>2728</v>
      </c>
      <c r="C688" t="s">
        <v>102</v>
      </c>
      <c r="D688" t="s">
        <v>98</v>
      </c>
      <c r="E688">
        <v>6460</v>
      </c>
      <c r="F688" t="s">
        <v>15</v>
      </c>
      <c r="G688">
        <v>2</v>
      </c>
      <c r="H688">
        <v>125</v>
      </c>
      <c r="I688" t="str" cm="1">
        <f t="array" ref="I688">_xlfn.IFS(H688&lt;=120,"V1",H688&lt;=150,"V2",H688&lt;=250,"V3", H688&lt;=350, "V4")</f>
        <v>V2</v>
      </c>
      <c r="J688" t="s">
        <v>2729</v>
      </c>
      <c r="K688" t="str">
        <f t="shared" si="230"/>
        <v>41.246232</v>
      </c>
      <c r="L688" t="str">
        <f t="shared" si="231"/>
        <v>-73.010529</v>
      </c>
      <c r="M688">
        <v>19</v>
      </c>
      <c r="N688" s="1">
        <v>41259</v>
      </c>
      <c r="O688" s="1">
        <v>46099</v>
      </c>
      <c r="P688" s="2">
        <f t="shared" si="232"/>
        <v>13.25119780971937</v>
      </c>
      <c r="Q688" s="2" t="str">
        <f t="shared" si="233"/>
        <v>Old</v>
      </c>
      <c r="R688">
        <f t="shared" si="234"/>
        <v>250</v>
      </c>
      <c r="S688" t="str">
        <f t="shared" si="235"/>
        <v>Small</v>
      </c>
      <c r="T688" t="str">
        <f t="shared" si="236"/>
        <v>Lower EV Adoption Corridor</v>
      </c>
      <c r="U688" s="3">
        <f t="shared" si="237"/>
        <v>412500.00000000006</v>
      </c>
      <c r="V688" s="4">
        <f t="shared" si="238"/>
        <v>100000</v>
      </c>
      <c r="W688" s="3">
        <f t="shared" si="239"/>
        <v>1250000</v>
      </c>
      <c r="X688" s="3">
        <f t="shared" si="240"/>
        <v>750000</v>
      </c>
      <c r="Y688">
        <f t="shared" si="241"/>
        <v>0.3</v>
      </c>
      <c r="Z688">
        <f t="shared" si="242"/>
        <v>0.75757575757575757</v>
      </c>
      <c r="AA688" t="str">
        <f t="shared" si="243"/>
        <v>Tier 4 - Stable Network</v>
      </c>
      <c r="AB688" s="3">
        <f t="shared" si="244"/>
        <v>50000</v>
      </c>
      <c r="AC688" s="3">
        <f t="shared" si="245"/>
        <v>625000</v>
      </c>
      <c r="AD688" s="3">
        <f t="shared" si="246"/>
        <v>206250.00000000003</v>
      </c>
      <c r="AE688" s="5">
        <f t="shared" si="247"/>
        <v>3.9999999999999991</v>
      </c>
      <c r="AF688" s="10">
        <f t="shared" si="248"/>
        <v>62000</v>
      </c>
      <c r="AG688" s="10">
        <f t="shared" si="249"/>
        <v>20000</v>
      </c>
      <c r="AH688" s="10">
        <f t="shared" si="250"/>
        <v>10000</v>
      </c>
      <c r="AI688" s="10">
        <f t="shared" si="251"/>
        <v>5000</v>
      </c>
      <c r="AJ688" s="10">
        <f t="shared" si="252"/>
        <v>3000</v>
      </c>
    </row>
    <row r="689" spans="1:36" x14ac:dyDescent="0.3">
      <c r="A689" t="s">
        <v>2730</v>
      </c>
      <c r="B689" t="s">
        <v>2731</v>
      </c>
      <c r="C689" t="s">
        <v>2732</v>
      </c>
      <c r="D689" t="s">
        <v>428</v>
      </c>
      <c r="E689">
        <v>3217</v>
      </c>
      <c r="F689" t="s">
        <v>15</v>
      </c>
      <c r="G689">
        <v>8</v>
      </c>
      <c r="H689">
        <v>250</v>
      </c>
      <c r="I689" t="str" cm="1">
        <f t="array" ref="I689">_xlfn.IFS(H689&lt;=120,"V1",H689&lt;=150,"V2",H689&lt;=250,"V3", H689&lt;=350, "V4")</f>
        <v>V3</v>
      </c>
      <c r="J689" t="s">
        <v>2733</v>
      </c>
      <c r="K689" t="str">
        <f t="shared" si="230"/>
        <v>43.698101</v>
      </c>
      <c r="L689" t="str">
        <f t="shared" si="231"/>
        <v>-71.640119</v>
      </c>
      <c r="M689">
        <v>163</v>
      </c>
      <c r="N689" s="1">
        <v>44064</v>
      </c>
      <c r="O689" s="1">
        <v>46099</v>
      </c>
      <c r="P689" s="2">
        <f t="shared" si="232"/>
        <v>5.5715263518138265</v>
      </c>
      <c r="Q689" s="2" t="str">
        <f t="shared" si="233"/>
        <v>Mid</v>
      </c>
      <c r="R689">
        <f t="shared" si="234"/>
        <v>2000</v>
      </c>
      <c r="S689" t="str">
        <f t="shared" si="235"/>
        <v>Small</v>
      </c>
      <c r="T689" t="str">
        <f t="shared" si="236"/>
        <v>Lower EV Adoption Corridor</v>
      </c>
      <c r="U689" s="3">
        <f t="shared" si="237"/>
        <v>3600000</v>
      </c>
      <c r="V689" s="4">
        <f t="shared" si="238"/>
        <v>880000.00000000012</v>
      </c>
      <c r="W689" s="3">
        <f t="shared" si="239"/>
        <v>12000000</v>
      </c>
      <c r="X689" s="3">
        <f t="shared" si="240"/>
        <v>6600000.0000000009</v>
      </c>
      <c r="Y689">
        <f t="shared" si="241"/>
        <v>0.31515151515151513</v>
      </c>
      <c r="Z689">
        <f t="shared" si="242"/>
        <v>0.75555555555555554</v>
      </c>
      <c r="AA689" t="str">
        <f t="shared" si="243"/>
        <v>Tier 2 - Growth Markets</v>
      </c>
      <c r="AB689" s="3">
        <f t="shared" si="244"/>
        <v>110000.00000000001</v>
      </c>
      <c r="AC689" s="3">
        <f t="shared" si="245"/>
        <v>1500000</v>
      </c>
      <c r="AD689" s="3">
        <f t="shared" si="246"/>
        <v>450000</v>
      </c>
      <c r="AE689" s="5">
        <f t="shared" si="247"/>
        <v>4.4117647058823533</v>
      </c>
      <c r="AF689" s="10">
        <f t="shared" si="248"/>
        <v>545600.00000000012</v>
      </c>
      <c r="AG689" s="10">
        <f t="shared" si="249"/>
        <v>176000.00000000003</v>
      </c>
      <c r="AH689" s="10">
        <f t="shared" si="250"/>
        <v>88000.000000000015</v>
      </c>
      <c r="AI689" s="10">
        <f t="shared" si="251"/>
        <v>44000.000000000007</v>
      </c>
      <c r="AJ689" s="10">
        <f t="shared" si="252"/>
        <v>26400.000000000004</v>
      </c>
    </row>
    <row r="690" spans="1:36" x14ac:dyDescent="0.3">
      <c r="A690" t="s">
        <v>2734</v>
      </c>
      <c r="B690" t="s">
        <v>2735</v>
      </c>
      <c r="C690" t="s">
        <v>1627</v>
      </c>
      <c r="D690" t="s">
        <v>14</v>
      </c>
      <c r="E690">
        <v>92108</v>
      </c>
      <c r="F690" t="s">
        <v>15</v>
      </c>
      <c r="G690">
        <v>48</v>
      </c>
      <c r="H690">
        <v>250</v>
      </c>
      <c r="I690" t="str" cm="1">
        <f t="array" ref="I690">_xlfn.IFS(H690&lt;=120,"V1",H690&lt;=150,"V2",H690&lt;=250,"V3", H690&lt;=350, "V4")</f>
        <v>V3</v>
      </c>
      <c r="J690" t="s">
        <v>2736</v>
      </c>
      <c r="K690" t="str">
        <f t="shared" si="230"/>
        <v>32.769144</v>
      </c>
      <c r="L690" t="str">
        <f t="shared" si="231"/>
        <v>-117.166271</v>
      </c>
      <c r="M690">
        <v>11</v>
      </c>
      <c r="N690" s="1">
        <v>43497</v>
      </c>
      <c r="O690" s="1">
        <v>46099</v>
      </c>
      <c r="P690" s="2">
        <f t="shared" si="232"/>
        <v>7.1238877481177276</v>
      </c>
      <c r="Q690" s="2" t="str">
        <f t="shared" si="233"/>
        <v>Mid</v>
      </c>
      <c r="R690">
        <f t="shared" si="234"/>
        <v>12000</v>
      </c>
      <c r="S690" t="str">
        <f t="shared" si="235"/>
        <v>Medium</v>
      </c>
      <c r="T690" t="str">
        <f t="shared" si="236"/>
        <v>High EV Adoption Corridor</v>
      </c>
      <c r="U690" s="3">
        <f t="shared" si="237"/>
        <v>28080000</v>
      </c>
      <c r="V690" s="4">
        <f t="shared" si="238"/>
        <v>6336000</v>
      </c>
      <c r="W690" s="3">
        <f t="shared" si="239"/>
        <v>79200000</v>
      </c>
      <c r="X690" s="3">
        <f t="shared" si="240"/>
        <v>59400000</v>
      </c>
      <c r="Y690">
        <f t="shared" si="241"/>
        <v>0.24</v>
      </c>
      <c r="Z690">
        <f t="shared" si="242"/>
        <v>0.77435897435897438</v>
      </c>
      <c r="AA690" t="str">
        <f t="shared" si="243"/>
        <v>Tier 1 - Priority Fleet</v>
      </c>
      <c r="AB690" s="3">
        <f t="shared" si="244"/>
        <v>132000</v>
      </c>
      <c r="AC690" s="3">
        <f t="shared" si="245"/>
        <v>1650000</v>
      </c>
      <c r="AD690" s="3">
        <f t="shared" si="246"/>
        <v>585000</v>
      </c>
      <c r="AE690" s="5">
        <f t="shared" si="247"/>
        <v>3.6423841059602649</v>
      </c>
      <c r="AF690" s="10">
        <f t="shared" si="248"/>
        <v>3928320</v>
      </c>
      <c r="AG690" s="10">
        <f t="shared" si="249"/>
        <v>1267200</v>
      </c>
      <c r="AH690" s="10">
        <f t="shared" si="250"/>
        <v>633600</v>
      </c>
      <c r="AI690" s="10">
        <f t="shared" si="251"/>
        <v>316800</v>
      </c>
      <c r="AJ690" s="10">
        <f t="shared" si="252"/>
        <v>190080</v>
      </c>
    </row>
    <row r="691" spans="1:36" x14ac:dyDescent="0.3">
      <c r="A691" t="s">
        <v>2737</v>
      </c>
      <c r="B691" t="s">
        <v>2738</v>
      </c>
      <c r="C691" t="s">
        <v>2739</v>
      </c>
      <c r="D691" t="s">
        <v>630</v>
      </c>
      <c r="E691">
        <v>49701</v>
      </c>
      <c r="F691" t="s">
        <v>15</v>
      </c>
      <c r="G691">
        <v>8</v>
      </c>
      <c r="H691">
        <v>250</v>
      </c>
      <c r="I691" t="str" cm="1">
        <f t="array" ref="I691">_xlfn.IFS(H691&lt;=120,"V1",H691&lt;=150,"V2",H691&lt;=250,"V3", H691&lt;=350, "V4")</f>
        <v>V3</v>
      </c>
      <c r="J691" t="s">
        <v>2740</v>
      </c>
      <c r="K691" t="str">
        <f t="shared" si="230"/>
        <v>45.77225</v>
      </c>
      <c r="L691" t="str">
        <f t="shared" si="231"/>
        <v>-84.7265</v>
      </c>
      <c r="M691">
        <v>180</v>
      </c>
      <c r="N691" s="1">
        <v>43992</v>
      </c>
      <c r="O691" s="1">
        <v>46099</v>
      </c>
      <c r="P691" s="2">
        <f t="shared" si="232"/>
        <v>5.7686516084873372</v>
      </c>
      <c r="Q691" s="2" t="str">
        <f t="shared" si="233"/>
        <v>Mid</v>
      </c>
      <c r="R691">
        <f t="shared" si="234"/>
        <v>2000</v>
      </c>
      <c r="S691" t="str">
        <f t="shared" si="235"/>
        <v>Small</v>
      </c>
      <c r="T691" t="str">
        <f t="shared" si="236"/>
        <v>Lower EV Adoption Corridor</v>
      </c>
      <c r="U691" s="3">
        <f t="shared" si="237"/>
        <v>3600000</v>
      </c>
      <c r="V691" s="4">
        <f t="shared" si="238"/>
        <v>880000.00000000012</v>
      </c>
      <c r="W691" s="3">
        <f t="shared" si="239"/>
        <v>12000000</v>
      </c>
      <c r="X691" s="3">
        <f t="shared" si="240"/>
        <v>6600000.0000000009</v>
      </c>
      <c r="Y691">
        <f t="shared" si="241"/>
        <v>0.31515151515151513</v>
      </c>
      <c r="Z691">
        <f t="shared" si="242"/>
        <v>0.75555555555555554</v>
      </c>
      <c r="AA691" t="str">
        <f t="shared" si="243"/>
        <v>Tier 2 - Growth Markets</v>
      </c>
      <c r="AB691" s="3">
        <f t="shared" si="244"/>
        <v>110000.00000000001</v>
      </c>
      <c r="AC691" s="3">
        <f t="shared" si="245"/>
        <v>1500000</v>
      </c>
      <c r="AD691" s="3">
        <f t="shared" si="246"/>
        <v>450000</v>
      </c>
      <c r="AE691" s="5">
        <f t="shared" si="247"/>
        <v>4.4117647058823533</v>
      </c>
      <c r="AF691" s="10">
        <f t="shared" si="248"/>
        <v>545600.00000000012</v>
      </c>
      <c r="AG691" s="10">
        <f t="shared" si="249"/>
        <v>176000.00000000003</v>
      </c>
      <c r="AH691" s="10">
        <f t="shared" si="250"/>
        <v>88000.000000000015</v>
      </c>
      <c r="AI691" s="10">
        <f t="shared" si="251"/>
        <v>44000.000000000007</v>
      </c>
      <c r="AJ691" s="10">
        <f t="shared" si="252"/>
        <v>26400.000000000004</v>
      </c>
    </row>
    <row r="692" spans="1:36" x14ac:dyDescent="0.3">
      <c r="A692" t="s">
        <v>2741</v>
      </c>
      <c r="B692" t="s">
        <v>2742</v>
      </c>
      <c r="C692" t="s">
        <v>2743</v>
      </c>
      <c r="D692" t="s">
        <v>852</v>
      </c>
      <c r="E692">
        <v>8052</v>
      </c>
      <c r="F692" t="s">
        <v>15</v>
      </c>
      <c r="G692">
        <v>8</v>
      </c>
      <c r="H692">
        <v>250</v>
      </c>
      <c r="I692" t="str" cm="1">
        <f t="array" ref="I692">_xlfn.IFS(H692&lt;=120,"V1",H692&lt;=150,"V2",H692&lt;=250,"V3", H692&lt;=350, "V4")</f>
        <v>V3</v>
      </c>
      <c r="J692" t="s">
        <v>2744</v>
      </c>
      <c r="K692" t="str">
        <f t="shared" si="230"/>
        <v>39.937134</v>
      </c>
      <c r="L692" t="str">
        <f t="shared" si="231"/>
        <v>-74.970511</v>
      </c>
      <c r="M692">
        <v>17</v>
      </c>
      <c r="N692" s="1">
        <v>43882</v>
      </c>
      <c r="O692" s="1">
        <v>46099</v>
      </c>
      <c r="P692" s="2">
        <f t="shared" si="232"/>
        <v>6.0698151950718682</v>
      </c>
      <c r="Q692" s="2" t="str">
        <f t="shared" si="233"/>
        <v>Mid</v>
      </c>
      <c r="R692">
        <f t="shared" si="234"/>
        <v>2000</v>
      </c>
      <c r="S692" t="str">
        <f t="shared" si="235"/>
        <v>Small</v>
      </c>
      <c r="T692" t="str">
        <f t="shared" si="236"/>
        <v>High EV Adoption Corridor</v>
      </c>
      <c r="U692" s="3">
        <f t="shared" si="237"/>
        <v>4680000</v>
      </c>
      <c r="V692" s="4">
        <f t="shared" si="238"/>
        <v>1056000</v>
      </c>
      <c r="W692" s="3">
        <f t="shared" si="239"/>
        <v>13200000.000000002</v>
      </c>
      <c r="X692" s="3">
        <f t="shared" si="240"/>
        <v>9900000.0000000019</v>
      </c>
      <c r="Y692">
        <f t="shared" si="241"/>
        <v>0.23999999999999996</v>
      </c>
      <c r="Z692">
        <f t="shared" si="242"/>
        <v>0.77435897435897438</v>
      </c>
      <c r="AA692" t="str">
        <f t="shared" si="243"/>
        <v>Tier 1 - Priority Fleet</v>
      </c>
      <c r="AB692" s="3">
        <f t="shared" si="244"/>
        <v>132000</v>
      </c>
      <c r="AC692" s="3">
        <f t="shared" si="245"/>
        <v>1650000.0000000002</v>
      </c>
      <c r="AD692" s="3">
        <f t="shared" si="246"/>
        <v>585000</v>
      </c>
      <c r="AE692" s="5">
        <f t="shared" si="247"/>
        <v>3.6423841059602653</v>
      </c>
      <c r="AF692" s="10">
        <f t="shared" si="248"/>
        <v>654720</v>
      </c>
      <c r="AG692" s="10">
        <f t="shared" si="249"/>
        <v>211200</v>
      </c>
      <c r="AH692" s="10">
        <f t="shared" si="250"/>
        <v>105600</v>
      </c>
      <c r="AI692" s="10">
        <f t="shared" si="251"/>
        <v>52800</v>
      </c>
      <c r="AJ692" s="10">
        <f t="shared" si="252"/>
        <v>31680</v>
      </c>
    </row>
    <row r="693" spans="1:36" x14ac:dyDescent="0.3">
      <c r="A693" t="s">
        <v>2745</v>
      </c>
      <c r="B693" t="s">
        <v>2746</v>
      </c>
      <c r="C693" t="s">
        <v>2747</v>
      </c>
      <c r="D693" t="s">
        <v>294</v>
      </c>
      <c r="E693">
        <v>37027</v>
      </c>
      <c r="F693" t="s">
        <v>15</v>
      </c>
      <c r="G693">
        <v>12</v>
      </c>
      <c r="H693">
        <v>250</v>
      </c>
      <c r="I693" t="str" cm="1">
        <f t="array" ref="I693">_xlfn.IFS(H693&lt;=120,"V1",H693&lt;=150,"V2",H693&lt;=250,"V3", H693&lt;=350, "V4")</f>
        <v>V3</v>
      </c>
      <c r="J693" t="s">
        <v>2748</v>
      </c>
      <c r="K693" t="str">
        <f t="shared" si="230"/>
        <v>36.042377</v>
      </c>
      <c r="L693" t="str">
        <f t="shared" si="231"/>
        <v>-86.777844</v>
      </c>
      <c r="M693">
        <v>214</v>
      </c>
      <c r="N693" s="1">
        <v>44080</v>
      </c>
      <c r="O693" s="1">
        <v>46099</v>
      </c>
      <c r="P693" s="2">
        <f t="shared" si="232"/>
        <v>5.5277207392197125</v>
      </c>
      <c r="Q693" s="2" t="str">
        <f t="shared" si="233"/>
        <v>Mid</v>
      </c>
      <c r="R693">
        <f t="shared" si="234"/>
        <v>3000</v>
      </c>
      <c r="S693" t="str">
        <f t="shared" si="235"/>
        <v>Small</v>
      </c>
      <c r="T693" t="str">
        <f t="shared" si="236"/>
        <v>Lower EV Adoption Corridor</v>
      </c>
      <c r="U693" s="3">
        <f t="shared" si="237"/>
        <v>5400000</v>
      </c>
      <c r="V693" s="4">
        <f t="shared" si="238"/>
        <v>1320000</v>
      </c>
      <c r="W693" s="3">
        <f t="shared" si="239"/>
        <v>18000000</v>
      </c>
      <c r="X693" s="3">
        <f t="shared" si="240"/>
        <v>9900000</v>
      </c>
      <c r="Y693">
        <f t="shared" si="241"/>
        <v>0.31515151515151513</v>
      </c>
      <c r="Z693">
        <f t="shared" si="242"/>
        <v>0.75555555555555554</v>
      </c>
      <c r="AA693" t="str">
        <f t="shared" si="243"/>
        <v>Tier 2 - Growth Markets</v>
      </c>
      <c r="AB693" s="3">
        <f t="shared" si="244"/>
        <v>110000</v>
      </c>
      <c r="AC693" s="3">
        <f t="shared" si="245"/>
        <v>1500000</v>
      </c>
      <c r="AD693" s="3">
        <f t="shared" si="246"/>
        <v>450000</v>
      </c>
      <c r="AE693" s="5">
        <f t="shared" si="247"/>
        <v>4.4117647058823533</v>
      </c>
      <c r="AF693" s="10">
        <f t="shared" si="248"/>
        <v>818400</v>
      </c>
      <c r="AG693" s="10">
        <f t="shared" si="249"/>
        <v>264000</v>
      </c>
      <c r="AH693" s="10">
        <f t="shared" si="250"/>
        <v>132000</v>
      </c>
      <c r="AI693" s="10">
        <f t="shared" si="251"/>
        <v>66000</v>
      </c>
      <c r="AJ693" s="10">
        <f t="shared" si="252"/>
        <v>39600</v>
      </c>
    </row>
    <row r="694" spans="1:36" x14ac:dyDescent="0.3">
      <c r="A694" t="s">
        <v>2749</v>
      </c>
      <c r="B694" t="s">
        <v>2750</v>
      </c>
      <c r="C694" t="s">
        <v>2299</v>
      </c>
      <c r="D694" t="s">
        <v>14</v>
      </c>
      <c r="E694">
        <v>95366</v>
      </c>
      <c r="F694" t="s">
        <v>15</v>
      </c>
      <c r="G694">
        <v>12</v>
      </c>
      <c r="H694">
        <v>250</v>
      </c>
      <c r="I694" t="str" cm="1">
        <f t="array" ref="I694">_xlfn.IFS(H694&lt;=120,"V1",H694&lt;=150,"V2",H694&lt;=250,"V3", H694&lt;=350, "V4")</f>
        <v>V3</v>
      </c>
      <c r="J694" t="s">
        <v>2751</v>
      </c>
      <c r="K694" t="str">
        <f t="shared" si="230"/>
        <v>37.795975</v>
      </c>
      <c r="L694" t="str">
        <f t="shared" si="231"/>
        <v>-121.19771</v>
      </c>
      <c r="M694">
        <v>13</v>
      </c>
      <c r="N694" s="1">
        <v>43960</v>
      </c>
      <c r="O694" s="1">
        <v>46099</v>
      </c>
      <c r="P694" s="2">
        <f t="shared" si="232"/>
        <v>5.8562628336755651</v>
      </c>
      <c r="Q694" s="2" t="str">
        <f t="shared" si="233"/>
        <v>Mid</v>
      </c>
      <c r="R694">
        <f t="shared" si="234"/>
        <v>3000</v>
      </c>
      <c r="S694" t="str">
        <f t="shared" si="235"/>
        <v>Small</v>
      </c>
      <c r="T694" t="str">
        <f t="shared" si="236"/>
        <v>High EV Adoption Corridor</v>
      </c>
      <c r="U694" s="3">
        <f t="shared" si="237"/>
        <v>7020000</v>
      </c>
      <c r="V694" s="4">
        <f t="shared" si="238"/>
        <v>1584000</v>
      </c>
      <c r="W694" s="3">
        <f t="shared" si="239"/>
        <v>19800000</v>
      </c>
      <c r="X694" s="3">
        <f t="shared" si="240"/>
        <v>14850000</v>
      </c>
      <c r="Y694">
        <f t="shared" si="241"/>
        <v>0.24</v>
      </c>
      <c r="Z694">
        <f t="shared" si="242"/>
        <v>0.77435897435897438</v>
      </c>
      <c r="AA694" t="str">
        <f t="shared" si="243"/>
        <v>Tier 1 - Priority Fleet</v>
      </c>
      <c r="AB694" s="3">
        <f t="shared" si="244"/>
        <v>132000</v>
      </c>
      <c r="AC694" s="3">
        <f t="shared" si="245"/>
        <v>1650000</v>
      </c>
      <c r="AD694" s="3">
        <f t="shared" si="246"/>
        <v>585000</v>
      </c>
      <c r="AE694" s="5">
        <f t="shared" si="247"/>
        <v>3.6423841059602649</v>
      </c>
      <c r="AF694" s="10">
        <f t="shared" si="248"/>
        <v>982080</v>
      </c>
      <c r="AG694" s="10">
        <f t="shared" si="249"/>
        <v>316800</v>
      </c>
      <c r="AH694" s="10">
        <f t="shared" si="250"/>
        <v>158400</v>
      </c>
      <c r="AI694" s="10">
        <f t="shared" si="251"/>
        <v>79200</v>
      </c>
      <c r="AJ694" s="10">
        <f t="shared" si="252"/>
        <v>47520</v>
      </c>
    </row>
    <row r="695" spans="1:36" x14ac:dyDescent="0.3">
      <c r="A695" t="s">
        <v>2752</v>
      </c>
      <c r="B695" t="s">
        <v>2753</v>
      </c>
      <c r="C695" t="s">
        <v>2754</v>
      </c>
      <c r="D695" t="s">
        <v>28</v>
      </c>
      <c r="E695">
        <v>30349</v>
      </c>
      <c r="F695" t="s">
        <v>15</v>
      </c>
      <c r="G695">
        <v>8</v>
      </c>
      <c r="H695">
        <v>250</v>
      </c>
      <c r="I695" t="str" cm="1">
        <f t="array" ref="I695">_xlfn.IFS(H695&lt;=120,"V1",H695&lt;=150,"V2",H695&lt;=250,"V3", H695&lt;=350, "V4")</f>
        <v>V3</v>
      </c>
      <c r="J695" t="s">
        <v>2755</v>
      </c>
      <c r="K695" t="str">
        <f t="shared" si="230"/>
        <v>32.378566</v>
      </c>
      <c r="L695" t="str">
        <f t="shared" si="231"/>
        <v>-82.062539</v>
      </c>
      <c r="M695">
        <v>58</v>
      </c>
      <c r="N695" s="1">
        <v>43796</v>
      </c>
      <c r="O695" s="1">
        <v>46099</v>
      </c>
      <c r="P695" s="2">
        <f t="shared" si="232"/>
        <v>6.3052703627652296</v>
      </c>
      <c r="Q695" s="2" t="str">
        <f t="shared" si="233"/>
        <v>Mid</v>
      </c>
      <c r="R695">
        <f t="shared" si="234"/>
        <v>2000</v>
      </c>
      <c r="S695" t="str">
        <f t="shared" si="235"/>
        <v>Small</v>
      </c>
      <c r="T695" t="str">
        <f t="shared" si="236"/>
        <v>Lower EV Adoption Corridor</v>
      </c>
      <c r="U695" s="3">
        <f t="shared" si="237"/>
        <v>3600000</v>
      </c>
      <c r="V695" s="4">
        <f t="shared" si="238"/>
        <v>880000.00000000012</v>
      </c>
      <c r="W695" s="3">
        <f t="shared" si="239"/>
        <v>12000000</v>
      </c>
      <c r="X695" s="3">
        <f t="shared" si="240"/>
        <v>6600000.0000000009</v>
      </c>
      <c r="Y695">
        <f t="shared" si="241"/>
        <v>0.31515151515151513</v>
      </c>
      <c r="Z695">
        <f t="shared" si="242"/>
        <v>0.75555555555555554</v>
      </c>
      <c r="AA695" t="str">
        <f t="shared" si="243"/>
        <v>Tier 2 - Growth Markets</v>
      </c>
      <c r="AB695" s="3">
        <f t="shared" si="244"/>
        <v>110000.00000000001</v>
      </c>
      <c r="AC695" s="3">
        <f t="shared" si="245"/>
        <v>1500000</v>
      </c>
      <c r="AD695" s="3">
        <f t="shared" si="246"/>
        <v>450000</v>
      </c>
      <c r="AE695" s="5">
        <f t="shared" si="247"/>
        <v>4.4117647058823533</v>
      </c>
      <c r="AF695" s="10">
        <f t="shared" si="248"/>
        <v>545600.00000000012</v>
      </c>
      <c r="AG695" s="10">
        <f t="shared" si="249"/>
        <v>176000.00000000003</v>
      </c>
      <c r="AH695" s="10">
        <f t="shared" si="250"/>
        <v>88000.000000000015</v>
      </c>
      <c r="AI695" s="10">
        <f t="shared" si="251"/>
        <v>44000.000000000007</v>
      </c>
      <c r="AJ695" s="10">
        <f t="shared" si="252"/>
        <v>26400.000000000004</v>
      </c>
    </row>
    <row r="696" spans="1:36" x14ac:dyDescent="0.3">
      <c r="A696" t="s">
        <v>2756</v>
      </c>
      <c r="B696" t="s">
        <v>2757</v>
      </c>
      <c r="C696" t="s">
        <v>2758</v>
      </c>
      <c r="D696" t="s">
        <v>230</v>
      </c>
      <c r="E696">
        <v>98512</v>
      </c>
      <c r="F696" t="s">
        <v>15</v>
      </c>
      <c r="G696">
        <v>8</v>
      </c>
      <c r="H696">
        <v>250</v>
      </c>
      <c r="I696" t="str" cm="1">
        <f t="array" ref="I696">_xlfn.IFS(H696&lt;=120,"V1",H696&lt;=150,"V2",H696&lt;=250,"V3", H696&lt;=350, "V4")</f>
        <v>V3</v>
      </c>
      <c r="J696" t="s">
        <v>2759</v>
      </c>
      <c r="K696" t="str">
        <f t="shared" si="230"/>
        <v>46.952944</v>
      </c>
      <c r="L696" t="str">
        <f t="shared" si="231"/>
        <v>-122.935111</v>
      </c>
      <c r="M696">
        <v>61</v>
      </c>
      <c r="N696" s="1">
        <v>43909</v>
      </c>
      <c r="O696" s="1">
        <v>46099</v>
      </c>
      <c r="P696" s="2">
        <f t="shared" si="232"/>
        <v>5.9958932238193015</v>
      </c>
      <c r="Q696" s="2" t="str">
        <f t="shared" si="233"/>
        <v>Mid</v>
      </c>
      <c r="R696">
        <f t="shared" si="234"/>
        <v>2000</v>
      </c>
      <c r="S696" t="str">
        <f t="shared" si="235"/>
        <v>Small</v>
      </c>
      <c r="T696" t="str">
        <f t="shared" si="236"/>
        <v>High EV Adoption Corridor</v>
      </c>
      <c r="U696" s="3">
        <f t="shared" si="237"/>
        <v>4680000</v>
      </c>
      <c r="V696" s="4">
        <f t="shared" si="238"/>
        <v>1056000</v>
      </c>
      <c r="W696" s="3">
        <f t="shared" si="239"/>
        <v>13200000.000000002</v>
      </c>
      <c r="X696" s="3">
        <f t="shared" si="240"/>
        <v>9900000.0000000019</v>
      </c>
      <c r="Y696">
        <f t="shared" si="241"/>
        <v>0.23999999999999996</v>
      </c>
      <c r="Z696">
        <f t="shared" si="242"/>
        <v>0.77435897435897438</v>
      </c>
      <c r="AA696" t="str">
        <f t="shared" si="243"/>
        <v>Tier 1 - Priority Fleet</v>
      </c>
      <c r="AB696" s="3">
        <f t="shared" si="244"/>
        <v>132000</v>
      </c>
      <c r="AC696" s="3">
        <f t="shared" si="245"/>
        <v>1650000.0000000002</v>
      </c>
      <c r="AD696" s="3">
        <f t="shared" si="246"/>
        <v>585000</v>
      </c>
      <c r="AE696" s="5">
        <f t="shared" si="247"/>
        <v>3.6423841059602653</v>
      </c>
      <c r="AF696" s="10">
        <f t="shared" si="248"/>
        <v>654720</v>
      </c>
      <c r="AG696" s="10">
        <f t="shared" si="249"/>
        <v>211200</v>
      </c>
      <c r="AH696" s="10">
        <f t="shared" si="250"/>
        <v>105600</v>
      </c>
      <c r="AI696" s="10">
        <f t="shared" si="251"/>
        <v>52800</v>
      </c>
      <c r="AJ696" s="10">
        <f t="shared" si="252"/>
        <v>31680</v>
      </c>
    </row>
    <row r="697" spans="1:36" x14ac:dyDescent="0.3">
      <c r="A697" t="s">
        <v>2760</v>
      </c>
      <c r="B697" t="s">
        <v>2761</v>
      </c>
      <c r="C697" t="s">
        <v>2762</v>
      </c>
      <c r="D697" t="s">
        <v>321</v>
      </c>
      <c r="E697">
        <v>2571</v>
      </c>
      <c r="F697" t="s">
        <v>15</v>
      </c>
      <c r="G697">
        <v>12</v>
      </c>
      <c r="H697">
        <v>150</v>
      </c>
      <c r="I697" t="str" cm="1">
        <f t="array" ref="I697">_xlfn.IFS(H697&lt;=120,"V1",H697&lt;=150,"V2",H697&lt;=250,"V3", H697&lt;=350, "V4")</f>
        <v>V2</v>
      </c>
      <c r="J697" t="s">
        <v>2763</v>
      </c>
      <c r="K697" t="str">
        <f t="shared" si="230"/>
        <v>41.775093</v>
      </c>
      <c r="L697" t="str">
        <f t="shared" si="231"/>
        <v>-70.744321</v>
      </c>
      <c r="M697">
        <v>19</v>
      </c>
      <c r="N697" s="1">
        <v>43845</v>
      </c>
      <c r="O697" s="1">
        <v>46099</v>
      </c>
      <c r="P697" s="2">
        <f t="shared" si="232"/>
        <v>6.1711156741957565</v>
      </c>
      <c r="Q697" s="2" t="str">
        <f t="shared" si="233"/>
        <v>Mid</v>
      </c>
      <c r="R697">
        <f t="shared" si="234"/>
        <v>1800</v>
      </c>
      <c r="S697" t="str">
        <f t="shared" si="235"/>
        <v>Small</v>
      </c>
      <c r="T697" t="str">
        <f t="shared" si="236"/>
        <v>Lower EV Adoption Corridor</v>
      </c>
      <c r="U697" s="3">
        <f t="shared" si="237"/>
        <v>2970000.0000000005</v>
      </c>
      <c r="V697" s="4">
        <f t="shared" si="238"/>
        <v>720000</v>
      </c>
      <c r="W697" s="3">
        <f t="shared" si="239"/>
        <v>9000000</v>
      </c>
      <c r="X697" s="3">
        <f t="shared" si="240"/>
        <v>5400000</v>
      </c>
      <c r="Y697">
        <f t="shared" si="241"/>
        <v>0.3</v>
      </c>
      <c r="Z697">
        <f t="shared" si="242"/>
        <v>0.75757575757575757</v>
      </c>
      <c r="AA697" t="str">
        <f t="shared" si="243"/>
        <v>Tier 4 - Stable Network</v>
      </c>
      <c r="AB697" s="3">
        <f t="shared" si="244"/>
        <v>60000</v>
      </c>
      <c r="AC697" s="3">
        <f t="shared" si="245"/>
        <v>750000</v>
      </c>
      <c r="AD697" s="3">
        <f t="shared" si="246"/>
        <v>247500.00000000003</v>
      </c>
      <c r="AE697" s="5">
        <f t="shared" si="247"/>
        <v>3.9999999999999991</v>
      </c>
      <c r="AF697" s="10">
        <f t="shared" si="248"/>
        <v>446400</v>
      </c>
      <c r="AG697" s="10">
        <f t="shared" si="249"/>
        <v>144000</v>
      </c>
      <c r="AH697" s="10">
        <f t="shared" si="250"/>
        <v>72000</v>
      </c>
      <c r="AI697" s="10">
        <f t="shared" si="251"/>
        <v>36000</v>
      </c>
      <c r="AJ697" s="10">
        <f t="shared" si="252"/>
        <v>21600</v>
      </c>
    </row>
    <row r="698" spans="1:36" x14ac:dyDescent="0.3">
      <c r="A698" t="s">
        <v>2764</v>
      </c>
      <c r="B698" t="s">
        <v>2765</v>
      </c>
      <c r="C698" t="s">
        <v>216</v>
      </c>
      <c r="D698" t="s">
        <v>41</v>
      </c>
      <c r="E698">
        <v>32340</v>
      </c>
      <c r="F698" t="s">
        <v>15</v>
      </c>
      <c r="G698">
        <v>8</v>
      </c>
      <c r="H698">
        <v>250</v>
      </c>
      <c r="I698" t="str" cm="1">
        <f t="array" ref="I698">_xlfn.IFS(H698&lt;=120,"V1",H698&lt;=150,"V2",H698&lt;=250,"V3", H698&lt;=350, "V4")</f>
        <v>V3</v>
      </c>
      <c r="J698" t="s">
        <v>2766</v>
      </c>
      <c r="K698" t="str">
        <f t="shared" si="230"/>
        <v>30.43387</v>
      </c>
      <c r="L698" t="str">
        <f t="shared" si="231"/>
        <v>-83.4535</v>
      </c>
      <c r="M698">
        <v>58</v>
      </c>
      <c r="N698" s="1">
        <v>44561</v>
      </c>
      <c r="O698" s="1">
        <v>46099</v>
      </c>
      <c r="P698" s="2">
        <f t="shared" si="232"/>
        <v>4.2108145106091719</v>
      </c>
      <c r="Q698" s="2" t="str">
        <f t="shared" si="233"/>
        <v>Mid</v>
      </c>
      <c r="R698">
        <f t="shared" si="234"/>
        <v>2000</v>
      </c>
      <c r="S698" t="str">
        <f t="shared" si="235"/>
        <v>Small</v>
      </c>
      <c r="T698" t="str">
        <f t="shared" si="236"/>
        <v>High EV Adoption Corridor</v>
      </c>
      <c r="U698" s="3">
        <f t="shared" si="237"/>
        <v>4680000</v>
      </c>
      <c r="V698" s="4">
        <f t="shared" si="238"/>
        <v>1056000</v>
      </c>
      <c r="W698" s="3">
        <f t="shared" si="239"/>
        <v>13200000.000000002</v>
      </c>
      <c r="X698" s="3">
        <f t="shared" si="240"/>
        <v>9900000.0000000019</v>
      </c>
      <c r="Y698">
        <f t="shared" si="241"/>
        <v>0.23999999999999996</v>
      </c>
      <c r="Z698">
        <f t="shared" si="242"/>
        <v>0.77435897435897438</v>
      </c>
      <c r="AA698" t="str">
        <f t="shared" si="243"/>
        <v>Tier 1 - Priority Fleet</v>
      </c>
      <c r="AB698" s="3">
        <f t="shared" si="244"/>
        <v>132000</v>
      </c>
      <c r="AC698" s="3">
        <f t="shared" si="245"/>
        <v>1650000.0000000002</v>
      </c>
      <c r="AD698" s="3">
        <f t="shared" si="246"/>
        <v>585000</v>
      </c>
      <c r="AE698" s="5">
        <f t="shared" si="247"/>
        <v>3.6423841059602653</v>
      </c>
      <c r="AF698" s="10">
        <f t="shared" si="248"/>
        <v>654720</v>
      </c>
      <c r="AG698" s="10">
        <f t="shared" si="249"/>
        <v>211200</v>
      </c>
      <c r="AH698" s="10">
        <f t="shared" si="250"/>
        <v>105600</v>
      </c>
      <c r="AI698" s="10">
        <f t="shared" si="251"/>
        <v>52800</v>
      </c>
      <c r="AJ698" s="10">
        <f t="shared" si="252"/>
        <v>31680</v>
      </c>
    </row>
    <row r="699" spans="1:36" x14ac:dyDescent="0.3">
      <c r="A699" t="s">
        <v>2767</v>
      </c>
      <c r="B699" t="s">
        <v>2768</v>
      </c>
      <c r="C699" t="s">
        <v>2769</v>
      </c>
      <c r="D699" t="s">
        <v>148</v>
      </c>
      <c r="E699">
        <v>66801</v>
      </c>
      <c r="F699" t="s">
        <v>15</v>
      </c>
      <c r="G699">
        <v>8</v>
      </c>
      <c r="H699">
        <v>250</v>
      </c>
      <c r="I699" t="str" cm="1">
        <f t="array" ref="I699">_xlfn.IFS(H699&lt;=120,"V1",H699&lt;=150,"V2",H699&lt;=250,"V3", H699&lt;=350, "V4")</f>
        <v>V3</v>
      </c>
      <c r="J699" t="s">
        <v>2770</v>
      </c>
      <c r="K699" t="str">
        <f t="shared" si="230"/>
        <v>38.414266</v>
      </c>
      <c r="L699" t="str">
        <f t="shared" si="231"/>
        <v>-96.216714</v>
      </c>
      <c r="M699">
        <v>354</v>
      </c>
      <c r="N699" s="1">
        <v>43978</v>
      </c>
      <c r="O699" s="1">
        <v>46099</v>
      </c>
      <c r="P699" s="2">
        <f t="shared" si="232"/>
        <v>5.806981519507187</v>
      </c>
      <c r="Q699" s="2" t="str">
        <f t="shared" si="233"/>
        <v>Mid</v>
      </c>
      <c r="R699">
        <f t="shared" si="234"/>
        <v>2000</v>
      </c>
      <c r="S699" t="str">
        <f t="shared" si="235"/>
        <v>Small</v>
      </c>
      <c r="T699" t="str">
        <f t="shared" si="236"/>
        <v>Lower EV Adoption Corridor</v>
      </c>
      <c r="U699" s="3">
        <f t="shared" si="237"/>
        <v>3600000</v>
      </c>
      <c r="V699" s="4">
        <f t="shared" si="238"/>
        <v>880000.00000000012</v>
      </c>
      <c r="W699" s="3">
        <f t="shared" si="239"/>
        <v>12000000</v>
      </c>
      <c r="X699" s="3">
        <f t="shared" si="240"/>
        <v>6600000.0000000009</v>
      </c>
      <c r="Y699">
        <f t="shared" si="241"/>
        <v>0.31515151515151513</v>
      </c>
      <c r="Z699">
        <f t="shared" si="242"/>
        <v>0.75555555555555554</v>
      </c>
      <c r="AA699" t="str">
        <f t="shared" si="243"/>
        <v>Tier 2 - Growth Markets</v>
      </c>
      <c r="AB699" s="3">
        <f t="shared" si="244"/>
        <v>110000.00000000001</v>
      </c>
      <c r="AC699" s="3">
        <f t="shared" si="245"/>
        <v>1500000</v>
      </c>
      <c r="AD699" s="3">
        <f t="shared" si="246"/>
        <v>450000</v>
      </c>
      <c r="AE699" s="5">
        <f t="shared" si="247"/>
        <v>4.4117647058823533</v>
      </c>
      <c r="AF699" s="10">
        <f t="shared" si="248"/>
        <v>545600.00000000012</v>
      </c>
      <c r="AG699" s="10">
        <f t="shared" si="249"/>
        <v>176000.00000000003</v>
      </c>
      <c r="AH699" s="10">
        <f t="shared" si="250"/>
        <v>88000.000000000015</v>
      </c>
      <c r="AI699" s="10">
        <f t="shared" si="251"/>
        <v>44000.000000000007</v>
      </c>
      <c r="AJ699" s="10">
        <f t="shared" si="252"/>
        <v>26400.000000000004</v>
      </c>
    </row>
    <row r="700" spans="1:36" x14ac:dyDescent="0.3">
      <c r="A700" t="s">
        <v>2771</v>
      </c>
      <c r="B700" t="s">
        <v>2772</v>
      </c>
      <c r="C700" t="s">
        <v>2773</v>
      </c>
      <c r="D700" t="s">
        <v>111</v>
      </c>
      <c r="E700">
        <v>55413</v>
      </c>
      <c r="F700" t="s">
        <v>15</v>
      </c>
      <c r="G700">
        <v>10</v>
      </c>
      <c r="H700">
        <v>250</v>
      </c>
      <c r="I700" t="str" cm="1">
        <f t="array" ref="I700">_xlfn.IFS(H700&lt;=120,"V1",H700&lt;=150,"V2",H700&lt;=250,"V3", H700&lt;=350, "V4")</f>
        <v>V3</v>
      </c>
      <c r="J700" t="s">
        <v>2774</v>
      </c>
      <c r="K700" t="str">
        <f t="shared" si="230"/>
        <v>45.004609</v>
      </c>
      <c r="L700" t="str">
        <f t="shared" si="231"/>
        <v>-93.229542</v>
      </c>
      <c r="M700">
        <v>265</v>
      </c>
      <c r="N700" s="1">
        <v>44111</v>
      </c>
      <c r="O700" s="1">
        <v>46099</v>
      </c>
      <c r="P700" s="2">
        <f t="shared" si="232"/>
        <v>5.4428473648186175</v>
      </c>
      <c r="Q700" s="2" t="str">
        <f t="shared" si="233"/>
        <v>Mid</v>
      </c>
      <c r="R700">
        <f t="shared" si="234"/>
        <v>2500</v>
      </c>
      <c r="S700" t="str">
        <f t="shared" si="235"/>
        <v>Small</v>
      </c>
      <c r="T700" t="str">
        <f t="shared" si="236"/>
        <v>Lower EV Adoption Corridor</v>
      </c>
      <c r="U700" s="3">
        <f t="shared" si="237"/>
        <v>4500000</v>
      </c>
      <c r="V700" s="4">
        <f t="shared" si="238"/>
        <v>1100000</v>
      </c>
      <c r="W700" s="3">
        <f t="shared" si="239"/>
        <v>15000000</v>
      </c>
      <c r="X700" s="3">
        <f t="shared" si="240"/>
        <v>8250000.0000000009</v>
      </c>
      <c r="Y700">
        <f t="shared" si="241"/>
        <v>0.31515151515151513</v>
      </c>
      <c r="Z700">
        <f t="shared" si="242"/>
        <v>0.75555555555555554</v>
      </c>
      <c r="AA700" t="str">
        <f t="shared" si="243"/>
        <v>Tier 2 - Growth Markets</v>
      </c>
      <c r="AB700" s="3">
        <f t="shared" si="244"/>
        <v>110000</v>
      </c>
      <c r="AC700" s="3">
        <f t="shared" si="245"/>
        <v>1500000</v>
      </c>
      <c r="AD700" s="3">
        <f t="shared" si="246"/>
        <v>450000</v>
      </c>
      <c r="AE700" s="5">
        <f t="shared" si="247"/>
        <v>4.4117647058823533</v>
      </c>
      <c r="AF700" s="10">
        <f t="shared" si="248"/>
        <v>682000</v>
      </c>
      <c r="AG700" s="10">
        <f t="shared" si="249"/>
        <v>220000</v>
      </c>
      <c r="AH700" s="10">
        <f t="shared" si="250"/>
        <v>110000</v>
      </c>
      <c r="AI700" s="10">
        <f t="shared" si="251"/>
        <v>55000</v>
      </c>
      <c r="AJ700" s="10">
        <f t="shared" si="252"/>
        <v>33000</v>
      </c>
    </row>
    <row r="701" spans="1:36" x14ac:dyDescent="0.3">
      <c r="A701" t="s">
        <v>2775</v>
      </c>
      <c r="B701" t="s">
        <v>2776</v>
      </c>
      <c r="C701" t="s">
        <v>2777</v>
      </c>
      <c r="D701" t="s">
        <v>130</v>
      </c>
      <c r="E701">
        <v>47404</v>
      </c>
      <c r="F701" t="s">
        <v>15</v>
      </c>
      <c r="G701">
        <v>8</v>
      </c>
      <c r="H701">
        <v>250</v>
      </c>
      <c r="I701" t="str" cm="1">
        <f t="array" ref="I701">_xlfn.IFS(H701&lt;=120,"V1",H701&lt;=150,"V2",H701&lt;=250,"V3", H701&lt;=350, "V4")</f>
        <v>V3</v>
      </c>
      <c r="J701" t="s">
        <v>2778</v>
      </c>
      <c r="K701" t="str">
        <f t="shared" si="230"/>
        <v>39.166222</v>
      </c>
      <c r="L701" t="str">
        <f t="shared" si="231"/>
        <v>-86.579116</v>
      </c>
      <c r="M701">
        <v>261</v>
      </c>
      <c r="N701" s="1">
        <v>43886</v>
      </c>
      <c r="O701" s="1">
        <v>46099</v>
      </c>
      <c r="P701" s="2">
        <f t="shared" si="232"/>
        <v>6.0588637919233399</v>
      </c>
      <c r="Q701" s="2" t="str">
        <f t="shared" si="233"/>
        <v>Mid</v>
      </c>
      <c r="R701">
        <f t="shared" si="234"/>
        <v>2000</v>
      </c>
      <c r="S701" t="str">
        <f t="shared" si="235"/>
        <v>Small</v>
      </c>
      <c r="T701" t="str">
        <f t="shared" si="236"/>
        <v>Lower EV Adoption Corridor</v>
      </c>
      <c r="U701" s="3">
        <f t="shared" si="237"/>
        <v>3600000</v>
      </c>
      <c r="V701" s="4">
        <f t="shared" si="238"/>
        <v>880000.00000000012</v>
      </c>
      <c r="W701" s="3">
        <f t="shared" si="239"/>
        <v>12000000</v>
      </c>
      <c r="X701" s="3">
        <f t="shared" si="240"/>
        <v>6600000.0000000009</v>
      </c>
      <c r="Y701">
        <f t="shared" si="241"/>
        <v>0.31515151515151513</v>
      </c>
      <c r="Z701">
        <f t="shared" si="242"/>
        <v>0.75555555555555554</v>
      </c>
      <c r="AA701" t="str">
        <f t="shared" si="243"/>
        <v>Tier 2 - Growth Markets</v>
      </c>
      <c r="AB701" s="3">
        <f t="shared" si="244"/>
        <v>110000.00000000001</v>
      </c>
      <c r="AC701" s="3">
        <f t="shared" si="245"/>
        <v>1500000</v>
      </c>
      <c r="AD701" s="3">
        <f t="shared" si="246"/>
        <v>450000</v>
      </c>
      <c r="AE701" s="5">
        <f t="shared" si="247"/>
        <v>4.4117647058823533</v>
      </c>
      <c r="AF701" s="10">
        <f t="shared" si="248"/>
        <v>545600.00000000012</v>
      </c>
      <c r="AG701" s="10">
        <f t="shared" si="249"/>
        <v>176000.00000000003</v>
      </c>
      <c r="AH701" s="10">
        <f t="shared" si="250"/>
        <v>88000.000000000015</v>
      </c>
      <c r="AI701" s="10">
        <f t="shared" si="251"/>
        <v>44000.000000000007</v>
      </c>
      <c r="AJ701" s="10">
        <f t="shared" si="252"/>
        <v>26400.000000000004</v>
      </c>
    </row>
    <row r="702" spans="1:36" x14ac:dyDescent="0.3">
      <c r="A702" t="s">
        <v>2779</v>
      </c>
      <c r="B702" t="s">
        <v>2780</v>
      </c>
      <c r="C702" t="s">
        <v>2781</v>
      </c>
      <c r="D702" t="s">
        <v>59</v>
      </c>
      <c r="E702">
        <v>61112</v>
      </c>
      <c r="F702" t="s">
        <v>15</v>
      </c>
      <c r="G702">
        <v>8</v>
      </c>
      <c r="H702">
        <v>150</v>
      </c>
      <c r="I702" t="str" cm="1">
        <f t="array" ref="I702">_xlfn.IFS(H702&lt;=120,"V1",H702&lt;=150,"V2",H702&lt;=250,"V3", H702&lt;=350, "V4")</f>
        <v>V2</v>
      </c>
      <c r="J702" t="s">
        <v>2782</v>
      </c>
      <c r="K702" t="str">
        <f t="shared" si="230"/>
        <v>42.243896</v>
      </c>
      <c r="L702" t="str">
        <f t="shared" si="231"/>
        <v>-88.978877</v>
      </c>
      <c r="M702">
        <v>238</v>
      </c>
      <c r="N702" s="1">
        <v>41529</v>
      </c>
      <c r="O702" s="1">
        <v>46099</v>
      </c>
      <c r="P702" s="2">
        <f t="shared" si="232"/>
        <v>12.511978097193703</v>
      </c>
      <c r="Q702" s="2" t="str">
        <f t="shared" si="233"/>
        <v>Old</v>
      </c>
      <c r="R702">
        <f t="shared" si="234"/>
        <v>1200</v>
      </c>
      <c r="S702" t="str">
        <f t="shared" si="235"/>
        <v>Small</v>
      </c>
      <c r="T702" t="str">
        <f t="shared" si="236"/>
        <v>Lower EV Adoption Corridor</v>
      </c>
      <c r="U702" s="3">
        <f t="shared" si="237"/>
        <v>1980000.0000000002</v>
      </c>
      <c r="V702" s="4">
        <f t="shared" si="238"/>
        <v>480000</v>
      </c>
      <c r="W702" s="3">
        <f t="shared" si="239"/>
        <v>6000000</v>
      </c>
      <c r="X702" s="3">
        <f t="shared" si="240"/>
        <v>3600000</v>
      </c>
      <c r="Y702">
        <f t="shared" si="241"/>
        <v>0.3</v>
      </c>
      <c r="Z702">
        <f t="shared" si="242"/>
        <v>0.75757575757575757</v>
      </c>
      <c r="AA702" t="str">
        <f t="shared" si="243"/>
        <v>Tier 4 - Stable Network</v>
      </c>
      <c r="AB702" s="3">
        <f t="shared" si="244"/>
        <v>60000</v>
      </c>
      <c r="AC702" s="3">
        <f t="shared" si="245"/>
        <v>750000</v>
      </c>
      <c r="AD702" s="3">
        <f t="shared" si="246"/>
        <v>247500.00000000003</v>
      </c>
      <c r="AE702" s="5">
        <f t="shared" si="247"/>
        <v>3.9999999999999996</v>
      </c>
      <c r="AF702" s="10">
        <f t="shared" si="248"/>
        <v>297600</v>
      </c>
      <c r="AG702" s="10">
        <f t="shared" si="249"/>
        <v>96000</v>
      </c>
      <c r="AH702" s="10">
        <f t="shared" si="250"/>
        <v>48000</v>
      </c>
      <c r="AI702" s="10">
        <f t="shared" si="251"/>
        <v>24000</v>
      </c>
      <c r="AJ702" s="10">
        <f t="shared" si="252"/>
        <v>14400</v>
      </c>
    </row>
    <row r="703" spans="1:36" x14ac:dyDescent="0.3">
      <c r="A703" t="s">
        <v>2783</v>
      </c>
      <c r="B703" t="s">
        <v>2784</v>
      </c>
      <c r="C703" t="s">
        <v>1371</v>
      </c>
      <c r="D703" t="s">
        <v>41</v>
      </c>
      <c r="E703">
        <v>33155</v>
      </c>
      <c r="F703" t="s">
        <v>15</v>
      </c>
      <c r="G703">
        <v>8</v>
      </c>
      <c r="H703">
        <v>250</v>
      </c>
      <c r="I703" t="str" cm="1">
        <f t="array" ref="I703">_xlfn.IFS(H703&lt;=120,"V1",H703&lt;=150,"V2",H703&lt;=250,"V3", H703&lt;=350, "V4")</f>
        <v>V3</v>
      </c>
      <c r="J703" t="s">
        <v>2785</v>
      </c>
      <c r="K703" t="str">
        <f t="shared" si="230"/>
        <v>25.7485018</v>
      </c>
      <c r="L703" t="str">
        <f t="shared" si="231"/>
        <v>-80.3084064</v>
      </c>
      <c r="M703">
        <v>2</v>
      </c>
      <c r="N703" s="1">
        <v>43860</v>
      </c>
      <c r="O703" s="1">
        <v>46099</v>
      </c>
      <c r="P703" s="2">
        <f t="shared" si="232"/>
        <v>6.1300479123887746</v>
      </c>
      <c r="Q703" s="2" t="str">
        <f t="shared" si="233"/>
        <v>Mid</v>
      </c>
      <c r="R703">
        <f t="shared" si="234"/>
        <v>2000</v>
      </c>
      <c r="S703" t="str">
        <f t="shared" si="235"/>
        <v>Small</v>
      </c>
      <c r="T703" t="str">
        <f t="shared" si="236"/>
        <v>High EV Adoption Corridor</v>
      </c>
      <c r="U703" s="3">
        <f t="shared" si="237"/>
        <v>4680000</v>
      </c>
      <c r="V703" s="4">
        <f t="shared" si="238"/>
        <v>1056000</v>
      </c>
      <c r="W703" s="3">
        <f t="shared" si="239"/>
        <v>13200000.000000002</v>
      </c>
      <c r="X703" s="3">
        <f t="shared" si="240"/>
        <v>9900000.0000000019</v>
      </c>
      <c r="Y703">
        <f t="shared" si="241"/>
        <v>0.23999999999999996</v>
      </c>
      <c r="Z703">
        <f t="shared" si="242"/>
        <v>0.77435897435897438</v>
      </c>
      <c r="AA703" t="str">
        <f t="shared" si="243"/>
        <v>Tier 1 - Priority Fleet</v>
      </c>
      <c r="AB703" s="3">
        <f t="shared" si="244"/>
        <v>132000</v>
      </c>
      <c r="AC703" s="3">
        <f t="shared" si="245"/>
        <v>1650000.0000000002</v>
      </c>
      <c r="AD703" s="3">
        <f t="shared" si="246"/>
        <v>585000</v>
      </c>
      <c r="AE703" s="5">
        <f t="shared" si="247"/>
        <v>3.6423841059602653</v>
      </c>
      <c r="AF703" s="10">
        <f t="shared" si="248"/>
        <v>654720</v>
      </c>
      <c r="AG703" s="10">
        <f t="shared" si="249"/>
        <v>211200</v>
      </c>
      <c r="AH703" s="10">
        <f t="shared" si="250"/>
        <v>105600</v>
      </c>
      <c r="AI703" s="10">
        <f t="shared" si="251"/>
        <v>52800</v>
      </c>
      <c r="AJ703" s="10">
        <f t="shared" si="252"/>
        <v>31680</v>
      </c>
    </row>
    <row r="704" spans="1:36" x14ac:dyDescent="0.3">
      <c r="A704" t="s">
        <v>2786</v>
      </c>
      <c r="B704" t="s">
        <v>2787</v>
      </c>
      <c r="C704" t="s">
        <v>948</v>
      </c>
      <c r="D704" t="s">
        <v>14</v>
      </c>
      <c r="E704">
        <v>95648</v>
      </c>
      <c r="F704" t="s">
        <v>15</v>
      </c>
      <c r="G704">
        <v>8</v>
      </c>
      <c r="H704">
        <v>250</v>
      </c>
      <c r="I704" t="str" cm="1">
        <f t="array" ref="I704">_xlfn.IFS(H704&lt;=120,"V1",H704&lt;=150,"V2",H704&lt;=250,"V3", H704&lt;=350, "V4")</f>
        <v>V3</v>
      </c>
      <c r="J704" t="s">
        <v>2788</v>
      </c>
      <c r="K704" t="str">
        <f t="shared" si="230"/>
        <v>38.869969</v>
      </c>
      <c r="L704" t="str">
        <f t="shared" si="231"/>
        <v>-121.303187</v>
      </c>
      <c r="M704">
        <v>44</v>
      </c>
      <c r="N704" s="1">
        <v>44119</v>
      </c>
      <c r="O704" s="1">
        <v>46099</v>
      </c>
      <c r="P704" s="2">
        <f t="shared" si="232"/>
        <v>5.420944558521561</v>
      </c>
      <c r="Q704" s="2" t="str">
        <f t="shared" si="233"/>
        <v>Mid</v>
      </c>
      <c r="R704">
        <f t="shared" si="234"/>
        <v>2000</v>
      </c>
      <c r="S704" t="str">
        <f t="shared" si="235"/>
        <v>Small</v>
      </c>
      <c r="T704" t="str">
        <f t="shared" si="236"/>
        <v>High EV Adoption Corridor</v>
      </c>
      <c r="U704" s="3">
        <f t="shared" si="237"/>
        <v>4680000</v>
      </c>
      <c r="V704" s="4">
        <f t="shared" si="238"/>
        <v>1056000</v>
      </c>
      <c r="W704" s="3">
        <f t="shared" si="239"/>
        <v>13200000.000000002</v>
      </c>
      <c r="X704" s="3">
        <f t="shared" si="240"/>
        <v>9900000.0000000019</v>
      </c>
      <c r="Y704">
        <f t="shared" si="241"/>
        <v>0.23999999999999996</v>
      </c>
      <c r="Z704">
        <f t="shared" si="242"/>
        <v>0.77435897435897438</v>
      </c>
      <c r="AA704" t="str">
        <f t="shared" si="243"/>
        <v>Tier 1 - Priority Fleet</v>
      </c>
      <c r="AB704" s="3">
        <f t="shared" si="244"/>
        <v>132000</v>
      </c>
      <c r="AC704" s="3">
        <f t="shared" si="245"/>
        <v>1650000.0000000002</v>
      </c>
      <c r="AD704" s="3">
        <f t="shared" si="246"/>
        <v>585000</v>
      </c>
      <c r="AE704" s="5">
        <f t="shared" si="247"/>
        <v>3.6423841059602653</v>
      </c>
      <c r="AF704" s="10">
        <f t="shared" si="248"/>
        <v>654720</v>
      </c>
      <c r="AG704" s="10">
        <f t="shared" si="249"/>
        <v>211200</v>
      </c>
      <c r="AH704" s="10">
        <f t="shared" si="250"/>
        <v>105600</v>
      </c>
      <c r="AI704" s="10">
        <f t="shared" si="251"/>
        <v>52800</v>
      </c>
      <c r="AJ704" s="10">
        <f t="shared" si="252"/>
        <v>31680</v>
      </c>
    </row>
    <row r="705" spans="1:36" x14ac:dyDescent="0.3">
      <c r="A705" t="s">
        <v>2789</v>
      </c>
      <c r="B705" t="s">
        <v>2790</v>
      </c>
      <c r="C705" t="s">
        <v>1238</v>
      </c>
      <c r="D705" t="s">
        <v>14</v>
      </c>
      <c r="E705">
        <v>95822</v>
      </c>
      <c r="F705" t="s">
        <v>15</v>
      </c>
      <c r="G705">
        <v>8</v>
      </c>
      <c r="H705">
        <v>250</v>
      </c>
      <c r="I705" t="str" cm="1">
        <f t="array" ref="I705">_xlfn.IFS(H705&lt;=120,"V1",H705&lt;=150,"V2",H705&lt;=250,"V3", H705&lt;=350, "V4")</f>
        <v>V3</v>
      </c>
      <c r="J705" t="s">
        <v>2791</v>
      </c>
      <c r="K705" t="str">
        <f t="shared" si="230"/>
        <v>38.533691</v>
      </c>
      <c r="L705" t="str">
        <f t="shared" si="231"/>
        <v>-121.4961</v>
      </c>
      <c r="M705">
        <v>6</v>
      </c>
      <c r="N705" s="1">
        <v>44104</v>
      </c>
      <c r="O705" s="1">
        <v>46099</v>
      </c>
      <c r="P705" s="2">
        <f t="shared" si="232"/>
        <v>5.462012320328542</v>
      </c>
      <c r="Q705" s="2" t="str">
        <f t="shared" si="233"/>
        <v>Mid</v>
      </c>
      <c r="R705">
        <f t="shared" si="234"/>
        <v>2000</v>
      </c>
      <c r="S705" t="str">
        <f t="shared" si="235"/>
        <v>Small</v>
      </c>
      <c r="T705" t="str">
        <f t="shared" si="236"/>
        <v>High EV Adoption Corridor</v>
      </c>
      <c r="U705" s="3">
        <f t="shared" si="237"/>
        <v>4680000</v>
      </c>
      <c r="V705" s="4">
        <f t="shared" si="238"/>
        <v>1056000</v>
      </c>
      <c r="W705" s="3">
        <f t="shared" si="239"/>
        <v>13200000.000000002</v>
      </c>
      <c r="X705" s="3">
        <f t="shared" si="240"/>
        <v>9900000.0000000019</v>
      </c>
      <c r="Y705">
        <f t="shared" si="241"/>
        <v>0.23999999999999996</v>
      </c>
      <c r="Z705">
        <f t="shared" si="242"/>
        <v>0.77435897435897438</v>
      </c>
      <c r="AA705" t="str">
        <f t="shared" si="243"/>
        <v>Tier 1 - Priority Fleet</v>
      </c>
      <c r="AB705" s="3">
        <f t="shared" si="244"/>
        <v>132000</v>
      </c>
      <c r="AC705" s="3">
        <f t="shared" si="245"/>
        <v>1650000.0000000002</v>
      </c>
      <c r="AD705" s="3">
        <f t="shared" si="246"/>
        <v>585000</v>
      </c>
      <c r="AE705" s="5">
        <f t="shared" si="247"/>
        <v>3.6423841059602653</v>
      </c>
      <c r="AF705" s="10">
        <f t="shared" si="248"/>
        <v>654720</v>
      </c>
      <c r="AG705" s="10">
        <f t="shared" si="249"/>
        <v>211200</v>
      </c>
      <c r="AH705" s="10">
        <f t="shared" si="250"/>
        <v>105600</v>
      </c>
      <c r="AI705" s="10">
        <f t="shared" si="251"/>
        <v>52800</v>
      </c>
      <c r="AJ705" s="10">
        <f t="shared" si="252"/>
        <v>31680</v>
      </c>
    </row>
    <row r="706" spans="1:36" x14ac:dyDescent="0.3">
      <c r="A706" t="s">
        <v>2792</v>
      </c>
      <c r="B706" t="s">
        <v>2793</v>
      </c>
      <c r="C706" t="s">
        <v>2794</v>
      </c>
      <c r="D706" t="s">
        <v>98</v>
      </c>
      <c r="E706">
        <v>6820</v>
      </c>
      <c r="F706" t="s">
        <v>15</v>
      </c>
      <c r="G706">
        <v>12</v>
      </c>
      <c r="H706">
        <v>250</v>
      </c>
      <c r="I706" t="str" cm="1">
        <f t="array" ref="I706">_xlfn.IFS(H706&lt;=120,"V1",H706&lt;=150,"V2",H706&lt;=250,"V3", H706&lt;=350, "V4")</f>
        <v>V3</v>
      </c>
      <c r="J706" t="s">
        <v>2795</v>
      </c>
      <c r="K706" t="str">
        <f t="shared" si="230"/>
        <v>41.067299</v>
      </c>
      <c r="L706" t="str">
        <f t="shared" si="231"/>
        <v>-73.504926</v>
      </c>
      <c r="M706">
        <v>18</v>
      </c>
      <c r="N706" s="1">
        <v>41444</v>
      </c>
      <c r="O706" s="1">
        <v>46099</v>
      </c>
      <c r="P706" s="2">
        <f t="shared" si="232"/>
        <v>12.744695414099931</v>
      </c>
      <c r="Q706" s="2" t="str">
        <f t="shared" si="233"/>
        <v>Old</v>
      </c>
      <c r="R706">
        <f t="shared" si="234"/>
        <v>3000</v>
      </c>
      <c r="S706" t="str">
        <f t="shared" si="235"/>
        <v>Small</v>
      </c>
      <c r="T706" t="str">
        <f t="shared" si="236"/>
        <v>Lower EV Adoption Corridor</v>
      </c>
      <c r="U706" s="3">
        <f t="shared" si="237"/>
        <v>5400000</v>
      </c>
      <c r="V706" s="4">
        <f t="shared" si="238"/>
        <v>1320000</v>
      </c>
      <c r="W706" s="3">
        <f t="shared" si="239"/>
        <v>18000000</v>
      </c>
      <c r="X706" s="3">
        <f t="shared" si="240"/>
        <v>9900000</v>
      </c>
      <c r="Y706">
        <f t="shared" si="241"/>
        <v>0.31515151515151513</v>
      </c>
      <c r="Z706">
        <f t="shared" si="242"/>
        <v>0.75555555555555554</v>
      </c>
      <c r="AA706" t="str">
        <f t="shared" si="243"/>
        <v>Tier 2 - Growth Markets</v>
      </c>
      <c r="AB706" s="3">
        <f t="shared" si="244"/>
        <v>110000</v>
      </c>
      <c r="AC706" s="3">
        <f t="shared" si="245"/>
        <v>1500000</v>
      </c>
      <c r="AD706" s="3">
        <f t="shared" si="246"/>
        <v>450000</v>
      </c>
      <c r="AE706" s="5">
        <f t="shared" si="247"/>
        <v>4.4117647058823533</v>
      </c>
      <c r="AF706" s="10">
        <f t="shared" si="248"/>
        <v>818400</v>
      </c>
      <c r="AG706" s="10">
        <f t="shared" si="249"/>
        <v>264000</v>
      </c>
      <c r="AH706" s="10">
        <f t="shared" si="250"/>
        <v>132000</v>
      </c>
      <c r="AI706" s="10">
        <f t="shared" si="251"/>
        <v>66000</v>
      </c>
      <c r="AJ706" s="10">
        <f t="shared" si="252"/>
        <v>39600</v>
      </c>
    </row>
    <row r="707" spans="1:36" x14ac:dyDescent="0.3">
      <c r="A707" t="s">
        <v>2796</v>
      </c>
      <c r="B707" t="s">
        <v>2797</v>
      </c>
      <c r="C707" t="s">
        <v>823</v>
      </c>
      <c r="D707" t="s">
        <v>433</v>
      </c>
      <c r="E707">
        <v>89503</v>
      </c>
      <c r="F707" t="s">
        <v>15</v>
      </c>
      <c r="G707">
        <v>16</v>
      </c>
      <c r="H707">
        <v>250</v>
      </c>
      <c r="I707" t="str" cm="1">
        <f t="array" ref="I707">_xlfn.IFS(H707&lt;=120,"V1",H707&lt;=150,"V2",H707&lt;=250,"V3", H707&lt;=350, "V4")</f>
        <v>V3</v>
      </c>
      <c r="J707" t="s">
        <v>2798</v>
      </c>
      <c r="K707" t="str">
        <f t="shared" ref="K707:K770" si="253">TRIM(LEFT(J707, FIND(",", J707) - 1))</f>
        <v>39.529389</v>
      </c>
      <c r="L707" t="str">
        <f t="shared" ref="L707:L770" si="254">TRIM(MID(J707, FIND(",", J707) + 1, LEN(J707)))</f>
        <v>-119.815667</v>
      </c>
      <c r="M707">
        <v>1374</v>
      </c>
      <c r="N707" s="1">
        <v>43823</v>
      </c>
      <c r="O707" s="1">
        <v>46099</v>
      </c>
      <c r="P707" s="2">
        <f t="shared" ref="P707:P770" si="255">(O707-N707)/365.25</f>
        <v>6.2313483915126628</v>
      </c>
      <c r="Q707" s="2" t="str">
        <f t="shared" ref="Q707:Q770" si="256">IF(P707&lt;3,"New",IF(P707&lt;=8,"Mid","Old"))</f>
        <v>Mid</v>
      </c>
      <c r="R707">
        <f t="shared" ref="R707:R770" si="257">G707*H707</f>
        <v>4000</v>
      </c>
      <c r="S707" t="str">
        <f t="shared" ref="S707:S770" si="258">IF(G707&lt;=30,"Small",IF(G707&lt;=60,"Medium","Large"))</f>
        <v>Small</v>
      </c>
      <c r="T707" t="str">
        <f t="shared" ref="T707:T770" si="259">IF(OR(D707="CA",D707="FL",D707="WA",D707="CO",D707="TX",D707="NJ"),"High EV Adoption Corridor","Lower EV Adoption Corridor")</f>
        <v>Lower EV Adoption Corridor</v>
      </c>
      <c r="U707" s="3">
        <f t="shared" ref="U707:U770" si="260" xml:space="preserve"> R707 * 1500 *
  IF(I707="V1",1,
     IF(I707="V2",1.1,1.2)) *
  IF(T707="High EV Adoption Corridor",1.3,1)</f>
        <v>7200000</v>
      </c>
      <c r="V707" s="4">
        <f t="shared" ref="V707:V770" si="261" xml:space="preserve"> R707 * 400 *
  IF(I707="V1",0.9,
     IF(I707="V2",1,1.1)) *
  IF(T707="High EV Adoption Corridor",1.2,1)</f>
        <v>1760000.0000000002</v>
      </c>
      <c r="W707" s="3">
        <f t="shared" ref="W707:W770" si="262" xml:space="preserve"> R707 * 5000 *
  IF(I707="V1",0.8,
     IF(I707="V2",1,1.2)) *
  IF(T707="High EV Adoption Corridor",1.1,1)</f>
        <v>24000000</v>
      </c>
      <c r="X707" s="3">
        <f t="shared" ref="X707:X770" si="263" xml:space="preserve"> R707 * 3000 *
  IF(I707="V1",0.9,
     IF(I707="V2",1,1.1)) *
  IF(T707="High EV Adoption Corridor",1.5,1)</f>
        <v>13200000.000000002</v>
      </c>
      <c r="Y707">
        <f t="shared" ref="Y707:Y770" si="264" xml:space="preserve"> ((W707/10) + V707) / X707</f>
        <v>0.31515151515151513</v>
      </c>
      <c r="Z707">
        <f t="shared" ref="Z707:Z770" si="265">(U707-V707)/U707</f>
        <v>0.75555555555555554</v>
      </c>
      <c r="AA707" t="str">
        <f t="shared" ref="AA707:AA770" si="266">IF(AND(I707="V3",T707="High EV Adoption Corridor"),
"Tier 1 - Priority Fleet",
IF(AND(I707="V3",T707="Lower EV Adoption Corridor"),
"Tier 2 - Growth Markets",
IF(AND(OR(I707="V1",I707="V2"),T707="High EV Adoption Corridor"),
"Tier 3 - Upgrade Pipeline",
IF(AND(I707="V2",T707="Lower EV Adoption Corridor"),
"Tier 4 - Stable Network",
"Tier 5 - Retirement Pipeline"))))</f>
        <v>Tier 2 - Growth Markets</v>
      </c>
      <c r="AB707" s="3">
        <f t="shared" ref="AB707:AB770" si="267">V707/G707</f>
        <v>110000.00000000001</v>
      </c>
      <c r="AC707" s="3">
        <f t="shared" ref="AC707:AC770" si="268">W707/G707</f>
        <v>1500000</v>
      </c>
      <c r="AD707" s="3">
        <f t="shared" ref="AD707:AD770" si="269">U707/G707</f>
        <v>450000</v>
      </c>
      <c r="AE707" s="5">
        <f t="shared" ref="AE707:AE770" si="270">W707/(U707-V707)</f>
        <v>4.4117647058823533</v>
      </c>
      <c r="AF707" s="10">
        <f t="shared" ref="AF707:AF770" si="271">V707*0.62</f>
        <v>1091200.0000000002</v>
      </c>
      <c r="AG707" s="10">
        <f t="shared" ref="AG707:AG770" si="272">V707*0.2</f>
        <v>352000.00000000006</v>
      </c>
      <c r="AH707" s="10">
        <f t="shared" ref="AH707:AH770" si="273">V707*0.1</f>
        <v>176000.00000000003</v>
      </c>
      <c r="AI707" s="10">
        <f t="shared" ref="AI707:AI770" si="274">V707*0.05</f>
        <v>88000.000000000015</v>
      </c>
      <c r="AJ707" s="10">
        <f t="shared" ref="AJ707:AJ770" si="275">V707*0.03</f>
        <v>52800.000000000007</v>
      </c>
    </row>
    <row r="708" spans="1:36" x14ac:dyDescent="0.3">
      <c r="A708" t="s">
        <v>2799</v>
      </c>
      <c r="B708" t="s">
        <v>2800</v>
      </c>
      <c r="C708" t="s">
        <v>2801</v>
      </c>
      <c r="D708" t="s">
        <v>281</v>
      </c>
      <c r="E708">
        <v>59404</v>
      </c>
      <c r="F708" t="s">
        <v>15</v>
      </c>
      <c r="G708">
        <v>8</v>
      </c>
      <c r="H708">
        <v>250</v>
      </c>
      <c r="I708" t="str" cm="1">
        <f t="array" ref="I708">_xlfn.IFS(H708&lt;=120,"V1",H708&lt;=150,"V2",H708&lt;=250,"V3", H708&lt;=350, "V4")</f>
        <v>V3</v>
      </c>
      <c r="J708" t="s">
        <v>2802</v>
      </c>
      <c r="K708" t="str">
        <f t="shared" si="253"/>
        <v>47.48295</v>
      </c>
      <c r="L708" t="str">
        <f t="shared" si="254"/>
        <v>-111.337681</v>
      </c>
      <c r="M708">
        <v>1023</v>
      </c>
      <c r="N708" s="1">
        <v>44009</v>
      </c>
      <c r="O708" s="1">
        <v>46099</v>
      </c>
      <c r="P708" s="2">
        <f t="shared" si="255"/>
        <v>5.722108145106092</v>
      </c>
      <c r="Q708" s="2" t="str">
        <f t="shared" si="256"/>
        <v>Mid</v>
      </c>
      <c r="R708">
        <f t="shared" si="257"/>
        <v>2000</v>
      </c>
      <c r="S708" t="str">
        <f t="shared" si="258"/>
        <v>Small</v>
      </c>
      <c r="T708" t="str">
        <f t="shared" si="259"/>
        <v>Lower EV Adoption Corridor</v>
      </c>
      <c r="U708" s="3">
        <f t="shared" si="260"/>
        <v>3600000</v>
      </c>
      <c r="V708" s="4">
        <f t="shared" si="261"/>
        <v>880000.00000000012</v>
      </c>
      <c r="W708" s="3">
        <f t="shared" si="262"/>
        <v>12000000</v>
      </c>
      <c r="X708" s="3">
        <f t="shared" si="263"/>
        <v>6600000.0000000009</v>
      </c>
      <c r="Y708">
        <f t="shared" si="264"/>
        <v>0.31515151515151513</v>
      </c>
      <c r="Z708">
        <f t="shared" si="265"/>
        <v>0.75555555555555554</v>
      </c>
      <c r="AA708" t="str">
        <f t="shared" si="266"/>
        <v>Tier 2 - Growth Markets</v>
      </c>
      <c r="AB708" s="3">
        <f t="shared" si="267"/>
        <v>110000.00000000001</v>
      </c>
      <c r="AC708" s="3">
        <f t="shared" si="268"/>
        <v>1500000</v>
      </c>
      <c r="AD708" s="3">
        <f t="shared" si="269"/>
        <v>450000</v>
      </c>
      <c r="AE708" s="5">
        <f t="shared" si="270"/>
        <v>4.4117647058823533</v>
      </c>
      <c r="AF708" s="10">
        <f t="shared" si="271"/>
        <v>545600.00000000012</v>
      </c>
      <c r="AG708" s="10">
        <f t="shared" si="272"/>
        <v>176000.00000000003</v>
      </c>
      <c r="AH708" s="10">
        <f t="shared" si="273"/>
        <v>88000.000000000015</v>
      </c>
      <c r="AI708" s="10">
        <f t="shared" si="274"/>
        <v>44000.000000000007</v>
      </c>
      <c r="AJ708" s="10">
        <f t="shared" si="275"/>
        <v>26400.000000000004</v>
      </c>
    </row>
    <row r="709" spans="1:36" x14ac:dyDescent="0.3">
      <c r="A709" t="s">
        <v>2803</v>
      </c>
      <c r="B709" t="s">
        <v>2804</v>
      </c>
      <c r="C709" t="s">
        <v>2805</v>
      </c>
      <c r="D709" t="s">
        <v>281</v>
      </c>
      <c r="E709">
        <v>59301</v>
      </c>
      <c r="F709" t="s">
        <v>15</v>
      </c>
      <c r="G709">
        <v>8</v>
      </c>
      <c r="H709">
        <v>250</v>
      </c>
      <c r="I709" t="str" cm="1">
        <f t="array" ref="I709">_xlfn.IFS(H709&lt;=120,"V1",H709&lt;=150,"V2",H709&lt;=250,"V3", H709&lt;=350, "V4")</f>
        <v>V3</v>
      </c>
      <c r="J709" t="s">
        <v>2806</v>
      </c>
      <c r="K709" t="str">
        <f t="shared" si="253"/>
        <v>46.390475</v>
      </c>
      <c r="L709" t="str">
        <f t="shared" si="254"/>
        <v>-105.823359</v>
      </c>
      <c r="M709">
        <v>732</v>
      </c>
      <c r="N709" s="1">
        <v>44000</v>
      </c>
      <c r="O709" s="1">
        <v>46099</v>
      </c>
      <c r="P709" s="2">
        <f t="shared" si="255"/>
        <v>5.7467488021902806</v>
      </c>
      <c r="Q709" s="2" t="str">
        <f t="shared" si="256"/>
        <v>Mid</v>
      </c>
      <c r="R709">
        <f t="shared" si="257"/>
        <v>2000</v>
      </c>
      <c r="S709" t="str">
        <f t="shared" si="258"/>
        <v>Small</v>
      </c>
      <c r="T709" t="str">
        <f t="shared" si="259"/>
        <v>Lower EV Adoption Corridor</v>
      </c>
      <c r="U709" s="3">
        <f t="shared" si="260"/>
        <v>3600000</v>
      </c>
      <c r="V709" s="4">
        <f t="shared" si="261"/>
        <v>880000.00000000012</v>
      </c>
      <c r="W709" s="3">
        <f t="shared" si="262"/>
        <v>12000000</v>
      </c>
      <c r="X709" s="3">
        <f t="shared" si="263"/>
        <v>6600000.0000000009</v>
      </c>
      <c r="Y709">
        <f t="shared" si="264"/>
        <v>0.31515151515151513</v>
      </c>
      <c r="Z709">
        <f t="shared" si="265"/>
        <v>0.75555555555555554</v>
      </c>
      <c r="AA709" t="str">
        <f t="shared" si="266"/>
        <v>Tier 2 - Growth Markets</v>
      </c>
      <c r="AB709" s="3">
        <f t="shared" si="267"/>
        <v>110000.00000000001</v>
      </c>
      <c r="AC709" s="3">
        <f t="shared" si="268"/>
        <v>1500000</v>
      </c>
      <c r="AD709" s="3">
        <f t="shared" si="269"/>
        <v>450000</v>
      </c>
      <c r="AE709" s="5">
        <f t="shared" si="270"/>
        <v>4.4117647058823533</v>
      </c>
      <c r="AF709" s="10">
        <f t="shared" si="271"/>
        <v>545600.00000000012</v>
      </c>
      <c r="AG709" s="10">
        <f t="shared" si="272"/>
        <v>176000.00000000003</v>
      </c>
      <c r="AH709" s="10">
        <f t="shared" si="273"/>
        <v>88000.000000000015</v>
      </c>
      <c r="AI709" s="10">
        <f t="shared" si="274"/>
        <v>44000.000000000007</v>
      </c>
      <c r="AJ709" s="10">
        <f t="shared" si="275"/>
        <v>26400.000000000004</v>
      </c>
    </row>
    <row r="710" spans="1:36" x14ac:dyDescent="0.3">
      <c r="A710" t="s">
        <v>2807</v>
      </c>
      <c r="B710" t="s">
        <v>2808</v>
      </c>
      <c r="C710" t="s">
        <v>2809</v>
      </c>
      <c r="D710" t="s">
        <v>28</v>
      </c>
      <c r="E710">
        <v>30009</v>
      </c>
      <c r="F710" t="s">
        <v>15</v>
      </c>
      <c r="G710">
        <v>10</v>
      </c>
      <c r="H710">
        <v>72</v>
      </c>
      <c r="I710" t="str" cm="1">
        <f t="array" ref="I710">_xlfn.IFS(H710&lt;=120,"V1",H710&lt;=150,"V2",H710&lt;=250,"V3", H710&lt;=350, "V4")</f>
        <v>V1</v>
      </c>
      <c r="J710" t="s">
        <v>2810</v>
      </c>
      <c r="K710" t="str">
        <f t="shared" si="253"/>
        <v>34.071582</v>
      </c>
      <c r="L710" t="str">
        <f t="shared" si="254"/>
        <v>-84.275404</v>
      </c>
      <c r="M710">
        <v>336</v>
      </c>
      <c r="N710" s="1">
        <v>43838</v>
      </c>
      <c r="O710" s="1">
        <v>46099</v>
      </c>
      <c r="P710" s="2">
        <f t="shared" si="255"/>
        <v>6.1902806297056809</v>
      </c>
      <c r="Q710" s="2" t="str">
        <f t="shared" si="256"/>
        <v>Mid</v>
      </c>
      <c r="R710">
        <f t="shared" si="257"/>
        <v>720</v>
      </c>
      <c r="S710" t="str">
        <f t="shared" si="258"/>
        <v>Small</v>
      </c>
      <c r="T710" t="str">
        <f t="shared" si="259"/>
        <v>Lower EV Adoption Corridor</v>
      </c>
      <c r="U710" s="3">
        <f t="shared" si="260"/>
        <v>1080000</v>
      </c>
      <c r="V710" s="4">
        <f t="shared" si="261"/>
        <v>259200</v>
      </c>
      <c r="W710" s="3">
        <f t="shared" si="262"/>
        <v>2880000</v>
      </c>
      <c r="X710" s="3">
        <f t="shared" si="263"/>
        <v>1944000</v>
      </c>
      <c r="Y710">
        <f t="shared" si="264"/>
        <v>0.2814814814814815</v>
      </c>
      <c r="Z710">
        <f t="shared" si="265"/>
        <v>0.76</v>
      </c>
      <c r="AA710" t="str">
        <f t="shared" si="266"/>
        <v>Tier 5 - Retirement Pipeline</v>
      </c>
      <c r="AB710" s="3">
        <f t="shared" si="267"/>
        <v>25920</v>
      </c>
      <c r="AC710" s="3">
        <f t="shared" si="268"/>
        <v>288000</v>
      </c>
      <c r="AD710" s="3">
        <f t="shared" si="269"/>
        <v>108000</v>
      </c>
      <c r="AE710" s="5">
        <f t="shared" si="270"/>
        <v>3.5087719298245612</v>
      </c>
      <c r="AF710" s="10">
        <f t="shared" si="271"/>
        <v>160704</v>
      </c>
      <c r="AG710" s="10">
        <f t="shared" si="272"/>
        <v>51840</v>
      </c>
      <c r="AH710" s="10">
        <f t="shared" si="273"/>
        <v>25920</v>
      </c>
      <c r="AI710" s="10">
        <f t="shared" si="274"/>
        <v>12960</v>
      </c>
      <c r="AJ710" s="10">
        <f t="shared" si="275"/>
        <v>7776</v>
      </c>
    </row>
    <row r="711" spans="1:36" x14ac:dyDescent="0.3">
      <c r="A711" t="s">
        <v>2811</v>
      </c>
      <c r="B711" t="s">
        <v>2812</v>
      </c>
      <c r="C711" t="s">
        <v>2813</v>
      </c>
      <c r="D711" t="s">
        <v>59</v>
      </c>
      <c r="E711">
        <v>60062</v>
      </c>
      <c r="F711" t="s">
        <v>15</v>
      </c>
      <c r="G711">
        <v>8</v>
      </c>
      <c r="H711">
        <v>250</v>
      </c>
      <c r="I711" t="str" cm="1">
        <f t="array" ref="I711">_xlfn.IFS(H711&lt;=120,"V1",H711&lt;=150,"V2",H711&lt;=250,"V3", H711&lt;=350, "V4")</f>
        <v>V3</v>
      </c>
      <c r="J711" t="s">
        <v>2814</v>
      </c>
      <c r="K711" t="str">
        <f t="shared" si="253"/>
        <v>42.107745</v>
      </c>
      <c r="L711" t="str">
        <f t="shared" si="254"/>
        <v>-87.802496</v>
      </c>
      <c r="M711">
        <v>195</v>
      </c>
      <c r="N711" s="1">
        <v>43908</v>
      </c>
      <c r="O711" s="1">
        <v>46099</v>
      </c>
      <c r="P711" s="2">
        <f t="shared" si="255"/>
        <v>5.9986310746064335</v>
      </c>
      <c r="Q711" s="2" t="str">
        <f t="shared" si="256"/>
        <v>Mid</v>
      </c>
      <c r="R711">
        <f t="shared" si="257"/>
        <v>2000</v>
      </c>
      <c r="S711" t="str">
        <f t="shared" si="258"/>
        <v>Small</v>
      </c>
      <c r="T711" t="str">
        <f t="shared" si="259"/>
        <v>Lower EV Adoption Corridor</v>
      </c>
      <c r="U711" s="3">
        <f t="shared" si="260"/>
        <v>3600000</v>
      </c>
      <c r="V711" s="4">
        <f t="shared" si="261"/>
        <v>880000.00000000012</v>
      </c>
      <c r="W711" s="3">
        <f t="shared" si="262"/>
        <v>12000000</v>
      </c>
      <c r="X711" s="3">
        <f t="shared" si="263"/>
        <v>6600000.0000000009</v>
      </c>
      <c r="Y711">
        <f t="shared" si="264"/>
        <v>0.31515151515151513</v>
      </c>
      <c r="Z711">
        <f t="shared" si="265"/>
        <v>0.75555555555555554</v>
      </c>
      <c r="AA711" t="str">
        <f t="shared" si="266"/>
        <v>Tier 2 - Growth Markets</v>
      </c>
      <c r="AB711" s="3">
        <f t="shared" si="267"/>
        <v>110000.00000000001</v>
      </c>
      <c r="AC711" s="3">
        <f t="shared" si="268"/>
        <v>1500000</v>
      </c>
      <c r="AD711" s="3">
        <f t="shared" si="269"/>
        <v>450000</v>
      </c>
      <c r="AE711" s="5">
        <f t="shared" si="270"/>
        <v>4.4117647058823533</v>
      </c>
      <c r="AF711" s="10">
        <f t="shared" si="271"/>
        <v>545600.00000000012</v>
      </c>
      <c r="AG711" s="10">
        <f t="shared" si="272"/>
        <v>176000.00000000003</v>
      </c>
      <c r="AH711" s="10">
        <f t="shared" si="273"/>
        <v>88000.000000000015</v>
      </c>
      <c r="AI711" s="10">
        <f t="shared" si="274"/>
        <v>44000.000000000007</v>
      </c>
      <c r="AJ711" s="10">
        <f t="shared" si="275"/>
        <v>26400.000000000004</v>
      </c>
    </row>
    <row r="712" spans="1:36" x14ac:dyDescent="0.3">
      <c r="A712" t="s">
        <v>2815</v>
      </c>
      <c r="B712" t="s">
        <v>2816</v>
      </c>
      <c r="C712" t="s">
        <v>2817</v>
      </c>
      <c r="D712" t="s">
        <v>321</v>
      </c>
      <c r="E712">
        <v>2151</v>
      </c>
      <c r="F712" t="s">
        <v>15</v>
      </c>
      <c r="G712">
        <v>8</v>
      </c>
      <c r="H712">
        <v>250</v>
      </c>
      <c r="I712" t="str" cm="1">
        <f t="array" ref="I712">_xlfn.IFS(H712&lt;=120,"V1",H712&lt;=150,"V2",H712&lt;=250,"V3", H712&lt;=350, "V4")</f>
        <v>V3</v>
      </c>
      <c r="J712" t="s">
        <v>2818</v>
      </c>
      <c r="K712" t="str">
        <f t="shared" si="253"/>
        <v>42.398547</v>
      </c>
      <c r="L712" t="str">
        <f t="shared" si="254"/>
        <v>-71.00021</v>
      </c>
      <c r="M712">
        <v>3</v>
      </c>
      <c r="N712" s="1">
        <v>43932</v>
      </c>
      <c r="O712" s="1">
        <v>46099</v>
      </c>
      <c r="P712" s="2">
        <f t="shared" si="255"/>
        <v>5.9329226557152639</v>
      </c>
      <c r="Q712" s="2" t="str">
        <f t="shared" si="256"/>
        <v>Mid</v>
      </c>
      <c r="R712">
        <f t="shared" si="257"/>
        <v>2000</v>
      </c>
      <c r="S712" t="str">
        <f t="shared" si="258"/>
        <v>Small</v>
      </c>
      <c r="T712" t="str">
        <f t="shared" si="259"/>
        <v>Lower EV Adoption Corridor</v>
      </c>
      <c r="U712" s="3">
        <f t="shared" si="260"/>
        <v>3600000</v>
      </c>
      <c r="V712" s="4">
        <f t="shared" si="261"/>
        <v>880000.00000000012</v>
      </c>
      <c r="W712" s="3">
        <f t="shared" si="262"/>
        <v>12000000</v>
      </c>
      <c r="X712" s="3">
        <f t="shared" si="263"/>
        <v>6600000.0000000009</v>
      </c>
      <c r="Y712">
        <f t="shared" si="264"/>
        <v>0.31515151515151513</v>
      </c>
      <c r="Z712">
        <f t="shared" si="265"/>
        <v>0.75555555555555554</v>
      </c>
      <c r="AA712" t="str">
        <f t="shared" si="266"/>
        <v>Tier 2 - Growth Markets</v>
      </c>
      <c r="AB712" s="3">
        <f t="shared" si="267"/>
        <v>110000.00000000001</v>
      </c>
      <c r="AC712" s="3">
        <f t="shared" si="268"/>
        <v>1500000</v>
      </c>
      <c r="AD712" s="3">
        <f t="shared" si="269"/>
        <v>450000</v>
      </c>
      <c r="AE712" s="5">
        <f t="shared" si="270"/>
        <v>4.4117647058823533</v>
      </c>
      <c r="AF712" s="10">
        <f t="shared" si="271"/>
        <v>545600.00000000012</v>
      </c>
      <c r="AG712" s="10">
        <f t="shared" si="272"/>
        <v>176000.00000000003</v>
      </c>
      <c r="AH712" s="10">
        <f t="shared" si="273"/>
        <v>88000.000000000015</v>
      </c>
      <c r="AI712" s="10">
        <f t="shared" si="274"/>
        <v>44000.000000000007</v>
      </c>
      <c r="AJ712" s="10">
        <f t="shared" si="275"/>
        <v>26400.000000000004</v>
      </c>
    </row>
    <row r="713" spans="1:36" x14ac:dyDescent="0.3">
      <c r="A713" t="s">
        <v>2819</v>
      </c>
      <c r="B713" t="s">
        <v>2820</v>
      </c>
      <c r="C713" t="s">
        <v>541</v>
      </c>
      <c r="D713" t="s">
        <v>14</v>
      </c>
      <c r="E713">
        <v>93501</v>
      </c>
      <c r="F713" t="s">
        <v>15</v>
      </c>
      <c r="G713">
        <v>12</v>
      </c>
      <c r="H713">
        <v>250</v>
      </c>
      <c r="I713" t="str" cm="1">
        <f t="array" ref="I713">_xlfn.IFS(H713&lt;=120,"V1",H713&lt;=150,"V2",H713&lt;=250,"V3", H713&lt;=350, "V4")</f>
        <v>V3</v>
      </c>
      <c r="J713" t="s">
        <v>2821</v>
      </c>
      <c r="K713" t="str">
        <f t="shared" si="253"/>
        <v>35.056876</v>
      </c>
      <c r="L713" t="str">
        <f t="shared" si="254"/>
        <v>-118.174706</v>
      </c>
      <c r="M713">
        <v>845</v>
      </c>
      <c r="N713" s="1">
        <v>44791</v>
      </c>
      <c r="O713" s="1">
        <v>46099</v>
      </c>
      <c r="P713" s="2">
        <f t="shared" si="255"/>
        <v>3.5811088295687883</v>
      </c>
      <c r="Q713" s="2" t="str">
        <f t="shared" si="256"/>
        <v>Mid</v>
      </c>
      <c r="R713">
        <f t="shared" si="257"/>
        <v>3000</v>
      </c>
      <c r="S713" t="str">
        <f t="shared" si="258"/>
        <v>Small</v>
      </c>
      <c r="T713" t="str">
        <f t="shared" si="259"/>
        <v>High EV Adoption Corridor</v>
      </c>
      <c r="U713" s="3">
        <f t="shared" si="260"/>
        <v>7020000</v>
      </c>
      <c r="V713" s="4">
        <f t="shared" si="261"/>
        <v>1584000</v>
      </c>
      <c r="W713" s="3">
        <f t="shared" si="262"/>
        <v>19800000</v>
      </c>
      <c r="X713" s="3">
        <f t="shared" si="263"/>
        <v>14850000</v>
      </c>
      <c r="Y713">
        <f t="shared" si="264"/>
        <v>0.24</v>
      </c>
      <c r="Z713">
        <f t="shared" si="265"/>
        <v>0.77435897435897438</v>
      </c>
      <c r="AA713" t="str">
        <f t="shared" si="266"/>
        <v>Tier 1 - Priority Fleet</v>
      </c>
      <c r="AB713" s="3">
        <f t="shared" si="267"/>
        <v>132000</v>
      </c>
      <c r="AC713" s="3">
        <f t="shared" si="268"/>
        <v>1650000</v>
      </c>
      <c r="AD713" s="3">
        <f t="shared" si="269"/>
        <v>585000</v>
      </c>
      <c r="AE713" s="5">
        <f t="shared" si="270"/>
        <v>3.6423841059602649</v>
      </c>
      <c r="AF713" s="10">
        <f t="shared" si="271"/>
        <v>982080</v>
      </c>
      <c r="AG713" s="10">
        <f t="shared" si="272"/>
        <v>316800</v>
      </c>
      <c r="AH713" s="10">
        <f t="shared" si="273"/>
        <v>158400</v>
      </c>
      <c r="AI713" s="10">
        <f t="shared" si="274"/>
        <v>79200</v>
      </c>
      <c r="AJ713" s="10">
        <f t="shared" si="275"/>
        <v>47520</v>
      </c>
    </row>
    <row r="714" spans="1:36" x14ac:dyDescent="0.3">
      <c r="A714" t="s">
        <v>2822</v>
      </c>
      <c r="B714" t="s">
        <v>2823</v>
      </c>
      <c r="C714" t="s">
        <v>362</v>
      </c>
      <c r="D714" t="s">
        <v>230</v>
      </c>
      <c r="E714">
        <v>98001</v>
      </c>
      <c r="F714" t="s">
        <v>15</v>
      </c>
      <c r="G714">
        <v>12</v>
      </c>
      <c r="H714">
        <v>150</v>
      </c>
      <c r="I714" t="str" cm="1">
        <f t="array" ref="I714">_xlfn.IFS(H714&lt;=120,"V1",H714&lt;=150,"V2",H714&lt;=250,"V3", H714&lt;=350, "V4")</f>
        <v>V2</v>
      </c>
      <c r="J714" t="s">
        <v>2824</v>
      </c>
      <c r="K714" t="str">
        <f t="shared" si="253"/>
        <v>47.297976</v>
      </c>
      <c r="L714" t="str">
        <f t="shared" si="254"/>
        <v>-122.248274</v>
      </c>
      <c r="M714">
        <v>25</v>
      </c>
      <c r="N714" s="1">
        <v>43760</v>
      </c>
      <c r="O714" s="1">
        <v>46099</v>
      </c>
      <c r="P714" s="2">
        <f t="shared" si="255"/>
        <v>6.4038329911019849</v>
      </c>
      <c r="Q714" s="2" t="str">
        <f t="shared" si="256"/>
        <v>Mid</v>
      </c>
      <c r="R714">
        <f t="shared" si="257"/>
        <v>1800</v>
      </c>
      <c r="S714" t="str">
        <f t="shared" si="258"/>
        <v>Small</v>
      </c>
      <c r="T714" t="str">
        <f t="shared" si="259"/>
        <v>High EV Adoption Corridor</v>
      </c>
      <c r="U714" s="3">
        <f t="shared" si="260"/>
        <v>3861000.0000000009</v>
      </c>
      <c r="V714" s="4">
        <f t="shared" si="261"/>
        <v>864000</v>
      </c>
      <c r="W714" s="3">
        <f t="shared" si="262"/>
        <v>9900000</v>
      </c>
      <c r="X714" s="3">
        <f t="shared" si="263"/>
        <v>8100000</v>
      </c>
      <c r="Y714">
        <f t="shared" si="264"/>
        <v>0.22888888888888889</v>
      </c>
      <c r="Z714">
        <f t="shared" si="265"/>
        <v>0.77622377622377625</v>
      </c>
      <c r="AA714" t="str">
        <f t="shared" si="266"/>
        <v>Tier 3 - Upgrade Pipeline</v>
      </c>
      <c r="AB714" s="3">
        <f t="shared" si="267"/>
        <v>72000</v>
      </c>
      <c r="AC714" s="3">
        <f t="shared" si="268"/>
        <v>825000</v>
      </c>
      <c r="AD714" s="3">
        <f t="shared" si="269"/>
        <v>321750.00000000006</v>
      </c>
      <c r="AE714" s="5">
        <f t="shared" si="270"/>
        <v>3.3033033033033021</v>
      </c>
      <c r="AF714" s="10">
        <f t="shared" si="271"/>
        <v>535680</v>
      </c>
      <c r="AG714" s="10">
        <f t="shared" si="272"/>
        <v>172800</v>
      </c>
      <c r="AH714" s="10">
        <f t="shared" si="273"/>
        <v>86400</v>
      </c>
      <c r="AI714" s="10">
        <f t="shared" si="274"/>
        <v>43200</v>
      </c>
      <c r="AJ714" s="10">
        <f t="shared" si="275"/>
        <v>25920</v>
      </c>
    </row>
    <row r="715" spans="1:36" x14ac:dyDescent="0.3">
      <c r="A715" t="s">
        <v>2825</v>
      </c>
      <c r="B715" t="s">
        <v>2826</v>
      </c>
      <c r="C715" t="s">
        <v>1511</v>
      </c>
      <c r="D715" t="s">
        <v>14</v>
      </c>
      <c r="E715">
        <v>92507</v>
      </c>
      <c r="F715" t="s">
        <v>15</v>
      </c>
      <c r="G715">
        <v>16</v>
      </c>
      <c r="H715">
        <v>250</v>
      </c>
      <c r="I715" t="str" cm="1">
        <f t="array" ref="I715">_xlfn.IFS(H715&lt;=120,"V1",H715&lt;=150,"V2",H715&lt;=250,"V3", H715&lt;=350, "V4")</f>
        <v>V3</v>
      </c>
      <c r="J715" t="s">
        <v>2827</v>
      </c>
      <c r="K715" t="str">
        <f t="shared" si="253"/>
        <v>33.939957</v>
      </c>
      <c r="L715" t="str">
        <f t="shared" si="254"/>
        <v>-117.282508</v>
      </c>
      <c r="M715">
        <v>486</v>
      </c>
      <c r="N715" s="1">
        <v>43886</v>
      </c>
      <c r="O715" s="1">
        <v>46099</v>
      </c>
      <c r="P715" s="2">
        <f t="shared" si="255"/>
        <v>6.0588637919233399</v>
      </c>
      <c r="Q715" s="2" t="str">
        <f t="shared" si="256"/>
        <v>Mid</v>
      </c>
      <c r="R715">
        <f t="shared" si="257"/>
        <v>4000</v>
      </c>
      <c r="S715" t="str">
        <f t="shared" si="258"/>
        <v>Small</v>
      </c>
      <c r="T715" t="str">
        <f t="shared" si="259"/>
        <v>High EV Adoption Corridor</v>
      </c>
      <c r="U715" s="3">
        <f t="shared" si="260"/>
        <v>9360000</v>
      </c>
      <c r="V715" s="4">
        <f t="shared" si="261"/>
        <v>2112000</v>
      </c>
      <c r="W715" s="3">
        <f t="shared" si="262"/>
        <v>26400000.000000004</v>
      </c>
      <c r="X715" s="3">
        <f t="shared" si="263"/>
        <v>19800000.000000004</v>
      </c>
      <c r="Y715">
        <f t="shared" si="264"/>
        <v>0.23999999999999996</v>
      </c>
      <c r="Z715">
        <f t="shared" si="265"/>
        <v>0.77435897435897438</v>
      </c>
      <c r="AA715" t="str">
        <f t="shared" si="266"/>
        <v>Tier 1 - Priority Fleet</v>
      </c>
      <c r="AB715" s="3">
        <f t="shared" si="267"/>
        <v>132000</v>
      </c>
      <c r="AC715" s="3">
        <f t="shared" si="268"/>
        <v>1650000.0000000002</v>
      </c>
      <c r="AD715" s="3">
        <f t="shared" si="269"/>
        <v>585000</v>
      </c>
      <c r="AE715" s="5">
        <f t="shared" si="270"/>
        <v>3.6423841059602653</v>
      </c>
      <c r="AF715" s="10">
        <f t="shared" si="271"/>
        <v>1309440</v>
      </c>
      <c r="AG715" s="10">
        <f t="shared" si="272"/>
        <v>422400</v>
      </c>
      <c r="AH715" s="10">
        <f t="shared" si="273"/>
        <v>211200</v>
      </c>
      <c r="AI715" s="10">
        <f t="shared" si="274"/>
        <v>105600</v>
      </c>
      <c r="AJ715" s="10">
        <f t="shared" si="275"/>
        <v>63360</v>
      </c>
    </row>
    <row r="716" spans="1:36" x14ac:dyDescent="0.3">
      <c r="A716" t="s">
        <v>2828</v>
      </c>
      <c r="B716" t="s">
        <v>2829</v>
      </c>
      <c r="C716" t="s">
        <v>1574</v>
      </c>
      <c r="D716" t="s">
        <v>14</v>
      </c>
      <c r="E716">
        <v>92806</v>
      </c>
      <c r="F716" t="s">
        <v>15</v>
      </c>
      <c r="G716">
        <v>16</v>
      </c>
      <c r="H716">
        <v>250</v>
      </c>
      <c r="I716" t="str" cm="1">
        <f t="array" ref="I716">_xlfn.IFS(H716&lt;=120,"V1",H716&lt;=150,"V2",H716&lt;=250,"V3", H716&lt;=350, "V4")</f>
        <v>V3</v>
      </c>
      <c r="J716" t="s">
        <v>2830</v>
      </c>
      <c r="K716" t="str">
        <f t="shared" si="253"/>
        <v>33.805168</v>
      </c>
      <c r="L716" t="str">
        <f t="shared" si="254"/>
        <v>-117.882173</v>
      </c>
      <c r="M716">
        <v>49</v>
      </c>
      <c r="N716" s="1">
        <v>43823</v>
      </c>
      <c r="O716" s="1">
        <v>46099</v>
      </c>
      <c r="P716" s="2">
        <f t="shared" si="255"/>
        <v>6.2313483915126628</v>
      </c>
      <c r="Q716" s="2" t="str">
        <f t="shared" si="256"/>
        <v>Mid</v>
      </c>
      <c r="R716">
        <f t="shared" si="257"/>
        <v>4000</v>
      </c>
      <c r="S716" t="str">
        <f t="shared" si="258"/>
        <v>Small</v>
      </c>
      <c r="T716" t="str">
        <f t="shared" si="259"/>
        <v>High EV Adoption Corridor</v>
      </c>
      <c r="U716" s="3">
        <f t="shared" si="260"/>
        <v>9360000</v>
      </c>
      <c r="V716" s="4">
        <f t="shared" si="261"/>
        <v>2112000</v>
      </c>
      <c r="W716" s="3">
        <f t="shared" si="262"/>
        <v>26400000.000000004</v>
      </c>
      <c r="X716" s="3">
        <f t="shared" si="263"/>
        <v>19800000.000000004</v>
      </c>
      <c r="Y716">
        <f t="shared" si="264"/>
        <v>0.23999999999999996</v>
      </c>
      <c r="Z716">
        <f t="shared" si="265"/>
        <v>0.77435897435897438</v>
      </c>
      <c r="AA716" t="str">
        <f t="shared" si="266"/>
        <v>Tier 1 - Priority Fleet</v>
      </c>
      <c r="AB716" s="3">
        <f t="shared" si="267"/>
        <v>132000</v>
      </c>
      <c r="AC716" s="3">
        <f t="shared" si="268"/>
        <v>1650000.0000000002</v>
      </c>
      <c r="AD716" s="3">
        <f t="shared" si="269"/>
        <v>585000</v>
      </c>
      <c r="AE716" s="5">
        <f t="shared" si="270"/>
        <v>3.6423841059602653</v>
      </c>
      <c r="AF716" s="10">
        <f t="shared" si="271"/>
        <v>1309440</v>
      </c>
      <c r="AG716" s="10">
        <f t="shared" si="272"/>
        <v>422400</v>
      </c>
      <c r="AH716" s="10">
        <f t="shared" si="273"/>
        <v>211200</v>
      </c>
      <c r="AI716" s="10">
        <f t="shared" si="274"/>
        <v>105600</v>
      </c>
      <c r="AJ716" s="10">
        <f t="shared" si="275"/>
        <v>63360</v>
      </c>
    </row>
    <row r="717" spans="1:36" x14ac:dyDescent="0.3">
      <c r="A717" t="s">
        <v>2831</v>
      </c>
      <c r="B717" t="s">
        <v>2832</v>
      </c>
      <c r="C717" t="s">
        <v>2833</v>
      </c>
      <c r="D717" t="s">
        <v>158</v>
      </c>
      <c r="E717">
        <v>10309</v>
      </c>
      <c r="F717" t="s">
        <v>15</v>
      </c>
      <c r="G717">
        <v>12</v>
      </c>
      <c r="H717">
        <v>150</v>
      </c>
      <c r="I717" t="str" cm="1">
        <f t="array" ref="I717">_xlfn.IFS(H717&lt;=120,"V1",H717&lt;=150,"V2",H717&lt;=250,"V3", H717&lt;=350, "V4")</f>
        <v>V2</v>
      </c>
      <c r="J717" t="s">
        <v>2834</v>
      </c>
      <c r="K717" t="str">
        <f t="shared" si="253"/>
        <v>40.527562</v>
      </c>
      <c r="L717" t="str">
        <f t="shared" si="254"/>
        <v>-74.231359</v>
      </c>
      <c r="M717">
        <v>30</v>
      </c>
      <c r="N717" s="1">
        <v>43830</v>
      </c>
      <c r="O717" s="1">
        <v>46099</v>
      </c>
      <c r="P717" s="2">
        <f t="shared" si="255"/>
        <v>6.2121834360027375</v>
      </c>
      <c r="Q717" s="2" t="str">
        <f t="shared" si="256"/>
        <v>Mid</v>
      </c>
      <c r="R717">
        <f t="shared" si="257"/>
        <v>1800</v>
      </c>
      <c r="S717" t="str">
        <f t="shared" si="258"/>
        <v>Small</v>
      </c>
      <c r="T717" t="str">
        <f t="shared" si="259"/>
        <v>Lower EV Adoption Corridor</v>
      </c>
      <c r="U717" s="3">
        <f t="shared" si="260"/>
        <v>2970000.0000000005</v>
      </c>
      <c r="V717" s="4">
        <f t="shared" si="261"/>
        <v>720000</v>
      </c>
      <c r="W717" s="3">
        <f t="shared" si="262"/>
        <v>9000000</v>
      </c>
      <c r="X717" s="3">
        <f t="shared" si="263"/>
        <v>5400000</v>
      </c>
      <c r="Y717">
        <f t="shared" si="264"/>
        <v>0.3</v>
      </c>
      <c r="Z717">
        <f t="shared" si="265"/>
        <v>0.75757575757575757</v>
      </c>
      <c r="AA717" t="str">
        <f t="shared" si="266"/>
        <v>Tier 4 - Stable Network</v>
      </c>
      <c r="AB717" s="3">
        <f t="shared" si="267"/>
        <v>60000</v>
      </c>
      <c r="AC717" s="3">
        <f t="shared" si="268"/>
        <v>750000</v>
      </c>
      <c r="AD717" s="3">
        <f t="shared" si="269"/>
        <v>247500.00000000003</v>
      </c>
      <c r="AE717" s="5">
        <f t="shared" si="270"/>
        <v>3.9999999999999991</v>
      </c>
      <c r="AF717" s="10">
        <f t="shared" si="271"/>
        <v>446400</v>
      </c>
      <c r="AG717" s="10">
        <f t="shared" si="272"/>
        <v>144000</v>
      </c>
      <c r="AH717" s="10">
        <f t="shared" si="273"/>
        <v>72000</v>
      </c>
      <c r="AI717" s="10">
        <f t="shared" si="274"/>
        <v>36000</v>
      </c>
      <c r="AJ717" s="10">
        <f t="shared" si="275"/>
        <v>21600</v>
      </c>
    </row>
    <row r="718" spans="1:36" x14ac:dyDescent="0.3">
      <c r="A718" t="s">
        <v>2835</v>
      </c>
      <c r="B718" t="s">
        <v>2836</v>
      </c>
      <c r="C718" t="s">
        <v>2837</v>
      </c>
      <c r="D718" t="s">
        <v>281</v>
      </c>
      <c r="E718">
        <v>59602</v>
      </c>
      <c r="F718" t="s">
        <v>15</v>
      </c>
      <c r="G718">
        <v>8</v>
      </c>
      <c r="H718">
        <v>250</v>
      </c>
      <c r="I718" t="str" cm="1">
        <f t="array" ref="I718">_xlfn.IFS(H718&lt;=120,"V1",H718&lt;=150,"V2",H718&lt;=250,"V3", H718&lt;=350, "V4")</f>
        <v>V3</v>
      </c>
      <c r="J718" t="s">
        <v>2838</v>
      </c>
      <c r="K718" t="str">
        <f t="shared" si="253"/>
        <v>46.618173</v>
      </c>
      <c r="L718" t="str">
        <f t="shared" si="254"/>
        <v>-112.007628</v>
      </c>
      <c r="M718">
        <v>1160</v>
      </c>
      <c r="N718" s="1">
        <v>44008</v>
      </c>
      <c r="O718" s="1">
        <v>46099</v>
      </c>
      <c r="P718" s="2">
        <f t="shared" si="255"/>
        <v>5.7248459958932241</v>
      </c>
      <c r="Q718" s="2" t="str">
        <f t="shared" si="256"/>
        <v>Mid</v>
      </c>
      <c r="R718">
        <f t="shared" si="257"/>
        <v>2000</v>
      </c>
      <c r="S718" t="str">
        <f t="shared" si="258"/>
        <v>Small</v>
      </c>
      <c r="T718" t="str">
        <f t="shared" si="259"/>
        <v>Lower EV Adoption Corridor</v>
      </c>
      <c r="U718" s="3">
        <f t="shared" si="260"/>
        <v>3600000</v>
      </c>
      <c r="V718" s="4">
        <f t="shared" si="261"/>
        <v>880000.00000000012</v>
      </c>
      <c r="W718" s="3">
        <f t="shared" si="262"/>
        <v>12000000</v>
      </c>
      <c r="X718" s="3">
        <f t="shared" si="263"/>
        <v>6600000.0000000009</v>
      </c>
      <c r="Y718">
        <f t="shared" si="264"/>
        <v>0.31515151515151513</v>
      </c>
      <c r="Z718">
        <f t="shared" si="265"/>
        <v>0.75555555555555554</v>
      </c>
      <c r="AA718" t="str">
        <f t="shared" si="266"/>
        <v>Tier 2 - Growth Markets</v>
      </c>
      <c r="AB718" s="3">
        <f t="shared" si="267"/>
        <v>110000.00000000001</v>
      </c>
      <c r="AC718" s="3">
        <f t="shared" si="268"/>
        <v>1500000</v>
      </c>
      <c r="AD718" s="3">
        <f t="shared" si="269"/>
        <v>450000</v>
      </c>
      <c r="AE718" s="5">
        <f t="shared" si="270"/>
        <v>4.4117647058823533</v>
      </c>
      <c r="AF718" s="10">
        <f t="shared" si="271"/>
        <v>545600.00000000012</v>
      </c>
      <c r="AG718" s="10">
        <f t="shared" si="272"/>
        <v>176000.00000000003</v>
      </c>
      <c r="AH718" s="10">
        <f t="shared" si="273"/>
        <v>88000.000000000015</v>
      </c>
      <c r="AI718" s="10">
        <f t="shared" si="274"/>
        <v>44000.000000000007</v>
      </c>
      <c r="AJ718" s="10">
        <f t="shared" si="275"/>
        <v>26400.000000000004</v>
      </c>
    </row>
    <row r="719" spans="1:36" x14ac:dyDescent="0.3">
      <c r="A719" t="s">
        <v>2839</v>
      </c>
      <c r="B719" t="s">
        <v>2840</v>
      </c>
      <c r="C719" t="s">
        <v>2841</v>
      </c>
      <c r="D719" t="s">
        <v>130</v>
      </c>
      <c r="E719">
        <v>46901</v>
      </c>
      <c r="F719" t="s">
        <v>15</v>
      </c>
      <c r="G719">
        <v>8</v>
      </c>
      <c r="H719">
        <v>250</v>
      </c>
      <c r="I719" t="str" cm="1">
        <f t="array" ref="I719">_xlfn.IFS(H719&lt;=120,"V1",H719&lt;=150,"V2",H719&lt;=250,"V3", H719&lt;=350, "V4")</f>
        <v>V3</v>
      </c>
      <c r="J719" t="s">
        <v>2842</v>
      </c>
      <c r="K719" t="str">
        <f t="shared" si="253"/>
        <v>40.475169</v>
      </c>
      <c r="L719" t="str">
        <f t="shared" si="254"/>
        <v>-86.101306</v>
      </c>
      <c r="M719">
        <v>249</v>
      </c>
      <c r="N719" s="1">
        <v>43886</v>
      </c>
      <c r="O719" s="1">
        <v>46099</v>
      </c>
      <c r="P719" s="2">
        <f t="shared" si="255"/>
        <v>6.0588637919233399</v>
      </c>
      <c r="Q719" s="2" t="str">
        <f t="shared" si="256"/>
        <v>Mid</v>
      </c>
      <c r="R719">
        <f t="shared" si="257"/>
        <v>2000</v>
      </c>
      <c r="S719" t="str">
        <f t="shared" si="258"/>
        <v>Small</v>
      </c>
      <c r="T719" t="str">
        <f t="shared" si="259"/>
        <v>Lower EV Adoption Corridor</v>
      </c>
      <c r="U719" s="3">
        <f t="shared" si="260"/>
        <v>3600000</v>
      </c>
      <c r="V719" s="4">
        <f t="shared" si="261"/>
        <v>880000.00000000012</v>
      </c>
      <c r="W719" s="3">
        <f t="shared" si="262"/>
        <v>12000000</v>
      </c>
      <c r="X719" s="3">
        <f t="shared" si="263"/>
        <v>6600000.0000000009</v>
      </c>
      <c r="Y719">
        <f t="shared" si="264"/>
        <v>0.31515151515151513</v>
      </c>
      <c r="Z719">
        <f t="shared" si="265"/>
        <v>0.75555555555555554</v>
      </c>
      <c r="AA719" t="str">
        <f t="shared" si="266"/>
        <v>Tier 2 - Growth Markets</v>
      </c>
      <c r="AB719" s="3">
        <f t="shared" si="267"/>
        <v>110000.00000000001</v>
      </c>
      <c r="AC719" s="3">
        <f t="shared" si="268"/>
        <v>1500000</v>
      </c>
      <c r="AD719" s="3">
        <f t="shared" si="269"/>
        <v>450000</v>
      </c>
      <c r="AE719" s="5">
        <f t="shared" si="270"/>
        <v>4.4117647058823533</v>
      </c>
      <c r="AF719" s="10">
        <f t="shared" si="271"/>
        <v>545600.00000000012</v>
      </c>
      <c r="AG719" s="10">
        <f t="shared" si="272"/>
        <v>176000.00000000003</v>
      </c>
      <c r="AH719" s="10">
        <f t="shared" si="273"/>
        <v>88000.000000000015</v>
      </c>
      <c r="AI719" s="10">
        <f t="shared" si="274"/>
        <v>44000.000000000007</v>
      </c>
      <c r="AJ719" s="10">
        <f t="shared" si="275"/>
        <v>26400.000000000004</v>
      </c>
    </row>
    <row r="720" spans="1:36" x14ac:dyDescent="0.3">
      <c r="A720" t="s">
        <v>2843</v>
      </c>
      <c r="B720" t="s">
        <v>2844</v>
      </c>
      <c r="C720" t="s">
        <v>1371</v>
      </c>
      <c r="D720" t="s">
        <v>41</v>
      </c>
      <c r="E720">
        <v>33143</v>
      </c>
      <c r="F720" t="s">
        <v>15</v>
      </c>
      <c r="G720">
        <v>12</v>
      </c>
      <c r="H720">
        <v>72</v>
      </c>
      <c r="I720" t="str" cm="1">
        <f t="array" ref="I720">_xlfn.IFS(H720&lt;=120,"V1",H720&lt;=150,"V2",H720&lt;=250,"V3", H720&lt;=350, "V4")</f>
        <v>V1</v>
      </c>
      <c r="J720" t="s">
        <v>2845</v>
      </c>
      <c r="K720" t="str">
        <f t="shared" si="253"/>
        <v>25.693198</v>
      </c>
      <c r="L720" t="str">
        <f t="shared" si="254"/>
        <v>-80.304898</v>
      </c>
      <c r="M720">
        <v>3</v>
      </c>
      <c r="N720" s="1">
        <v>43993</v>
      </c>
      <c r="O720" s="1">
        <v>46099</v>
      </c>
      <c r="P720" s="2">
        <f t="shared" si="255"/>
        <v>5.7659137577002051</v>
      </c>
      <c r="Q720" s="2" t="str">
        <f t="shared" si="256"/>
        <v>Mid</v>
      </c>
      <c r="R720">
        <f t="shared" si="257"/>
        <v>864</v>
      </c>
      <c r="S720" t="str">
        <f t="shared" si="258"/>
        <v>Small</v>
      </c>
      <c r="T720" t="str">
        <f t="shared" si="259"/>
        <v>High EV Adoption Corridor</v>
      </c>
      <c r="U720" s="3">
        <f t="shared" si="260"/>
        <v>1684800</v>
      </c>
      <c r="V720" s="4">
        <f t="shared" si="261"/>
        <v>373248</v>
      </c>
      <c r="W720" s="3">
        <f t="shared" si="262"/>
        <v>3801600.0000000005</v>
      </c>
      <c r="X720" s="3">
        <f t="shared" si="263"/>
        <v>3499200</v>
      </c>
      <c r="Y720">
        <f t="shared" si="264"/>
        <v>0.21530864197530863</v>
      </c>
      <c r="Z720">
        <f t="shared" si="265"/>
        <v>0.77846153846153843</v>
      </c>
      <c r="AA720" t="str">
        <f t="shared" si="266"/>
        <v>Tier 3 - Upgrade Pipeline</v>
      </c>
      <c r="AB720" s="3">
        <f t="shared" si="267"/>
        <v>31104</v>
      </c>
      <c r="AC720" s="3">
        <f t="shared" si="268"/>
        <v>316800.00000000006</v>
      </c>
      <c r="AD720" s="3">
        <f t="shared" si="269"/>
        <v>140400</v>
      </c>
      <c r="AE720" s="5">
        <f t="shared" si="270"/>
        <v>2.8985507246376816</v>
      </c>
      <c r="AF720" s="10">
        <f t="shared" si="271"/>
        <v>231413.76000000001</v>
      </c>
      <c r="AG720" s="10">
        <f t="shared" si="272"/>
        <v>74649.600000000006</v>
      </c>
      <c r="AH720" s="10">
        <f t="shared" si="273"/>
        <v>37324.800000000003</v>
      </c>
      <c r="AI720" s="10">
        <f t="shared" si="274"/>
        <v>18662.400000000001</v>
      </c>
      <c r="AJ720" s="10">
        <f t="shared" si="275"/>
        <v>11197.439999999999</v>
      </c>
    </row>
    <row r="721" spans="1:36" x14ac:dyDescent="0.3">
      <c r="A721" t="s">
        <v>2846</v>
      </c>
      <c r="B721" t="s">
        <v>2847</v>
      </c>
      <c r="C721" t="s">
        <v>2848</v>
      </c>
      <c r="D721" t="s">
        <v>299</v>
      </c>
      <c r="E721">
        <v>20148</v>
      </c>
      <c r="F721" t="s">
        <v>15</v>
      </c>
      <c r="G721">
        <v>8</v>
      </c>
      <c r="H721">
        <v>250</v>
      </c>
      <c r="I721" t="str" cm="1">
        <f t="array" ref="I721">_xlfn.IFS(H721&lt;=120,"V1",H721&lt;=150,"V2",H721&lt;=250,"V3", H721&lt;=350, "V4")</f>
        <v>V3</v>
      </c>
      <c r="J721" t="s">
        <v>2849</v>
      </c>
      <c r="K721" t="str">
        <f t="shared" si="253"/>
        <v>39.008466</v>
      </c>
      <c r="L721" t="str">
        <f t="shared" si="254"/>
        <v>-77.504972</v>
      </c>
      <c r="M721">
        <v>99</v>
      </c>
      <c r="N721" s="1">
        <v>43881</v>
      </c>
      <c r="O721" s="1">
        <v>46099</v>
      </c>
      <c r="P721" s="2">
        <f t="shared" si="255"/>
        <v>6.0725530458590002</v>
      </c>
      <c r="Q721" s="2" t="str">
        <f t="shared" si="256"/>
        <v>Mid</v>
      </c>
      <c r="R721">
        <f t="shared" si="257"/>
        <v>2000</v>
      </c>
      <c r="S721" t="str">
        <f t="shared" si="258"/>
        <v>Small</v>
      </c>
      <c r="T721" t="str">
        <f t="shared" si="259"/>
        <v>Lower EV Adoption Corridor</v>
      </c>
      <c r="U721" s="3">
        <f t="shared" si="260"/>
        <v>3600000</v>
      </c>
      <c r="V721" s="4">
        <f t="shared" si="261"/>
        <v>880000.00000000012</v>
      </c>
      <c r="W721" s="3">
        <f t="shared" si="262"/>
        <v>12000000</v>
      </c>
      <c r="X721" s="3">
        <f t="shared" si="263"/>
        <v>6600000.0000000009</v>
      </c>
      <c r="Y721">
        <f t="shared" si="264"/>
        <v>0.31515151515151513</v>
      </c>
      <c r="Z721">
        <f t="shared" si="265"/>
        <v>0.75555555555555554</v>
      </c>
      <c r="AA721" t="str">
        <f t="shared" si="266"/>
        <v>Tier 2 - Growth Markets</v>
      </c>
      <c r="AB721" s="3">
        <f t="shared" si="267"/>
        <v>110000.00000000001</v>
      </c>
      <c r="AC721" s="3">
        <f t="shared" si="268"/>
        <v>1500000</v>
      </c>
      <c r="AD721" s="3">
        <f t="shared" si="269"/>
        <v>450000</v>
      </c>
      <c r="AE721" s="5">
        <f t="shared" si="270"/>
        <v>4.4117647058823533</v>
      </c>
      <c r="AF721" s="10">
        <f t="shared" si="271"/>
        <v>545600.00000000012</v>
      </c>
      <c r="AG721" s="10">
        <f t="shared" si="272"/>
        <v>176000.00000000003</v>
      </c>
      <c r="AH721" s="10">
        <f t="shared" si="273"/>
        <v>88000.000000000015</v>
      </c>
      <c r="AI721" s="10">
        <f t="shared" si="274"/>
        <v>44000.000000000007</v>
      </c>
      <c r="AJ721" s="10">
        <f t="shared" si="275"/>
        <v>26400.000000000004</v>
      </c>
    </row>
    <row r="722" spans="1:36" x14ac:dyDescent="0.3">
      <c r="A722" t="s">
        <v>2850</v>
      </c>
      <c r="B722" t="s">
        <v>2851</v>
      </c>
      <c r="C722" t="s">
        <v>138</v>
      </c>
      <c r="D722" t="s">
        <v>130</v>
      </c>
      <c r="E722">
        <v>47374</v>
      </c>
      <c r="F722" t="s">
        <v>15</v>
      </c>
      <c r="G722">
        <v>8</v>
      </c>
      <c r="H722">
        <v>250</v>
      </c>
      <c r="I722" t="str" cm="1">
        <f t="array" ref="I722">_xlfn.IFS(H722&lt;=120,"V1",H722&lt;=150,"V2",H722&lt;=250,"V3", H722&lt;=350, "V4")</f>
        <v>V3</v>
      </c>
      <c r="J722" t="s">
        <v>2852</v>
      </c>
      <c r="K722" t="str">
        <f t="shared" si="253"/>
        <v>39.868255</v>
      </c>
      <c r="L722" t="str">
        <f t="shared" si="254"/>
        <v>-84.886326</v>
      </c>
      <c r="M722">
        <v>334</v>
      </c>
      <c r="N722" s="1">
        <v>43929</v>
      </c>
      <c r="O722" s="1">
        <v>46099</v>
      </c>
      <c r="P722" s="2">
        <f t="shared" si="255"/>
        <v>5.9411362080766601</v>
      </c>
      <c r="Q722" s="2" t="str">
        <f t="shared" si="256"/>
        <v>Mid</v>
      </c>
      <c r="R722">
        <f t="shared" si="257"/>
        <v>2000</v>
      </c>
      <c r="S722" t="str">
        <f t="shared" si="258"/>
        <v>Small</v>
      </c>
      <c r="T722" t="str">
        <f t="shared" si="259"/>
        <v>Lower EV Adoption Corridor</v>
      </c>
      <c r="U722" s="3">
        <f t="shared" si="260"/>
        <v>3600000</v>
      </c>
      <c r="V722" s="4">
        <f t="shared" si="261"/>
        <v>880000.00000000012</v>
      </c>
      <c r="W722" s="3">
        <f t="shared" si="262"/>
        <v>12000000</v>
      </c>
      <c r="X722" s="3">
        <f t="shared" si="263"/>
        <v>6600000.0000000009</v>
      </c>
      <c r="Y722">
        <f t="shared" si="264"/>
        <v>0.31515151515151513</v>
      </c>
      <c r="Z722">
        <f t="shared" si="265"/>
        <v>0.75555555555555554</v>
      </c>
      <c r="AA722" t="str">
        <f t="shared" si="266"/>
        <v>Tier 2 - Growth Markets</v>
      </c>
      <c r="AB722" s="3">
        <f t="shared" si="267"/>
        <v>110000.00000000001</v>
      </c>
      <c r="AC722" s="3">
        <f t="shared" si="268"/>
        <v>1500000</v>
      </c>
      <c r="AD722" s="3">
        <f t="shared" si="269"/>
        <v>450000</v>
      </c>
      <c r="AE722" s="5">
        <f t="shared" si="270"/>
        <v>4.4117647058823533</v>
      </c>
      <c r="AF722" s="10">
        <f t="shared" si="271"/>
        <v>545600.00000000012</v>
      </c>
      <c r="AG722" s="10">
        <f t="shared" si="272"/>
        <v>176000.00000000003</v>
      </c>
      <c r="AH722" s="10">
        <f t="shared" si="273"/>
        <v>88000.000000000015</v>
      </c>
      <c r="AI722" s="10">
        <f t="shared" si="274"/>
        <v>44000.000000000007</v>
      </c>
      <c r="AJ722" s="10">
        <f t="shared" si="275"/>
        <v>26400.000000000004</v>
      </c>
    </row>
    <row r="723" spans="1:36" x14ac:dyDescent="0.3">
      <c r="A723" t="s">
        <v>2853</v>
      </c>
      <c r="B723" t="s">
        <v>2854</v>
      </c>
      <c r="C723" t="s">
        <v>2855</v>
      </c>
      <c r="D723" t="s">
        <v>72</v>
      </c>
      <c r="E723">
        <v>85334</v>
      </c>
      <c r="F723" t="s">
        <v>15</v>
      </c>
      <c r="G723">
        <v>8</v>
      </c>
      <c r="H723">
        <v>250</v>
      </c>
      <c r="I723" t="str" cm="1">
        <f t="array" ref="I723">_xlfn.IFS(H723&lt;=120,"V1",H723&lt;=150,"V2",H723&lt;=250,"V3", H723&lt;=350, "V4")</f>
        <v>V3</v>
      </c>
      <c r="J723" t="s">
        <v>2856</v>
      </c>
      <c r="K723" t="str">
        <f t="shared" si="253"/>
        <v>33.601666</v>
      </c>
      <c r="L723" t="str">
        <f t="shared" si="254"/>
        <v>-114.522376</v>
      </c>
      <c r="M723">
        <v>101</v>
      </c>
      <c r="N723" s="1">
        <v>43796</v>
      </c>
      <c r="O723" s="1">
        <v>46099</v>
      </c>
      <c r="P723" s="2">
        <f t="shared" si="255"/>
        <v>6.3052703627652296</v>
      </c>
      <c r="Q723" s="2" t="str">
        <f t="shared" si="256"/>
        <v>Mid</v>
      </c>
      <c r="R723">
        <f t="shared" si="257"/>
        <v>2000</v>
      </c>
      <c r="S723" t="str">
        <f t="shared" si="258"/>
        <v>Small</v>
      </c>
      <c r="T723" t="str">
        <f t="shared" si="259"/>
        <v>Lower EV Adoption Corridor</v>
      </c>
      <c r="U723" s="3">
        <f t="shared" si="260"/>
        <v>3600000</v>
      </c>
      <c r="V723" s="4">
        <f t="shared" si="261"/>
        <v>880000.00000000012</v>
      </c>
      <c r="W723" s="3">
        <f t="shared" si="262"/>
        <v>12000000</v>
      </c>
      <c r="X723" s="3">
        <f t="shared" si="263"/>
        <v>6600000.0000000009</v>
      </c>
      <c r="Y723">
        <f t="shared" si="264"/>
        <v>0.31515151515151513</v>
      </c>
      <c r="Z723">
        <f t="shared" si="265"/>
        <v>0.75555555555555554</v>
      </c>
      <c r="AA723" t="str">
        <f t="shared" si="266"/>
        <v>Tier 2 - Growth Markets</v>
      </c>
      <c r="AB723" s="3">
        <f t="shared" si="267"/>
        <v>110000.00000000001</v>
      </c>
      <c r="AC723" s="3">
        <f t="shared" si="268"/>
        <v>1500000</v>
      </c>
      <c r="AD723" s="3">
        <f t="shared" si="269"/>
        <v>450000</v>
      </c>
      <c r="AE723" s="5">
        <f t="shared" si="270"/>
        <v>4.4117647058823533</v>
      </c>
      <c r="AF723" s="10">
        <f t="shared" si="271"/>
        <v>545600.00000000012</v>
      </c>
      <c r="AG723" s="10">
        <f t="shared" si="272"/>
        <v>176000.00000000003</v>
      </c>
      <c r="AH723" s="10">
        <f t="shared" si="273"/>
        <v>88000.000000000015</v>
      </c>
      <c r="AI723" s="10">
        <f t="shared" si="274"/>
        <v>44000.000000000007</v>
      </c>
      <c r="AJ723" s="10">
        <f t="shared" si="275"/>
        <v>26400.000000000004</v>
      </c>
    </row>
    <row r="724" spans="1:36" x14ac:dyDescent="0.3">
      <c r="A724" t="s">
        <v>2857</v>
      </c>
      <c r="B724" t="s">
        <v>2858</v>
      </c>
      <c r="C724" t="s">
        <v>2859</v>
      </c>
      <c r="D724" t="s">
        <v>50</v>
      </c>
      <c r="E724">
        <v>78597</v>
      </c>
      <c r="F724" t="s">
        <v>15</v>
      </c>
      <c r="G724">
        <v>2</v>
      </c>
      <c r="H724">
        <v>72</v>
      </c>
      <c r="I724" t="str" cm="1">
        <f t="array" ref="I724">_xlfn.IFS(H724&lt;=120,"V1",H724&lt;=150,"V2",H724&lt;=250,"V3", H724&lt;=350, "V4")</f>
        <v>V1</v>
      </c>
      <c r="J724" t="s">
        <v>2860</v>
      </c>
      <c r="K724" t="str">
        <f t="shared" si="253"/>
        <v>26.081436</v>
      </c>
      <c r="L724" t="str">
        <f t="shared" si="254"/>
        <v>-97.16109</v>
      </c>
      <c r="M724">
        <v>5</v>
      </c>
      <c r="N724" s="1">
        <v>43781</v>
      </c>
      <c r="O724" s="1">
        <v>46099</v>
      </c>
      <c r="P724" s="2">
        <f t="shared" si="255"/>
        <v>6.3463381245722106</v>
      </c>
      <c r="Q724" s="2" t="str">
        <f t="shared" si="256"/>
        <v>Mid</v>
      </c>
      <c r="R724">
        <f t="shared" si="257"/>
        <v>144</v>
      </c>
      <c r="S724" t="str">
        <f t="shared" si="258"/>
        <v>Small</v>
      </c>
      <c r="T724" t="str">
        <f t="shared" si="259"/>
        <v>High EV Adoption Corridor</v>
      </c>
      <c r="U724" s="3">
        <f t="shared" si="260"/>
        <v>280800</v>
      </c>
      <c r="V724" s="4">
        <f t="shared" si="261"/>
        <v>62208</v>
      </c>
      <c r="W724" s="3">
        <f t="shared" si="262"/>
        <v>633600</v>
      </c>
      <c r="X724" s="3">
        <f t="shared" si="263"/>
        <v>583200</v>
      </c>
      <c r="Y724">
        <f t="shared" si="264"/>
        <v>0.21530864197530863</v>
      </c>
      <c r="Z724">
        <f t="shared" si="265"/>
        <v>0.77846153846153843</v>
      </c>
      <c r="AA724" t="str">
        <f t="shared" si="266"/>
        <v>Tier 3 - Upgrade Pipeline</v>
      </c>
      <c r="AB724" s="3">
        <f t="shared" si="267"/>
        <v>31104</v>
      </c>
      <c r="AC724" s="3">
        <f t="shared" si="268"/>
        <v>316800</v>
      </c>
      <c r="AD724" s="3">
        <f t="shared" si="269"/>
        <v>140400</v>
      </c>
      <c r="AE724" s="5">
        <f t="shared" si="270"/>
        <v>2.8985507246376812</v>
      </c>
      <c r="AF724" s="10">
        <f t="shared" si="271"/>
        <v>38568.959999999999</v>
      </c>
      <c r="AG724" s="10">
        <f t="shared" si="272"/>
        <v>12441.6</v>
      </c>
      <c r="AH724" s="10">
        <f t="shared" si="273"/>
        <v>6220.8</v>
      </c>
      <c r="AI724" s="10">
        <f t="shared" si="274"/>
        <v>3110.4</v>
      </c>
      <c r="AJ724" s="10">
        <f t="shared" si="275"/>
        <v>1866.24</v>
      </c>
    </row>
    <row r="725" spans="1:36" x14ac:dyDescent="0.3">
      <c r="A725" t="s">
        <v>2861</v>
      </c>
      <c r="B725" t="s">
        <v>2862</v>
      </c>
      <c r="C725" t="s">
        <v>2863</v>
      </c>
      <c r="D725" t="s">
        <v>913</v>
      </c>
      <c r="E725">
        <v>21236</v>
      </c>
      <c r="F725" t="s">
        <v>15</v>
      </c>
      <c r="G725">
        <v>8</v>
      </c>
      <c r="H725">
        <v>250</v>
      </c>
      <c r="I725" t="str" cm="1">
        <f t="array" ref="I725">_xlfn.IFS(H725&lt;=120,"V1",H725&lt;=150,"V2",H725&lt;=250,"V3", H725&lt;=350, "V4")</f>
        <v>V3</v>
      </c>
      <c r="J725" t="s">
        <v>2864</v>
      </c>
      <c r="K725" t="str">
        <f t="shared" si="253"/>
        <v>39.373985</v>
      </c>
      <c r="L725" t="str">
        <f t="shared" si="254"/>
        <v>-76.443133</v>
      </c>
      <c r="M725">
        <v>22</v>
      </c>
      <c r="N725" s="1">
        <v>44008</v>
      </c>
      <c r="O725" s="1">
        <v>46099</v>
      </c>
      <c r="P725" s="2">
        <f t="shared" si="255"/>
        <v>5.7248459958932241</v>
      </c>
      <c r="Q725" s="2" t="str">
        <f t="shared" si="256"/>
        <v>Mid</v>
      </c>
      <c r="R725">
        <f t="shared" si="257"/>
        <v>2000</v>
      </c>
      <c r="S725" t="str">
        <f t="shared" si="258"/>
        <v>Small</v>
      </c>
      <c r="T725" t="str">
        <f t="shared" si="259"/>
        <v>Lower EV Adoption Corridor</v>
      </c>
      <c r="U725" s="3">
        <f t="shared" si="260"/>
        <v>3600000</v>
      </c>
      <c r="V725" s="4">
        <f t="shared" si="261"/>
        <v>880000.00000000012</v>
      </c>
      <c r="W725" s="3">
        <f t="shared" si="262"/>
        <v>12000000</v>
      </c>
      <c r="X725" s="3">
        <f t="shared" si="263"/>
        <v>6600000.0000000009</v>
      </c>
      <c r="Y725">
        <f t="shared" si="264"/>
        <v>0.31515151515151513</v>
      </c>
      <c r="Z725">
        <f t="shared" si="265"/>
        <v>0.75555555555555554</v>
      </c>
      <c r="AA725" t="str">
        <f t="shared" si="266"/>
        <v>Tier 2 - Growth Markets</v>
      </c>
      <c r="AB725" s="3">
        <f t="shared" si="267"/>
        <v>110000.00000000001</v>
      </c>
      <c r="AC725" s="3">
        <f t="shared" si="268"/>
        <v>1500000</v>
      </c>
      <c r="AD725" s="3">
        <f t="shared" si="269"/>
        <v>450000</v>
      </c>
      <c r="AE725" s="5">
        <f t="shared" si="270"/>
        <v>4.4117647058823533</v>
      </c>
      <c r="AF725" s="10">
        <f t="shared" si="271"/>
        <v>545600.00000000012</v>
      </c>
      <c r="AG725" s="10">
        <f t="shared" si="272"/>
        <v>176000.00000000003</v>
      </c>
      <c r="AH725" s="10">
        <f t="shared" si="273"/>
        <v>88000.000000000015</v>
      </c>
      <c r="AI725" s="10">
        <f t="shared" si="274"/>
        <v>44000.000000000007</v>
      </c>
      <c r="AJ725" s="10">
        <f t="shared" si="275"/>
        <v>26400.000000000004</v>
      </c>
    </row>
    <row r="726" spans="1:36" x14ac:dyDescent="0.3">
      <c r="A726" t="s">
        <v>2865</v>
      </c>
      <c r="B726" t="s">
        <v>2866</v>
      </c>
      <c r="C726" t="s">
        <v>2867</v>
      </c>
      <c r="D726" t="s">
        <v>230</v>
      </c>
      <c r="E726">
        <v>98331</v>
      </c>
      <c r="F726" t="s">
        <v>15</v>
      </c>
      <c r="G726">
        <v>8</v>
      </c>
      <c r="H726">
        <v>250</v>
      </c>
      <c r="I726" t="str" cm="1">
        <f t="array" ref="I726">_xlfn.IFS(H726&lt;=120,"V1",H726&lt;=150,"V2",H726&lt;=250,"V3", H726&lt;=350, "V4")</f>
        <v>V3</v>
      </c>
      <c r="J726" t="s">
        <v>2868</v>
      </c>
      <c r="K726" t="str">
        <f t="shared" si="253"/>
        <v>47.942522</v>
      </c>
      <c r="L726" t="str">
        <f t="shared" si="254"/>
        <v>-124.384748</v>
      </c>
      <c r="M726">
        <v>93</v>
      </c>
      <c r="N726" s="1">
        <v>43920</v>
      </c>
      <c r="O726" s="1">
        <v>46099</v>
      </c>
      <c r="P726" s="2">
        <f t="shared" si="255"/>
        <v>5.9657768651608487</v>
      </c>
      <c r="Q726" s="2" t="str">
        <f t="shared" si="256"/>
        <v>Mid</v>
      </c>
      <c r="R726">
        <f t="shared" si="257"/>
        <v>2000</v>
      </c>
      <c r="S726" t="str">
        <f t="shared" si="258"/>
        <v>Small</v>
      </c>
      <c r="T726" t="str">
        <f t="shared" si="259"/>
        <v>High EV Adoption Corridor</v>
      </c>
      <c r="U726" s="3">
        <f t="shared" si="260"/>
        <v>4680000</v>
      </c>
      <c r="V726" s="4">
        <f t="shared" si="261"/>
        <v>1056000</v>
      </c>
      <c r="W726" s="3">
        <f t="shared" si="262"/>
        <v>13200000.000000002</v>
      </c>
      <c r="X726" s="3">
        <f t="shared" si="263"/>
        <v>9900000.0000000019</v>
      </c>
      <c r="Y726">
        <f t="shared" si="264"/>
        <v>0.23999999999999996</v>
      </c>
      <c r="Z726">
        <f t="shared" si="265"/>
        <v>0.77435897435897438</v>
      </c>
      <c r="AA726" t="str">
        <f t="shared" si="266"/>
        <v>Tier 1 - Priority Fleet</v>
      </c>
      <c r="AB726" s="3">
        <f t="shared" si="267"/>
        <v>132000</v>
      </c>
      <c r="AC726" s="3">
        <f t="shared" si="268"/>
        <v>1650000.0000000002</v>
      </c>
      <c r="AD726" s="3">
        <f t="shared" si="269"/>
        <v>585000</v>
      </c>
      <c r="AE726" s="5">
        <f t="shared" si="270"/>
        <v>3.6423841059602653</v>
      </c>
      <c r="AF726" s="10">
        <f t="shared" si="271"/>
        <v>654720</v>
      </c>
      <c r="AG726" s="10">
        <f t="shared" si="272"/>
        <v>211200</v>
      </c>
      <c r="AH726" s="10">
        <f t="shared" si="273"/>
        <v>105600</v>
      </c>
      <c r="AI726" s="10">
        <f t="shared" si="274"/>
        <v>52800</v>
      </c>
      <c r="AJ726" s="10">
        <f t="shared" si="275"/>
        <v>31680</v>
      </c>
    </row>
    <row r="727" spans="1:36" x14ac:dyDescent="0.3">
      <c r="A727" t="s">
        <v>2869</v>
      </c>
      <c r="B727" t="s">
        <v>2870</v>
      </c>
      <c r="C727" t="s">
        <v>2871</v>
      </c>
      <c r="D727" t="s">
        <v>852</v>
      </c>
      <c r="E727">
        <v>7677</v>
      </c>
      <c r="F727" t="s">
        <v>15</v>
      </c>
      <c r="G727">
        <v>8</v>
      </c>
      <c r="H727">
        <v>250</v>
      </c>
      <c r="I727" t="str" cm="1">
        <f t="array" ref="I727">_xlfn.IFS(H727&lt;=120,"V1",H727&lt;=150,"V2",H727&lt;=250,"V3", H727&lt;=350, "V4")</f>
        <v>V3</v>
      </c>
      <c r="J727" t="s">
        <v>2872</v>
      </c>
      <c r="K727" t="str">
        <f t="shared" si="253"/>
        <v>41.04175</v>
      </c>
      <c r="L727" t="str">
        <f t="shared" si="254"/>
        <v>-74.073701</v>
      </c>
      <c r="M727">
        <v>127</v>
      </c>
      <c r="N727" s="1">
        <v>44239</v>
      </c>
      <c r="O727" s="1">
        <v>46099</v>
      </c>
      <c r="P727" s="2">
        <f t="shared" si="255"/>
        <v>5.0924024640657084</v>
      </c>
      <c r="Q727" s="2" t="str">
        <f t="shared" si="256"/>
        <v>Mid</v>
      </c>
      <c r="R727">
        <f t="shared" si="257"/>
        <v>2000</v>
      </c>
      <c r="S727" t="str">
        <f t="shared" si="258"/>
        <v>Small</v>
      </c>
      <c r="T727" t="str">
        <f t="shared" si="259"/>
        <v>High EV Adoption Corridor</v>
      </c>
      <c r="U727" s="3">
        <f t="shared" si="260"/>
        <v>4680000</v>
      </c>
      <c r="V727" s="4">
        <f t="shared" si="261"/>
        <v>1056000</v>
      </c>
      <c r="W727" s="3">
        <f t="shared" si="262"/>
        <v>13200000.000000002</v>
      </c>
      <c r="X727" s="3">
        <f t="shared" si="263"/>
        <v>9900000.0000000019</v>
      </c>
      <c r="Y727">
        <f t="shared" si="264"/>
        <v>0.23999999999999996</v>
      </c>
      <c r="Z727">
        <f t="shared" si="265"/>
        <v>0.77435897435897438</v>
      </c>
      <c r="AA727" t="str">
        <f t="shared" si="266"/>
        <v>Tier 1 - Priority Fleet</v>
      </c>
      <c r="AB727" s="3">
        <f t="shared" si="267"/>
        <v>132000</v>
      </c>
      <c r="AC727" s="3">
        <f t="shared" si="268"/>
        <v>1650000.0000000002</v>
      </c>
      <c r="AD727" s="3">
        <f t="shared" si="269"/>
        <v>585000</v>
      </c>
      <c r="AE727" s="5">
        <f t="shared" si="270"/>
        <v>3.6423841059602653</v>
      </c>
      <c r="AF727" s="10">
        <f t="shared" si="271"/>
        <v>654720</v>
      </c>
      <c r="AG727" s="10">
        <f t="shared" si="272"/>
        <v>211200</v>
      </c>
      <c r="AH727" s="10">
        <f t="shared" si="273"/>
        <v>105600</v>
      </c>
      <c r="AI727" s="10">
        <f t="shared" si="274"/>
        <v>52800</v>
      </c>
      <c r="AJ727" s="10">
        <f t="shared" si="275"/>
        <v>31680</v>
      </c>
    </row>
    <row r="728" spans="1:36" x14ac:dyDescent="0.3">
      <c r="A728" t="s">
        <v>2873</v>
      </c>
      <c r="B728" t="s">
        <v>2874</v>
      </c>
      <c r="C728" t="s">
        <v>2875</v>
      </c>
      <c r="D728" t="s">
        <v>268</v>
      </c>
      <c r="E728">
        <v>80433</v>
      </c>
      <c r="F728" t="s">
        <v>15</v>
      </c>
      <c r="G728">
        <v>8</v>
      </c>
      <c r="H728">
        <v>250</v>
      </c>
      <c r="I728" t="str" cm="1">
        <f t="array" ref="I728">_xlfn.IFS(H728&lt;=120,"V1",H728&lt;=150,"V2",H728&lt;=250,"V3", H728&lt;=350, "V4")</f>
        <v>V3</v>
      </c>
      <c r="J728" t="s">
        <v>2876</v>
      </c>
      <c r="K728" t="str">
        <f t="shared" si="253"/>
        <v>39.544083</v>
      </c>
      <c r="L728" t="str">
        <f t="shared" si="254"/>
        <v>-105.289972</v>
      </c>
      <c r="M728">
        <v>2465</v>
      </c>
      <c r="N728" s="1">
        <v>44079</v>
      </c>
      <c r="O728" s="1">
        <v>46099</v>
      </c>
      <c r="P728" s="2">
        <f t="shared" si="255"/>
        <v>5.5304585900068446</v>
      </c>
      <c r="Q728" s="2" t="str">
        <f t="shared" si="256"/>
        <v>Mid</v>
      </c>
      <c r="R728">
        <f t="shared" si="257"/>
        <v>2000</v>
      </c>
      <c r="S728" t="str">
        <f t="shared" si="258"/>
        <v>Small</v>
      </c>
      <c r="T728" t="str">
        <f t="shared" si="259"/>
        <v>High EV Adoption Corridor</v>
      </c>
      <c r="U728" s="3">
        <f t="shared" si="260"/>
        <v>4680000</v>
      </c>
      <c r="V728" s="4">
        <f t="shared" si="261"/>
        <v>1056000</v>
      </c>
      <c r="W728" s="3">
        <f t="shared" si="262"/>
        <v>13200000.000000002</v>
      </c>
      <c r="X728" s="3">
        <f t="shared" si="263"/>
        <v>9900000.0000000019</v>
      </c>
      <c r="Y728">
        <f t="shared" si="264"/>
        <v>0.23999999999999996</v>
      </c>
      <c r="Z728">
        <f t="shared" si="265"/>
        <v>0.77435897435897438</v>
      </c>
      <c r="AA728" t="str">
        <f t="shared" si="266"/>
        <v>Tier 1 - Priority Fleet</v>
      </c>
      <c r="AB728" s="3">
        <f t="shared" si="267"/>
        <v>132000</v>
      </c>
      <c r="AC728" s="3">
        <f t="shared" si="268"/>
        <v>1650000.0000000002</v>
      </c>
      <c r="AD728" s="3">
        <f t="shared" si="269"/>
        <v>585000</v>
      </c>
      <c r="AE728" s="5">
        <f t="shared" si="270"/>
        <v>3.6423841059602653</v>
      </c>
      <c r="AF728" s="10">
        <f t="shared" si="271"/>
        <v>654720</v>
      </c>
      <c r="AG728" s="10">
        <f t="shared" si="272"/>
        <v>211200</v>
      </c>
      <c r="AH728" s="10">
        <f t="shared" si="273"/>
        <v>105600</v>
      </c>
      <c r="AI728" s="10">
        <f t="shared" si="274"/>
        <v>52800</v>
      </c>
      <c r="AJ728" s="10">
        <f t="shared" si="275"/>
        <v>31680</v>
      </c>
    </row>
    <row r="729" spans="1:36" x14ac:dyDescent="0.3">
      <c r="A729" t="s">
        <v>2877</v>
      </c>
      <c r="B729" t="s">
        <v>2878</v>
      </c>
      <c r="C729" t="s">
        <v>2879</v>
      </c>
      <c r="D729" t="s">
        <v>2013</v>
      </c>
      <c r="E729">
        <v>58104</v>
      </c>
      <c r="F729" t="s">
        <v>15</v>
      </c>
      <c r="G729">
        <v>8</v>
      </c>
      <c r="H729">
        <v>250</v>
      </c>
      <c r="I729" t="str" cm="1">
        <f t="array" ref="I729">_xlfn.IFS(H729&lt;=120,"V1",H729&lt;=150,"V2",H729&lt;=250,"V3", H729&lt;=350, "V4")</f>
        <v>V3</v>
      </c>
      <c r="J729" t="s">
        <v>2880</v>
      </c>
      <c r="K729" t="str">
        <f t="shared" si="253"/>
        <v>46.843601</v>
      </c>
      <c r="L729" t="str">
        <f t="shared" si="254"/>
        <v>-96.882492</v>
      </c>
      <c r="M729">
        <v>276</v>
      </c>
      <c r="N729" s="1">
        <v>43980</v>
      </c>
      <c r="O729" s="1">
        <v>46099</v>
      </c>
      <c r="P729" s="2">
        <f t="shared" si="255"/>
        <v>5.8015058179329229</v>
      </c>
      <c r="Q729" s="2" t="str">
        <f t="shared" si="256"/>
        <v>Mid</v>
      </c>
      <c r="R729">
        <f t="shared" si="257"/>
        <v>2000</v>
      </c>
      <c r="S729" t="str">
        <f t="shared" si="258"/>
        <v>Small</v>
      </c>
      <c r="T729" t="str">
        <f t="shared" si="259"/>
        <v>Lower EV Adoption Corridor</v>
      </c>
      <c r="U729" s="3">
        <f t="shared" si="260"/>
        <v>3600000</v>
      </c>
      <c r="V729" s="4">
        <f t="shared" si="261"/>
        <v>880000.00000000012</v>
      </c>
      <c r="W729" s="3">
        <f t="shared" si="262"/>
        <v>12000000</v>
      </c>
      <c r="X729" s="3">
        <f t="shared" si="263"/>
        <v>6600000.0000000009</v>
      </c>
      <c r="Y729">
        <f t="shared" si="264"/>
        <v>0.31515151515151513</v>
      </c>
      <c r="Z729">
        <f t="shared" si="265"/>
        <v>0.75555555555555554</v>
      </c>
      <c r="AA729" t="str">
        <f t="shared" si="266"/>
        <v>Tier 2 - Growth Markets</v>
      </c>
      <c r="AB729" s="3">
        <f t="shared" si="267"/>
        <v>110000.00000000001</v>
      </c>
      <c r="AC729" s="3">
        <f t="shared" si="268"/>
        <v>1500000</v>
      </c>
      <c r="AD729" s="3">
        <f t="shared" si="269"/>
        <v>450000</v>
      </c>
      <c r="AE729" s="5">
        <f t="shared" si="270"/>
        <v>4.4117647058823533</v>
      </c>
      <c r="AF729" s="10">
        <f t="shared" si="271"/>
        <v>545600.00000000012</v>
      </c>
      <c r="AG729" s="10">
        <f t="shared" si="272"/>
        <v>176000.00000000003</v>
      </c>
      <c r="AH729" s="10">
        <f t="shared" si="273"/>
        <v>88000.000000000015</v>
      </c>
      <c r="AI729" s="10">
        <f t="shared" si="274"/>
        <v>44000.000000000007</v>
      </c>
      <c r="AJ729" s="10">
        <f t="shared" si="275"/>
        <v>26400.000000000004</v>
      </c>
    </row>
    <row r="730" spans="1:36" x14ac:dyDescent="0.3">
      <c r="A730" t="s">
        <v>2881</v>
      </c>
      <c r="B730" t="s">
        <v>2882</v>
      </c>
      <c r="C730" t="s">
        <v>2883</v>
      </c>
      <c r="D730" t="s">
        <v>153</v>
      </c>
      <c r="E730">
        <v>19454</v>
      </c>
      <c r="F730" t="s">
        <v>15</v>
      </c>
      <c r="G730">
        <v>8</v>
      </c>
      <c r="H730">
        <v>250</v>
      </c>
      <c r="I730" t="str" cm="1">
        <f t="array" ref="I730">_xlfn.IFS(H730&lt;=120,"V1",H730&lt;=150,"V2",H730&lt;=250,"V3", H730&lt;=350, "V4")</f>
        <v>V3</v>
      </c>
      <c r="J730" t="s">
        <v>2884</v>
      </c>
      <c r="K730" t="str">
        <f t="shared" si="253"/>
        <v>40.219356</v>
      </c>
      <c r="L730" t="str">
        <f t="shared" si="254"/>
        <v>-75.247211</v>
      </c>
      <c r="M730">
        <v>142</v>
      </c>
      <c r="N730" s="1">
        <v>44525</v>
      </c>
      <c r="O730" s="1">
        <v>46099</v>
      </c>
      <c r="P730" s="2">
        <f t="shared" si="255"/>
        <v>4.3093771389459272</v>
      </c>
      <c r="Q730" s="2" t="str">
        <f t="shared" si="256"/>
        <v>Mid</v>
      </c>
      <c r="R730">
        <f t="shared" si="257"/>
        <v>2000</v>
      </c>
      <c r="S730" t="str">
        <f t="shared" si="258"/>
        <v>Small</v>
      </c>
      <c r="T730" t="str">
        <f t="shared" si="259"/>
        <v>Lower EV Adoption Corridor</v>
      </c>
      <c r="U730" s="3">
        <f t="shared" si="260"/>
        <v>3600000</v>
      </c>
      <c r="V730" s="4">
        <f t="shared" si="261"/>
        <v>880000.00000000012</v>
      </c>
      <c r="W730" s="3">
        <f t="shared" si="262"/>
        <v>12000000</v>
      </c>
      <c r="X730" s="3">
        <f t="shared" si="263"/>
        <v>6600000.0000000009</v>
      </c>
      <c r="Y730">
        <f t="shared" si="264"/>
        <v>0.31515151515151513</v>
      </c>
      <c r="Z730">
        <f t="shared" si="265"/>
        <v>0.75555555555555554</v>
      </c>
      <c r="AA730" t="str">
        <f t="shared" si="266"/>
        <v>Tier 2 - Growth Markets</v>
      </c>
      <c r="AB730" s="3">
        <f t="shared" si="267"/>
        <v>110000.00000000001</v>
      </c>
      <c r="AC730" s="3">
        <f t="shared" si="268"/>
        <v>1500000</v>
      </c>
      <c r="AD730" s="3">
        <f t="shared" si="269"/>
        <v>450000</v>
      </c>
      <c r="AE730" s="5">
        <f t="shared" si="270"/>
        <v>4.4117647058823533</v>
      </c>
      <c r="AF730" s="10">
        <f t="shared" si="271"/>
        <v>545600.00000000012</v>
      </c>
      <c r="AG730" s="10">
        <f t="shared" si="272"/>
        <v>176000.00000000003</v>
      </c>
      <c r="AH730" s="10">
        <f t="shared" si="273"/>
        <v>88000.000000000015</v>
      </c>
      <c r="AI730" s="10">
        <f t="shared" si="274"/>
        <v>44000.000000000007</v>
      </c>
      <c r="AJ730" s="10">
        <f t="shared" si="275"/>
        <v>26400.000000000004</v>
      </c>
    </row>
    <row r="731" spans="1:36" x14ac:dyDescent="0.3">
      <c r="A731" t="s">
        <v>2885</v>
      </c>
      <c r="B731" t="s">
        <v>2886</v>
      </c>
      <c r="C731" t="s">
        <v>2887</v>
      </c>
      <c r="D731" t="s">
        <v>59</v>
      </c>
      <c r="E731">
        <v>60938</v>
      </c>
      <c r="F731" t="s">
        <v>15</v>
      </c>
      <c r="G731">
        <v>8</v>
      </c>
      <c r="H731">
        <v>250</v>
      </c>
      <c r="I731" t="str" cm="1">
        <f t="array" ref="I731">_xlfn.IFS(H731&lt;=120,"V1",H731&lt;=150,"V2",H731&lt;=250,"V3", H731&lt;=350, "V4")</f>
        <v>V3</v>
      </c>
      <c r="J731" t="s">
        <v>2888</v>
      </c>
      <c r="K731" t="str">
        <f t="shared" si="253"/>
        <v>40.752202</v>
      </c>
      <c r="L731" t="str">
        <f t="shared" si="254"/>
        <v>-87.996464</v>
      </c>
      <c r="M731">
        <v>199</v>
      </c>
      <c r="N731" s="1">
        <v>43957</v>
      </c>
      <c r="O731" s="1">
        <v>46099</v>
      </c>
      <c r="P731" s="2">
        <f t="shared" si="255"/>
        <v>5.8644763860369613</v>
      </c>
      <c r="Q731" s="2" t="str">
        <f t="shared" si="256"/>
        <v>Mid</v>
      </c>
      <c r="R731">
        <f t="shared" si="257"/>
        <v>2000</v>
      </c>
      <c r="S731" t="str">
        <f t="shared" si="258"/>
        <v>Small</v>
      </c>
      <c r="T731" t="str">
        <f t="shared" si="259"/>
        <v>Lower EV Adoption Corridor</v>
      </c>
      <c r="U731" s="3">
        <f t="shared" si="260"/>
        <v>3600000</v>
      </c>
      <c r="V731" s="4">
        <f t="shared" si="261"/>
        <v>880000.00000000012</v>
      </c>
      <c r="W731" s="3">
        <f t="shared" si="262"/>
        <v>12000000</v>
      </c>
      <c r="X731" s="3">
        <f t="shared" si="263"/>
        <v>6600000.0000000009</v>
      </c>
      <c r="Y731">
        <f t="shared" si="264"/>
        <v>0.31515151515151513</v>
      </c>
      <c r="Z731">
        <f t="shared" si="265"/>
        <v>0.75555555555555554</v>
      </c>
      <c r="AA731" t="str">
        <f t="shared" si="266"/>
        <v>Tier 2 - Growth Markets</v>
      </c>
      <c r="AB731" s="3">
        <f t="shared" si="267"/>
        <v>110000.00000000001</v>
      </c>
      <c r="AC731" s="3">
        <f t="shared" si="268"/>
        <v>1500000</v>
      </c>
      <c r="AD731" s="3">
        <f t="shared" si="269"/>
        <v>450000</v>
      </c>
      <c r="AE731" s="5">
        <f t="shared" si="270"/>
        <v>4.4117647058823533</v>
      </c>
      <c r="AF731" s="10">
        <f t="shared" si="271"/>
        <v>545600.00000000012</v>
      </c>
      <c r="AG731" s="10">
        <f t="shared" si="272"/>
        <v>176000.00000000003</v>
      </c>
      <c r="AH731" s="10">
        <f t="shared" si="273"/>
        <v>88000.000000000015</v>
      </c>
      <c r="AI731" s="10">
        <f t="shared" si="274"/>
        <v>44000.000000000007</v>
      </c>
      <c r="AJ731" s="10">
        <f t="shared" si="275"/>
        <v>26400.000000000004</v>
      </c>
    </row>
    <row r="732" spans="1:36" x14ac:dyDescent="0.3">
      <c r="A732" t="s">
        <v>2889</v>
      </c>
      <c r="B732" t="s">
        <v>2890</v>
      </c>
      <c r="C732" t="s">
        <v>2891</v>
      </c>
      <c r="D732" t="s">
        <v>41</v>
      </c>
      <c r="E732">
        <v>32413</v>
      </c>
      <c r="F732" t="s">
        <v>15</v>
      </c>
      <c r="G732">
        <v>8</v>
      </c>
      <c r="H732">
        <v>250</v>
      </c>
      <c r="I732" t="str" cm="1">
        <f t="array" ref="I732">_xlfn.IFS(H732&lt;=120,"V1",H732&lt;=150,"V2",H732&lt;=250,"V3", H732&lt;=350, "V4")</f>
        <v>V3</v>
      </c>
      <c r="J732" t="s">
        <v>2892</v>
      </c>
      <c r="K732" t="str">
        <f t="shared" si="253"/>
        <v>30.211432</v>
      </c>
      <c r="L732" t="str">
        <f t="shared" si="254"/>
        <v>-85.849367</v>
      </c>
      <c r="M732">
        <v>9</v>
      </c>
      <c r="N732" s="1">
        <v>44071</v>
      </c>
      <c r="O732" s="1">
        <v>46099</v>
      </c>
      <c r="P732" s="2">
        <f t="shared" si="255"/>
        <v>5.5523613963039011</v>
      </c>
      <c r="Q732" s="2" t="str">
        <f t="shared" si="256"/>
        <v>Mid</v>
      </c>
      <c r="R732">
        <f t="shared" si="257"/>
        <v>2000</v>
      </c>
      <c r="S732" t="str">
        <f t="shared" si="258"/>
        <v>Small</v>
      </c>
      <c r="T732" t="str">
        <f t="shared" si="259"/>
        <v>High EV Adoption Corridor</v>
      </c>
      <c r="U732" s="3">
        <f t="shared" si="260"/>
        <v>4680000</v>
      </c>
      <c r="V732" s="4">
        <f t="shared" si="261"/>
        <v>1056000</v>
      </c>
      <c r="W732" s="3">
        <f t="shared" si="262"/>
        <v>13200000.000000002</v>
      </c>
      <c r="X732" s="3">
        <f t="shared" si="263"/>
        <v>9900000.0000000019</v>
      </c>
      <c r="Y732">
        <f t="shared" si="264"/>
        <v>0.23999999999999996</v>
      </c>
      <c r="Z732">
        <f t="shared" si="265"/>
        <v>0.77435897435897438</v>
      </c>
      <c r="AA732" t="str">
        <f t="shared" si="266"/>
        <v>Tier 1 - Priority Fleet</v>
      </c>
      <c r="AB732" s="3">
        <f t="shared" si="267"/>
        <v>132000</v>
      </c>
      <c r="AC732" s="3">
        <f t="shared" si="268"/>
        <v>1650000.0000000002</v>
      </c>
      <c r="AD732" s="3">
        <f t="shared" si="269"/>
        <v>585000</v>
      </c>
      <c r="AE732" s="5">
        <f t="shared" si="270"/>
        <v>3.6423841059602653</v>
      </c>
      <c r="AF732" s="10">
        <f t="shared" si="271"/>
        <v>654720</v>
      </c>
      <c r="AG732" s="10">
        <f t="shared" si="272"/>
        <v>211200</v>
      </c>
      <c r="AH732" s="10">
        <f t="shared" si="273"/>
        <v>105600</v>
      </c>
      <c r="AI732" s="10">
        <f t="shared" si="274"/>
        <v>52800</v>
      </c>
      <c r="AJ732" s="10">
        <f t="shared" si="275"/>
        <v>31680</v>
      </c>
    </row>
    <row r="733" spans="1:36" x14ac:dyDescent="0.3">
      <c r="A733" t="s">
        <v>2893</v>
      </c>
      <c r="B733" t="s">
        <v>2894</v>
      </c>
      <c r="C733" t="s">
        <v>2895</v>
      </c>
      <c r="D733" t="s">
        <v>14</v>
      </c>
      <c r="E733">
        <v>93637</v>
      </c>
      <c r="F733" t="s">
        <v>15</v>
      </c>
      <c r="G733">
        <v>16</v>
      </c>
      <c r="H733">
        <v>250</v>
      </c>
      <c r="I733" t="str" cm="1">
        <f t="array" ref="I733">_xlfn.IFS(H733&lt;=120,"V1",H733&lt;=150,"V2",H733&lt;=250,"V3", H733&lt;=350, "V4")</f>
        <v>V3</v>
      </c>
      <c r="J733" t="s">
        <v>2896</v>
      </c>
      <c r="K733" t="str">
        <f t="shared" si="253"/>
        <v>36.851569</v>
      </c>
      <c r="L733" t="str">
        <f t="shared" si="254"/>
        <v>-119.950611</v>
      </c>
      <c r="M733">
        <v>87</v>
      </c>
      <c r="N733" s="1">
        <v>44600</v>
      </c>
      <c r="O733" s="1">
        <v>46099</v>
      </c>
      <c r="P733" s="2">
        <f t="shared" si="255"/>
        <v>4.1040383299110195</v>
      </c>
      <c r="Q733" s="2" t="str">
        <f t="shared" si="256"/>
        <v>Mid</v>
      </c>
      <c r="R733">
        <f t="shared" si="257"/>
        <v>4000</v>
      </c>
      <c r="S733" t="str">
        <f t="shared" si="258"/>
        <v>Small</v>
      </c>
      <c r="T733" t="str">
        <f t="shared" si="259"/>
        <v>High EV Adoption Corridor</v>
      </c>
      <c r="U733" s="3">
        <f t="shared" si="260"/>
        <v>9360000</v>
      </c>
      <c r="V733" s="4">
        <f t="shared" si="261"/>
        <v>2112000</v>
      </c>
      <c r="W733" s="3">
        <f t="shared" si="262"/>
        <v>26400000.000000004</v>
      </c>
      <c r="X733" s="3">
        <f t="shared" si="263"/>
        <v>19800000.000000004</v>
      </c>
      <c r="Y733">
        <f t="shared" si="264"/>
        <v>0.23999999999999996</v>
      </c>
      <c r="Z733">
        <f t="shared" si="265"/>
        <v>0.77435897435897438</v>
      </c>
      <c r="AA733" t="str">
        <f t="shared" si="266"/>
        <v>Tier 1 - Priority Fleet</v>
      </c>
      <c r="AB733" s="3">
        <f t="shared" si="267"/>
        <v>132000</v>
      </c>
      <c r="AC733" s="3">
        <f t="shared" si="268"/>
        <v>1650000.0000000002</v>
      </c>
      <c r="AD733" s="3">
        <f t="shared" si="269"/>
        <v>585000</v>
      </c>
      <c r="AE733" s="5">
        <f t="shared" si="270"/>
        <v>3.6423841059602653</v>
      </c>
      <c r="AF733" s="10">
        <f t="shared" si="271"/>
        <v>1309440</v>
      </c>
      <c r="AG733" s="10">
        <f t="shared" si="272"/>
        <v>422400</v>
      </c>
      <c r="AH733" s="10">
        <f t="shared" si="273"/>
        <v>211200</v>
      </c>
      <c r="AI733" s="10">
        <f t="shared" si="274"/>
        <v>105600</v>
      </c>
      <c r="AJ733" s="10">
        <f t="shared" si="275"/>
        <v>63360</v>
      </c>
    </row>
    <row r="734" spans="1:36" x14ac:dyDescent="0.3">
      <c r="A734" t="s">
        <v>2897</v>
      </c>
      <c r="B734" t="s">
        <v>2898</v>
      </c>
      <c r="C734" t="s">
        <v>1371</v>
      </c>
      <c r="D734" t="s">
        <v>41</v>
      </c>
      <c r="E734">
        <v>33183</v>
      </c>
      <c r="F734" t="s">
        <v>15</v>
      </c>
      <c r="G734">
        <v>12</v>
      </c>
      <c r="H734">
        <v>250</v>
      </c>
      <c r="I734" t="str" cm="1">
        <f t="array" ref="I734">_xlfn.IFS(H734&lt;=120,"V1",H734&lt;=150,"V2",H734&lt;=250,"V3", H734&lt;=350, "V4")</f>
        <v>V3</v>
      </c>
      <c r="J734" t="s">
        <v>2899</v>
      </c>
      <c r="K734" t="str">
        <f t="shared" si="253"/>
        <v>25.689099</v>
      </c>
      <c r="L734" t="str">
        <f t="shared" si="254"/>
        <v>-80.393365</v>
      </c>
      <c r="M734">
        <v>2</v>
      </c>
      <c r="N734" s="1">
        <v>44806</v>
      </c>
      <c r="O734" s="1">
        <v>46099</v>
      </c>
      <c r="P734" s="2">
        <f t="shared" si="255"/>
        <v>3.5400410677618068</v>
      </c>
      <c r="Q734" s="2" t="str">
        <f t="shared" si="256"/>
        <v>Mid</v>
      </c>
      <c r="R734">
        <f t="shared" si="257"/>
        <v>3000</v>
      </c>
      <c r="S734" t="str">
        <f t="shared" si="258"/>
        <v>Small</v>
      </c>
      <c r="T734" t="str">
        <f t="shared" si="259"/>
        <v>High EV Adoption Corridor</v>
      </c>
      <c r="U734" s="3">
        <f t="shared" si="260"/>
        <v>7020000</v>
      </c>
      <c r="V734" s="4">
        <f t="shared" si="261"/>
        <v>1584000</v>
      </c>
      <c r="W734" s="3">
        <f t="shared" si="262"/>
        <v>19800000</v>
      </c>
      <c r="X734" s="3">
        <f t="shared" si="263"/>
        <v>14850000</v>
      </c>
      <c r="Y734">
        <f t="shared" si="264"/>
        <v>0.24</v>
      </c>
      <c r="Z734">
        <f t="shared" si="265"/>
        <v>0.77435897435897438</v>
      </c>
      <c r="AA734" t="str">
        <f t="shared" si="266"/>
        <v>Tier 1 - Priority Fleet</v>
      </c>
      <c r="AB734" s="3">
        <f t="shared" si="267"/>
        <v>132000</v>
      </c>
      <c r="AC734" s="3">
        <f t="shared" si="268"/>
        <v>1650000</v>
      </c>
      <c r="AD734" s="3">
        <f t="shared" si="269"/>
        <v>585000</v>
      </c>
      <c r="AE734" s="5">
        <f t="shared" si="270"/>
        <v>3.6423841059602649</v>
      </c>
      <c r="AF734" s="10">
        <f t="shared" si="271"/>
        <v>982080</v>
      </c>
      <c r="AG734" s="10">
        <f t="shared" si="272"/>
        <v>316800</v>
      </c>
      <c r="AH734" s="10">
        <f t="shared" si="273"/>
        <v>158400</v>
      </c>
      <c r="AI734" s="10">
        <f t="shared" si="274"/>
        <v>79200</v>
      </c>
      <c r="AJ734" s="10">
        <f t="shared" si="275"/>
        <v>47520</v>
      </c>
    </row>
    <row r="735" spans="1:36" x14ac:dyDescent="0.3">
      <c r="A735" t="s">
        <v>2900</v>
      </c>
      <c r="B735" t="s">
        <v>2901</v>
      </c>
      <c r="C735" t="s">
        <v>986</v>
      </c>
      <c r="D735" t="s">
        <v>14</v>
      </c>
      <c r="E735">
        <v>93311</v>
      </c>
      <c r="F735" t="s">
        <v>15</v>
      </c>
      <c r="G735">
        <v>12</v>
      </c>
      <c r="H735">
        <v>250</v>
      </c>
      <c r="I735" t="str" cm="1">
        <f t="array" ref="I735">_xlfn.IFS(H735&lt;=120,"V1",H735&lt;=150,"V2",H735&lt;=250,"V3", H735&lt;=350, "V4")</f>
        <v>V3</v>
      </c>
      <c r="J735" t="s">
        <v>2902</v>
      </c>
      <c r="K735" t="str">
        <f t="shared" si="253"/>
        <v>35.266688</v>
      </c>
      <c r="L735" t="str">
        <f t="shared" si="254"/>
        <v>-119.253836</v>
      </c>
      <c r="M735">
        <v>93</v>
      </c>
      <c r="N735" s="1">
        <v>44820</v>
      </c>
      <c r="O735" s="1">
        <v>46099</v>
      </c>
      <c r="P735" s="2">
        <f t="shared" si="255"/>
        <v>3.5017111567419574</v>
      </c>
      <c r="Q735" s="2" t="str">
        <f t="shared" si="256"/>
        <v>Mid</v>
      </c>
      <c r="R735">
        <f t="shared" si="257"/>
        <v>3000</v>
      </c>
      <c r="S735" t="str">
        <f t="shared" si="258"/>
        <v>Small</v>
      </c>
      <c r="T735" t="str">
        <f t="shared" si="259"/>
        <v>High EV Adoption Corridor</v>
      </c>
      <c r="U735" s="3">
        <f t="shared" si="260"/>
        <v>7020000</v>
      </c>
      <c r="V735" s="4">
        <f t="shared" si="261"/>
        <v>1584000</v>
      </c>
      <c r="W735" s="3">
        <f t="shared" si="262"/>
        <v>19800000</v>
      </c>
      <c r="X735" s="3">
        <f t="shared" si="263"/>
        <v>14850000</v>
      </c>
      <c r="Y735">
        <f t="shared" si="264"/>
        <v>0.24</v>
      </c>
      <c r="Z735">
        <f t="shared" si="265"/>
        <v>0.77435897435897438</v>
      </c>
      <c r="AA735" t="str">
        <f t="shared" si="266"/>
        <v>Tier 1 - Priority Fleet</v>
      </c>
      <c r="AB735" s="3">
        <f t="shared" si="267"/>
        <v>132000</v>
      </c>
      <c r="AC735" s="3">
        <f t="shared" si="268"/>
        <v>1650000</v>
      </c>
      <c r="AD735" s="3">
        <f t="shared" si="269"/>
        <v>585000</v>
      </c>
      <c r="AE735" s="5">
        <f t="shared" si="270"/>
        <v>3.6423841059602649</v>
      </c>
      <c r="AF735" s="10">
        <f t="shared" si="271"/>
        <v>982080</v>
      </c>
      <c r="AG735" s="10">
        <f t="shared" si="272"/>
        <v>316800</v>
      </c>
      <c r="AH735" s="10">
        <f t="shared" si="273"/>
        <v>158400</v>
      </c>
      <c r="AI735" s="10">
        <f t="shared" si="274"/>
        <v>79200</v>
      </c>
      <c r="AJ735" s="10">
        <f t="shared" si="275"/>
        <v>47520</v>
      </c>
    </row>
    <row r="736" spans="1:36" x14ac:dyDescent="0.3">
      <c r="A736" t="s">
        <v>2903</v>
      </c>
      <c r="B736" t="s">
        <v>2904</v>
      </c>
      <c r="C736" t="s">
        <v>2257</v>
      </c>
      <c r="D736" t="s">
        <v>41</v>
      </c>
      <c r="E736">
        <v>34747</v>
      </c>
      <c r="F736" t="s">
        <v>15</v>
      </c>
      <c r="G736">
        <v>8</v>
      </c>
      <c r="H736">
        <v>150</v>
      </c>
      <c r="I736" t="str" cm="1">
        <f t="array" ref="I736">_xlfn.IFS(H736&lt;=120,"V1",H736&lt;=150,"V2",H736&lt;=250,"V3", H736&lt;=350, "V4")</f>
        <v>V2</v>
      </c>
      <c r="J736" t="s">
        <v>2905</v>
      </c>
      <c r="K736" t="str">
        <f t="shared" si="253"/>
        <v>28.34551</v>
      </c>
      <c r="L736" t="str">
        <f t="shared" si="254"/>
        <v>-81.604567</v>
      </c>
      <c r="M736">
        <v>33</v>
      </c>
      <c r="N736" s="1">
        <v>43843</v>
      </c>
      <c r="O736" s="1">
        <v>46099</v>
      </c>
      <c r="P736" s="2">
        <f t="shared" si="255"/>
        <v>6.1765913757700206</v>
      </c>
      <c r="Q736" s="2" t="str">
        <f t="shared" si="256"/>
        <v>Mid</v>
      </c>
      <c r="R736">
        <f t="shared" si="257"/>
        <v>1200</v>
      </c>
      <c r="S736" t="str">
        <f t="shared" si="258"/>
        <v>Small</v>
      </c>
      <c r="T736" t="str">
        <f t="shared" si="259"/>
        <v>High EV Adoption Corridor</v>
      </c>
      <c r="U736" s="3">
        <f t="shared" si="260"/>
        <v>2574000.0000000005</v>
      </c>
      <c r="V736" s="4">
        <f t="shared" si="261"/>
        <v>576000</v>
      </c>
      <c r="W736" s="3">
        <f t="shared" si="262"/>
        <v>6600000.0000000009</v>
      </c>
      <c r="X736" s="3">
        <f t="shared" si="263"/>
        <v>5400000</v>
      </c>
      <c r="Y736">
        <f t="shared" si="264"/>
        <v>0.22888888888888889</v>
      </c>
      <c r="Z736">
        <f t="shared" si="265"/>
        <v>0.77622377622377625</v>
      </c>
      <c r="AA736" t="str">
        <f t="shared" si="266"/>
        <v>Tier 3 - Upgrade Pipeline</v>
      </c>
      <c r="AB736" s="3">
        <f t="shared" si="267"/>
        <v>72000</v>
      </c>
      <c r="AC736" s="3">
        <f t="shared" si="268"/>
        <v>825000.00000000012</v>
      </c>
      <c r="AD736" s="3">
        <f t="shared" si="269"/>
        <v>321750.00000000006</v>
      </c>
      <c r="AE736" s="5">
        <f t="shared" si="270"/>
        <v>3.303303303303303</v>
      </c>
      <c r="AF736" s="10">
        <f t="shared" si="271"/>
        <v>357120</v>
      </c>
      <c r="AG736" s="10">
        <f t="shared" si="272"/>
        <v>115200</v>
      </c>
      <c r="AH736" s="10">
        <f t="shared" si="273"/>
        <v>57600</v>
      </c>
      <c r="AI736" s="10">
        <f t="shared" si="274"/>
        <v>28800</v>
      </c>
      <c r="AJ736" s="10">
        <f t="shared" si="275"/>
        <v>17280</v>
      </c>
    </row>
    <row r="737" spans="1:36" x14ac:dyDescent="0.3">
      <c r="A737" t="s">
        <v>2906</v>
      </c>
      <c r="B737" t="s">
        <v>2907</v>
      </c>
      <c r="C737" t="s">
        <v>2908</v>
      </c>
      <c r="D737" t="s">
        <v>72</v>
      </c>
      <c r="E737">
        <v>85087</v>
      </c>
      <c r="F737" t="s">
        <v>15</v>
      </c>
      <c r="G737">
        <v>10</v>
      </c>
      <c r="H737">
        <v>150</v>
      </c>
      <c r="I737" t="str" cm="1">
        <f t="array" ref="I737">_xlfn.IFS(H737&lt;=120,"V1",H737&lt;=150,"V2",H737&lt;=250,"V3", H737&lt;=350, "V4")</f>
        <v>V2</v>
      </c>
      <c r="J737" t="s">
        <v>2909</v>
      </c>
      <c r="K737" t="str">
        <f t="shared" si="253"/>
        <v>33.91578</v>
      </c>
      <c r="L737" t="str">
        <f t="shared" si="254"/>
        <v>-112.14417</v>
      </c>
      <c r="M737">
        <v>621</v>
      </c>
      <c r="N737" s="1">
        <v>43824</v>
      </c>
      <c r="O737" s="1">
        <v>46099</v>
      </c>
      <c r="P737" s="2">
        <f t="shared" si="255"/>
        <v>6.2286105407255308</v>
      </c>
      <c r="Q737" s="2" t="str">
        <f t="shared" si="256"/>
        <v>Mid</v>
      </c>
      <c r="R737">
        <f t="shared" si="257"/>
        <v>1500</v>
      </c>
      <c r="S737" t="str">
        <f t="shared" si="258"/>
        <v>Small</v>
      </c>
      <c r="T737" t="str">
        <f t="shared" si="259"/>
        <v>Lower EV Adoption Corridor</v>
      </c>
      <c r="U737" s="3">
        <f t="shared" si="260"/>
        <v>2475000</v>
      </c>
      <c r="V737" s="4">
        <f t="shared" si="261"/>
        <v>600000</v>
      </c>
      <c r="W737" s="3">
        <f t="shared" si="262"/>
        <v>7500000</v>
      </c>
      <c r="X737" s="3">
        <f t="shared" si="263"/>
        <v>4500000</v>
      </c>
      <c r="Y737">
        <f t="shared" si="264"/>
        <v>0.3</v>
      </c>
      <c r="Z737">
        <f t="shared" si="265"/>
        <v>0.75757575757575757</v>
      </c>
      <c r="AA737" t="str">
        <f t="shared" si="266"/>
        <v>Tier 4 - Stable Network</v>
      </c>
      <c r="AB737" s="3">
        <f t="shared" si="267"/>
        <v>60000</v>
      </c>
      <c r="AC737" s="3">
        <f t="shared" si="268"/>
        <v>750000</v>
      </c>
      <c r="AD737" s="3">
        <f t="shared" si="269"/>
        <v>247500</v>
      </c>
      <c r="AE737" s="5">
        <f t="shared" si="270"/>
        <v>4</v>
      </c>
      <c r="AF737" s="10">
        <f t="shared" si="271"/>
        <v>372000</v>
      </c>
      <c r="AG737" s="10">
        <f t="shared" si="272"/>
        <v>120000</v>
      </c>
      <c r="AH737" s="10">
        <f t="shared" si="273"/>
        <v>60000</v>
      </c>
      <c r="AI737" s="10">
        <f t="shared" si="274"/>
        <v>30000</v>
      </c>
      <c r="AJ737" s="10">
        <f t="shared" si="275"/>
        <v>18000</v>
      </c>
    </row>
    <row r="738" spans="1:36" x14ac:dyDescent="0.3">
      <c r="A738" t="s">
        <v>2910</v>
      </c>
      <c r="B738" t="s">
        <v>2911</v>
      </c>
      <c r="C738" t="s">
        <v>2912</v>
      </c>
      <c r="D738" t="s">
        <v>14</v>
      </c>
      <c r="E738">
        <v>92408</v>
      </c>
      <c r="F738" t="s">
        <v>15</v>
      </c>
      <c r="G738">
        <v>14</v>
      </c>
      <c r="H738">
        <v>72</v>
      </c>
      <c r="I738" t="str" cm="1">
        <f t="array" ref="I738">_xlfn.IFS(H738&lt;=120,"V1",H738&lt;=150,"V2",H738&lt;=250,"V3", H738&lt;=350, "V4")</f>
        <v>V1</v>
      </c>
      <c r="J738" t="s">
        <v>2913</v>
      </c>
      <c r="K738" t="str">
        <f t="shared" si="253"/>
        <v>34.08407</v>
      </c>
      <c r="L738" t="str">
        <f t="shared" si="254"/>
        <v>-117.299314</v>
      </c>
      <c r="M738">
        <v>304</v>
      </c>
      <c r="N738" s="1">
        <v>43259</v>
      </c>
      <c r="O738" s="1">
        <v>46099</v>
      </c>
      <c r="P738" s="2">
        <f t="shared" si="255"/>
        <v>7.7754962354551678</v>
      </c>
      <c r="Q738" s="2" t="str">
        <f t="shared" si="256"/>
        <v>Mid</v>
      </c>
      <c r="R738">
        <f t="shared" si="257"/>
        <v>1008</v>
      </c>
      <c r="S738" t="str">
        <f t="shared" si="258"/>
        <v>Small</v>
      </c>
      <c r="T738" t="str">
        <f t="shared" si="259"/>
        <v>High EV Adoption Corridor</v>
      </c>
      <c r="U738" s="3">
        <f t="shared" si="260"/>
        <v>1965600</v>
      </c>
      <c r="V738" s="4">
        <f t="shared" si="261"/>
        <v>435456</v>
      </c>
      <c r="W738" s="3">
        <f t="shared" si="262"/>
        <v>4435200</v>
      </c>
      <c r="X738" s="3">
        <f t="shared" si="263"/>
        <v>4082400</v>
      </c>
      <c r="Y738">
        <f t="shared" si="264"/>
        <v>0.21530864197530863</v>
      </c>
      <c r="Z738">
        <f t="shared" si="265"/>
        <v>0.77846153846153843</v>
      </c>
      <c r="AA738" t="str">
        <f t="shared" si="266"/>
        <v>Tier 3 - Upgrade Pipeline</v>
      </c>
      <c r="AB738" s="3">
        <f t="shared" si="267"/>
        <v>31104</v>
      </c>
      <c r="AC738" s="3">
        <f t="shared" si="268"/>
        <v>316800</v>
      </c>
      <c r="AD738" s="3">
        <f t="shared" si="269"/>
        <v>140400</v>
      </c>
      <c r="AE738" s="5">
        <f t="shared" si="270"/>
        <v>2.8985507246376812</v>
      </c>
      <c r="AF738" s="10">
        <f t="shared" si="271"/>
        <v>269982.71999999997</v>
      </c>
      <c r="AG738" s="10">
        <f t="shared" si="272"/>
        <v>87091.200000000012</v>
      </c>
      <c r="AH738" s="10">
        <f t="shared" si="273"/>
        <v>43545.600000000006</v>
      </c>
      <c r="AI738" s="10">
        <f t="shared" si="274"/>
        <v>21772.800000000003</v>
      </c>
      <c r="AJ738" s="10">
        <f t="shared" si="275"/>
        <v>13063.68</v>
      </c>
    </row>
    <row r="739" spans="1:36" x14ac:dyDescent="0.3">
      <c r="A739" t="s">
        <v>2914</v>
      </c>
      <c r="B739" t="s">
        <v>2915</v>
      </c>
      <c r="C739" t="s">
        <v>307</v>
      </c>
      <c r="D739" t="s">
        <v>14</v>
      </c>
      <c r="E739">
        <v>95118</v>
      </c>
      <c r="F739" t="s">
        <v>15</v>
      </c>
      <c r="G739">
        <v>24</v>
      </c>
      <c r="H739">
        <v>72</v>
      </c>
      <c r="I739" t="str" cm="1">
        <f t="array" ref="I739">_xlfn.IFS(H739&lt;=120,"V1",H739&lt;=150,"V2",H739&lt;=250,"V3", H739&lt;=350, "V4")</f>
        <v>V1</v>
      </c>
      <c r="J739" t="s">
        <v>2916</v>
      </c>
      <c r="K739" t="str">
        <f t="shared" si="253"/>
        <v>37.258506</v>
      </c>
      <c r="L739" t="str">
        <f t="shared" si="254"/>
        <v>-121.871476</v>
      </c>
      <c r="M739">
        <v>56</v>
      </c>
      <c r="N739" s="1">
        <v>43456</v>
      </c>
      <c r="O739" s="1">
        <v>46099</v>
      </c>
      <c r="P739" s="2">
        <f t="shared" si="255"/>
        <v>7.2361396303901433</v>
      </c>
      <c r="Q739" s="2" t="str">
        <f t="shared" si="256"/>
        <v>Mid</v>
      </c>
      <c r="R739">
        <f t="shared" si="257"/>
        <v>1728</v>
      </c>
      <c r="S739" t="str">
        <f t="shared" si="258"/>
        <v>Small</v>
      </c>
      <c r="T739" t="str">
        <f t="shared" si="259"/>
        <v>High EV Adoption Corridor</v>
      </c>
      <c r="U739" s="3">
        <f t="shared" si="260"/>
        <v>3369600</v>
      </c>
      <c r="V739" s="4">
        <f t="shared" si="261"/>
        <v>746496</v>
      </c>
      <c r="W739" s="3">
        <f t="shared" si="262"/>
        <v>7603200.0000000009</v>
      </c>
      <c r="X739" s="3">
        <f t="shared" si="263"/>
        <v>6998400</v>
      </c>
      <c r="Y739">
        <f t="shared" si="264"/>
        <v>0.21530864197530863</v>
      </c>
      <c r="Z739">
        <f t="shared" si="265"/>
        <v>0.77846153846153843</v>
      </c>
      <c r="AA739" t="str">
        <f t="shared" si="266"/>
        <v>Tier 3 - Upgrade Pipeline</v>
      </c>
      <c r="AB739" s="3">
        <f t="shared" si="267"/>
        <v>31104</v>
      </c>
      <c r="AC739" s="3">
        <f t="shared" si="268"/>
        <v>316800.00000000006</v>
      </c>
      <c r="AD739" s="3">
        <f t="shared" si="269"/>
        <v>140400</v>
      </c>
      <c r="AE739" s="5">
        <f t="shared" si="270"/>
        <v>2.8985507246376816</v>
      </c>
      <c r="AF739" s="10">
        <f t="shared" si="271"/>
        <v>462827.52000000002</v>
      </c>
      <c r="AG739" s="10">
        <f t="shared" si="272"/>
        <v>149299.20000000001</v>
      </c>
      <c r="AH739" s="10">
        <f t="shared" si="273"/>
        <v>74649.600000000006</v>
      </c>
      <c r="AI739" s="10">
        <f t="shared" si="274"/>
        <v>37324.800000000003</v>
      </c>
      <c r="AJ739" s="10">
        <f t="shared" si="275"/>
        <v>22394.879999999997</v>
      </c>
    </row>
    <row r="740" spans="1:36" x14ac:dyDescent="0.3">
      <c r="A740" t="s">
        <v>2917</v>
      </c>
      <c r="B740" t="s">
        <v>2918</v>
      </c>
      <c r="C740" t="s">
        <v>1824</v>
      </c>
      <c r="D740" t="s">
        <v>14</v>
      </c>
      <c r="E740">
        <v>91360</v>
      </c>
      <c r="F740" t="s">
        <v>15</v>
      </c>
      <c r="G740">
        <v>20</v>
      </c>
      <c r="H740">
        <v>72</v>
      </c>
      <c r="I740" t="str" cm="1">
        <f t="array" ref="I740">_xlfn.IFS(H740&lt;=120,"V1",H740&lt;=150,"V2",H740&lt;=250,"V3", H740&lt;=350, "V4")</f>
        <v>V1</v>
      </c>
      <c r="J740" t="s">
        <v>2919</v>
      </c>
      <c r="K740" t="str">
        <f t="shared" si="253"/>
        <v>34.18445</v>
      </c>
      <c r="L740" t="str">
        <f t="shared" si="254"/>
        <v>-118.890747</v>
      </c>
      <c r="M740">
        <v>202</v>
      </c>
      <c r="N740" s="1">
        <v>43317</v>
      </c>
      <c r="O740" s="1">
        <v>46099</v>
      </c>
      <c r="P740" s="2">
        <f t="shared" si="255"/>
        <v>7.6167008898015061</v>
      </c>
      <c r="Q740" s="2" t="str">
        <f t="shared" si="256"/>
        <v>Mid</v>
      </c>
      <c r="R740">
        <f t="shared" si="257"/>
        <v>1440</v>
      </c>
      <c r="S740" t="str">
        <f t="shared" si="258"/>
        <v>Small</v>
      </c>
      <c r="T740" t="str">
        <f t="shared" si="259"/>
        <v>High EV Adoption Corridor</v>
      </c>
      <c r="U740" s="3">
        <f t="shared" si="260"/>
        <v>2808000</v>
      </c>
      <c r="V740" s="4">
        <f t="shared" si="261"/>
        <v>622080</v>
      </c>
      <c r="W740" s="3">
        <f t="shared" si="262"/>
        <v>6336000.0000000009</v>
      </c>
      <c r="X740" s="3">
        <f t="shared" si="263"/>
        <v>5832000</v>
      </c>
      <c r="Y740">
        <f t="shared" si="264"/>
        <v>0.21530864197530863</v>
      </c>
      <c r="Z740">
        <f t="shared" si="265"/>
        <v>0.77846153846153843</v>
      </c>
      <c r="AA740" t="str">
        <f t="shared" si="266"/>
        <v>Tier 3 - Upgrade Pipeline</v>
      </c>
      <c r="AB740" s="3">
        <f t="shared" si="267"/>
        <v>31104</v>
      </c>
      <c r="AC740" s="3">
        <f t="shared" si="268"/>
        <v>316800.00000000006</v>
      </c>
      <c r="AD740" s="3">
        <f t="shared" si="269"/>
        <v>140400</v>
      </c>
      <c r="AE740" s="5">
        <f t="shared" si="270"/>
        <v>2.8985507246376816</v>
      </c>
      <c r="AF740" s="10">
        <f t="shared" si="271"/>
        <v>385689.59999999998</v>
      </c>
      <c r="AG740" s="10">
        <f t="shared" si="272"/>
        <v>124416</v>
      </c>
      <c r="AH740" s="10">
        <f t="shared" si="273"/>
        <v>62208</v>
      </c>
      <c r="AI740" s="10">
        <f t="shared" si="274"/>
        <v>31104</v>
      </c>
      <c r="AJ740" s="10">
        <f t="shared" si="275"/>
        <v>18662.399999999998</v>
      </c>
    </row>
    <row r="741" spans="1:36" x14ac:dyDescent="0.3">
      <c r="A741" t="s">
        <v>2920</v>
      </c>
      <c r="B741" t="s">
        <v>2921</v>
      </c>
      <c r="C741" t="s">
        <v>2922</v>
      </c>
      <c r="D741" t="s">
        <v>98</v>
      </c>
      <c r="E741">
        <v>6511</v>
      </c>
      <c r="F741" t="s">
        <v>15</v>
      </c>
      <c r="G741">
        <v>12</v>
      </c>
      <c r="H741">
        <v>250</v>
      </c>
      <c r="I741" t="str" cm="1">
        <f t="array" ref="I741">_xlfn.IFS(H741&lt;=120,"V1",H741&lt;=150,"V2",H741&lt;=250,"V3", H741&lt;=350, "V4")</f>
        <v>V3</v>
      </c>
      <c r="J741" t="s">
        <v>2923</v>
      </c>
      <c r="K741" t="str">
        <f t="shared" si="253"/>
        <v>41.297348</v>
      </c>
      <c r="L741" t="str">
        <f t="shared" si="254"/>
        <v>-72.917804</v>
      </c>
      <c r="M741">
        <v>2</v>
      </c>
      <c r="N741" s="1">
        <v>44887</v>
      </c>
      <c r="O741" s="1">
        <v>46099</v>
      </c>
      <c r="P741" s="2">
        <f t="shared" si="255"/>
        <v>3.3182751540041067</v>
      </c>
      <c r="Q741" s="2" t="str">
        <f t="shared" si="256"/>
        <v>Mid</v>
      </c>
      <c r="R741">
        <f t="shared" si="257"/>
        <v>3000</v>
      </c>
      <c r="S741" t="str">
        <f t="shared" si="258"/>
        <v>Small</v>
      </c>
      <c r="T741" t="str">
        <f t="shared" si="259"/>
        <v>Lower EV Adoption Corridor</v>
      </c>
      <c r="U741" s="3">
        <f t="shared" si="260"/>
        <v>5400000</v>
      </c>
      <c r="V741" s="4">
        <f t="shared" si="261"/>
        <v>1320000</v>
      </c>
      <c r="W741" s="3">
        <f t="shared" si="262"/>
        <v>18000000</v>
      </c>
      <c r="X741" s="3">
        <f t="shared" si="263"/>
        <v>9900000</v>
      </c>
      <c r="Y741">
        <f t="shared" si="264"/>
        <v>0.31515151515151513</v>
      </c>
      <c r="Z741">
        <f t="shared" si="265"/>
        <v>0.75555555555555554</v>
      </c>
      <c r="AA741" t="str">
        <f t="shared" si="266"/>
        <v>Tier 2 - Growth Markets</v>
      </c>
      <c r="AB741" s="3">
        <f t="shared" si="267"/>
        <v>110000</v>
      </c>
      <c r="AC741" s="3">
        <f t="shared" si="268"/>
        <v>1500000</v>
      </c>
      <c r="AD741" s="3">
        <f t="shared" si="269"/>
        <v>450000</v>
      </c>
      <c r="AE741" s="5">
        <f t="shared" si="270"/>
        <v>4.4117647058823533</v>
      </c>
      <c r="AF741" s="10">
        <f t="shared" si="271"/>
        <v>818400</v>
      </c>
      <c r="AG741" s="10">
        <f t="shared" si="272"/>
        <v>264000</v>
      </c>
      <c r="AH741" s="10">
        <f t="shared" si="273"/>
        <v>132000</v>
      </c>
      <c r="AI741" s="10">
        <f t="shared" si="274"/>
        <v>66000</v>
      </c>
      <c r="AJ741" s="10">
        <f t="shared" si="275"/>
        <v>39600</v>
      </c>
    </row>
    <row r="742" spans="1:36" x14ac:dyDescent="0.3">
      <c r="A742" t="s">
        <v>2924</v>
      </c>
      <c r="B742" t="s">
        <v>2925</v>
      </c>
      <c r="C742" t="s">
        <v>2926</v>
      </c>
      <c r="D742" t="s">
        <v>913</v>
      </c>
      <c r="E742">
        <v>20850</v>
      </c>
      <c r="F742" t="s">
        <v>15</v>
      </c>
      <c r="G742">
        <v>8</v>
      </c>
      <c r="H742">
        <v>72</v>
      </c>
      <c r="I742" t="str" cm="1">
        <f t="array" ref="I742">_xlfn.IFS(H742&lt;=120,"V1",H742&lt;=150,"V2",H742&lt;=250,"V3", H742&lt;=350, "V4")</f>
        <v>V1</v>
      </c>
      <c r="J742" t="s">
        <v>2927</v>
      </c>
      <c r="K742" t="str">
        <f t="shared" si="253"/>
        <v>39.085997</v>
      </c>
      <c r="L742" t="str">
        <f t="shared" si="254"/>
        <v>-77.149696</v>
      </c>
      <c r="M742">
        <v>130</v>
      </c>
      <c r="N742" s="1">
        <v>43855</v>
      </c>
      <c r="O742" s="1">
        <v>46099</v>
      </c>
      <c r="P742" s="2">
        <f t="shared" si="255"/>
        <v>6.1437371663244349</v>
      </c>
      <c r="Q742" s="2" t="str">
        <f t="shared" si="256"/>
        <v>Mid</v>
      </c>
      <c r="R742">
        <f t="shared" si="257"/>
        <v>576</v>
      </c>
      <c r="S742" t="str">
        <f t="shared" si="258"/>
        <v>Small</v>
      </c>
      <c r="T742" t="str">
        <f t="shared" si="259"/>
        <v>Lower EV Adoption Corridor</v>
      </c>
      <c r="U742" s="3">
        <f t="shared" si="260"/>
        <v>864000</v>
      </c>
      <c r="V742" s="4">
        <f t="shared" si="261"/>
        <v>207360</v>
      </c>
      <c r="W742" s="3">
        <f t="shared" si="262"/>
        <v>2304000</v>
      </c>
      <c r="X742" s="3">
        <f t="shared" si="263"/>
        <v>1555200</v>
      </c>
      <c r="Y742">
        <f t="shared" si="264"/>
        <v>0.2814814814814815</v>
      </c>
      <c r="Z742">
        <f t="shared" si="265"/>
        <v>0.76</v>
      </c>
      <c r="AA742" t="str">
        <f t="shared" si="266"/>
        <v>Tier 5 - Retirement Pipeline</v>
      </c>
      <c r="AB742" s="3">
        <f t="shared" si="267"/>
        <v>25920</v>
      </c>
      <c r="AC742" s="3">
        <f t="shared" si="268"/>
        <v>288000</v>
      </c>
      <c r="AD742" s="3">
        <f t="shared" si="269"/>
        <v>108000</v>
      </c>
      <c r="AE742" s="5">
        <f t="shared" si="270"/>
        <v>3.5087719298245612</v>
      </c>
      <c r="AF742" s="10">
        <f t="shared" si="271"/>
        <v>128563.2</v>
      </c>
      <c r="AG742" s="10">
        <f t="shared" si="272"/>
        <v>41472</v>
      </c>
      <c r="AH742" s="10">
        <f t="shared" si="273"/>
        <v>20736</v>
      </c>
      <c r="AI742" s="10">
        <f t="shared" si="274"/>
        <v>10368</v>
      </c>
      <c r="AJ742" s="10">
        <f t="shared" si="275"/>
        <v>6220.8</v>
      </c>
    </row>
    <row r="743" spans="1:36" x14ac:dyDescent="0.3">
      <c r="A743" t="s">
        <v>2928</v>
      </c>
      <c r="B743" t="s">
        <v>2929</v>
      </c>
      <c r="C743" t="s">
        <v>1867</v>
      </c>
      <c r="D743" t="s">
        <v>50</v>
      </c>
      <c r="E743">
        <v>78257</v>
      </c>
      <c r="F743" t="s">
        <v>15</v>
      </c>
      <c r="G743">
        <v>10</v>
      </c>
      <c r="H743">
        <v>150</v>
      </c>
      <c r="I743" t="str" cm="1">
        <f t="array" ref="I743">_xlfn.IFS(H743&lt;=120,"V1",H743&lt;=150,"V2",H743&lt;=250,"V3", H743&lt;=350, "V4")</f>
        <v>V2</v>
      </c>
      <c r="J743" t="s">
        <v>2930</v>
      </c>
      <c r="K743" t="str">
        <f t="shared" si="253"/>
        <v>29.665289</v>
      </c>
      <c r="L743" t="str">
        <f t="shared" si="254"/>
        <v>-98.633387</v>
      </c>
      <c r="M743">
        <v>348</v>
      </c>
      <c r="N743" s="1">
        <v>43915</v>
      </c>
      <c r="O743" s="1">
        <v>46099</v>
      </c>
      <c r="P743" s="2">
        <f t="shared" si="255"/>
        <v>5.979466119096509</v>
      </c>
      <c r="Q743" s="2" t="str">
        <f t="shared" si="256"/>
        <v>Mid</v>
      </c>
      <c r="R743">
        <f t="shared" si="257"/>
        <v>1500</v>
      </c>
      <c r="S743" t="str">
        <f t="shared" si="258"/>
        <v>Small</v>
      </c>
      <c r="T743" t="str">
        <f t="shared" si="259"/>
        <v>High EV Adoption Corridor</v>
      </c>
      <c r="U743" s="3">
        <f t="shared" si="260"/>
        <v>3217500</v>
      </c>
      <c r="V743" s="4">
        <f t="shared" si="261"/>
        <v>720000</v>
      </c>
      <c r="W743" s="3">
        <f t="shared" si="262"/>
        <v>8250000.0000000009</v>
      </c>
      <c r="X743" s="3">
        <f t="shared" si="263"/>
        <v>6750000</v>
      </c>
      <c r="Y743">
        <f t="shared" si="264"/>
        <v>0.22888888888888889</v>
      </c>
      <c r="Z743">
        <f t="shared" si="265"/>
        <v>0.77622377622377625</v>
      </c>
      <c r="AA743" t="str">
        <f t="shared" si="266"/>
        <v>Tier 3 - Upgrade Pipeline</v>
      </c>
      <c r="AB743" s="3">
        <f t="shared" si="267"/>
        <v>72000</v>
      </c>
      <c r="AC743" s="3">
        <f t="shared" si="268"/>
        <v>825000.00000000012</v>
      </c>
      <c r="AD743" s="3">
        <f t="shared" si="269"/>
        <v>321750</v>
      </c>
      <c r="AE743" s="5">
        <f t="shared" si="270"/>
        <v>3.3033033033033035</v>
      </c>
      <c r="AF743" s="10">
        <f t="shared" si="271"/>
        <v>446400</v>
      </c>
      <c r="AG743" s="10">
        <f t="shared" si="272"/>
        <v>144000</v>
      </c>
      <c r="AH743" s="10">
        <f t="shared" si="273"/>
        <v>72000</v>
      </c>
      <c r="AI743" s="10">
        <f t="shared" si="274"/>
        <v>36000</v>
      </c>
      <c r="AJ743" s="10">
        <f t="shared" si="275"/>
        <v>21600</v>
      </c>
    </row>
    <row r="744" spans="1:36" x14ac:dyDescent="0.3">
      <c r="A744" t="s">
        <v>2931</v>
      </c>
      <c r="B744" t="s">
        <v>2932</v>
      </c>
      <c r="C744" t="s">
        <v>2933</v>
      </c>
      <c r="D744" t="s">
        <v>643</v>
      </c>
      <c r="E744">
        <v>5701</v>
      </c>
      <c r="F744" t="s">
        <v>15</v>
      </c>
      <c r="G744">
        <v>6</v>
      </c>
      <c r="H744">
        <v>250</v>
      </c>
      <c r="I744" t="str" cm="1">
        <f t="array" ref="I744">_xlfn.IFS(H744&lt;=120,"V1",H744&lt;=150,"V2",H744&lt;=250,"V3", H744&lt;=350, "V4")</f>
        <v>V3</v>
      </c>
      <c r="J744" t="s">
        <v>2934</v>
      </c>
      <c r="K744" t="str">
        <f t="shared" si="253"/>
        <v>43.617562</v>
      </c>
      <c r="L744" t="str">
        <f t="shared" si="254"/>
        <v>-72.957208</v>
      </c>
      <c r="M744">
        <v>206</v>
      </c>
      <c r="N744" s="1">
        <v>44079</v>
      </c>
      <c r="O744" s="1">
        <v>46099</v>
      </c>
      <c r="P744" s="2">
        <f t="shared" si="255"/>
        <v>5.5304585900068446</v>
      </c>
      <c r="Q744" s="2" t="str">
        <f t="shared" si="256"/>
        <v>Mid</v>
      </c>
      <c r="R744">
        <f t="shared" si="257"/>
        <v>1500</v>
      </c>
      <c r="S744" t="str">
        <f t="shared" si="258"/>
        <v>Small</v>
      </c>
      <c r="T744" t="str">
        <f t="shared" si="259"/>
        <v>Lower EV Adoption Corridor</v>
      </c>
      <c r="U744" s="3">
        <f t="shared" si="260"/>
        <v>2700000</v>
      </c>
      <c r="V744" s="4">
        <f t="shared" si="261"/>
        <v>660000</v>
      </c>
      <c r="W744" s="3">
        <f t="shared" si="262"/>
        <v>9000000</v>
      </c>
      <c r="X744" s="3">
        <f t="shared" si="263"/>
        <v>4950000</v>
      </c>
      <c r="Y744">
        <f t="shared" si="264"/>
        <v>0.31515151515151513</v>
      </c>
      <c r="Z744">
        <f t="shared" si="265"/>
        <v>0.75555555555555554</v>
      </c>
      <c r="AA744" t="str">
        <f t="shared" si="266"/>
        <v>Tier 2 - Growth Markets</v>
      </c>
      <c r="AB744" s="3">
        <f t="shared" si="267"/>
        <v>110000</v>
      </c>
      <c r="AC744" s="3">
        <f t="shared" si="268"/>
        <v>1500000</v>
      </c>
      <c r="AD744" s="3">
        <f t="shared" si="269"/>
        <v>450000</v>
      </c>
      <c r="AE744" s="5">
        <f t="shared" si="270"/>
        <v>4.4117647058823533</v>
      </c>
      <c r="AF744" s="10">
        <f t="shared" si="271"/>
        <v>409200</v>
      </c>
      <c r="AG744" s="10">
        <f t="shared" si="272"/>
        <v>132000</v>
      </c>
      <c r="AH744" s="10">
        <f t="shared" si="273"/>
        <v>66000</v>
      </c>
      <c r="AI744" s="10">
        <f t="shared" si="274"/>
        <v>33000</v>
      </c>
      <c r="AJ744" s="10">
        <f t="shared" si="275"/>
        <v>19800</v>
      </c>
    </row>
    <row r="745" spans="1:36" x14ac:dyDescent="0.3">
      <c r="A745" t="s">
        <v>2935</v>
      </c>
      <c r="B745" t="s">
        <v>2936</v>
      </c>
      <c r="C745" t="s">
        <v>2937</v>
      </c>
      <c r="D745" t="s">
        <v>316</v>
      </c>
      <c r="E745">
        <v>97301</v>
      </c>
      <c r="F745" t="s">
        <v>15</v>
      </c>
      <c r="G745">
        <v>12</v>
      </c>
      <c r="H745">
        <v>250</v>
      </c>
      <c r="I745" t="str" cm="1">
        <f t="array" ref="I745">_xlfn.IFS(H745&lt;=120,"V1",H745&lt;=150,"V2",H745&lt;=250,"V3", H745&lt;=350, "V4")</f>
        <v>V3</v>
      </c>
      <c r="J745" t="s">
        <v>2938</v>
      </c>
      <c r="K745" t="str">
        <f t="shared" si="253"/>
        <v>44.93894</v>
      </c>
      <c r="L745" t="str">
        <f t="shared" si="254"/>
        <v>-122.987919</v>
      </c>
      <c r="M745">
        <v>64</v>
      </c>
      <c r="N745" s="1">
        <v>44140</v>
      </c>
      <c r="O745" s="1">
        <v>46099</v>
      </c>
      <c r="P745" s="2">
        <f t="shared" si="255"/>
        <v>5.3634496919917867</v>
      </c>
      <c r="Q745" s="2" t="str">
        <f t="shared" si="256"/>
        <v>Mid</v>
      </c>
      <c r="R745">
        <f t="shared" si="257"/>
        <v>3000</v>
      </c>
      <c r="S745" t="str">
        <f t="shared" si="258"/>
        <v>Small</v>
      </c>
      <c r="T745" t="str">
        <f t="shared" si="259"/>
        <v>Lower EV Adoption Corridor</v>
      </c>
      <c r="U745" s="3">
        <f t="shared" si="260"/>
        <v>5400000</v>
      </c>
      <c r="V745" s="4">
        <f t="shared" si="261"/>
        <v>1320000</v>
      </c>
      <c r="W745" s="3">
        <f t="shared" si="262"/>
        <v>18000000</v>
      </c>
      <c r="X745" s="3">
        <f t="shared" si="263"/>
        <v>9900000</v>
      </c>
      <c r="Y745">
        <f t="shared" si="264"/>
        <v>0.31515151515151513</v>
      </c>
      <c r="Z745">
        <f t="shared" si="265"/>
        <v>0.75555555555555554</v>
      </c>
      <c r="AA745" t="str">
        <f t="shared" si="266"/>
        <v>Tier 2 - Growth Markets</v>
      </c>
      <c r="AB745" s="3">
        <f t="shared" si="267"/>
        <v>110000</v>
      </c>
      <c r="AC745" s="3">
        <f t="shared" si="268"/>
        <v>1500000</v>
      </c>
      <c r="AD745" s="3">
        <f t="shared" si="269"/>
        <v>450000</v>
      </c>
      <c r="AE745" s="5">
        <f t="shared" si="270"/>
        <v>4.4117647058823533</v>
      </c>
      <c r="AF745" s="10">
        <f t="shared" si="271"/>
        <v>818400</v>
      </c>
      <c r="AG745" s="10">
        <f t="shared" si="272"/>
        <v>264000</v>
      </c>
      <c r="AH745" s="10">
        <f t="shared" si="273"/>
        <v>132000</v>
      </c>
      <c r="AI745" s="10">
        <f t="shared" si="274"/>
        <v>66000</v>
      </c>
      <c r="AJ745" s="10">
        <f t="shared" si="275"/>
        <v>39600</v>
      </c>
    </row>
    <row r="746" spans="1:36" x14ac:dyDescent="0.3">
      <c r="A746" t="s">
        <v>2939</v>
      </c>
      <c r="B746" t="s">
        <v>2940</v>
      </c>
      <c r="C746" t="s">
        <v>2941</v>
      </c>
      <c r="D746" t="s">
        <v>14</v>
      </c>
      <c r="E746">
        <v>96145</v>
      </c>
      <c r="F746" t="s">
        <v>15</v>
      </c>
      <c r="G746">
        <v>6</v>
      </c>
      <c r="H746">
        <v>150</v>
      </c>
      <c r="I746" t="str" cm="1">
        <f t="array" ref="I746">_xlfn.IFS(H746&lt;=120,"V1",H746&lt;=150,"V2",H746&lt;=250,"V3", H746&lt;=350, "V4")</f>
        <v>V2</v>
      </c>
      <c r="J746" t="s">
        <v>2942</v>
      </c>
      <c r="K746" t="str">
        <f t="shared" si="253"/>
        <v>39.167793</v>
      </c>
      <c r="L746" t="str">
        <f t="shared" si="254"/>
        <v>-120.14453</v>
      </c>
      <c r="M746">
        <v>1901</v>
      </c>
      <c r="N746" s="1">
        <v>43784</v>
      </c>
      <c r="O746" s="1">
        <v>46099</v>
      </c>
      <c r="P746" s="2">
        <f t="shared" si="255"/>
        <v>6.3381245722108144</v>
      </c>
      <c r="Q746" s="2" t="str">
        <f t="shared" si="256"/>
        <v>Mid</v>
      </c>
      <c r="R746">
        <f t="shared" si="257"/>
        <v>900</v>
      </c>
      <c r="S746" t="str">
        <f t="shared" si="258"/>
        <v>Small</v>
      </c>
      <c r="T746" t="str">
        <f t="shared" si="259"/>
        <v>High EV Adoption Corridor</v>
      </c>
      <c r="U746" s="3">
        <f t="shared" si="260"/>
        <v>1930500.0000000005</v>
      </c>
      <c r="V746" s="4">
        <f t="shared" si="261"/>
        <v>432000</v>
      </c>
      <c r="W746" s="3">
        <f t="shared" si="262"/>
        <v>4950000</v>
      </c>
      <c r="X746" s="3">
        <f t="shared" si="263"/>
        <v>4050000</v>
      </c>
      <c r="Y746">
        <f t="shared" si="264"/>
        <v>0.22888888888888889</v>
      </c>
      <c r="Z746">
        <f t="shared" si="265"/>
        <v>0.77622377622377625</v>
      </c>
      <c r="AA746" t="str">
        <f t="shared" si="266"/>
        <v>Tier 3 - Upgrade Pipeline</v>
      </c>
      <c r="AB746" s="3">
        <f t="shared" si="267"/>
        <v>72000</v>
      </c>
      <c r="AC746" s="3">
        <f t="shared" si="268"/>
        <v>825000</v>
      </c>
      <c r="AD746" s="3">
        <f t="shared" si="269"/>
        <v>321750.00000000006</v>
      </c>
      <c r="AE746" s="5">
        <f t="shared" si="270"/>
        <v>3.3033033033033021</v>
      </c>
      <c r="AF746" s="10">
        <f t="shared" si="271"/>
        <v>267840</v>
      </c>
      <c r="AG746" s="10">
        <f t="shared" si="272"/>
        <v>86400</v>
      </c>
      <c r="AH746" s="10">
        <f t="shared" si="273"/>
        <v>43200</v>
      </c>
      <c r="AI746" s="10">
        <f t="shared" si="274"/>
        <v>21600</v>
      </c>
      <c r="AJ746" s="10">
        <f t="shared" si="275"/>
        <v>12960</v>
      </c>
    </row>
    <row r="747" spans="1:36" x14ac:dyDescent="0.3">
      <c r="A747" t="s">
        <v>2943</v>
      </c>
      <c r="B747" t="s">
        <v>2944</v>
      </c>
      <c r="C747" t="s">
        <v>2945</v>
      </c>
      <c r="D747" t="s">
        <v>41</v>
      </c>
      <c r="E747">
        <v>32608</v>
      </c>
      <c r="F747" t="s">
        <v>15</v>
      </c>
      <c r="G747">
        <v>10</v>
      </c>
      <c r="H747">
        <v>150</v>
      </c>
      <c r="I747" t="str" cm="1">
        <f t="array" ref="I747">_xlfn.IFS(H747&lt;=120,"V1",H747&lt;=150,"V2",H747&lt;=250,"V3", H747&lt;=350, "V4")</f>
        <v>V2</v>
      </c>
      <c r="J747" t="s">
        <v>2946</v>
      </c>
      <c r="K747" t="str">
        <f t="shared" si="253"/>
        <v>29.624756</v>
      </c>
      <c r="L747" t="str">
        <f t="shared" si="254"/>
        <v>-82.376597</v>
      </c>
      <c r="M747">
        <v>23</v>
      </c>
      <c r="N747" s="1">
        <v>43572</v>
      </c>
      <c r="O747" s="1">
        <v>46099</v>
      </c>
      <c r="P747" s="2">
        <f t="shared" si="255"/>
        <v>6.9185489390828199</v>
      </c>
      <c r="Q747" s="2" t="str">
        <f t="shared" si="256"/>
        <v>Mid</v>
      </c>
      <c r="R747">
        <f t="shared" si="257"/>
        <v>1500</v>
      </c>
      <c r="S747" t="str">
        <f t="shared" si="258"/>
        <v>Small</v>
      </c>
      <c r="T747" t="str">
        <f t="shared" si="259"/>
        <v>High EV Adoption Corridor</v>
      </c>
      <c r="U747" s="3">
        <f t="shared" si="260"/>
        <v>3217500</v>
      </c>
      <c r="V747" s="4">
        <f t="shared" si="261"/>
        <v>720000</v>
      </c>
      <c r="W747" s="3">
        <f t="shared" si="262"/>
        <v>8250000.0000000009</v>
      </c>
      <c r="X747" s="3">
        <f t="shared" si="263"/>
        <v>6750000</v>
      </c>
      <c r="Y747">
        <f t="shared" si="264"/>
        <v>0.22888888888888889</v>
      </c>
      <c r="Z747">
        <f t="shared" si="265"/>
        <v>0.77622377622377625</v>
      </c>
      <c r="AA747" t="str">
        <f t="shared" si="266"/>
        <v>Tier 3 - Upgrade Pipeline</v>
      </c>
      <c r="AB747" s="3">
        <f t="shared" si="267"/>
        <v>72000</v>
      </c>
      <c r="AC747" s="3">
        <f t="shared" si="268"/>
        <v>825000.00000000012</v>
      </c>
      <c r="AD747" s="3">
        <f t="shared" si="269"/>
        <v>321750</v>
      </c>
      <c r="AE747" s="5">
        <f t="shared" si="270"/>
        <v>3.3033033033033035</v>
      </c>
      <c r="AF747" s="10">
        <f t="shared" si="271"/>
        <v>446400</v>
      </c>
      <c r="AG747" s="10">
        <f t="shared" si="272"/>
        <v>144000</v>
      </c>
      <c r="AH747" s="10">
        <f t="shared" si="273"/>
        <v>72000</v>
      </c>
      <c r="AI747" s="10">
        <f t="shared" si="274"/>
        <v>36000</v>
      </c>
      <c r="AJ747" s="10">
        <f t="shared" si="275"/>
        <v>21600</v>
      </c>
    </row>
    <row r="748" spans="1:36" x14ac:dyDescent="0.3">
      <c r="A748" t="s">
        <v>2947</v>
      </c>
      <c r="B748" t="s">
        <v>2948</v>
      </c>
      <c r="C748" t="s">
        <v>2949</v>
      </c>
      <c r="D748" t="s">
        <v>130</v>
      </c>
      <c r="E748">
        <v>47987</v>
      </c>
      <c r="F748" t="s">
        <v>15</v>
      </c>
      <c r="G748">
        <v>8</v>
      </c>
      <c r="H748">
        <v>250</v>
      </c>
      <c r="I748" t="str" cm="1">
        <f t="array" ref="I748">_xlfn.IFS(H748&lt;=120,"V1",H748&lt;=150,"V2",H748&lt;=250,"V3", H748&lt;=350, "V4")</f>
        <v>V3</v>
      </c>
      <c r="J748" t="s">
        <v>2950</v>
      </c>
      <c r="K748" t="str">
        <f t="shared" si="253"/>
        <v>40.11273</v>
      </c>
      <c r="L748" t="str">
        <f t="shared" si="254"/>
        <v>-87.248021</v>
      </c>
      <c r="M748">
        <v>189</v>
      </c>
      <c r="N748" s="1">
        <v>44513</v>
      </c>
      <c r="O748" s="1">
        <v>46099</v>
      </c>
      <c r="P748" s="2">
        <f t="shared" si="255"/>
        <v>4.3422313483915129</v>
      </c>
      <c r="Q748" s="2" t="str">
        <f t="shared" si="256"/>
        <v>Mid</v>
      </c>
      <c r="R748">
        <f t="shared" si="257"/>
        <v>2000</v>
      </c>
      <c r="S748" t="str">
        <f t="shared" si="258"/>
        <v>Small</v>
      </c>
      <c r="T748" t="str">
        <f t="shared" si="259"/>
        <v>Lower EV Adoption Corridor</v>
      </c>
      <c r="U748" s="3">
        <f t="shared" si="260"/>
        <v>3600000</v>
      </c>
      <c r="V748" s="4">
        <f t="shared" si="261"/>
        <v>880000.00000000012</v>
      </c>
      <c r="W748" s="3">
        <f t="shared" si="262"/>
        <v>12000000</v>
      </c>
      <c r="X748" s="3">
        <f t="shared" si="263"/>
        <v>6600000.0000000009</v>
      </c>
      <c r="Y748">
        <f t="shared" si="264"/>
        <v>0.31515151515151513</v>
      </c>
      <c r="Z748">
        <f t="shared" si="265"/>
        <v>0.75555555555555554</v>
      </c>
      <c r="AA748" t="str">
        <f t="shared" si="266"/>
        <v>Tier 2 - Growth Markets</v>
      </c>
      <c r="AB748" s="3">
        <f t="shared" si="267"/>
        <v>110000.00000000001</v>
      </c>
      <c r="AC748" s="3">
        <f t="shared" si="268"/>
        <v>1500000</v>
      </c>
      <c r="AD748" s="3">
        <f t="shared" si="269"/>
        <v>450000</v>
      </c>
      <c r="AE748" s="5">
        <f t="shared" si="270"/>
        <v>4.4117647058823533</v>
      </c>
      <c r="AF748" s="10">
        <f t="shared" si="271"/>
        <v>545600.00000000012</v>
      </c>
      <c r="AG748" s="10">
        <f t="shared" si="272"/>
        <v>176000.00000000003</v>
      </c>
      <c r="AH748" s="10">
        <f t="shared" si="273"/>
        <v>88000.000000000015</v>
      </c>
      <c r="AI748" s="10">
        <f t="shared" si="274"/>
        <v>44000.000000000007</v>
      </c>
      <c r="AJ748" s="10">
        <f t="shared" si="275"/>
        <v>26400.000000000004</v>
      </c>
    </row>
    <row r="749" spans="1:36" x14ac:dyDescent="0.3">
      <c r="A749" t="s">
        <v>2951</v>
      </c>
      <c r="B749" t="s">
        <v>2952</v>
      </c>
      <c r="C749" t="s">
        <v>2953</v>
      </c>
      <c r="D749" t="s">
        <v>14</v>
      </c>
      <c r="E749">
        <v>90703</v>
      </c>
      <c r="F749" t="s">
        <v>15</v>
      </c>
      <c r="G749">
        <v>20</v>
      </c>
      <c r="H749">
        <v>72</v>
      </c>
      <c r="I749" t="str" cm="1">
        <f t="array" ref="I749">_xlfn.IFS(H749&lt;=120,"V1",H749&lt;=150,"V2",H749&lt;=250,"V3", H749&lt;=350, "V4")</f>
        <v>V1</v>
      </c>
      <c r="J749" t="s">
        <v>2954</v>
      </c>
      <c r="K749" t="str">
        <f t="shared" si="253"/>
        <v>33.8643904</v>
      </c>
      <c r="L749" t="str">
        <f t="shared" si="254"/>
        <v>-118.0915723</v>
      </c>
      <c r="M749">
        <v>17</v>
      </c>
      <c r="N749" s="1">
        <v>44078</v>
      </c>
      <c r="O749" s="1">
        <v>46099</v>
      </c>
      <c r="P749" s="2">
        <f t="shared" si="255"/>
        <v>5.5331964407939767</v>
      </c>
      <c r="Q749" s="2" t="str">
        <f t="shared" si="256"/>
        <v>Mid</v>
      </c>
      <c r="R749">
        <f t="shared" si="257"/>
        <v>1440</v>
      </c>
      <c r="S749" t="str">
        <f t="shared" si="258"/>
        <v>Small</v>
      </c>
      <c r="T749" t="str">
        <f t="shared" si="259"/>
        <v>High EV Adoption Corridor</v>
      </c>
      <c r="U749" s="3">
        <f t="shared" si="260"/>
        <v>2808000</v>
      </c>
      <c r="V749" s="4">
        <f t="shared" si="261"/>
        <v>622080</v>
      </c>
      <c r="W749" s="3">
        <f t="shared" si="262"/>
        <v>6336000.0000000009</v>
      </c>
      <c r="X749" s="3">
        <f t="shared" si="263"/>
        <v>5832000</v>
      </c>
      <c r="Y749">
        <f t="shared" si="264"/>
        <v>0.21530864197530863</v>
      </c>
      <c r="Z749">
        <f t="shared" si="265"/>
        <v>0.77846153846153843</v>
      </c>
      <c r="AA749" t="str">
        <f t="shared" si="266"/>
        <v>Tier 3 - Upgrade Pipeline</v>
      </c>
      <c r="AB749" s="3">
        <f t="shared" si="267"/>
        <v>31104</v>
      </c>
      <c r="AC749" s="3">
        <f t="shared" si="268"/>
        <v>316800.00000000006</v>
      </c>
      <c r="AD749" s="3">
        <f t="shared" si="269"/>
        <v>140400</v>
      </c>
      <c r="AE749" s="5">
        <f t="shared" si="270"/>
        <v>2.8985507246376816</v>
      </c>
      <c r="AF749" s="10">
        <f t="shared" si="271"/>
        <v>385689.59999999998</v>
      </c>
      <c r="AG749" s="10">
        <f t="shared" si="272"/>
        <v>124416</v>
      </c>
      <c r="AH749" s="10">
        <f t="shared" si="273"/>
        <v>62208</v>
      </c>
      <c r="AI749" s="10">
        <f t="shared" si="274"/>
        <v>31104</v>
      </c>
      <c r="AJ749" s="10">
        <f t="shared" si="275"/>
        <v>18662.399999999998</v>
      </c>
    </row>
    <row r="750" spans="1:36" x14ac:dyDescent="0.3">
      <c r="A750" t="s">
        <v>2955</v>
      </c>
      <c r="B750" t="s">
        <v>2956</v>
      </c>
      <c r="C750" t="s">
        <v>2957</v>
      </c>
      <c r="D750" t="s">
        <v>72</v>
      </c>
      <c r="E750">
        <v>95352</v>
      </c>
      <c r="F750" t="s">
        <v>15</v>
      </c>
      <c r="G750">
        <v>8</v>
      </c>
      <c r="H750">
        <v>250</v>
      </c>
      <c r="I750" t="str" cm="1">
        <f t="array" ref="I750">_xlfn.IFS(H750&lt;=120,"V1",H750&lt;=150,"V2",H750&lt;=250,"V3", H750&lt;=350, "V4")</f>
        <v>V3</v>
      </c>
      <c r="J750" t="s">
        <v>2958</v>
      </c>
      <c r="K750" t="str">
        <f t="shared" si="253"/>
        <v>32.6900433</v>
      </c>
      <c r="L750" t="str">
        <f t="shared" si="254"/>
        <v>-113.9535836</v>
      </c>
      <c r="M750">
        <v>113</v>
      </c>
      <c r="N750" s="1">
        <v>43914</v>
      </c>
      <c r="O750" s="1">
        <v>46099</v>
      </c>
      <c r="P750" s="2">
        <f t="shared" si="255"/>
        <v>5.9822039698836411</v>
      </c>
      <c r="Q750" s="2" t="str">
        <f t="shared" si="256"/>
        <v>Mid</v>
      </c>
      <c r="R750">
        <f t="shared" si="257"/>
        <v>2000</v>
      </c>
      <c r="S750" t="str">
        <f t="shared" si="258"/>
        <v>Small</v>
      </c>
      <c r="T750" t="str">
        <f t="shared" si="259"/>
        <v>Lower EV Adoption Corridor</v>
      </c>
      <c r="U750" s="3">
        <f t="shared" si="260"/>
        <v>3600000</v>
      </c>
      <c r="V750" s="4">
        <f t="shared" si="261"/>
        <v>880000.00000000012</v>
      </c>
      <c r="W750" s="3">
        <f t="shared" si="262"/>
        <v>12000000</v>
      </c>
      <c r="X750" s="3">
        <f t="shared" si="263"/>
        <v>6600000.0000000009</v>
      </c>
      <c r="Y750">
        <f t="shared" si="264"/>
        <v>0.31515151515151513</v>
      </c>
      <c r="Z750">
        <f t="shared" si="265"/>
        <v>0.75555555555555554</v>
      </c>
      <c r="AA750" t="str">
        <f t="shared" si="266"/>
        <v>Tier 2 - Growth Markets</v>
      </c>
      <c r="AB750" s="3">
        <f t="shared" si="267"/>
        <v>110000.00000000001</v>
      </c>
      <c r="AC750" s="3">
        <f t="shared" si="268"/>
        <v>1500000</v>
      </c>
      <c r="AD750" s="3">
        <f t="shared" si="269"/>
        <v>450000</v>
      </c>
      <c r="AE750" s="5">
        <f t="shared" si="270"/>
        <v>4.4117647058823533</v>
      </c>
      <c r="AF750" s="10">
        <f t="shared" si="271"/>
        <v>545600.00000000012</v>
      </c>
      <c r="AG750" s="10">
        <f t="shared" si="272"/>
        <v>176000.00000000003</v>
      </c>
      <c r="AH750" s="10">
        <f t="shared" si="273"/>
        <v>88000.000000000015</v>
      </c>
      <c r="AI750" s="10">
        <f t="shared" si="274"/>
        <v>44000.000000000007</v>
      </c>
      <c r="AJ750" s="10">
        <f t="shared" si="275"/>
        <v>26400.000000000004</v>
      </c>
    </row>
    <row r="751" spans="1:36" x14ac:dyDescent="0.3">
      <c r="A751" t="s">
        <v>2959</v>
      </c>
      <c r="B751" t="s">
        <v>2960</v>
      </c>
      <c r="C751" t="s">
        <v>2961</v>
      </c>
      <c r="D751" t="s">
        <v>158</v>
      </c>
      <c r="E751">
        <v>10281</v>
      </c>
      <c r="F751" t="s">
        <v>15</v>
      </c>
      <c r="G751">
        <v>4</v>
      </c>
      <c r="H751">
        <v>72</v>
      </c>
      <c r="I751" t="str" cm="1">
        <f t="array" ref="I751">_xlfn.IFS(H751&lt;=120,"V1",H751&lt;=150,"V2",H751&lt;=250,"V3", H751&lt;=350, "V4")</f>
        <v>V1</v>
      </c>
      <c r="J751" t="s">
        <v>2962</v>
      </c>
      <c r="K751" t="str">
        <f t="shared" si="253"/>
        <v>40.714062</v>
      </c>
      <c r="L751" t="str">
        <f t="shared" si="254"/>
        <v>-74.015837</v>
      </c>
      <c r="M751">
        <v>6</v>
      </c>
      <c r="N751" s="1">
        <v>43858</v>
      </c>
      <c r="O751" s="1">
        <v>46099</v>
      </c>
      <c r="P751" s="2">
        <f t="shared" si="255"/>
        <v>6.1355236139630387</v>
      </c>
      <c r="Q751" s="2" t="str">
        <f t="shared" si="256"/>
        <v>Mid</v>
      </c>
      <c r="R751">
        <f t="shared" si="257"/>
        <v>288</v>
      </c>
      <c r="S751" t="str">
        <f t="shared" si="258"/>
        <v>Small</v>
      </c>
      <c r="T751" t="str">
        <f t="shared" si="259"/>
        <v>Lower EV Adoption Corridor</v>
      </c>
      <c r="U751" s="3">
        <f t="shared" si="260"/>
        <v>432000</v>
      </c>
      <c r="V751" s="4">
        <f t="shared" si="261"/>
        <v>103680</v>
      </c>
      <c r="W751" s="3">
        <f t="shared" si="262"/>
        <v>1152000</v>
      </c>
      <c r="X751" s="3">
        <f t="shared" si="263"/>
        <v>777600</v>
      </c>
      <c r="Y751">
        <f t="shared" si="264"/>
        <v>0.2814814814814815</v>
      </c>
      <c r="Z751">
        <f t="shared" si="265"/>
        <v>0.76</v>
      </c>
      <c r="AA751" t="str">
        <f t="shared" si="266"/>
        <v>Tier 5 - Retirement Pipeline</v>
      </c>
      <c r="AB751" s="3">
        <f t="shared" si="267"/>
        <v>25920</v>
      </c>
      <c r="AC751" s="3">
        <f t="shared" si="268"/>
        <v>288000</v>
      </c>
      <c r="AD751" s="3">
        <f t="shared" si="269"/>
        <v>108000</v>
      </c>
      <c r="AE751" s="5">
        <f t="shared" si="270"/>
        <v>3.5087719298245612</v>
      </c>
      <c r="AF751" s="10">
        <f t="shared" si="271"/>
        <v>64281.599999999999</v>
      </c>
      <c r="AG751" s="10">
        <f t="shared" si="272"/>
        <v>20736</v>
      </c>
      <c r="AH751" s="10">
        <f t="shared" si="273"/>
        <v>10368</v>
      </c>
      <c r="AI751" s="10">
        <f t="shared" si="274"/>
        <v>5184</v>
      </c>
      <c r="AJ751" s="10">
        <f t="shared" si="275"/>
        <v>3110.4</v>
      </c>
    </row>
    <row r="752" spans="1:36" x14ac:dyDescent="0.3">
      <c r="A752" t="s">
        <v>2963</v>
      </c>
      <c r="B752" t="s">
        <v>2964</v>
      </c>
      <c r="C752" t="s">
        <v>2965</v>
      </c>
      <c r="D752" t="s">
        <v>77</v>
      </c>
      <c r="E752">
        <v>28466</v>
      </c>
      <c r="F752" t="s">
        <v>15</v>
      </c>
      <c r="G752">
        <v>8</v>
      </c>
      <c r="H752">
        <v>150</v>
      </c>
      <c r="I752" t="str" cm="1">
        <f t="array" ref="I752">_xlfn.IFS(H752&lt;=120,"V1",H752&lt;=150,"V2",H752&lt;=250,"V3", H752&lt;=350, "V4")</f>
        <v>V2</v>
      </c>
      <c r="J752" t="s">
        <v>2966</v>
      </c>
      <c r="K752" t="str">
        <f t="shared" si="253"/>
        <v>34.756276</v>
      </c>
      <c r="L752" t="str">
        <f t="shared" si="254"/>
        <v>-77.948019</v>
      </c>
      <c r="M752">
        <v>15</v>
      </c>
      <c r="N752" s="1">
        <v>43267</v>
      </c>
      <c r="O752" s="1">
        <v>46099</v>
      </c>
      <c r="P752" s="2">
        <f t="shared" si="255"/>
        <v>7.7535934291581112</v>
      </c>
      <c r="Q752" s="2" t="str">
        <f t="shared" si="256"/>
        <v>Mid</v>
      </c>
      <c r="R752">
        <f t="shared" si="257"/>
        <v>1200</v>
      </c>
      <c r="S752" t="str">
        <f t="shared" si="258"/>
        <v>Small</v>
      </c>
      <c r="T752" t="str">
        <f t="shared" si="259"/>
        <v>Lower EV Adoption Corridor</v>
      </c>
      <c r="U752" s="3">
        <f t="shared" si="260"/>
        <v>1980000.0000000002</v>
      </c>
      <c r="V752" s="4">
        <f t="shared" si="261"/>
        <v>480000</v>
      </c>
      <c r="W752" s="3">
        <f t="shared" si="262"/>
        <v>6000000</v>
      </c>
      <c r="X752" s="3">
        <f t="shared" si="263"/>
        <v>3600000</v>
      </c>
      <c r="Y752">
        <f t="shared" si="264"/>
        <v>0.3</v>
      </c>
      <c r="Z752">
        <f t="shared" si="265"/>
        <v>0.75757575757575757</v>
      </c>
      <c r="AA752" t="str">
        <f t="shared" si="266"/>
        <v>Tier 4 - Stable Network</v>
      </c>
      <c r="AB752" s="3">
        <f t="shared" si="267"/>
        <v>60000</v>
      </c>
      <c r="AC752" s="3">
        <f t="shared" si="268"/>
        <v>750000</v>
      </c>
      <c r="AD752" s="3">
        <f t="shared" si="269"/>
        <v>247500.00000000003</v>
      </c>
      <c r="AE752" s="5">
        <f t="shared" si="270"/>
        <v>3.9999999999999996</v>
      </c>
      <c r="AF752" s="10">
        <f t="shared" si="271"/>
        <v>297600</v>
      </c>
      <c r="AG752" s="10">
        <f t="shared" si="272"/>
        <v>96000</v>
      </c>
      <c r="AH752" s="10">
        <f t="shared" si="273"/>
        <v>48000</v>
      </c>
      <c r="AI752" s="10">
        <f t="shared" si="274"/>
        <v>24000</v>
      </c>
      <c r="AJ752" s="10">
        <f t="shared" si="275"/>
        <v>14400</v>
      </c>
    </row>
    <row r="753" spans="1:36" x14ac:dyDescent="0.3">
      <c r="A753" t="s">
        <v>2967</v>
      </c>
      <c r="B753" t="s">
        <v>2968</v>
      </c>
      <c r="C753" t="s">
        <v>2969</v>
      </c>
      <c r="D753" t="s">
        <v>125</v>
      </c>
      <c r="E753">
        <v>29501</v>
      </c>
      <c r="F753" t="s">
        <v>15</v>
      </c>
      <c r="G753">
        <v>18</v>
      </c>
      <c r="H753">
        <v>150</v>
      </c>
      <c r="I753" t="str" cm="1">
        <f t="array" ref="I753">_xlfn.IFS(H753&lt;=120,"V1",H753&lt;=150,"V2",H753&lt;=250,"V3", H753&lt;=350, "V4")</f>
        <v>V2</v>
      </c>
      <c r="J753" t="s">
        <v>2970</v>
      </c>
      <c r="K753" t="str">
        <f t="shared" si="253"/>
        <v>34.190371</v>
      </c>
      <c r="L753" t="str">
        <f t="shared" si="254"/>
        <v>-79.832575</v>
      </c>
      <c r="M753">
        <v>39</v>
      </c>
      <c r="N753" s="1">
        <v>43029</v>
      </c>
      <c r="O753" s="1">
        <v>46099</v>
      </c>
      <c r="P753" s="2">
        <f t="shared" si="255"/>
        <v>8.4052019164955514</v>
      </c>
      <c r="Q753" s="2" t="str">
        <f t="shared" si="256"/>
        <v>Old</v>
      </c>
      <c r="R753">
        <f t="shared" si="257"/>
        <v>2700</v>
      </c>
      <c r="S753" t="str">
        <f t="shared" si="258"/>
        <v>Small</v>
      </c>
      <c r="T753" t="str">
        <f t="shared" si="259"/>
        <v>Lower EV Adoption Corridor</v>
      </c>
      <c r="U753" s="3">
        <f t="shared" si="260"/>
        <v>4455000</v>
      </c>
      <c r="V753" s="4">
        <f t="shared" si="261"/>
        <v>1080000</v>
      </c>
      <c r="W753" s="3">
        <f t="shared" si="262"/>
        <v>13500000</v>
      </c>
      <c r="X753" s="3">
        <f t="shared" si="263"/>
        <v>8100000</v>
      </c>
      <c r="Y753">
        <f t="shared" si="264"/>
        <v>0.3</v>
      </c>
      <c r="Z753">
        <f t="shared" si="265"/>
        <v>0.75757575757575757</v>
      </c>
      <c r="AA753" t="str">
        <f t="shared" si="266"/>
        <v>Tier 4 - Stable Network</v>
      </c>
      <c r="AB753" s="3">
        <f t="shared" si="267"/>
        <v>60000</v>
      </c>
      <c r="AC753" s="3">
        <f t="shared" si="268"/>
        <v>750000</v>
      </c>
      <c r="AD753" s="3">
        <f t="shared" si="269"/>
        <v>247500</v>
      </c>
      <c r="AE753" s="5">
        <f t="shared" si="270"/>
        <v>4</v>
      </c>
      <c r="AF753" s="10">
        <f t="shared" si="271"/>
        <v>669600</v>
      </c>
      <c r="AG753" s="10">
        <f t="shared" si="272"/>
        <v>216000</v>
      </c>
      <c r="AH753" s="10">
        <f t="shared" si="273"/>
        <v>108000</v>
      </c>
      <c r="AI753" s="10">
        <f t="shared" si="274"/>
        <v>54000</v>
      </c>
      <c r="AJ753" s="10">
        <f t="shared" si="275"/>
        <v>32400</v>
      </c>
    </row>
    <row r="754" spans="1:36" x14ac:dyDescent="0.3">
      <c r="A754" t="s">
        <v>2971</v>
      </c>
      <c r="B754" t="s">
        <v>2972</v>
      </c>
      <c r="C754" t="s">
        <v>2973</v>
      </c>
      <c r="D754" t="s">
        <v>630</v>
      </c>
      <c r="E754">
        <v>49068</v>
      </c>
      <c r="F754" t="s">
        <v>15</v>
      </c>
      <c r="G754">
        <v>8</v>
      </c>
      <c r="H754">
        <v>150</v>
      </c>
      <c r="I754" t="str" cm="1">
        <f t="array" ref="I754">_xlfn.IFS(H754&lt;=120,"V1",H754&lt;=150,"V2",H754&lt;=250,"V3", H754&lt;=350, "V4")</f>
        <v>V2</v>
      </c>
      <c r="J754" t="s">
        <v>2974</v>
      </c>
      <c r="K754" t="str">
        <f t="shared" si="253"/>
        <v>42.292009</v>
      </c>
      <c r="L754" t="str">
        <f t="shared" si="254"/>
        <v>-84.964122</v>
      </c>
      <c r="M754">
        <v>289</v>
      </c>
      <c r="N754" s="1">
        <v>42922</v>
      </c>
      <c r="O754" s="1">
        <v>46099</v>
      </c>
      <c r="P754" s="2">
        <f t="shared" si="255"/>
        <v>8.6981519507186853</v>
      </c>
      <c r="Q754" s="2" t="str">
        <f t="shared" si="256"/>
        <v>Old</v>
      </c>
      <c r="R754">
        <f t="shared" si="257"/>
        <v>1200</v>
      </c>
      <c r="S754" t="str">
        <f t="shared" si="258"/>
        <v>Small</v>
      </c>
      <c r="T754" t="str">
        <f t="shared" si="259"/>
        <v>Lower EV Adoption Corridor</v>
      </c>
      <c r="U754" s="3">
        <f t="shared" si="260"/>
        <v>1980000.0000000002</v>
      </c>
      <c r="V754" s="4">
        <f t="shared" si="261"/>
        <v>480000</v>
      </c>
      <c r="W754" s="3">
        <f t="shared" si="262"/>
        <v>6000000</v>
      </c>
      <c r="X754" s="3">
        <f t="shared" si="263"/>
        <v>3600000</v>
      </c>
      <c r="Y754">
        <f t="shared" si="264"/>
        <v>0.3</v>
      </c>
      <c r="Z754">
        <f t="shared" si="265"/>
        <v>0.75757575757575757</v>
      </c>
      <c r="AA754" t="str">
        <f t="shared" si="266"/>
        <v>Tier 4 - Stable Network</v>
      </c>
      <c r="AB754" s="3">
        <f t="shared" si="267"/>
        <v>60000</v>
      </c>
      <c r="AC754" s="3">
        <f t="shared" si="268"/>
        <v>750000</v>
      </c>
      <c r="AD754" s="3">
        <f t="shared" si="269"/>
        <v>247500.00000000003</v>
      </c>
      <c r="AE754" s="5">
        <f t="shared" si="270"/>
        <v>3.9999999999999996</v>
      </c>
      <c r="AF754" s="10">
        <f t="shared" si="271"/>
        <v>297600</v>
      </c>
      <c r="AG754" s="10">
        <f t="shared" si="272"/>
        <v>96000</v>
      </c>
      <c r="AH754" s="10">
        <f t="shared" si="273"/>
        <v>48000</v>
      </c>
      <c r="AI754" s="10">
        <f t="shared" si="274"/>
        <v>24000</v>
      </c>
      <c r="AJ754" s="10">
        <f t="shared" si="275"/>
        <v>14400</v>
      </c>
    </row>
    <row r="755" spans="1:36" x14ac:dyDescent="0.3">
      <c r="A755" t="s">
        <v>2975</v>
      </c>
      <c r="B755" t="s">
        <v>2976</v>
      </c>
      <c r="C755" t="s">
        <v>2977</v>
      </c>
      <c r="D755" t="s">
        <v>630</v>
      </c>
      <c r="E755">
        <v>49512</v>
      </c>
      <c r="F755" t="s">
        <v>15</v>
      </c>
      <c r="G755">
        <v>8</v>
      </c>
      <c r="H755">
        <v>150</v>
      </c>
      <c r="I755" t="str" cm="1">
        <f t="array" ref="I755">_xlfn.IFS(H755&lt;=120,"V1",H755&lt;=150,"V2",H755&lt;=250,"V3", H755&lt;=350, "V4")</f>
        <v>V2</v>
      </c>
      <c r="J755" t="s">
        <v>2978</v>
      </c>
      <c r="K755" t="str">
        <f t="shared" si="253"/>
        <v>42.914231</v>
      </c>
      <c r="L755" t="str">
        <f t="shared" si="254"/>
        <v>-85.533057</v>
      </c>
      <c r="M755">
        <v>227</v>
      </c>
      <c r="N755" s="1">
        <v>42180</v>
      </c>
      <c r="O755" s="1">
        <v>46099</v>
      </c>
      <c r="P755" s="2">
        <f t="shared" si="255"/>
        <v>10.729637234770705</v>
      </c>
      <c r="Q755" s="2" t="str">
        <f t="shared" si="256"/>
        <v>Old</v>
      </c>
      <c r="R755">
        <f t="shared" si="257"/>
        <v>1200</v>
      </c>
      <c r="S755" t="str">
        <f t="shared" si="258"/>
        <v>Small</v>
      </c>
      <c r="T755" t="str">
        <f t="shared" si="259"/>
        <v>Lower EV Adoption Corridor</v>
      </c>
      <c r="U755" s="3">
        <f t="shared" si="260"/>
        <v>1980000.0000000002</v>
      </c>
      <c r="V755" s="4">
        <f t="shared" si="261"/>
        <v>480000</v>
      </c>
      <c r="W755" s="3">
        <f t="shared" si="262"/>
        <v>6000000</v>
      </c>
      <c r="X755" s="3">
        <f t="shared" si="263"/>
        <v>3600000</v>
      </c>
      <c r="Y755">
        <f t="shared" si="264"/>
        <v>0.3</v>
      </c>
      <c r="Z755">
        <f t="shared" si="265"/>
        <v>0.75757575757575757</v>
      </c>
      <c r="AA755" t="str">
        <f t="shared" si="266"/>
        <v>Tier 4 - Stable Network</v>
      </c>
      <c r="AB755" s="3">
        <f t="shared" si="267"/>
        <v>60000</v>
      </c>
      <c r="AC755" s="3">
        <f t="shared" si="268"/>
        <v>750000</v>
      </c>
      <c r="AD755" s="3">
        <f t="shared" si="269"/>
        <v>247500.00000000003</v>
      </c>
      <c r="AE755" s="5">
        <f t="shared" si="270"/>
        <v>3.9999999999999996</v>
      </c>
      <c r="AF755" s="10">
        <f t="shared" si="271"/>
        <v>297600</v>
      </c>
      <c r="AG755" s="10">
        <f t="shared" si="272"/>
        <v>96000</v>
      </c>
      <c r="AH755" s="10">
        <f t="shared" si="273"/>
        <v>48000</v>
      </c>
      <c r="AI755" s="10">
        <f t="shared" si="274"/>
        <v>24000</v>
      </c>
      <c r="AJ755" s="10">
        <f t="shared" si="275"/>
        <v>14400</v>
      </c>
    </row>
    <row r="756" spans="1:36" x14ac:dyDescent="0.3">
      <c r="A756" t="s">
        <v>2979</v>
      </c>
      <c r="B756" t="s">
        <v>2980</v>
      </c>
      <c r="C756" t="s">
        <v>2981</v>
      </c>
      <c r="D756" t="s">
        <v>484</v>
      </c>
      <c r="E756">
        <v>36606</v>
      </c>
      <c r="F756" t="s">
        <v>15</v>
      </c>
      <c r="G756">
        <v>8</v>
      </c>
      <c r="H756">
        <v>150</v>
      </c>
      <c r="I756" t="str" cm="1">
        <f t="array" ref="I756">_xlfn.IFS(H756&lt;=120,"V1",H756&lt;=150,"V2",H756&lt;=250,"V3", H756&lt;=350, "V4")</f>
        <v>V2</v>
      </c>
      <c r="J756" t="s">
        <v>2982</v>
      </c>
      <c r="K756" t="str">
        <f t="shared" si="253"/>
        <v>30.671556</v>
      </c>
      <c r="L756" t="str">
        <f t="shared" si="254"/>
        <v>-88.118644</v>
      </c>
      <c r="M756">
        <v>6</v>
      </c>
      <c r="N756" s="1">
        <v>42110</v>
      </c>
      <c r="O756" s="1">
        <v>46099</v>
      </c>
      <c r="P756" s="2">
        <f t="shared" si="255"/>
        <v>10.921286789869953</v>
      </c>
      <c r="Q756" s="2" t="str">
        <f t="shared" si="256"/>
        <v>Old</v>
      </c>
      <c r="R756">
        <f t="shared" si="257"/>
        <v>1200</v>
      </c>
      <c r="S756" t="str">
        <f t="shared" si="258"/>
        <v>Small</v>
      </c>
      <c r="T756" t="str">
        <f t="shared" si="259"/>
        <v>Lower EV Adoption Corridor</v>
      </c>
      <c r="U756" s="3">
        <f t="shared" si="260"/>
        <v>1980000.0000000002</v>
      </c>
      <c r="V756" s="4">
        <f t="shared" si="261"/>
        <v>480000</v>
      </c>
      <c r="W756" s="3">
        <f t="shared" si="262"/>
        <v>6000000</v>
      </c>
      <c r="X756" s="3">
        <f t="shared" si="263"/>
        <v>3600000</v>
      </c>
      <c r="Y756">
        <f t="shared" si="264"/>
        <v>0.3</v>
      </c>
      <c r="Z756">
        <f t="shared" si="265"/>
        <v>0.75757575757575757</v>
      </c>
      <c r="AA756" t="str">
        <f t="shared" si="266"/>
        <v>Tier 4 - Stable Network</v>
      </c>
      <c r="AB756" s="3">
        <f t="shared" si="267"/>
        <v>60000</v>
      </c>
      <c r="AC756" s="3">
        <f t="shared" si="268"/>
        <v>750000</v>
      </c>
      <c r="AD756" s="3">
        <f t="shared" si="269"/>
        <v>247500.00000000003</v>
      </c>
      <c r="AE756" s="5">
        <f t="shared" si="270"/>
        <v>3.9999999999999996</v>
      </c>
      <c r="AF756" s="10">
        <f t="shared" si="271"/>
        <v>297600</v>
      </c>
      <c r="AG756" s="10">
        <f t="shared" si="272"/>
        <v>96000</v>
      </c>
      <c r="AH756" s="10">
        <f t="shared" si="273"/>
        <v>48000</v>
      </c>
      <c r="AI756" s="10">
        <f t="shared" si="274"/>
        <v>24000</v>
      </c>
      <c r="AJ756" s="10">
        <f t="shared" si="275"/>
        <v>14400</v>
      </c>
    </row>
    <row r="757" spans="1:36" x14ac:dyDescent="0.3">
      <c r="A757" t="s">
        <v>2983</v>
      </c>
      <c r="B757" t="s">
        <v>2984</v>
      </c>
      <c r="C757" t="s">
        <v>896</v>
      </c>
      <c r="D757" t="s">
        <v>111</v>
      </c>
      <c r="E757">
        <v>56308</v>
      </c>
      <c r="F757" t="s">
        <v>15</v>
      </c>
      <c r="G757">
        <v>8</v>
      </c>
      <c r="H757">
        <v>250</v>
      </c>
      <c r="I757" t="str" cm="1">
        <f t="array" ref="I757">_xlfn.IFS(H757&lt;=120,"V1",H757&lt;=150,"V2",H757&lt;=250,"V3", H757&lt;=350, "V4")</f>
        <v>V3</v>
      </c>
      <c r="J757" t="s">
        <v>2985</v>
      </c>
      <c r="K757" t="str">
        <f t="shared" si="253"/>
        <v>45.850405</v>
      </c>
      <c r="L757" t="str">
        <f t="shared" si="254"/>
        <v>-95.388969</v>
      </c>
      <c r="M757">
        <v>427</v>
      </c>
      <c r="N757" s="1">
        <v>43875</v>
      </c>
      <c r="O757" s="1">
        <v>46099</v>
      </c>
      <c r="P757" s="2">
        <f t="shared" si="255"/>
        <v>6.0889801505817935</v>
      </c>
      <c r="Q757" s="2" t="str">
        <f t="shared" si="256"/>
        <v>Mid</v>
      </c>
      <c r="R757">
        <f t="shared" si="257"/>
        <v>2000</v>
      </c>
      <c r="S757" t="str">
        <f t="shared" si="258"/>
        <v>Small</v>
      </c>
      <c r="T757" t="str">
        <f t="shared" si="259"/>
        <v>Lower EV Adoption Corridor</v>
      </c>
      <c r="U757" s="3">
        <f t="shared" si="260"/>
        <v>3600000</v>
      </c>
      <c r="V757" s="4">
        <f t="shared" si="261"/>
        <v>880000.00000000012</v>
      </c>
      <c r="W757" s="3">
        <f t="shared" si="262"/>
        <v>12000000</v>
      </c>
      <c r="X757" s="3">
        <f t="shared" si="263"/>
        <v>6600000.0000000009</v>
      </c>
      <c r="Y757">
        <f t="shared" si="264"/>
        <v>0.31515151515151513</v>
      </c>
      <c r="Z757">
        <f t="shared" si="265"/>
        <v>0.75555555555555554</v>
      </c>
      <c r="AA757" t="str">
        <f t="shared" si="266"/>
        <v>Tier 2 - Growth Markets</v>
      </c>
      <c r="AB757" s="3">
        <f t="shared" si="267"/>
        <v>110000.00000000001</v>
      </c>
      <c r="AC757" s="3">
        <f t="shared" si="268"/>
        <v>1500000</v>
      </c>
      <c r="AD757" s="3">
        <f t="shared" si="269"/>
        <v>450000</v>
      </c>
      <c r="AE757" s="5">
        <f t="shared" si="270"/>
        <v>4.4117647058823533</v>
      </c>
      <c r="AF757" s="10">
        <f t="shared" si="271"/>
        <v>545600.00000000012</v>
      </c>
      <c r="AG757" s="10">
        <f t="shared" si="272"/>
        <v>176000.00000000003</v>
      </c>
      <c r="AH757" s="10">
        <f t="shared" si="273"/>
        <v>88000.000000000015</v>
      </c>
      <c r="AI757" s="10">
        <f t="shared" si="274"/>
        <v>44000.000000000007</v>
      </c>
      <c r="AJ757" s="10">
        <f t="shared" si="275"/>
        <v>26400.000000000004</v>
      </c>
    </row>
    <row r="758" spans="1:36" x14ac:dyDescent="0.3">
      <c r="A758" t="s">
        <v>2986</v>
      </c>
      <c r="B758" t="s">
        <v>2987</v>
      </c>
      <c r="C758" t="s">
        <v>2988</v>
      </c>
      <c r="D758" t="s">
        <v>630</v>
      </c>
      <c r="E758">
        <v>48150</v>
      </c>
      <c r="F758" t="s">
        <v>15</v>
      </c>
      <c r="G758">
        <v>10</v>
      </c>
      <c r="H758">
        <v>150</v>
      </c>
      <c r="I758" t="str" cm="1">
        <f t="array" ref="I758">_xlfn.IFS(H758&lt;=120,"V1",H758&lt;=150,"V2",H758&lt;=250,"V3", H758&lt;=350, "V4")</f>
        <v>V2</v>
      </c>
      <c r="J758" t="s">
        <v>2989</v>
      </c>
      <c r="K758" t="str">
        <f t="shared" si="253"/>
        <v>42.379485</v>
      </c>
      <c r="L758" t="str">
        <f t="shared" si="254"/>
        <v>-83.32954</v>
      </c>
      <c r="M758">
        <v>193</v>
      </c>
      <c r="N758" s="1">
        <v>43120</v>
      </c>
      <c r="O758" s="1">
        <v>46099</v>
      </c>
      <c r="P758" s="2">
        <f t="shared" si="255"/>
        <v>8.1560574948665305</v>
      </c>
      <c r="Q758" s="2" t="str">
        <f t="shared" si="256"/>
        <v>Old</v>
      </c>
      <c r="R758">
        <f t="shared" si="257"/>
        <v>1500</v>
      </c>
      <c r="S758" t="str">
        <f t="shared" si="258"/>
        <v>Small</v>
      </c>
      <c r="T758" t="str">
        <f t="shared" si="259"/>
        <v>Lower EV Adoption Corridor</v>
      </c>
      <c r="U758" s="3">
        <f t="shared" si="260"/>
        <v>2475000</v>
      </c>
      <c r="V758" s="4">
        <f t="shared" si="261"/>
        <v>600000</v>
      </c>
      <c r="W758" s="3">
        <f t="shared" si="262"/>
        <v>7500000</v>
      </c>
      <c r="X758" s="3">
        <f t="shared" si="263"/>
        <v>4500000</v>
      </c>
      <c r="Y758">
        <f t="shared" si="264"/>
        <v>0.3</v>
      </c>
      <c r="Z758">
        <f t="shared" si="265"/>
        <v>0.75757575757575757</v>
      </c>
      <c r="AA758" t="str">
        <f t="shared" si="266"/>
        <v>Tier 4 - Stable Network</v>
      </c>
      <c r="AB758" s="3">
        <f t="shared" si="267"/>
        <v>60000</v>
      </c>
      <c r="AC758" s="3">
        <f t="shared" si="268"/>
        <v>750000</v>
      </c>
      <c r="AD758" s="3">
        <f t="shared" si="269"/>
        <v>247500</v>
      </c>
      <c r="AE758" s="5">
        <f t="shared" si="270"/>
        <v>4</v>
      </c>
      <c r="AF758" s="10">
        <f t="shared" si="271"/>
        <v>372000</v>
      </c>
      <c r="AG758" s="10">
        <f t="shared" si="272"/>
        <v>120000</v>
      </c>
      <c r="AH758" s="10">
        <f t="shared" si="273"/>
        <v>60000</v>
      </c>
      <c r="AI758" s="10">
        <f t="shared" si="274"/>
        <v>30000</v>
      </c>
      <c r="AJ758" s="10">
        <f t="shared" si="275"/>
        <v>18000</v>
      </c>
    </row>
    <row r="759" spans="1:36" x14ac:dyDescent="0.3">
      <c r="A759" t="s">
        <v>2990</v>
      </c>
      <c r="B759" t="s">
        <v>2991</v>
      </c>
      <c r="C759" t="s">
        <v>2992</v>
      </c>
      <c r="D759" t="s">
        <v>153</v>
      </c>
      <c r="E759">
        <v>15232</v>
      </c>
      <c r="F759" t="s">
        <v>15</v>
      </c>
      <c r="G759">
        <v>8</v>
      </c>
      <c r="H759">
        <v>72</v>
      </c>
      <c r="I759" t="str" cm="1">
        <f t="array" ref="I759">_xlfn.IFS(H759&lt;=120,"V1",H759&lt;=150,"V2",H759&lt;=250,"V3", H759&lt;=350, "V4")</f>
        <v>V1</v>
      </c>
      <c r="J759" t="s">
        <v>2993</v>
      </c>
      <c r="K759" t="str">
        <f t="shared" si="253"/>
        <v>40.456432</v>
      </c>
      <c r="L759" t="str">
        <f t="shared" si="254"/>
        <v>-79.934125</v>
      </c>
      <c r="M759">
        <v>270</v>
      </c>
      <c r="N759" s="1">
        <v>44125</v>
      </c>
      <c r="O759" s="1">
        <v>46099</v>
      </c>
      <c r="P759" s="2">
        <f t="shared" si="255"/>
        <v>5.4045174537987677</v>
      </c>
      <c r="Q759" s="2" t="str">
        <f t="shared" si="256"/>
        <v>Mid</v>
      </c>
      <c r="R759">
        <f t="shared" si="257"/>
        <v>576</v>
      </c>
      <c r="S759" t="str">
        <f t="shared" si="258"/>
        <v>Small</v>
      </c>
      <c r="T759" t="str">
        <f t="shared" si="259"/>
        <v>Lower EV Adoption Corridor</v>
      </c>
      <c r="U759" s="3">
        <f t="shared" si="260"/>
        <v>864000</v>
      </c>
      <c r="V759" s="4">
        <f t="shared" si="261"/>
        <v>207360</v>
      </c>
      <c r="W759" s="3">
        <f t="shared" si="262"/>
        <v>2304000</v>
      </c>
      <c r="X759" s="3">
        <f t="shared" si="263"/>
        <v>1555200</v>
      </c>
      <c r="Y759">
        <f t="shared" si="264"/>
        <v>0.2814814814814815</v>
      </c>
      <c r="Z759">
        <f t="shared" si="265"/>
        <v>0.76</v>
      </c>
      <c r="AA759" t="str">
        <f t="shared" si="266"/>
        <v>Tier 5 - Retirement Pipeline</v>
      </c>
      <c r="AB759" s="3">
        <f t="shared" si="267"/>
        <v>25920</v>
      </c>
      <c r="AC759" s="3">
        <f t="shared" si="268"/>
        <v>288000</v>
      </c>
      <c r="AD759" s="3">
        <f t="shared" si="269"/>
        <v>108000</v>
      </c>
      <c r="AE759" s="5">
        <f t="shared" si="270"/>
        <v>3.5087719298245612</v>
      </c>
      <c r="AF759" s="10">
        <f t="shared" si="271"/>
        <v>128563.2</v>
      </c>
      <c r="AG759" s="10">
        <f t="shared" si="272"/>
        <v>41472</v>
      </c>
      <c r="AH759" s="10">
        <f t="shared" si="273"/>
        <v>20736</v>
      </c>
      <c r="AI759" s="10">
        <f t="shared" si="274"/>
        <v>10368</v>
      </c>
      <c r="AJ759" s="10">
        <f t="shared" si="275"/>
        <v>6220.8</v>
      </c>
    </row>
    <row r="760" spans="1:36" x14ac:dyDescent="0.3">
      <c r="A760" t="s">
        <v>2994</v>
      </c>
      <c r="B760" t="s">
        <v>2995</v>
      </c>
      <c r="C760" t="s">
        <v>773</v>
      </c>
      <c r="D760" t="s">
        <v>14</v>
      </c>
      <c r="E760">
        <v>90250</v>
      </c>
      <c r="F760" t="s">
        <v>15</v>
      </c>
      <c r="G760">
        <v>12</v>
      </c>
      <c r="H760">
        <v>72</v>
      </c>
      <c r="I760" t="str" cm="1">
        <f t="array" ref="I760">_xlfn.IFS(H760&lt;=120,"V1",H760&lt;=150,"V2",H760&lt;=250,"V3", H760&lt;=350, "V4")</f>
        <v>V1</v>
      </c>
      <c r="J760" t="s">
        <v>2996</v>
      </c>
      <c r="K760" t="str">
        <f t="shared" si="253"/>
        <v>33.918036</v>
      </c>
      <c r="L760" t="str">
        <f t="shared" si="254"/>
        <v>-118.353197</v>
      </c>
      <c r="M760">
        <v>22</v>
      </c>
      <c r="N760" s="1">
        <v>43791</v>
      </c>
      <c r="O760" s="1">
        <v>46099</v>
      </c>
      <c r="P760" s="2">
        <f t="shared" si="255"/>
        <v>6.3189596167008899</v>
      </c>
      <c r="Q760" s="2" t="str">
        <f t="shared" si="256"/>
        <v>Mid</v>
      </c>
      <c r="R760">
        <f t="shared" si="257"/>
        <v>864</v>
      </c>
      <c r="S760" t="str">
        <f t="shared" si="258"/>
        <v>Small</v>
      </c>
      <c r="T760" t="str">
        <f t="shared" si="259"/>
        <v>High EV Adoption Corridor</v>
      </c>
      <c r="U760" s="3">
        <f t="shared" si="260"/>
        <v>1684800</v>
      </c>
      <c r="V760" s="4">
        <f t="shared" si="261"/>
        <v>373248</v>
      </c>
      <c r="W760" s="3">
        <f t="shared" si="262"/>
        <v>3801600.0000000005</v>
      </c>
      <c r="X760" s="3">
        <f t="shared" si="263"/>
        <v>3499200</v>
      </c>
      <c r="Y760">
        <f t="shared" si="264"/>
        <v>0.21530864197530863</v>
      </c>
      <c r="Z760">
        <f t="shared" si="265"/>
        <v>0.77846153846153843</v>
      </c>
      <c r="AA760" t="str">
        <f t="shared" si="266"/>
        <v>Tier 3 - Upgrade Pipeline</v>
      </c>
      <c r="AB760" s="3">
        <f t="shared" si="267"/>
        <v>31104</v>
      </c>
      <c r="AC760" s="3">
        <f t="shared" si="268"/>
        <v>316800.00000000006</v>
      </c>
      <c r="AD760" s="3">
        <f t="shared" si="269"/>
        <v>140400</v>
      </c>
      <c r="AE760" s="5">
        <f t="shared" si="270"/>
        <v>2.8985507246376816</v>
      </c>
      <c r="AF760" s="10">
        <f t="shared" si="271"/>
        <v>231413.76000000001</v>
      </c>
      <c r="AG760" s="10">
        <f t="shared" si="272"/>
        <v>74649.600000000006</v>
      </c>
      <c r="AH760" s="10">
        <f t="shared" si="273"/>
        <v>37324.800000000003</v>
      </c>
      <c r="AI760" s="10">
        <f t="shared" si="274"/>
        <v>18662.400000000001</v>
      </c>
      <c r="AJ760" s="10">
        <f t="shared" si="275"/>
        <v>11197.439999999999</v>
      </c>
    </row>
    <row r="761" spans="1:36" x14ac:dyDescent="0.3">
      <c r="A761" t="s">
        <v>2997</v>
      </c>
      <c r="B761" t="s">
        <v>2998</v>
      </c>
      <c r="C761" t="s">
        <v>2969</v>
      </c>
      <c r="D761" t="s">
        <v>546</v>
      </c>
      <c r="E761">
        <v>41042</v>
      </c>
      <c r="F761" t="s">
        <v>15</v>
      </c>
      <c r="G761">
        <v>12</v>
      </c>
      <c r="H761">
        <v>250</v>
      </c>
      <c r="I761" t="str" cm="1">
        <f t="array" ref="I761">_xlfn.IFS(H761&lt;=120,"V1",H761&lt;=150,"V2",H761&lt;=250,"V3", H761&lt;=350, "V4")</f>
        <v>V3</v>
      </c>
      <c r="J761" t="s">
        <v>2999</v>
      </c>
      <c r="K761" t="str">
        <f t="shared" si="253"/>
        <v>39.011489</v>
      </c>
      <c r="L761" t="str">
        <f t="shared" si="254"/>
        <v>-84.640279</v>
      </c>
      <c r="M761">
        <v>1108</v>
      </c>
      <c r="N761" s="1">
        <v>44317</v>
      </c>
      <c r="O761" s="1">
        <v>46099</v>
      </c>
      <c r="P761" s="2">
        <f t="shared" si="255"/>
        <v>4.8788501026694044</v>
      </c>
      <c r="Q761" s="2" t="str">
        <f t="shared" si="256"/>
        <v>Mid</v>
      </c>
      <c r="R761">
        <f t="shared" si="257"/>
        <v>3000</v>
      </c>
      <c r="S761" t="str">
        <f t="shared" si="258"/>
        <v>Small</v>
      </c>
      <c r="T761" t="str">
        <f t="shared" si="259"/>
        <v>Lower EV Adoption Corridor</v>
      </c>
      <c r="U761" s="3">
        <f t="shared" si="260"/>
        <v>5400000</v>
      </c>
      <c r="V761" s="4">
        <f t="shared" si="261"/>
        <v>1320000</v>
      </c>
      <c r="W761" s="3">
        <f t="shared" si="262"/>
        <v>18000000</v>
      </c>
      <c r="X761" s="3">
        <f t="shared" si="263"/>
        <v>9900000</v>
      </c>
      <c r="Y761">
        <f t="shared" si="264"/>
        <v>0.31515151515151513</v>
      </c>
      <c r="Z761">
        <f t="shared" si="265"/>
        <v>0.75555555555555554</v>
      </c>
      <c r="AA761" t="str">
        <f t="shared" si="266"/>
        <v>Tier 2 - Growth Markets</v>
      </c>
      <c r="AB761" s="3">
        <f t="shared" si="267"/>
        <v>110000</v>
      </c>
      <c r="AC761" s="3">
        <f t="shared" si="268"/>
        <v>1500000</v>
      </c>
      <c r="AD761" s="3">
        <f t="shared" si="269"/>
        <v>450000</v>
      </c>
      <c r="AE761" s="5">
        <f t="shared" si="270"/>
        <v>4.4117647058823533</v>
      </c>
      <c r="AF761" s="10">
        <f t="shared" si="271"/>
        <v>818400</v>
      </c>
      <c r="AG761" s="10">
        <f t="shared" si="272"/>
        <v>264000</v>
      </c>
      <c r="AH761" s="10">
        <f t="shared" si="273"/>
        <v>132000</v>
      </c>
      <c r="AI761" s="10">
        <f t="shared" si="274"/>
        <v>66000</v>
      </c>
      <c r="AJ761" s="10">
        <f t="shared" si="275"/>
        <v>39600</v>
      </c>
    </row>
    <row r="762" spans="1:36" x14ac:dyDescent="0.3">
      <c r="A762" t="s">
        <v>3000</v>
      </c>
      <c r="B762" t="s">
        <v>3001</v>
      </c>
      <c r="C762" t="s">
        <v>2709</v>
      </c>
      <c r="D762" t="s">
        <v>125</v>
      </c>
      <c r="E762">
        <v>29607</v>
      </c>
      <c r="F762" t="s">
        <v>15</v>
      </c>
      <c r="G762">
        <v>8</v>
      </c>
      <c r="H762">
        <v>150</v>
      </c>
      <c r="I762" t="str" cm="1">
        <f t="array" ref="I762">_xlfn.IFS(H762&lt;=120,"V1",H762&lt;=150,"V2",H762&lt;=250,"V3", H762&lt;=350, "V4")</f>
        <v>V2</v>
      </c>
      <c r="J762" t="s">
        <v>3002</v>
      </c>
      <c r="K762" t="str">
        <f t="shared" si="253"/>
        <v>34.825895</v>
      </c>
      <c r="L762" t="str">
        <f t="shared" si="254"/>
        <v>-82.306973</v>
      </c>
      <c r="M762">
        <v>304</v>
      </c>
      <c r="N762" s="1">
        <v>42317</v>
      </c>
      <c r="O762" s="1">
        <v>46099</v>
      </c>
      <c r="P762" s="2">
        <f t="shared" si="255"/>
        <v>10.354551676933607</v>
      </c>
      <c r="Q762" s="2" t="str">
        <f t="shared" si="256"/>
        <v>Old</v>
      </c>
      <c r="R762">
        <f t="shared" si="257"/>
        <v>1200</v>
      </c>
      <c r="S762" t="str">
        <f t="shared" si="258"/>
        <v>Small</v>
      </c>
      <c r="T762" t="str">
        <f t="shared" si="259"/>
        <v>Lower EV Adoption Corridor</v>
      </c>
      <c r="U762" s="3">
        <f t="shared" si="260"/>
        <v>1980000.0000000002</v>
      </c>
      <c r="V762" s="4">
        <f t="shared" si="261"/>
        <v>480000</v>
      </c>
      <c r="W762" s="3">
        <f t="shared" si="262"/>
        <v>6000000</v>
      </c>
      <c r="X762" s="3">
        <f t="shared" si="263"/>
        <v>3600000</v>
      </c>
      <c r="Y762">
        <f t="shared" si="264"/>
        <v>0.3</v>
      </c>
      <c r="Z762">
        <f t="shared" si="265"/>
        <v>0.75757575757575757</v>
      </c>
      <c r="AA762" t="str">
        <f t="shared" si="266"/>
        <v>Tier 4 - Stable Network</v>
      </c>
      <c r="AB762" s="3">
        <f t="shared" si="267"/>
        <v>60000</v>
      </c>
      <c r="AC762" s="3">
        <f t="shared" si="268"/>
        <v>750000</v>
      </c>
      <c r="AD762" s="3">
        <f t="shared" si="269"/>
        <v>247500.00000000003</v>
      </c>
      <c r="AE762" s="5">
        <f t="shared" si="270"/>
        <v>3.9999999999999996</v>
      </c>
      <c r="AF762" s="10">
        <f t="shared" si="271"/>
        <v>297600</v>
      </c>
      <c r="AG762" s="10">
        <f t="shared" si="272"/>
        <v>96000</v>
      </c>
      <c r="AH762" s="10">
        <f t="shared" si="273"/>
        <v>48000</v>
      </c>
      <c r="AI762" s="10">
        <f t="shared" si="274"/>
        <v>24000</v>
      </c>
      <c r="AJ762" s="10">
        <f t="shared" si="275"/>
        <v>14400</v>
      </c>
    </row>
    <row r="763" spans="1:36" x14ac:dyDescent="0.3">
      <c r="A763" t="s">
        <v>3003</v>
      </c>
      <c r="B763" t="s">
        <v>3004</v>
      </c>
      <c r="C763" t="s">
        <v>3005</v>
      </c>
      <c r="D763" t="s">
        <v>630</v>
      </c>
      <c r="E763">
        <v>49855</v>
      </c>
      <c r="F763" t="s">
        <v>15</v>
      </c>
      <c r="G763">
        <v>8</v>
      </c>
      <c r="H763">
        <v>250</v>
      </c>
      <c r="I763" t="str" cm="1">
        <f t="array" ref="I763">_xlfn.IFS(H763&lt;=120,"V1",H763&lt;=150,"V2",H763&lt;=250,"V3", H763&lt;=350, "V4")</f>
        <v>V3</v>
      </c>
      <c r="J763" t="s">
        <v>3006</v>
      </c>
      <c r="K763" t="str">
        <f t="shared" si="253"/>
        <v>46.551944</v>
      </c>
      <c r="L763" t="str">
        <f t="shared" si="254"/>
        <v>-87.470222</v>
      </c>
      <c r="M763">
        <v>305</v>
      </c>
      <c r="N763" s="1">
        <v>44378</v>
      </c>
      <c r="O763" s="1">
        <v>46099</v>
      </c>
      <c r="P763" s="2">
        <f t="shared" si="255"/>
        <v>4.7118412046543465</v>
      </c>
      <c r="Q763" s="2" t="str">
        <f t="shared" si="256"/>
        <v>Mid</v>
      </c>
      <c r="R763">
        <f t="shared" si="257"/>
        <v>2000</v>
      </c>
      <c r="S763" t="str">
        <f t="shared" si="258"/>
        <v>Small</v>
      </c>
      <c r="T763" t="str">
        <f t="shared" si="259"/>
        <v>Lower EV Adoption Corridor</v>
      </c>
      <c r="U763" s="3">
        <f t="shared" si="260"/>
        <v>3600000</v>
      </c>
      <c r="V763" s="4">
        <f t="shared" si="261"/>
        <v>880000.00000000012</v>
      </c>
      <c r="W763" s="3">
        <f t="shared" si="262"/>
        <v>12000000</v>
      </c>
      <c r="X763" s="3">
        <f t="shared" si="263"/>
        <v>6600000.0000000009</v>
      </c>
      <c r="Y763">
        <f t="shared" si="264"/>
        <v>0.31515151515151513</v>
      </c>
      <c r="Z763">
        <f t="shared" si="265"/>
        <v>0.75555555555555554</v>
      </c>
      <c r="AA763" t="str">
        <f t="shared" si="266"/>
        <v>Tier 2 - Growth Markets</v>
      </c>
      <c r="AB763" s="3">
        <f t="shared" si="267"/>
        <v>110000.00000000001</v>
      </c>
      <c r="AC763" s="3">
        <f t="shared" si="268"/>
        <v>1500000</v>
      </c>
      <c r="AD763" s="3">
        <f t="shared" si="269"/>
        <v>450000</v>
      </c>
      <c r="AE763" s="5">
        <f t="shared" si="270"/>
        <v>4.4117647058823533</v>
      </c>
      <c r="AF763" s="10">
        <f t="shared" si="271"/>
        <v>545600.00000000012</v>
      </c>
      <c r="AG763" s="10">
        <f t="shared" si="272"/>
        <v>176000.00000000003</v>
      </c>
      <c r="AH763" s="10">
        <f t="shared" si="273"/>
        <v>88000.000000000015</v>
      </c>
      <c r="AI763" s="10">
        <f t="shared" si="274"/>
        <v>44000.000000000007</v>
      </c>
      <c r="AJ763" s="10">
        <f t="shared" si="275"/>
        <v>26400.000000000004</v>
      </c>
    </row>
    <row r="764" spans="1:36" x14ac:dyDescent="0.3">
      <c r="A764" t="s">
        <v>3007</v>
      </c>
      <c r="B764" t="s">
        <v>3008</v>
      </c>
      <c r="C764" t="s">
        <v>3009</v>
      </c>
      <c r="D764" t="s">
        <v>14</v>
      </c>
      <c r="E764">
        <v>93551</v>
      </c>
      <c r="F764" t="s">
        <v>15</v>
      </c>
      <c r="G764">
        <v>20</v>
      </c>
      <c r="H764">
        <v>250</v>
      </c>
      <c r="I764" t="str" cm="1">
        <f t="array" ref="I764">_xlfn.IFS(H764&lt;=120,"V1",H764&lt;=150,"V2",H764&lt;=250,"V3", H764&lt;=350, "V4")</f>
        <v>V3</v>
      </c>
      <c r="J764" t="s">
        <v>3010</v>
      </c>
      <c r="K764" t="str">
        <f t="shared" si="253"/>
        <v>34.606207</v>
      </c>
      <c r="L764" t="str">
        <f t="shared" si="254"/>
        <v>-118.151386</v>
      </c>
      <c r="M764">
        <v>815</v>
      </c>
      <c r="N764" s="1">
        <v>44123</v>
      </c>
      <c r="O764" s="1">
        <v>46099</v>
      </c>
      <c r="P764" s="2">
        <f t="shared" si="255"/>
        <v>5.4099931553730318</v>
      </c>
      <c r="Q764" s="2" t="str">
        <f t="shared" si="256"/>
        <v>Mid</v>
      </c>
      <c r="R764">
        <f t="shared" si="257"/>
        <v>5000</v>
      </c>
      <c r="S764" t="str">
        <f t="shared" si="258"/>
        <v>Small</v>
      </c>
      <c r="T764" t="str">
        <f t="shared" si="259"/>
        <v>High EV Adoption Corridor</v>
      </c>
      <c r="U764" s="3">
        <f t="shared" si="260"/>
        <v>11700000</v>
      </c>
      <c r="V764" s="4">
        <f t="shared" si="261"/>
        <v>2640000</v>
      </c>
      <c r="W764" s="3">
        <f t="shared" si="262"/>
        <v>33000000.000000004</v>
      </c>
      <c r="X764" s="3">
        <f t="shared" si="263"/>
        <v>24750000.000000004</v>
      </c>
      <c r="Y764">
        <f t="shared" si="264"/>
        <v>0.23999999999999996</v>
      </c>
      <c r="Z764">
        <f t="shared" si="265"/>
        <v>0.77435897435897438</v>
      </c>
      <c r="AA764" t="str">
        <f t="shared" si="266"/>
        <v>Tier 1 - Priority Fleet</v>
      </c>
      <c r="AB764" s="3">
        <f t="shared" si="267"/>
        <v>132000</v>
      </c>
      <c r="AC764" s="3">
        <f t="shared" si="268"/>
        <v>1650000.0000000002</v>
      </c>
      <c r="AD764" s="3">
        <f t="shared" si="269"/>
        <v>585000</v>
      </c>
      <c r="AE764" s="5">
        <f t="shared" si="270"/>
        <v>3.6423841059602653</v>
      </c>
      <c r="AF764" s="10">
        <f t="shared" si="271"/>
        <v>1636800</v>
      </c>
      <c r="AG764" s="10">
        <f t="shared" si="272"/>
        <v>528000</v>
      </c>
      <c r="AH764" s="10">
        <f t="shared" si="273"/>
        <v>264000</v>
      </c>
      <c r="AI764" s="10">
        <f t="shared" si="274"/>
        <v>132000</v>
      </c>
      <c r="AJ764" s="10">
        <f t="shared" si="275"/>
        <v>79200</v>
      </c>
    </row>
    <row r="765" spans="1:36" x14ac:dyDescent="0.3">
      <c r="A765" t="s">
        <v>3011</v>
      </c>
      <c r="B765" t="s">
        <v>3012</v>
      </c>
      <c r="C765" t="s">
        <v>3013</v>
      </c>
      <c r="D765" t="s">
        <v>321</v>
      </c>
      <c r="E765">
        <v>1468</v>
      </c>
      <c r="F765" t="s">
        <v>15</v>
      </c>
      <c r="G765">
        <v>8</v>
      </c>
      <c r="H765">
        <v>250</v>
      </c>
      <c r="I765" t="str" cm="1">
        <f t="array" ref="I765">_xlfn.IFS(H765&lt;=120,"V1",H765&lt;=150,"V2",H765&lt;=250,"V3", H765&lt;=350, "V4")</f>
        <v>V3</v>
      </c>
      <c r="J765" t="s">
        <v>3014</v>
      </c>
      <c r="K765" t="str">
        <f t="shared" si="253"/>
        <v>42.561164</v>
      </c>
      <c r="L765" t="str">
        <f t="shared" si="254"/>
        <v>-72.040773</v>
      </c>
      <c r="M765">
        <v>321</v>
      </c>
      <c r="N765" s="1">
        <v>44816</v>
      </c>
      <c r="O765" s="1">
        <v>46099</v>
      </c>
      <c r="P765" s="2">
        <f t="shared" si="255"/>
        <v>3.5126625598904861</v>
      </c>
      <c r="Q765" s="2" t="str">
        <f t="shared" si="256"/>
        <v>Mid</v>
      </c>
      <c r="R765">
        <f t="shared" si="257"/>
        <v>2000</v>
      </c>
      <c r="S765" t="str">
        <f t="shared" si="258"/>
        <v>Small</v>
      </c>
      <c r="T765" t="str">
        <f t="shared" si="259"/>
        <v>Lower EV Adoption Corridor</v>
      </c>
      <c r="U765" s="3">
        <f t="shared" si="260"/>
        <v>3600000</v>
      </c>
      <c r="V765" s="4">
        <f t="shared" si="261"/>
        <v>880000.00000000012</v>
      </c>
      <c r="W765" s="3">
        <f t="shared" si="262"/>
        <v>12000000</v>
      </c>
      <c r="X765" s="3">
        <f t="shared" si="263"/>
        <v>6600000.0000000009</v>
      </c>
      <c r="Y765">
        <f t="shared" si="264"/>
        <v>0.31515151515151513</v>
      </c>
      <c r="Z765">
        <f t="shared" si="265"/>
        <v>0.75555555555555554</v>
      </c>
      <c r="AA765" t="str">
        <f t="shared" si="266"/>
        <v>Tier 2 - Growth Markets</v>
      </c>
      <c r="AB765" s="3">
        <f t="shared" si="267"/>
        <v>110000.00000000001</v>
      </c>
      <c r="AC765" s="3">
        <f t="shared" si="268"/>
        <v>1500000</v>
      </c>
      <c r="AD765" s="3">
        <f t="shared" si="269"/>
        <v>450000</v>
      </c>
      <c r="AE765" s="5">
        <f t="shared" si="270"/>
        <v>4.4117647058823533</v>
      </c>
      <c r="AF765" s="10">
        <f t="shared" si="271"/>
        <v>545600.00000000012</v>
      </c>
      <c r="AG765" s="10">
        <f t="shared" si="272"/>
        <v>176000.00000000003</v>
      </c>
      <c r="AH765" s="10">
        <f t="shared" si="273"/>
        <v>88000.000000000015</v>
      </c>
      <c r="AI765" s="10">
        <f t="shared" si="274"/>
        <v>44000.000000000007</v>
      </c>
      <c r="AJ765" s="10">
        <f t="shared" si="275"/>
        <v>26400.000000000004</v>
      </c>
    </row>
    <row r="766" spans="1:36" x14ac:dyDescent="0.3">
      <c r="A766" t="s">
        <v>3015</v>
      </c>
      <c r="B766" t="s">
        <v>3016</v>
      </c>
      <c r="C766" t="s">
        <v>32</v>
      </c>
      <c r="D766" t="s">
        <v>14</v>
      </c>
      <c r="E766">
        <v>95678</v>
      </c>
      <c r="F766" t="s">
        <v>15</v>
      </c>
      <c r="G766">
        <v>20</v>
      </c>
      <c r="H766">
        <v>150</v>
      </c>
      <c r="I766" t="str" cm="1">
        <f t="array" ref="I766">_xlfn.IFS(H766&lt;=120,"V1",H766&lt;=150,"V2",H766&lt;=250,"V3", H766&lt;=350, "V4")</f>
        <v>V2</v>
      </c>
      <c r="J766" t="s">
        <v>3017</v>
      </c>
      <c r="K766" t="str">
        <f t="shared" si="253"/>
        <v>38.767949</v>
      </c>
      <c r="L766" t="str">
        <f t="shared" si="254"/>
        <v>-121.263356</v>
      </c>
      <c r="M766">
        <v>69</v>
      </c>
      <c r="N766" s="1">
        <v>43879</v>
      </c>
      <c r="O766" s="1">
        <v>46099</v>
      </c>
      <c r="P766" s="2">
        <f t="shared" si="255"/>
        <v>6.0780287474332653</v>
      </c>
      <c r="Q766" s="2" t="str">
        <f t="shared" si="256"/>
        <v>Mid</v>
      </c>
      <c r="R766">
        <f t="shared" si="257"/>
        <v>3000</v>
      </c>
      <c r="S766" t="str">
        <f t="shared" si="258"/>
        <v>Small</v>
      </c>
      <c r="T766" t="str">
        <f t="shared" si="259"/>
        <v>High EV Adoption Corridor</v>
      </c>
      <c r="U766" s="3">
        <f t="shared" si="260"/>
        <v>6435000</v>
      </c>
      <c r="V766" s="4">
        <f t="shared" si="261"/>
        <v>1440000</v>
      </c>
      <c r="W766" s="3">
        <f t="shared" si="262"/>
        <v>16500000.000000002</v>
      </c>
      <c r="X766" s="3">
        <f t="shared" si="263"/>
        <v>13500000</v>
      </c>
      <c r="Y766">
        <f t="shared" si="264"/>
        <v>0.22888888888888889</v>
      </c>
      <c r="Z766">
        <f t="shared" si="265"/>
        <v>0.77622377622377625</v>
      </c>
      <c r="AA766" t="str">
        <f t="shared" si="266"/>
        <v>Tier 3 - Upgrade Pipeline</v>
      </c>
      <c r="AB766" s="3">
        <f t="shared" si="267"/>
        <v>72000</v>
      </c>
      <c r="AC766" s="3">
        <f t="shared" si="268"/>
        <v>825000.00000000012</v>
      </c>
      <c r="AD766" s="3">
        <f t="shared" si="269"/>
        <v>321750</v>
      </c>
      <c r="AE766" s="5">
        <f t="shared" si="270"/>
        <v>3.3033033033033035</v>
      </c>
      <c r="AF766" s="10">
        <f t="shared" si="271"/>
        <v>892800</v>
      </c>
      <c r="AG766" s="10">
        <f t="shared" si="272"/>
        <v>288000</v>
      </c>
      <c r="AH766" s="10">
        <f t="shared" si="273"/>
        <v>144000</v>
      </c>
      <c r="AI766" s="10">
        <f t="shared" si="274"/>
        <v>72000</v>
      </c>
      <c r="AJ766" s="10">
        <f t="shared" si="275"/>
        <v>43200</v>
      </c>
    </row>
    <row r="767" spans="1:36" x14ac:dyDescent="0.3">
      <c r="A767" t="s">
        <v>3018</v>
      </c>
      <c r="B767" t="s">
        <v>3019</v>
      </c>
      <c r="C767" t="s">
        <v>672</v>
      </c>
      <c r="D767" t="s">
        <v>673</v>
      </c>
      <c r="E767">
        <v>968</v>
      </c>
      <c r="F767" t="s">
        <v>15</v>
      </c>
      <c r="G767">
        <v>2</v>
      </c>
      <c r="H767">
        <v>72</v>
      </c>
      <c r="I767" t="str" cm="1">
        <f t="array" ref="I767">_xlfn.IFS(H767&lt;=120,"V1",H767&lt;=150,"V2",H767&lt;=250,"V3", H767&lt;=350, "V4")</f>
        <v>V1</v>
      </c>
      <c r="J767" t="s">
        <v>3020</v>
      </c>
      <c r="K767" t="str">
        <f t="shared" si="253"/>
        <v>18.405993</v>
      </c>
      <c r="L767" t="str">
        <f t="shared" si="254"/>
        <v>-66.106131</v>
      </c>
      <c r="M767">
        <v>15</v>
      </c>
      <c r="N767" s="1">
        <v>43817</v>
      </c>
      <c r="O767" s="1">
        <v>46099</v>
      </c>
      <c r="P767" s="2">
        <f t="shared" si="255"/>
        <v>6.2477754962354553</v>
      </c>
      <c r="Q767" s="2" t="str">
        <f t="shared" si="256"/>
        <v>Mid</v>
      </c>
      <c r="R767">
        <f t="shared" si="257"/>
        <v>144</v>
      </c>
      <c r="S767" t="str">
        <f t="shared" si="258"/>
        <v>Small</v>
      </c>
      <c r="T767" t="str">
        <f t="shared" si="259"/>
        <v>Lower EV Adoption Corridor</v>
      </c>
      <c r="U767" s="3">
        <f t="shared" si="260"/>
        <v>216000</v>
      </c>
      <c r="V767" s="4">
        <f t="shared" si="261"/>
        <v>51840</v>
      </c>
      <c r="W767" s="3">
        <f t="shared" si="262"/>
        <v>576000</v>
      </c>
      <c r="X767" s="3">
        <f t="shared" si="263"/>
        <v>388800</v>
      </c>
      <c r="Y767">
        <f t="shared" si="264"/>
        <v>0.2814814814814815</v>
      </c>
      <c r="Z767">
        <f t="shared" si="265"/>
        <v>0.76</v>
      </c>
      <c r="AA767" t="str">
        <f t="shared" si="266"/>
        <v>Tier 5 - Retirement Pipeline</v>
      </c>
      <c r="AB767" s="3">
        <f t="shared" si="267"/>
        <v>25920</v>
      </c>
      <c r="AC767" s="3">
        <f t="shared" si="268"/>
        <v>288000</v>
      </c>
      <c r="AD767" s="3">
        <f t="shared" si="269"/>
        <v>108000</v>
      </c>
      <c r="AE767" s="5">
        <f t="shared" si="270"/>
        <v>3.5087719298245612</v>
      </c>
      <c r="AF767" s="10">
        <f t="shared" si="271"/>
        <v>32140.799999999999</v>
      </c>
      <c r="AG767" s="10">
        <f t="shared" si="272"/>
        <v>10368</v>
      </c>
      <c r="AH767" s="10">
        <f t="shared" si="273"/>
        <v>5184</v>
      </c>
      <c r="AI767" s="10">
        <f t="shared" si="274"/>
        <v>2592</v>
      </c>
      <c r="AJ767" s="10">
        <f t="shared" si="275"/>
        <v>1555.2</v>
      </c>
    </row>
    <row r="768" spans="1:36" x14ac:dyDescent="0.3">
      <c r="A768" t="s">
        <v>3021</v>
      </c>
      <c r="B768" t="s">
        <v>3022</v>
      </c>
      <c r="C768" t="s">
        <v>948</v>
      </c>
      <c r="D768" t="s">
        <v>428</v>
      </c>
      <c r="E768">
        <v>3251</v>
      </c>
      <c r="F768" t="s">
        <v>15</v>
      </c>
      <c r="G768">
        <v>6</v>
      </c>
      <c r="H768">
        <v>150</v>
      </c>
      <c r="I768" t="str" cm="1">
        <f t="array" ref="I768">_xlfn.IFS(H768&lt;=120,"V1",H768&lt;=150,"V2",H768&lt;=250,"V3", H768&lt;=350, "V4")</f>
        <v>V2</v>
      </c>
      <c r="J768" t="s">
        <v>3023</v>
      </c>
      <c r="K768" t="str">
        <f t="shared" si="253"/>
        <v>44.042314</v>
      </c>
      <c r="L768" t="str">
        <f t="shared" si="254"/>
        <v>-71.668127</v>
      </c>
      <c r="M768">
        <v>245</v>
      </c>
      <c r="N768" s="1">
        <v>42698</v>
      </c>
      <c r="O768" s="1">
        <v>46099</v>
      </c>
      <c r="P768" s="2">
        <f t="shared" si="255"/>
        <v>9.3114305270362774</v>
      </c>
      <c r="Q768" s="2" t="str">
        <f t="shared" si="256"/>
        <v>Old</v>
      </c>
      <c r="R768">
        <f t="shared" si="257"/>
        <v>900</v>
      </c>
      <c r="S768" t="str">
        <f t="shared" si="258"/>
        <v>Small</v>
      </c>
      <c r="T768" t="str">
        <f t="shared" si="259"/>
        <v>Lower EV Adoption Corridor</v>
      </c>
      <c r="U768" s="3">
        <f t="shared" si="260"/>
        <v>1485000.0000000002</v>
      </c>
      <c r="V768" s="4">
        <f t="shared" si="261"/>
        <v>360000</v>
      </c>
      <c r="W768" s="3">
        <f t="shared" si="262"/>
        <v>4500000</v>
      </c>
      <c r="X768" s="3">
        <f t="shared" si="263"/>
        <v>2700000</v>
      </c>
      <c r="Y768">
        <f t="shared" si="264"/>
        <v>0.3</v>
      </c>
      <c r="Z768">
        <f t="shared" si="265"/>
        <v>0.75757575757575757</v>
      </c>
      <c r="AA768" t="str">
        <f t="shared" si="266"/>
        <v>Tier 4 - Stable Network</v>
      </c>
      <c r="AB768" s="3">
        <f t="shared" si="267"/>
        <v>60000</v>
      </c>
      <c r="AC768" s="3">
        <f t="shared" si="268"/>
        <v>750000</v>
      </c>
      <c r="AD768" s="3">
        <f t="shared" si="269"/>
        <v>247500.00000000003</v>
      </c>
      <c r="AE768" s="5">
        <f t="shared" si="270"/>
        <v>3.9999999999999991</v>
      </c>
      <c r="AF768" s="10">
        <f t="shared" si="271"/>
        <v>223200</v>
      </c>
      <c r="AG768" s="10">
        <f t="shared" si="272"/>
        <v>72000</v>
      </c>
      <c r="AH768" s="10">
        <f t="shared" si="273"/>
        <v>36000</v>
      </c>
      <c r="AI768" s="10">
        <f t="shared" si="274"/>
        <v>18000</v>
      </c>
      <c r="AJ768" s="10">
        <f t="shared" si="275"/>
        <v>10800</v>
      </c>
    </row>
    <row r="769" spans="1:36" x14ac:dyDescent="0.3">
      <c r="A769" t="s">
        <v>3024</v>
      </c>
      <c r="B769" t="s">
        <v>3025</v>
      </c>
      <c r="C769" t="s">
        <v>800</v>
      </c>
      <c r="D769" t="s">
        <v>14</v>
      </c>
      <c r="E769">
        <v>96080</v>
      </c>
      <c r="F769" t="s">
        <v>15</v>
      </c>
      <c r="G769">
        <v>8</v>
      </c>
      <c r="H769">
        <v>250</v>
      </c>
      <c r="I769" t="str" cm="1">
        <f t="array" ref="I769">_xlfn.IFS(H769&lt;=120,"V1",H769&lt;=150,"V2",H769&lt;=250,"V3", H769&lt;=350, "V4")</f>
        <v>V3</v>
      </c>
      <c r="J769" t="s">
        <v>3026</v>
      </c>
      <c r="K769" t="str">
        <f t="shared" si="253"/>
        <v>40.182152</v>
      </c>
      <c r="L769" t="str">
        <f t="shared" si="254"/>
        <v>-122.227452</v>
      </c>
      <c r="M769">
        <v>82</v>
      </c>
      <c r="N769" s="1">
        <v>43795</v>
      </c>
      <c r="O769" s="1">
        <v>46099</v>
      </c>
      <c r="P769" s="2">
        <f t="shared" si="255"/>
        <v>6.3080082135523616</v>
      </c>
      <c r="Q769" s="2" t="str">
        <f t="shared" si="256"/>
        <v>Mid</v>
      </c>
      <c r="R769">
        <f t="shared" si="257"/>
        <v>2000</v>
      </c>
      <c r="S769" t="str">
        <f t="shared" si="258"/>
        <v>Small</v>
      </c>
      <c r="T769" t="str">
        <f t="shared" si="259"/>
        <v>High EV Adoption Corridor</v>
      </c>
      <c r="U769" s="3">
        <f t="shared" si="260"/>
        <v>4680000</v>
      </c>
      <c r="V769" s="4">
        <f t="shared" si="261"/>
        <v>1056000</v>
      </c>
      <c r="W769" s="3">
        <f t="shared" si="262"/>
        <v>13200000.000000002</v>
      </c>
      <c r="X769" s="3">
        <f t="shared" si="263"/>
        <v>9900000.0000000019</v>
      </c>
      <c r="Y769">
        <f t="shared" si="264"/>
        <v>0.23999999999999996</v>
      </c>
      <c r="Z769">
        <f t="shared" si="265"/>
        <v>0.77435897435897438</v>
      </c>
      <c r="AA769" t="str">
        <f t="shared" si="266"/>
        <v>Tier 1 - Priority Fleet</v>
      </c>
      <c r="AB769" s="3">
        <f t="shared" si="267"/>
        <v>132000</v>
      </c>
      <c r="AC769" s="3">
        <f t="shared" si="268"/>
        <v>1650000.0000000002</v>
      </c>
      <c r="AD769" s="3">
        <f t="shared" si="269"/>
        <v>585000</v>
      </c>
      <c r="AE769" s="5">
        <f t="shared" si="270"/>
        <v>3.6423841059602653</v>
      </c>
      <c r="AF769" s="10">
        <f t="shared" si="271"/>
        <v>654720</v>
      </c>
      <c r="AG769" s="10">
        <f t="shared" si="272"/>
        <v>211200</v>
      </c>
      <c r="AH769" s="10">
        <f t="shared" si="273"/>
        <v>105600</v>
      </c>
      <c r="AI769" s="10">
        <f t="shared" si="274"/>
        <v>52800</v>
      </c>
      <c r="AJ769" s="10">
        <f t="shared" si="275"/>
        <v>31680</v>
      </c>
    </row>
    <row r="770" spans="1:36" x14ac:dyDescent="0.3">
      <c r="A770" t="s">
        <v>3027</v>
      </c>
      <c r="B770" t="s">
        <v>3028</v>
      </c>
      <c r="C770" t="s">
        <v>3029</v>
      </c>
      <c r="D770" t="s">
        <v>158</v>
      </c>
      <c r="E770">
        <v>12524</v>
      </c>
      <c r="F770" t="s">
        <v>15</v>
      </c>
      <c r="G770">
        <v>12</v>
      </c>
      <c r="H770">
        <v>250</v>
      </c>
      <c r="I770" t="str" cm="1">
        <f t="array" ref="I770">_xlfn.IFS(H770&lt;=120,"V1",H770&lt;=150,"V2",H770&lt;=250,"V3", H770&lt;=350, "V4")</f>
        <v>V3</v>
      </c>
      <c r="J770" t="s">
        <v>3030</v>
      </c>
      <c r="K770" t="str">
        <f t="shared" si="253"/>
        <v>41.52727858284335</v>
      </c>
      <c r="L770" t="str">
        <f t="shared" si="254"/>
        <v>-73.893152475357</v>
      </c>
      <c r="M770">
        <v>65</v>
      </c>
      <c r="N770" s="1">
        <v>43912</v>
      </c>
      <c r="O770" s="1">
        <v>46099</v>
      </c>
      <c r="P770" s="2">
        <f t="shared" si="255"/>
        <v>5.9876796714579053</v>
      </c>
      <c r="Q770" s="2" t="str">
        <f t="shared" si="256"/>
        <v>Mid</v>
      </c>
      <c r="R770">
        <f t="shared" si="257"/>
        <v>3000</v>
      </c>
      <c r="S770" t="str">
        <f t="shared" si="258"/>
        <v>Small</v>
      </c>
      <c r="T770" t="str">
        <f t="shared" si="259"/>
        <v>Lower EV Adoption Corridor</v>
      </c>
      <c r="U770" s="3">
        <f t="shared" si="260"/>
        <v>5400000</v>
      </c>
      <c r="V770" s="4">
        <f t="shared" si="261"/>
        <v>1320000</v>
      </c>
      <c r="W770" s="3">
        <f t="shared" si="262"/>
        <v>18000000</v>
      </c>
      <c r="X770" s="3">
        <f t="shared" si="263"/>
        <v>9900000</v>
      </c>
      <c r="Y770">
        <f t="shared" si="264"/>
        <v>0.31515151515151513</v>
      </c>
      <c r="Z770">
        <f t="shared" si="265"/>
        <v>0.75555555555555554</v>
      </c>
      <c r="AA770" t="str">
        <f t="shared" si="266"/>
        <v>Tier 2 - Growth Markets</v>
      </c>
      <c r="AB770" s="3">
        <f t="shared" si="267"/>
        <v>110000</v>
      </c>
      <c r="AC770" s="3">
        <f t="shared" si="268"/>
        <v>1500000</v>
      </c>
      <c r="AD770" s="3">
        <f t="shared" si="269"/>
        <v>450000</v>
      </c>
      <c r="AE770" s="5">
        <f t="shared" si="270"/>
        <v>4.4117647058823533</v>
      </c>
      <c r="AF770" s="10">
        <f t="shared" si="271"/>
        <v>818400</v>
      </c>
      <c r="AG770" s="10">
        <f t="shared" si="272"/>
        <v>264000</v>
      </c>
      <c r="AH770" s="10">
        <f t="shared" si="273"/>
        <v>132000</v>
      </c>
      <c r="AI770" s="10">
        <f t="shared" si="274"/>
        <v>66000</v>
      </c>
      <c r="AJ770" s="10">
        <f t="shared" si="275"/>
        <v>39600</v>
      </c>
    </row>
    <row r="771" spans="1:36" x14ac:dyDescent="0.3">
      <c r="A771" t="s">
        <v>3031</v>
      </c>
      <c r="B771" t="s">
        <v>3032</v>
      </c>
      <c r="C771" t="s">
        <v>3033</v>
      </c>
      <c r="D771" t="s">
        <v>158</v>
      </c>
      <c r="E771">
        <v>12817</v>
      </c>
      <c r="F771" t="s">
        <v>15</v>
      </c>
      <c r="G771">
        <v>6</v>
      </c>
      <c r="H771">
        <v>250</v>
      </c>
      <c r="I771" t="str" cm="1">
        <f t="array" ref="I771">_xlfn.IFS(H771&lt;=120,"V1",H771&lt;=150,"V2",H771&lt;=250,"V3", H771&lt;=350, "V4")</f>
        <v>V3</v>
      </c>
      <c r="J771" t="s">
        <v>3034</v>
      </c>
      <c r="K771" t="str">
        <f t="shared" ref="K771:K834" si="276">TRIM(LEFT(J771, FIND(",", J771) - 1))</f>
        <v>43.665802</v>
      </c>
      <c r="L771" t="str">
        <f t="shared" ref="L771:L834" si="277">TRIM(MID(J771, FIND(",", J771) + 1, LEN(J771)))</f>
        <v>-73.784266</v>
      </c>
      <c r="M771">
        <v>259</v>
      </c>
      <c r="N771" s="1">
        <v>43895</v>
      </c>
      <c r="O771" s="1">
        <v>46099</v>
      </c>
      <c r="P771" s="2">
        <f t="shared" ref="P771:P834" si="278">(O771-N771)/365.25</f>
        <v>6.0342231348391513</v>
      </c>
      <c r="Q771" s="2" t="str">
        <f t="shared" ref="Q771:Q834" si="279">IF(P771&lt;3,"New",IF(P771&lt;=8,"Mid","Old"))</f>
        <v>Mid</v>
      </c>
      <c r="R771">
        <f t="shared" ref="R771:R834" si="280">G771*H771</f>
        <v>1500</v>
      </c>
      <c r="S771" t="str">
        <f t="shared" ref="S771:S834" si="281">IF(G771&lt;=30,"Small",IF(G771&lt;=60,"Medium","Large"))</f>
        <v>Small</v>
      </c>
      <c r="T771" t="str">
        <f t="shared" ref="T771:T834" si="282">IF(OR(D771="CA",D771="FL",D771="WA",D771="CO",D771="TX",D771="NJ"),"High EV Adoption Corridor","Lower EV Adoption Corridor")</f>
        <v>Lower EV Adoption Corridor</v>
      </c>
      <c r="U771" s="3">
        <f t="shared" ref="U771:U834" si="283" xml:space="preserve"> R771 * 1500 *
  IF(I771="V1",1,
     IF(I771="V2",1.1,1.2)) *
  IF(T771="High EV Adoption Corridor",1.3,1)</f>
        <v>2700000</v>
      </c>
      <c r="V771" s="4">
        <f t="shared" ref="V771:V834" si="284" xml:space="preserve"> R771 * 400 *
  IF(I771="V1",0.9,
     IF(I771="V2",1,1.1)) *
  IF(T771="High EV Adoption Corridor",1.2,1)</f>
        <v>660000</v>
      </c>
      <c r="W771" s="3">
        <f t="shared" ref="W771:W834" si="285" xml:space="preserve"> R771 * 5000 *
  IF(I771="V1",0.8,
     IF(I771="V2",1,1.2)) *
  IF(T771="High EV Adoption Corridor",1.1,1)</f>
        <v>9000000</v>
      </c>
      <c r="X771" s="3">
        <f t="shared" ref="X771:X834" si="286" xml:space="preserve"> R771 * 3000 *
  IF(I771="V1",0.9,
     IF(I771="V2",1,1.1)) *
  IF(T771="High EV Adoption Corridor",1.5,1)</f>
        <v>4950000</v>
      </c>
      <c r="Y771">
        <f t="shared" ref="Y771:Y834" si="287" xml:space="preserve"> ((W771/10) + V771) / X771</f>
        <v>0.31515151515151513</v>
      </c>
      <c r="Z771">
        <f t="shared" ref="Z771:Z834" si="288">(U771-V771)/U771</f>
        <v>0.75555555555555554</v>
      </c>
      <c r="AA771" t="str">
        <f t="shared" ref="AA771:AA834" si="289">IF(AND(I771="V3",T771="High EV Adoption Corridor"),
"Tier 1 - Priority Fleet",
IF(AND(I771="V3",T771="Lower EV Adoption Corridor"),
"Tier 2 - Growth Markets",
IF(AND(OR(I771="V1",I771="V2"),T771="High EV Adoption Corridor"),
"Tier 3 - Upgrade Pipeline",
IF(AND(I771="V2",T771="Lower EV Adoption Corridor"),
"Tier 4 - Stable Network",
"Tier 5 - Retirement Pipeline"))))</f>
        <v>Tier 2 - Growth Markets</v>
      </c>
      <c r="AB771" s="3">
        <f t="shared" ref="AB771:AB834" si="290">V771/G771</f>
        <v>110000</v>
      </c>
      <c r="AC771" s="3">
        <f t="shared" ref="AC771:AC834" si="291">W771/G771</f>
        <v>1500000</v>
      </c>
      <c r="AD771" s="3">
        <f t="shared" ref="AD771:AD834" si="292">U771/G771</f>
        <v>450000</v>
      </c>
      <c r="AE771" s="5">
        <f t="shared" ref="AE771:AE834" si="293">W771/(U771-V771)</f>
        <v>4.4117647058823533</v>
      </c>
      <c r="AF771" s="10">
        <f t="shared" ref="AF771:AF834" si="294">V771*0.62</f>
        <v>409200</v>
      </c>
      <c r="AG771" s="10">
        <f t="shared" ref="AG771:AG834" si="295">V771*0.2</f>
        <v>132000</v>
      </c>
      <c r="AH771" s="10">
        <f t="shared" ref="AH771:AH834" si="296">V771*0.1</f>
        <v>66000</v>
      </c>
      <c r="AI771" s="10">
        <f t="shared" ref="AI771:AI834" si="297">V771*0.05</f>
        <v>33000</v>
      </c>
      <c r="AJ771" s="10">
        <f t="shared" ref="AJ771:AJ834" si="298">V771*0.03</f>
        <v>19800</v>
      </c>
    </row>
    <row r="772" spans="1:36" x14ac:dyDescent="0.3">
      <c r="A772" t="s">
        <v>3035</v>
      </c>
      <c r="B772" t="s">
        <v>3036</v>
      </c>
      <c r="C772" t="s">
        <v>757</v>
      </c>
      <c r="D772" t="s">
        <v>546</v>
      </c>
      <c r="E772">
        <v>40241</v>
      </c>
      <c r="F772" t="s">
        <v>15</v>
      </c>
      <c r="G772">
        <v>8</v>
      </c>
      <c r="H772">
        <v>250</v>
      </c>
      <c r="I772" t="str" cm="1">
        <f t="array" ref="I772">_xlfn.IFS(H772&lt;=120,"V1",H772&lt;=150,"V2",H772&lt;=250,"V3", H772&lt;=350, "V4")</f>
        <v>V3</v>
      </c>
      <c r="J772" t="s">
        <v>3037</v>
      </c>
      <c r="K772" t="str">
        <f t="shared" si="276"/>
        <v>38.299</v>
      </c>
      <c r="L772" t="str">
        <f t="shared" si="277"/>
        <v>-85.556056</v>
      </c>
      <c r="M772">
        <v>211</v>
      </c>
      <c r="N772" s="1">
        <v>44013</v>
      </c>
      <c r="O772" s="1">
        <v>46099</v>
      </c>
      <c r="P772" s="2">
        <f t="shared" si="278"/>
        <v>5.7111567419575637</v>
      </c>
      <c r="Q772" s="2" t="str">
        <f t="shared" si="279"/>
        <v>Mid</v>
      </c>
      <c r="R772">
        <f t="shared" si="280"/>
        <v>2000</v>
      </c>
      <c r="S772" t="str">
        <f t="shared" si="281"/>
        <v>Small</v>
      </c>
      <c r="T772" t="str">
        <f t="shared" si="282"/>
        <v>Lower EV Adoption Corridor</v>
      </c>
      <c r="U772" s="3">
        <f t="shared" si="283"/>
        <v>3600000</v>
      </c>
      <c r="V772" s="4">
        <f t="shared" si="284"/>
        <v>880000.00000000012</v>
      </c>
      <c r="W772" s="3">
        <f t="shared" si="285"/>
        <v>12000000</v>
      </c>
      <c r="X772" s="3">
        <f t="shared" si="286"/>
        <v>6600000.0000000009</v>
      </c>
      <c r="Y772">
        <f t="shared" si="287"/>
        <v>0.31515151515151513</v>
      </c>
      <c r="Z772">
        <f t="shared" si="288"/>
        <v>0.75555555555555554</v>
      </c>
      <c r="AA772" t="str">
        <f t="shared" si="289"/>
        <v>Tier 2 - Growth Markets</v>
      </c>
      <c r="AB772" s="3">
        <f t="shared" si="290"/>
        <v>110000.00000000001</v>
      </c>
      <c r="AC772" s="3">
        <f t="shared" si="291"/>
        <v>1500000</v>
      </c>
      <c r="AD772" s="3">
        <f t="shared" si="292"/>
        <v>450000</v>
      </c>
      <c r="AE772" s="5">
        <f t="shared" si="293"/>
        <v>4.4117647058823533</v>
      </c>
      <c r="AF772" s="10">
        <f t="shared" si="294"/>
        <v>545600.00000000012</v>
      </c>
      <c r="AG772" s="10">
        <f t="shared" si="295"/>
        <v>176000.00000000003</v>
      </c>
      <c r="AH772" s="10">
        <f t="shared" si="296"/>
        <v>88000.000000000015</v>
      </c>
      <c r="AI772" s="10">
        <f t="shared" si="297"/>
        <v>44000.000000000007</v>
      </c>
      <c r="AJ772" s="10">
        <f t="shared" si="298"/>
        <v>26400.000000000004</v>
      </c>
    </row>
    <row r="773" spans="1:36" x14ac:dyDescent="0.3">
      <c r="A773" t="s">
        <v>3038</v>
      </c>
      <c r="B773" t="s">
        <v>3039</v>
      </c>
      <c r="C773" t="s">
        <v>3040</v>
      </c>
      <c r="D773" t="s">
        <v>14</v>
      </c>
      <c r="E773">
        <v>93449</v>
      </c>
      <c r="F773" t="s">
        <v>15</v>
      </c>
      <c r="G773">
        <v>12</v>
      </c>
      <c r="H773">
        <v>250</v>
      </c>
      <c r="I773" t="str" cm="1">
        <f t="array" ref="I773">_xlfn.IFS(H773&lt;=120,"V1",H773&lt;=150,"V2",H773&lt;=250,"V3", H773&lt;=350, "V4")</f>
        <v>V3</v>
      </c>
      <c r="J773" t="s">
        <v>3041</v>
      </c>
      <c r="K773" t="str">
        <f t="shared" si="276"/>
        <v>35.136408</v>
      </c>
      <c r="L773" t="str">
        <f t="shared" si="277"/>
        <v>-120.628662</v>
      </c>
      <c r="M773">
        <v>12</v>
      </c>
      <c r="N773" s="1">
        <v>43990</v>
      </c>
      <c r="O773" s="1">
        <v>46099</v>
      </c>
      <c r="P773" s="2">
        <f t="shared" si="278"/>
        <v>5.7741273100616013</v>
      </c>
      <c r="Q773" s="2" t="str">
        <f t="shared" si="279"/>
        <v>Mid</v>
      </c>
      <c r="R773">
        <f t="shared" si="280"/>
        <v>3000</v>
      </c>
      <c r="S773" t="str">
        <f t="shared" si="281"/>
        <v>Small</v>
      </c>
      <c r="T773" t="str">
        <f t="shared" si="282"/>
        <v>High EV Adoption Corridor</v>
      </c>
      <c r="U773" s="3">
        <f t="shared" si="283"/>
        <v>7020000</v>
      </c>
      <c r="V773" s="4">
        <f t="shared" si="284"/>
        <v>1584000</v>
      </c>
      <c r="W773" s="3">
        <f t="shared" si="285"/>
        <v>19800000</v>
      </c>
      <c r="X773" s="3">
        <f t="shared" si="286"/>
        <v>14850000</v>
      </c>
      <c r="Y773">
        <f t="shared" si="287"/>
        <v>0.24</v>
      </c>
      <c r="Z773">
        <f t="shared" si="288"/>
        <v>0.77435897435897438</v>
      </c>
      <c r="AA773" t="str">
        <f t="shared" si="289"/>
        <v>Tier 1 - Priority Fleet</v>
      </c>
      <c r="AB773" s="3">
        <f t="shared" si="290"/>
        <v>132000</v>
      </c>
      <c r="AC773" s="3">
        <f t="shared" si="291"/>
        <v>1650000</v>
      </c>
      <c r="AD773" s="3">
        <f t="shared" si="292"/>
        <v>585000</v>
      </c>
      <c r="AE773" s="5">
        <f t="shared" si="293"/>
        <v>3.6423841059602649</v>
      </c>
      <c r="AF773" s="10">
        <f t="shared" si="294"/>
        <v>982080</v>
      </c>
      <c r="AG773" s="10">
        <f t="shared" si="295"/>
        <v>316800</v>
      </c>
      <c r="AH773" s="10">
        <f t="shared" si="296"/>
        <v>158400</v>
      </c>
      <c r="AI773" s="10">
        <f t="shared" si="297"/>
        <v>79200</v>
      </c>
      <c r="AJ773" s="10">
        <f t="shared" si="298"/>
        <v>47520</v>
      </c>
    </row>
    <row r="774" spans="1:36" x14ac:dyDescent="0.3">
      <c r="A774" t="s">
        <v>3042</v>
      </c>
      <c r="B774" t="s">
        <v>3043</v>
      </c>
      <c r="C774" t="s">
        <v>3044</v>
      </c>
      <c r="D774" t="s">
        <v>41</v>
      </c>
      <c r="E774">
        <v>32725</v>
      </c>
      <c r="F774" t="s">
        <v>15</v>
      </c>
      <c r="G774">
        <v>8</v>
      </c>
      <c r="H774">
        <v>250</v>
      </c>
      <c r="I774" t="str" cm="1">
        <f t="array" ref="I774">_xlfn.IFS(H774&lt;=120,"V1",H774&lt;=150,"V2",H774&lt;=250,"V3", H774&lt;=350, "V4")</f>
        <v>V3</v>
      </c>
      <c r="J774" t="s">
        <v>3045</v>
      </c>
      <c r="K774" t="str">
        <f t="shared" si="276"/>
        <v>28.9498974</v>
      </c>
      <c r="L774" t="str">
        <f t="shared" si="277"/>
        <v>-81.2508045</v>
      </c>
      <c r="M774">
        <v>16</v>
      </c>
      <c r="N774" s="1">
        <v>43946</v>
      </c>
      <c r="O774" s="1">
        <v>46099</v>
      </c>
      <c r="P774" s="2">
        <f t="shared" si="278"/>
        <v>5.8945927446954141</v>
      </c>
      <c r="Q774" s="2" t="str">
        <f t="shared" si="279"/>
        <v>Mid</v>
      </c>
      <c r="R774">
        <f t="shared" si="280"/>
        <v>2000</v>
      </c>
      <c r="S774" t="str">
        <f t="shared" si="281"/>
        <v>Small</v>
      </c>
      <c r="T774" t="str">
        <f t="shared" si="282"/>
        <v>High EV Adoption Corridor</v>
      </c>
      <c r="U774" s="3">
        <f t="shared" si="283"/>
        <v>4680000</v>
      </c>
      <c r="V774" s="4">
        <f t="shared" si="284"/>
        <v>1056000</v>
      </c>
      <c r="W774" s="3">
        <f t="shared" si="285"/>
        <v>13200000.000000002</v>
      </c>
      <c r="X774" s="3">
        <f t="shared" si="286"/>
        <v>9900000.0000000019</v>
      </c>
      <c r="Y774">
        <f t="shared" si="287"/>
        <v>0.23999999999999996</v>
      </c>
      <c r="Z774">
        <f t="shared" si="288"/>
        <v>0.77435897435897438</v>
      </c>
      <c r="AA774" t="str">
        <f t="shared" si="289"/>
        <v>Tier 1 - Priority Fleet</v>
      </c>
      <c r="AB774" s="3">
        <f t="shared" si="290"/>
        <v>132000</v>
      </c>
      <c r="AC774" s="3">
        <f t="shared" si="291"/>
        <v>1650000.0000000002</v>
      </c>
      <c r="AD774" s="3">
        <f t="shared" si="292"/>
        <v>585000</v>
      </c>
      <c r="AE774" s="5">
        <f t="shared" si="293"/>
        <v>3.6423841059602653</v>
      </c>
      <c r="AF774" s="10">
        <f t="shared" si="294"/>
        <v>654720</v>
      </c>
      <c r="AG774" s="10">
        <f t="shared" si="295"/>
        <v>211200</v>
      </c>
      <c r="AH774" s="10">
        <f t="shared" si="296"/>
        <v>105600</v>
      </c>
      <c r="AI774" s="10">
        <f t="shared" si="297"/>
        <v>52800</v>
      </c>
      <c r="AJ774" s="10">
        <f t="shared" si="298"/>
        <v>31680</v>
      </c>
    </row>
    <row r="775" spans="1:36" x14ac:dyDescent="0.3">
      <c r="A775" t="s">
        <v>3046</v>
      </c>
      <c r="B775" t="s">
        <v>3047</v>
      </c>
      <c r="C775" t="s">
        <v>3048</v>
      </c>
      <c r="D775" t="s">
        <v>111</v>
      </c>
      <c r="E775">
        <v>55305</v>
      </c>
      <c r="F775" t="s">
        <v>15</v>
      </c>
      <c r="G775">
        <v>8</v>
      </c>
      <c r="H775">
        <v>250</v>
      </c>
      <c r="I775" t="str" cm="1">
        <f t="array" ref="I775">_xlfn.IFS(H775&lt;=120,"V1",H775&lt;=150,"V2",H775&lt;=250,"V3", H775&lt;=350, "V4")</f>
        <v>V3</v>
      </c>
      <c r="J775" t="s">
        <v>3049</v>
      </c>
      <c r="K775" t="str">
        <f t="shared" si="276"/>
        <v>44.9698145</v>
      </c>
      <c r="L775" t="str">
        <f t="shared" si="277"/>
        <v>-93.4478659</v>
      </c>
      <c r="M775">
        <v>294</v>
      </c>
      <c r="N775" s="1">
        <v>44070</v>
      </c>
      <c r="O775" s="1">
        <v>46099</v>
      </c>
      <c r="P775" s="2">
        <f t="shared" si="278"/>
        <v>5.5550992470910332</v>
      </c>
      <c r="Q775" s="2" t="str">
        <f t="shared" si="279"/>
        <v>Mid</v>
      </c>
      <c r="R775">
        <f t="shared" si="280"/>
        <v>2000</v>
      </c>
      <c r="S775" t="str">
        <f t="shared" si="281"/>
        <v>Small</v>
      </c>
      <c r="T775" t="str">
        <f t="shared" si="282"/>
        <v>Lower EV Adoption Corridor</v>
      </c>
      <c r="U775" s="3">
        <f t="shared" si="283"/>
        <v>3600000</v>
      </c>
      <c r="V775" s="4">
        <f t="shared" si="284"/>
        <v>880000.00000000012</v>
      </c>
      <c r="W775" s="3">
        <f t="shared" si="285"/>
        <v>12000000</v>
      </c>
      <c r="X775" s="3">
        <f t="shared" si="286"/>
        <v>6600000.0000000009</v>
      </c>
      <c r="Y775">
        <f t="shared" si="287"/>
        <v>0.31515151515151513</v>
      </c>
      <c r="Z775">
        <f t="shared" si="288"/>
        <v>0.75555555555555554</v>
      </c>
      <c r="AA775" t="str">
        <f t="shared" si="289"/>
        <v>Tier 2 - Growth Markets</v>
      </c>
      <c r="AB775" s="3">
        <f t="shared" si="290"/>
        <v>110000.00000000001</v>
      </c>
      <c r="AC775" s="3">
        <f t="shared" si="291"/>
        <v>1500000</v>
      </c>
      <c r="AD775" s="3">
        <f t="shared" si="292"/>
        <v>450000</v>
      </c>
      <c r="AE775" s="5">
        <f t="shared" si="293"/>
        <v>4.4117647058823533</v>
      </c>
      <c r="AF775" s="10">
        <f t="shared" si="294"/>
        <v>545600.00000000012</v>
      </c>
      <c r="AG775" s="10">
        <f t="shared" si="295"/>
        <v>176000.00000000003</v>
      </c>
      <c r="AH775" s="10">
        <f t="shared" si="296"/>
        <v>88000.000000000015</v>
      </c>
      <c r="AI775" s="10">
        <f t="shared" si="297"/>
        <v>44000.000000000007</v>
      </c>
      <c r="AJ775" s="10">
        <f t="shared" si="298"/>
        <v>26400.000000000004</v>
      </c>
    </row>
    <row r="776" spans="1:36" x14ac:dyDescent="0.3">
      <c r="A776" t="s">
        <v>3050</v>
      </c>
      <c r="B776" t="s">
        <v>3051</v>
      </c>
      <c r="C776" t="s">
        <v>3052</v>
      </c>
      <c r="D776" t="s">
        <v>913</v>
      </c>
      <c r="E776">
        <v>21224</v>
      </c>
      <c r="F776" t="s">
        <v>15</v>
      </c>
      <c r="G776">
        <v>12</v>
      </c>
      <c r="H776">
        <v>250</v>
      </c>
      <c r="I776" t="str" cm="1">
        <f t="array" ref="I776">_xlfn.IFS(H776&lt;=120,"V1",H776&lt;=150,"V2",H776&lt;=250,"V3", H776&lt;=350, "V4")</f>
        <v>V3</v>
      </c>
      <c r="J776" t="s">
        <v>3053</v>
      </c>
      <c r="K776" t="str">
        <f t="shared" si="276"/>
        <v>39.274972</v>
      </c>
      <c r="L776" t="str">
        <f t="shared" si="277"/>
        <v>-76.563528</v>
      </c>
      <c r="M776">
        <v>9</v>
      </c>
      <c r="N776" s="1">
        <v>44117</v>
      </c>
      <c r="O776" s="1">
        <v>46099</v>
      </c>
      <c r="P776" s="2">
        <f t="shared" si="278"/>
        <v>5.4264202600958251</v>
      </c>
      <c r="Q776" s="2" t="str">
        <f t="shared" si="279"/>
        <v>Mid</v>
      </c>
      <c r="R776">
        <f t="shared" si="280"/>
        <v>3000</v>
      </c>
      <c r="S776" t="str">
        <f t="shared" si="281"/>
        <v>Small</v>
      </c>
      <c r="T776" t="str">
        <f t="shared" si="282"/>
        <v>Lower EV Adoption Corridor</v>
      </c>
      <c r="U776" s="3">
        <f t="shared" si="283"/>
        <v>5400000</v>
      </c>
      <c r="V776" s="4">
        <f t="shared" si="284"/>
        <v>1320000</v>
      </c>
      <c r="W776" s="3">
        <f t="shared" si="285"/>
        <v>18000000</v>
      </c>
      <c r="X776" s="3">
        <f t="shared" si="286"/>
        <v>9900000</v>
      </c>
      <c r="Y776">
        <f t="shared" si="287"/>
        <v>0.31515151515151513</v>
      </c>
      <c r="Z776">
        <f t="shared" si="288"/>
        <v>0.75555555555555554</v>
      </c>
      <c r="AA776" t="str">
        <f t="shared" si="289"/>
        <v>Tier 2 - Growth Markets</v>
      </c>
      <c r="AB776" s="3">
        <f t="shared" si="290"/>
        <v>110000</v>
      </c>
      <c r="AC776" s="3">
        <f t="shared" si="291"/>
        <v>1500000</v>
      </c>
      <c r="AD776" s="3">
        <f t="shared" si="292"/>
        <v>450000</v>
      </c>
      <c r="AE776" s="5">
        <f t="shared" si="293"/>
        <v>4.4117647058823533</v>
      </c>
      <c r="AF776" s="10">
        <f t="shared" si="294"/>
        <v>818400</v>
      </c>
      <c r="AG776" s="10">
        <f t="shared" si="295"/>
        <v>264000</v>
      </c>
      <c r="AH776" s="10">
        <f t="shared" si="296"/>
        <v>132000</v>
      </c>
      <c r="AI776" s="10">
        <f t="shared" si="297"/>
        <v>66000</v>
      </c>
      <c r="AJ776" s="10">
        <f t="shared" si="298"/>
        <v>39600</v>
      </c>
    </row>
    <row r="777" spans="1:36" x14ac:dyDescent="0.3">
      <c r="A777" t="s">
        <v>3054</v>
      </c>
      <c r="B777" t="s">
        <v>3055</v>
      </c>
      <c r="C777" t="s">
        <v>3056</v>
      </c>
      <c r="D777" t="s">
        <v>281</v>
      </c>
      <c r="E777">
        <v>59730</v>
      </c>
      <c r="F777" t="s">
        <v>15</v>
      </c>
      <c r="G777">
        <v>8</v>
      </c>
      <c r="H777">
        <v>150</v>
      </c>
      <c r="I777" t="str" cm="1">
        <f t="array" ref="I777">_xlfn.IFS(H777&lt;=120,"V1",H777&lt;=150,"V2",H777&lt;=250,"V3", H777&lt;=350, "V4")</f>
        <v>V2</v>
      </c>
      <c r="J777" t="s">
        <v>3057</v>
      </c>
      <c r="K777" t="str">
        <f t="shared" si="276"/>
        <v>45.2606761</v>
      </c>
      <c r="L777" t="str">
        <f t="shared" si="277"/>
        <v>-111.3062058</v>
      </c>
      <c r="M777">
        <v>1920</v>
      </c>
      <c r="N777" s="1">
        <v>44014</v>
      </c>
      <c r="O777" s="1">
        <v>46099</v>
      </c>
      <c r="P777" s="2">
        <f t="shared" si="278"/>
        <v>5.7084188911704308</v>
      </c>
      <c r="Q777" s="2" t="str">
        <f t="shared" si="279"/>
        <v>Mid</v>
      </c>
      <c r="R777">
        <f t="shared" si="280"/>
        <v>1200</v>
      </c>
      <c r="S777" t="str">
        <f t="shared" si="281"/>
        <v>Small</v>
      </c>
      <c r="T777" t="str">
        <f t="shared" si="282"/>
        <v>Lower EV Adoption Corridor</v>
      </c>
      <c r="U777" s="3">
        <f t="shared" si="283"/>
        <v>1980000.0000000002</v>
      </c>
      <c r="V777" s="4">
        <f t="shared" si="284"/>
        <v>480000</v>
      </c>
      <c r="W777" s="3">
        <f t="shared" si="285"/>
        <v>6000000</v>
      </c>
      <c r="X777" s="3">
        <f t="shared" si="286"/>
        <v>3600000</v>
      </c>
      <c r="Y777">
        <f t="shared" si="287"/>
        <v>0.3</v>
      </c>
      <c r="Z777">
        <f t="shared" si="288"/>
        <v>0.75757575757575757</v>
      </c>
      <c r="AA777" t="str">
        <f t="shared" si="289"/>
        <v>Tier 4 - Stable Network</v>
      </c>
      <c r="AB777" s="3">
        <f t="shared" si="290"/>
        <v>60000</v>
      </c>
      <c r="AC777" s="3">
        <f t="shared" si="291"/>
        <v>750000</v>
      </c>
      <c r="AD777" s="3">
        <f t="shared" si="292"/>
        <v>247500.00000000003</v>
      </c>
      <c r="AE777" s="5">
        <f t="shared" si="293"/>
        <v>3.9999999999999996</v>
      </c>
      <c r="AF777" s="10">
        <f t="shared" si="294"/>
        <v>297600</v>
      </c>
      <c r="AG777" s="10">
        <f t="shared" si="295"/>
        <v>96000</v>
      </c>
      <c r="AH777" s="10">
        <f t="shared" si="296"/>
        <v>48000</v>
      </c>
      <c r="AI777" s="10">
        <f t="shared" si="297"/>
        <v>24000</v>
      </c>
      <c r="AJ777" s="10">
        <f t="shared" si="298"/>
        <v>14400</v>
      </c>
    </row>
    <row r="778" spans="1:36" x14ac:dyDescent="0.3">
      <c r="A778" t="s">
        <v>3058</v>
      </c>
      <c r="B778" t="s">
        <v>3059</v>
      </c>
      <c r="C778" t="s">
        <v>3060</v>
      </c>
      <c r="D778" t="s">
        <v>41</v>
      </c>
      <c r="E778">
        <v>33139</v>
      </c>
      <c r="F778" t="s">
        <v>15</v>
      </c>
      <c r="G778">
        <v>10</v>
      </c>
      <c r="H778">
        <v>72</v>
      </c>
      <c r="I778" t="str" cm="1">
        <f t="array" ref="I778">_xlfn.IFS(H778&lt;=120,"V1",H778&lt;=150,"V2",H778&lt;=250,"V3", H778&lt;=350, "V4")</f>
        <v>V1</v>
      </c>
      <c r="J778" t="s">
        <v>3061</v>
      </c>
      <c r="K778" t="str">
        <f t="shared" si="276"/>
        <v>25.79169</v>
      </c>
      <c r="L778" t="str">
        <f t="shared" si="277"/>
        <v>-80.134014</v>
      </c>
      <c r="M778">
        <v>1</v>
      </c>
      <c r="N778" s="1">
        <v>44654</v>
      </c>
      <c r="O778" s="1">
        <v>46099</v>
      </c>
      <c r="P778" s="2">
        <f t="shared" si="278"/>
        <v>3.9561943874058865</v>
      </c>
      <c r="Q778" s="2" t="str">
        <f t="shared" si="279"/>
        <v>Mid</v>
      </c>
      <c r="R778">
        <f t="shared" si="280"/>
        <v>720</v>
      </c>
      <c r="S778" t="str">
        <f t="shared" si="281"/>
        <v>Small</v>
      </c>
      <c r="T778" t="str">
        <f t="shared" si="282"/>
        <v>High EV Adoption Corridor</v>
      </c>
      <c r="U778" s="3">
        <f t="shared" si="283"/>
        <v>1404000</v>
      </c>
      <c r="V778" s="4">
        <f t="shared" si="284"/>
        <v>311040</v>
      </c>
      <c r="W778" s="3">
        <f t="shared" si="285"/>
        <v>3168000.0000000005</v>
      </c>
      <c r="X778" s="3">
        <f t="shared" si="286"/>
        <v>2916000</v>
      </c>
      <c r="Y778">
        <f t="shared" si="287"/>
        <v>0.21530864197530863</v>
      </c>
      <c r="Z778">
        <f t="shared" si="288"/>
        <v>0.77846153846153843</v>
      </c>
      <c r="AA778" t="str">
        <f t="shared" si="289"/>
        <v>Tier 3 - Upgrade Pipeline</v>
      </c>
      <c r="AB778" s="3">
        <f t="shared" si="290"/>
        <v>31104</v>
      </c>
      <c r="AC778" s="3">
        <f t="shared" si="291"/>
        <v>316800.00000000006</v>
      </c>
      <c r="AD778" s="3">
        <f t="shared" si="292"/>
        <v>140400</v>
      </c>
      <c r="AE778" s="5">
        <f t="shared" si="293"/>
        <v>2.8985507246376816</v>
      </c>
      <c r="AF778" s="10">
        <f t="shared" si="294"/>
        <v>192844.79999999999</v>
      </c>
      <c r="AG778" s="10">
        <f t="shared" si="295"/>
        <v>62208</v>
      </c>
      <c r="AH778" s="10">
        <f t="shared" si="296"/>
        <v>31104</v>
      </c>
      <c r="AI778" s="10">
        <f t="shared" si="297"/>
        <v>15552</v>
      </c>
      <c r="AJ778" s="10">
        <f t="shared" si="298"/>
        <v>9331.1999999999989</v>
      </c>
    </row>
    <row r="779" spans="1:36" x14ac:dyDescent="0.3">
      <c r="A779" t="s">
        <v>3062</v>
      </c>
      <c r="B779" t="s">
        <v>3063</v>
      </c>
      <c r="C779" t="s">
        <v>3064</v>
      </c>
      <c r="D779" t="s">
        <v>14</v>
      </c>
      <c r="E779">
        <v>90254</v>
      </c>
      <c r="F779" t="s">
        <v>15</v>
      </c>
      <c r="G779">
        <v>20</v>
      </c>
      <c r="H779">
        <v>250</v>
      </c>
      <c r="I779" t="str" cm="1">
        <f t="array" ref="I779">_xlfn.IFS(H779&lt;=120,"V1",H779&lt;=150,"V2",H779&lt;=250,"V3", H779&lt;=350, "V4")</f>
        <v>V3</v>
      </c>
      <c r="J779" t="s">
        <v>3065</v>
      </c>
      <c r="K779" t="str">
        <f t="shared" si="276"/>
        <v>33.864955</v>
      </c>
      <c r="L779" t="str">
        <f t="shared" si="277"/>
        <v>-118.394819</v>
      </c>
      <c r="M779">
        <v>25</v>
      </c>
      <c r="N779" s="1">
        <v>43992</v>
      </c>
      <c r="O779" s="1">
        <v>46099</v>
      </c>
      <c r="P779" s="2">
        <f t="shared" si="278"/>
        <v>5.7686516084873372</v>
      </c>
      <c r="Q779" s="2" t="str">
        <f t="shared" si="279"/>
        <v>Mid</v>
      </c>
      <c r="R779">
        <f t="shared" si="280"/>
        <v>5000</v>
      </c>
      <c r="S779" t="str">
        <f t="shared" si="281"/>
        <v>Small</v>
      </c>
      <c r="T779" t="str">
        <f t="shared" si="282"/>
        <v>High EV Adoption Corridor</v>
      </c>
      <c r="U779" s="3">
        <f t="shared" si="283"/>
        <v>11700000</v>
      </c>
      <c r="V779" s="4">
        <f t="shared" si="284"/>
        <v>2640000</v>
      </c>
      <c r="W779" s="3">
        <f t="shared" si="285"/>
        <v>33000000.000000004</v>
      </c>
      <c r="X779" s="3">
        <f t="shared" si="286"/>
        <v>24750000.000000004</v>
      </c>
      <c r="Y779">
        <f t="shared" si="287"/>
        <v>0.23999999999999996</v>
      </c>
      <c r="Z779">
        <f t="shared" si="288"/>
        <v>0.77435897435897438</v>
      </c>
      <c r="AA779" t="str">
        <f t="shared" si="289"/>
        <v>Tier 1 - Priority Fleet</v>
      </c>
      <c r="AB779" s="3">
        <f t="shared" si="290"/>
        <v>132000</v>
      </c>
      <c r="AC779" s="3">
        <f t="shared" si="291"/>
        <v>1650000.0000000002</v>
      </c>
      <c r="AD779" s="3">
        <f t="shared" si="292"/>
        <v>585000</v>
      </c>
      <c r="AE779" s="5">
        <f t="shared" si="293"/>
        <v>3.6423841059602653</v>
      </c>
      <c r="AF779" s="10">
        <f t="shared" si="294"/>
        <v>1636800</v>
      </c>
      <c r="AG779" s="10">
        <f t="shared" si="295"/>
        <v>528000</v>
      </c>
      <c r="AH779" s="10">
        <f t="shared" si="296"/>
        <v>264000</v>
      </c>
      <c r="AI779" s="10">
        <f t="shared" si="297"/>
        <v>132000</v>
      </c>
      <c r="AJ779" s="10">
        <f t="shared" si="298"/>
        <v>79200</v>
      </c>
    </row>
    <row r="780" spans="1:36" x14ac:dyDescent="0.3">
      <c r="A780" t="s">
        <v>3066</v>
      </c>
      <c r="B780" t="s">
        <v>3067</v>
      </c>
      <c r="C780" t="s">
        <v>3068</v>
      </c>
      <c r="D780" t="s">
        <v>158</v>
      </c>
      <c r="E780">
        <v>12946</v>
      </c>
      <c r="F780" t="s">
        <v>15</v>
      </c>
      <c r="G780">
        <v>8</v>
      </c>
      <c r="H780">
        <v>250</v>
      </c>
      <c r="I780" t="str" cm="1">
        <f t="array" ref="I780">_xlfn.IFS(H780&lt;=120,"V1",H780&lt;=150,"V2",H780&lt;=250,"V3", H780&lt;=350, "V4")</f>
        <v>V3</v>
      </c>
      <c r="J780" t="s">
        <v>3069</v>
      </c>
      <c r="K780" t="str">
        <f t="shared" si="276"/>
        <v>44.294797</v>
      </c>
      <c r="L780" t="str">
        <f t="shared" si="277"/>
        <v>-74.010526</v>
      </c>
      <c r="M780">
        <v>592</v>
      </c>
      <c r="N780" s="1">
        <v>44020</v>
      </c>
      <c r="O780" s="1">
        <v>46099</v>
      </c>
      <c r="P780" s="2">
        <f t="shared" si="278"/>
        <v>5.6919917864476384</v>
      </c>
      <c r="Q780" s="2" t="str">
        <f t="shared" si="279"/>
        <v>Mid</v>
      </c>
      <c r="R780">
        <f t="shared" si="280"/>
        <v>2000</v>
      </c>
      <c r="S780" t="str">
        <f t="shared" si="281"/>
        <v>Small</v>
      </c>
      <c r="T780" t="str">
        <f t="shared" si="282"/>
        <v>Lower EV Adoption Corridor</v>
      </c>
      <c r="U780" s="3">
        <f t="shared" si="283"/>
        <v>3600000</v>
      </c>
      <c r="V780" s="4">
        <f t="shared" si="284"/>
        <v>880000.00000000012</v>
      </c>
      <c r="W780" s="3">
        <f t="shared" si="285"/>
        <v>12000000</v>
      </c>
      <c r="X780" s="3">
        <f t="shared" si="286"/>
        <v>6600000.0000000009</v>
      </c>
      <c r="Y780">
        <f t="shared" si="287"/>
        <v>0.31515151515151513</v>
      </c>
      <c r="Z780">
        <f t="shared" si="288"/>
        <v>0.75555555555555554</v>
      </c>
      <c r="AA780" t="str">
        <f t="shared" si="289"/>
        <v>Tier 2 - Growth Markets</v>
      </c>
      <c r="AB780" s="3">
        <f t="shared" si="290"/>
        <v>110000.00000000001</v>
      </c>
      <c r="AC780" s="3">
        <f t="shared" si="291"/>
        <v>1500000</v>
      </c>
      <c r="AD780" s="3">
        <f t="shared" si="292"/>
        <v>450000</v>
      </c>
      <c r="AE780" s="5">
        <f t="shared" si="293"/>
        <v>4.4117647058823533</v>
      </c>
      <c r="AF780" s="10">
        <f t="shared" si="294"/>
        <v>545600.00000000012</v>
      </c>
      <c r="AG780" s="10">
        <f t="shared" si="295"/>
        <v>176000.00000000003</v>
      </c>
      <c r="AH780" s="10">
        <f t="shared" si="296"/>
        <v>88000.000000000015</v>
      </c>
      <c r="AI780" s="10">
        <f t="shared" si="297"/>
        <v>44000.000000000007</v>
      </c>
      <c r="AJ780" s="10">
        <f t="shared" si="298"/>
        <v>26400.000000000004</v>
      </c>
    </row>
    <row r="781" spans="1:36" x14ac:dyDescent="0.3">
      <c r="A781" t="s">
        <v>3070</v>
      </c>
      <c r="B781" t="s">
        <v>3071</v>
      </c>
      <c r="C781" t="s">
        <v>3072</v>
      </c>
      <c r="D781" t="s">
        <v>125</v>
      </c>
      <c r="E781">
        <v>29927</v>
      </c>
      <c r="F781" t="s">
        <v>15</v>
      </c>
      <c r="G781">
        <v>8</v>
      </c>
      <c r="H781">
        <v>250</v>
      </c>
      <c r="I781" t="str" cm="1">
        <f t="array" ref="I781">_xlfn.IFS(H781&lt;=120,"V1",H781&lt;=150,"V2",H781&lt;=250,"V3", H781&lt;=350, "V4")</f>
        <v>V3</v>
      </c>
      <c r="J781" t="s">
        <v>3073</v>
      </c>
      <c r="K781" t="str">
        <f t="shared" si="276"/>
        <v>32.27012485</v>
      </c>
      <c r="L781" t="str">
        <f t="shared" si="277"/>
        <v>-81.08084499</v>
      </c>
      <c r="M781">
        <v>8</v>
      </c>
      <c r="N781" s="1">
        <v>43995</v>
      </c>
      <c r="O781" s="1">
        <v>46099</v>
      </c>
      <c r="P781" s="2">
        <f t="shared" si="278"/>
        <v>5.760438056125941</v>
      </c>
      <c r="Q781" s="2" t="str">
        <f t="shared" si="279"/>
        <v>Mid</v>
      </c>
      <c r="R781">
        <f t="shared" si="280"/>
        <v>2000</v>
      </c>
      <c r="S781" t="str">
        <f t="shared" si="281"/>
        <v>Small</v>
      </c>
      <c r="T781" t="str">
        <f t="shared" si="282"/>
        <v>Lower EV Adoption Corridor</v>
      </c>
      <c r="U781" s="3">
        <f t="shared" si="283"/>
        <v>3600000</v>
      </c>
      <c r="V781" s="4">
        <f t="shared" si="284"/>
        <v>880000.00000000012</v>
      </c>
      <c r="W781" s="3">
        <f t="shared" si="285"/>
        <v>12000000</v>
      </c>
      <c r="X781" s="3">
        <f t="shared" si="286"/>
        <v>6600000.0000000009</v>
      </c>
      <c r="Y781">
        <f t="shared" si="287"/>
        <v>0.31515151515151513</v>
      </c>
      <c r="Z781">
        <f t="shared" si="288"/>
        <v>0.75555555555555554</v>
      </c>
      <c r="AA781" t="str">
        <f t="shared" si="289"/>
        <v>Tier 2 - Growth Markets</v>
      </c>
      <c r="AB781" s="3">
        <f t="shared" si="290"/>
        <v>110000.00000000001</v>
      </c>
      <c r="AC781" s="3">
        <f t="shared" si="291"/>
        <v>1500000</v>
      </c>
      <c r="AD781" s="3">
        <f t="shared" si="292"/>
        <v>450000</v>
      </c>
      <c r="AE781" s="5">
        <f t="shared" si="293"/>
        <v>4.4117647058823533</v>
      </c>
      <c r="AF781" s="10">
        <f t="shared" si="294"/>
        <v>545600.00000000012</v>
      </c>
      <c r="AG781" s="10">
        <f t="shared" si="295"/>
        <v>176000.00000000003</v>
      </c>
      <c r="AH781" s="10">
        <f t="shared" si="296"/>
        <v>88000.000000000015</v>
      </c>
      <c r="AI781" s="10">
        <f t="shared" si="297"/>
        <v>44000.000000000007</v>
      </c>
      <c r="AJ781" s="10">
        <f t="shared" si="298"/>
        <v>26400.000000000004</v>
      </c>
    </row>
    <row r="782" spans="1:36" x14ac:dyDescent="0.3">
      <c r="A782" t="s">
        <v>3074</v>
      </c>
      <c r="B782" t="s">
        <v>3075</v>
      </c>
      <c r="C782" t="s">
        <v>3076</v>
      </c>
      <c r="D782" t="s">
        <v>41</v>
      </c>
      <c r="E782">
        <v>33928</v>
      </c>
      <c r="F782" t="s">
        <v>15</v>
      </c>
      <c r="G782">
        <v>16</v>
      </c>
      <c r="H782">
        <v>250</v>
      </c>
      <c r="I782" t="str" cm="1">
        <f t="array" ref="I782">_xlfn.IFS(H782&lt;=120,"V1",H782&lt;=150,"V2",H782&lt;=250,"V3", H782&lt;=350, "V4")</f>
        <v>V3</v>
      </c>
      <c r="J782" t="s">
        <v>3077</v>
      </c>
      <c r="K782" t="str">
        <f t="shared" si="276"/>
        <v>26.43604</v>
      </c>
      <c r="L782" t="str">
        <f t="shared" si="277"/>
        <v>-81.773048</v>
      </c>
      <c r="M782">
        <v>6</v>
      </c>
      <c r="N782" s="1">
        <v>44657</v>
      </c>
      <c r="O782" s="1">
        <v>46099</v>
      </c>
      <c r="P782" s="2">
        <f t="shared" si="278"/>
        <v>3.9479808350444903</v>
      </c>
      <c r="Q782" s="2" t="str">
        <f t="shared" si="279"/>
        <v>Mid</v>
      </c>
      <c r="R782">
        <f t="shared" si="280"/>
        <v>4000</v>
      </c>
      <c r="S782" t="str">
        <f t="shared" si="281"/>
        <v>Small</v>
      </c>
      <c r="T782" t="str">
        <f t="shared" si="282"/>
        <v>High EV Adoption Corridor</v>
      </c>
      <c r="U782" s="3">
        <f t="shared" si="283"/>
        <v>9360000</v>
      </c>
      <c r="V782" s="4">
        <f t="shared" si="284"/>
        <v>2112000</v>
      </c>
      <c r="W782" s="3">
        <f t="shared" si="285"/>
        <v>26400000.000000004</v>
      </c>
      <c r="X782" s="3">
        <f t="shared" si="286"/>
        <v>19800000.000000004</v>
      </c>
      <c r="Y782">
        <f t="shared" si="287"/>
        <v>0.23999999999999996</v>
      </c>
      <c r="Z782">
        <f t="shared" si="288"/>
        <v>0.77435897435897438</v>
      </c>
      <c r="AA782" t="str">
        <f t="shared" si="289"/>
        <v>Tier 1 - Priority Fleet</v>
      </c>
      <c r="AB782" s="3">
        <f t="shared" si="290"/>
        <v>132000</v>
      </c>
      <c r="AC782" s="3">
        <f t="shared" si="291"/>
        <v>1650000.0000000002</v>
      </c>
      <c r="AD782" s="3">
        <f t="shared" si="292"/>
        <v>585000</v>
      </c>
      <c r="AE782" s="5">
        <f t="shared" si="293"/>
        <v>3.6423841059602653</v>
      </c>
      <c r="AF782" s="10">
        <f t="shared" si="294"/>
        <v>1309440</v>
      </c>
      <c r="AG782" s="10">
        <f t="shared" si="295"/>
        <v>422400</v>
      </c>
      <c r="AH782" s="10">
        <f t="shared" si="296"/>
        <v>211200</v>
      </c>
      <c r="AI782" s="10">
        <f t="shared" si="297"/>
        <v>105600</v>
      </c>
      <c r="AJ782" s="10">
        <f t="shared" si="298"/>
        <v>63360</v>
      </c>
    </row>
    <row r="783" spans="1:36" x14ac:dyDescent="0.3">
      <c r="A783" t="s">
        <v>3078</v>
      </c>
      <c r="B783" t="s">
        <v>3079</v>
      </c>
      <c r="C783" t="s">
        <v>3080</v>
      </c>
      <c r="D783" t="s">
        <v>158</v>
      </c>
      <c r="E783">
        <v>13165</v>
      </c>
      <c r="F783" t="s">
        <v>15</v>
      </c>
      <c r="G783">
        <v>8</v>
      </c>
      <c r="H783">
        <v>150</v>
      </c>
      <c r="I783" t="str" cm="1">
        <f t="array" ref="I783">_xlfn.IFS(H783&lt;=120,"V1",H783&lt;=150,"V2",H783&lt;=250,"V3", H783&lt;=350, "V4")</f>
        <v>V2</v>
      </c>
      <c r="J783" t="s">
        <v>3081</v>
      </c>
      <c r="K783" t="str">
        <f t="shared" si="276"/>
        <v>42.970012</v>
      </c>
      <c r="L783" t="str">
        <f t="shared" si="277"/>
        <v>-76.846134</v>
      </c>
      <c r="M783">
        <v>156</v>
      </c>
      <c r="N783" s="1">
        <v>42806</v>
      </c>
      <c r="O783" s="1">
        <v>46099</v>
      </c>
      <c r="P783" s="2">
        <f t="shared" si="278"/>
        <v>9.0157426420260087</v>
      </c>
      <c r="Q783" s="2" t="str">
        <f t="shared" si="279"/>
        <v>Old</v>
      </c>
      <c r="R783">
        <f t="shared" si="280"/>
        <v>1200</v>
      </c>
      <c r="S783" t="str">
        <f t="shared" si="281"/>
        <v>Small</v>
      </c>
      <c r="T783" t="str">
        <f t="shared" si="282"/>
        <v>Lower EV Adoption Corridor</v>
      </c>
      <c r="U783" s="3">
        <f t="shared" si="283"/>
        <v>1980000.0000000002</v>
      </c>
      <c r="V783" s="4">
        <f t="shared" si="284"/>
        <v>480000</v>
      </c>
      <c r="W783" s="3">
        <f t="shared" si="285"/>
        <v>6000000</v>
      </c>
      <c r="X783" s="3">
        <f t="shared" si="286"/>
        <v>3600000</v>
      </c>
      <c r="Y783">
        <f t="shared" si="287"/>
        <v>0.3</v>
      </c>
      <c r="Z783">
        <f t="shared" si="288"/>
        <v>0.75757575757575757</v>
      </c>
      <c r="AA783" t="str">
        <f t="shared" si="289"/>
        <v>Tier 4 - Stable Network</v>
      </c>
      <c r="AB783" s="3">
        <f t="shared" si="290"/>
        <v>60000</v>
      </c>
      <c r="AC783" s="3">
        <f t="shared" si="291"/>
        <v>750000</v>
      </c>
      <c r="AD783" s="3">
        <f t="shared" si="292"/>
        <v>247500.00000000003</v>
      </c>
      <c r="AE783" s="5">
        <f t="shared" si="293"/>
        <v>3.9999999999999996</v>
      </c>
      <c r="AF783" s="10">
        <f t="shared" si="294"/>
        <v>297600</v>
      </c>
      <c r="AG783" s="10">
        <f t="shared" si="295"/>
        <v>96000</v>
      </c>
      <c r="AH783" s="10">
        <f t="shared" si="296"/>
        <v>48000</v>
      </c>
      <c r="AI783" s="10">
        <f t="shared" si="297"/>
        <v>24000</v>
      </c>
      <c r="AJ783" s="10">
        <f t="shared" si="298"/>
        <v>14400</v>
      </c>
    </row>
    <row r="784" spans="1:36" x14ac:dyDescent="0.3">
      <c r="A784" t="s">
        <v>3082</v>
      </c>
      <c r="B784" t="s">
        <v>3083</v>
      </c>
      <c r="C784" t="s">
        <v>3060</v>
      </c>
      <c r="D784" t="s">
        <v>41</v>
      </c>
      <c r="E784">
        <v>33139</v>
      </c>
      <c r="F784" t="s">
        <v>15</v>
      </c>
      <c r="G784">
        <v>18</v>
      </c>
      <c r="H784">
        <v>72</v>
      </c>
      <c r="I784" t="str" cm="1">
        <f t="array" ref="I784">_xlfn.IFS(H784&lt;=120,"V1",H784&lt;=150,"V2",H784&lt;=250,"V3", H784&lt;=350, "V4")</f>
        <v>V1</v>
      </c>
      <c r="J784" t="s">
        <v>3084</v>
      </c>
      <c r="K784" t="str">
        <f t="shared" si="276"/>
        <v>25.780227</v>
      </c>
      <c r="L784" t="str">
        <f t="shared" si="277"/>
        <v>-80.141787</v>
      </c>
      <c r="M784">
        <v>1</v>
      </c>
      <c r="N784" s="1">
        <v>44379</v>
      </c>
      <c r="O784" s="1">
        <v>46099</v>
      </c>
      <c r="P784" s="2">
        <f t="shared" si="278"/>
        <v>4.7091033538672145</v>
      </c>
      <c r="Q784" s="2" t="str">
        <f t="shared" si="279"/>
        <v>Mid</v>
      </c>
      <c r="R784">
        <f t="shared" si="280"/>
        <v>1296</v>
      </c>
      <c r="S784" t="str">
        <f t="shared" si="281"/>
        <v>Small</v>
      </c>
      <c r="T784" t="str">
        <f t="shared" si="282"/>
        <v>High EV Adoption Corridor</v>
      </c>
      <c r="U784" s="3">
        <f t="shared" si="283"/>
        <v>2527200</v>
      </c>
      <c r="V784" s="4">
        <f t="shared" si="284"/>
        <v>559872</v>
      </c>
      <c r="W784" s="3">
        <f t="shared" si="285"/>
        <v>5702400</v>
      </c>
      <c r="X784" s="3">
        <f t="shared" si="286"/>
        <v>5248800</v>
      </c>
      <c r="Y784">
        <f t="shared" si="287"/>
        <v>0.21530864197530863</v>
      </c>
      <c r="Z784">
        <f t="shared" si="288"/>
        <v>0.77846153846153843</v>
      </c>
      <c r="AA784" t="str">
        <f t="shared" si="289"/>
        <v>Tier 3 - Upgrade Pipeline</v>
      </c>
      <c r="AB784" s="3">
        <f t="shared" si="290"/>
        <v>31104</v>
      </c>
      <c r="AC784" s="3">
        <f t="shared" si="291"/>
        <v>316800</v>
      </c>
      <c r="AD784" s="3">
        <f t="shared" si="292"/>
        <v>140400</v>
      </c>
      <c r="AE784" s="5">
        <f t="shared" si="293"/>
        <v>2.8985507246376812</v>
      </c>
      <c r="AF784" s="10">
        <f t="shared" si="294"/>
        <v>347120.64000000001</v>
      </c>
      <c r="AG784" s="10">
        <f t="shared" si="295"/>
        <v>111974.40000000001</v>
      </c>
      <c r="AH784" s="10">
        <f t="shared" si="296"/>
        <v>55987.200000000004</v>
      </c>
      <c r="AI784" s="10">
        <f t="shared" si="297"/>
        <v>27993.600000000002</v>
      </c>
      <c r="AJ784" s="10">
        <f t="shared" si="298"/>
        <v>16796.16</v>
      </c>
    </row>
    <row r="785" spans="1:36" x14ac:dyDescent="0.3">
      <c r="A785" t="s">
        <v>3085</v>
      </c>
      <c r="B785" t="s">
        <v>3086</v>
      </c>
      <c r="C785" t="s">
        <v>3087</v>
      </c>
      <c r="D785" t="s">
        <v>59</v>
      </c>
      <c r="E785">
        <v>60035</v>
      </c>
      <c r="F785" t="s">
        <v>15</v>
      </c>
      <c r="G785">
        <v>12</v>
      </c>
      <c r="H785">
        <v>250</v>
      </c>
      <c r="I785" t="str" cm="1">
        <f t="array" ref="I785">_xlfn.IFS(H785&lt;=120,"V1",H785&lt;=150,"V2",H785&lt;=250,"V3", H785&lt;=350, "V4")</f>
        <v>V3</v>
      </c>
      <c r="J785" t="s">
        <v>3088</v>
      </c>
      <c r="K785" t="str">
        <f t="shared" si="276"/>
        <v>42.191936</v>
      </c>
      <c r="L785" t="str">
        <f t="shared" si="277"/>
        <v>-87.826741</v>
      </c>
      <c r="M785">
        <v>195</v>
      </c>
      <c r="N785" s="1">
        <v>44440</v>
      </c>
      <c r="O785" s="1">
        <v>46099</v>
      </c>
      <c r="P785" s="2">
        <f t="shared" si="278"/>
        <v>4.5420944558521557</v>
      </c>
      <c r="Q785" s="2" t="str">
        <f t="shared" si="279"/>
        <v>Mid</v>
      </c>
      <c r="R785">
        <f t="shared" si="280"/>
        <v>3000</v>
      </c>
      <c r="S785" t="str">
        <f t="shared" si="281"/>
        <v>Small</v>
      </c>
      <c r="T785" t="str">
        <f t="shared" si="282"/>
        <v>Lower EV Adoption Corridor</v>
      </c>
      <c r="U785" s="3">
        <f t="shared" si="283"/>
        <v>5400000</v>
      </c>
      <c r="V785" s="4">
        <f t="shared" si="284"/>
        <v>1320000</v>
      </c>
      <c r="W785" s="3">
        <f t="shared" si="285"/>
        <v>18000000</v>
      </c>
      <c r="X785" s="3">
        <f t="shared" si="286"/>
        <v>9900000</v>
      </c>
      <c r="Y785">
        <f t="shared" si="287"/>
        <v>0.31515151515151513</v>
      </c>
      <c r="Z785">
        <f t="shared" si="288"/>
        <v>0.75555555555555554</v>
      </c>
      <c r="AA785" t="str">
        <f t="shared" si="289"/>
        <v>Tier 2 - Growth Markets</v>
      </c>
      <c r="AB785" s="3">
        <f t="shared" si="290"/>
        <v>110000</v>
      </c>
      <c r="AC785" s="3">
        <f t="shared" si="291"/>
        <v>1500000</v>
      </c>
      <c r="AD785" s="3">
        <f t="shared" si="292"/>
        <v>450000</v>
      </c>
      <c r="AE785" s="5">
        <f t="shared" si="293"/>
        <v>4.4117647058823533</v>
      </c>
      <c r="AF785" s="10">
        <f t="shared" si="294"/>
        <v>818400</v>
      </c>
      <c r="AG785" s="10">
        <f t="shared" si="295"/>
        <v>264000</v>
      </c>
      <c r="AH785" s="10">
        <f t="shared" si="296"/>
        <v>132000</v>
      </c>
      <c r="AI785" s="10">
        <f t="shared" si="297"/>
        <v>66000</v>
      </c>
      <c r="AJ785" s="10">
        <f t="shared" si="298"/>
        <v>39600</v>
      </c>
    </row>
    <row r="786" spans="1:36" x14ac:dyDescent="0.3">
      <c r="A786" t="s">
        <v>3089</v>
      </c>
      <c r="B786" t="s">
        <v>3090</v>
      </c>
      <c r="C786" t="s">
        <v>3091</v>
      </c>
      <c r="D786" t="s">
        <v>316</v>
      </c>
      <c r="E786">
        <v>97738</v>
      </c>
      <c r="F786" t="s">
        <v>15</v>
      </c>
      <c r="G786">
        <v>8</v>
      </c>
      <c r="H786">
        <v>250</v>
      </c>
      <c r="I786" t="str" cm="1">
        <f t="array" ref="I786">_xlfn.IFS(H786&lt;=120,"V1",H786&lt;=150,"V2",H786&lt;=250,"V3", H786&lt;=350, "V4")</f>
        <v>V3</v>
      </c>
      <c r="J786" t="s">
        <v>3092</v>
      </c>
      <c r="K786" t="str">
        <f t="shared" si="276"/>
        <v>43.572694</v>
      </c>
      <c r="L786" t="str">
        <f t="shared" si="277"/>
        <v>-119.074556</v>
      </c>
      <c r="M786">
        <v>1267</v>
      </c>
      <c r="N786" s="1">
        <v>44344</v>
      </c>
      <c r="O786" s="1">
        <v>46099</v>
      </c>
      <c r="P786" s="2">
        <f t="shared" si="278"/>
        <v>4.8049281314168377</v>
      </c>
      <c r="Q786" s="2" t="str">
        <f t="shared" si="279"/>
        <v>Mid</v>
      </c>
      <c r="R786">
        <f t="shared" si="280"/>
        <v>2000</v>
      </c>
      <c r="S786" t="str">
        <f t="shared" si="281"/>
        <v>Small</v>
      </c>
      <c r="T786" t="str">
        <f t="shared" si="282"/>
        <v>Lower EV Adoption Corridor</v>
      </c>
      <c r="U786" s="3">
        <f t="shared" si="283"/>
        <v>3600000</v>
      </c>
      <c r="V786" s="4">
        <f t="shared" si="284"/>
        <v>880000.00000000012</v>
      </c>
      <c r="W786" s="3">
        <f t="shared" si="285"/>
        <v>12000000</v>
      </c>
      <c r="X786" s="3">
        <f t="shared" si="286"/>
        <v>6600000.0000000009</v>
      </c>
      <c r="Y786">
        <f t="shared" si="287"/>
        <v>0.31515151515151513</v>
      </c>
      <c r="Z786">
        <f t="shared" si="288"/>
        <v>0.75555555555555554</v>
      </c>
      <c r="AA786" t="str">
        <f t="shared" si="289"/>
        <v>Tier 2 - Growth Markets</v>
      </c>
      <c r="AB786" s="3">
        <f t="shared" si="290"/>
        <v>110000.00000000001</v>
      </c>
      <c r="AC786" s="3">
        <f t="shared" si="291"/>
        <v>1500000</v>
      </c>
      <c r="AD786" s="3">
        <f t="shared" si="292"/>
        <v>450000</v>
      </c>
      <c r="AE786" s="5">
        <f t="shared" si="293"/>
        <v>4.4117647058823533</v>
      </c>
      <c r="AF786" s="10">
        <f t="shared" si="294"/>
        <v>545600.00000000012</v>
      </c>
      <c r="AG786" s="10">
        <f t="shared" si="295"/>
        <v>176000.00000000003</v>
      </c>
      <c r="AH786" s="10">
        <f t="shared" si="296"/>
        <v>88000.000000000015</v>
      </c>
      <c r="AI786" s="10">
        <f t="shared" si="297"/>
        <v>44000.000000000007</v>
      </c>
      <c r="AJ786" s="10">
        <f t="shared" si="298"/>
        <v>26400.000000000004</v>
      </c>
    </row>
    <row r="787" spans="1:36" x14ac:dyDescent="0.3">
      <c r="A787" t="s">
        <v>3093</v>
      </c>
      <c r="B787" t="s">
        <v>3094</v>
      </c>
      <c r="C787" t="s">
        <v>705</v>
      </c>
      <c r="D787" t="s">
        <v>14</v>
      </c>
      <c r="E787">
        <v>93720</v>
      </c>
      <c r="F787" t="s">
        <v>15</v>
      </c>
      <c r="G787">
        <v>8</v>
      </c>
      <c r="H787">
        <v>250</v>
      </c>
      <c r="I787" t="str" cm="1">
        <f t="array" ref="I787">_xlfn.IFS(H787&lt;=120,"V1",H787&lt;=150,"V2",H787&lt;=250,"V3", H787&lt;=350, "V4")</f>
        <v>V3</v>
      </c>
      <c r="J787" t="s">
        <v>3095</v>
      </c>
      <c r="K787" t="str">
        <f t="shared" si="276"/>
        <v>36.85085698</v>
      </c>
      <c r="L787" t="str">
        <f t="shared" si="277"/>
        <v>-119.79142427</v>
      </c>
      <c r="M787">
        <v>108</v>
      </c>
      <c r="N787" s="1">
        <v>44420</v>
      </c>
      <c r="O787" s="1">
        <v>46099</v>
      </c>
      <c r="P787" s="2">
        <f t="shared" si="278"/>
        <v>4.5968514715947979</v>
      </c>
      <c r="Q787" s="2" t="str">
        <f t="shared" si="279"/>
        <v>Mid</v>
      </c>
      <c r="R787">
        <f t="shared" si="280"/>
        <v>2000</v>
      </c>
      <c r="S787" t="str">
        <f t="shared" si="281"/>
        <v>Small</v>
      </c>
      <c r="T787" t="str">
        <f t="shared" si="282"/>
        <v>High EV Adoption Corridor</v>
      </c>
      <c r="U787" s="3">
        <f t="shared" si="283"/>
        <v>4680000</v>
      </c>
      <c r="V787" s="4">
        <f t="shared" si="284"/>
        <v>1056000</v>
      </c>
      <c r="W787" s="3">
        <f t="shared" si="285"/>
        <v>13200000.000000002</v>
      </c>
      <c r="X787" s="3">
        <f t="shared" si="286"/>
        <v>9900000.0000000019</v>
      </c>
      <c r="Y787">
        <f t="shared" si="287"/>
        <v>0.23999999999999996</v>
      </c>
      <c r="Z787">
        <f t="shared" si="288"/>
        <v>0.77435897435897438</v>
      </c>
      <c r="AA787" t="str">
        <f t="shared" si="289"/>
        <v>Tier 1 - Priority Fleet</v>
      </c>
      <c r="AB787" s="3">
        <f t="shared" si="290"/>
        <v>132000</v>
      </c>
      <c r="AC787" s="3">
        <f t="shared" si="291"/>
        <v>1650000.0000000002</v>
      </c>
      <c r="AD787" s="3">
        <f t="shared" si="292"/>
        <v>585000</v>
      </c>
      <c r="AE787" s="5">
        <f t="shared" si="293"/>
        <v>3.6423841059602653</v>
      </c>
      <c r="AF787" s="10">
        <f t="shared" si="294"/>
        <v>654720</v>
      </c>
      <c r="AG787" s="10">
        <f t="shared" si="295"/>
        <v>211200</v>
      </c>
      <c r="AH787" s="10">
        <f t="shared" si="296"/>
        <v>105600</v>
      </c>
      <c r="AI787" s="10">
        <f t="shared" si="297"/>
        <v>52800</v>
      </c>
      <c r="AJ787" s="10">
        <f t="shared" si="298"/>
        <v>31680</v>
      </c>
    </row>
    <row r="788" spans="1:36" x14ac:dyDescent="0.3">
      <c r="A788" t="s">
        <v>3096</v>
      </c>
      <c r="B788" t="s">
        <v>3097</v>
      </c>
      <c r="C788" t="s">
        <v>3098</v>
      </c>
      <c r="D788" t="s">
        <v>14</v>
      </c>
      <c r="E788">
        <v>92223</v>
      </c>
      <c r="F788" t="s">
        <v>15</v>
      </c>
      <c r="G788">
        <v>20</v>
      </c>
      <c r="H788">
        <v>250</v>
      </c>
      <c r="I788" t="str" cm="1">
        <f t="array" ref="I788">_xlfn.IFS(H788&lt;=120,"V1",H788&lt;=150,"V2",H788&lt;=250,"V3", H788&lt;=350, "V4")</f>
        <v>V3</v>
      </c>
      <c r="J788" t="s">
        <v>3099</v>
      </c>
      <c r="K788" t="str">
        <f t="shared" si="276"/>
        <v>33.922543</v>
      </c>
      <c r="L788" t="str">
        <f t="shared" si="277"/>
        <v>-116.949167</v>
      </c>
      <c r="M788">
        <v>779</v>
      </c>
      <c r="N788" s="1">
        <v>44014</v>
      </c>
      <c r="O788" s="1">
        <v>46099</v>
      </c>
      <c r="P788" s="2">
        <f t="shared" si="278"/>
        <v>5.7084188911704308</v>
      </c>
      <c r="Q788" s="2" t="str">
        <f t="shared" si="279"/>
        <v>Mid</v>
      </c>
      <c r="R788">
        <f t="shared" si="280"/>
        <v>5000</v>
      </c>
      <c r="S788" t="str">
        <f t="shared" si="281"/>
        <v>Small</v>
      </c>
      <c r="T788" t="str">
        <f t="shared" si="282"/>
        <v>High EV Adoption Corridor</v>
      </c>
      <c r="U788" s="3">
        <f t="shared" si="283"/>
        <v>11700000</v>
      </c>
      <c r="V788" s="4">
        <f t="shared" si="284"/>
        <v>2640000</v>
      </c>
      <c r="W788" s="3">
        <f t="shared" si="285"/>
        <v>33000000.000000004</v>
      </c>
      <c r="X788" s="3">
        <f t="shared" si="286"/>
        <v>24750000.000000004</v>
      </c>
      <c r="Y788">
        <f t="shared" si="287"/>
        <v>0.23999999999999996</v>
      </c>
      <c r="Z788">
        <f t="shared" si="288"/>
        <v>0.77435897435897438</v>
      </c>
      <c r="AA788" t="str">
        <f t="shared" si="289"/>
        <v>Tier 1 - Priority Fleet</v>
      </c>
      <c r="AB788" s="3">
        <f t="shared" si="290"/>
        <v>132000</v>
      </c>
      <c r="AC788" s="3">
        <f t="shared" si="291"/>
        <v>1650000.0000000002</v>
      </c>
      <c r="AD788" s="3">
        <f t="shared" si="292"/>
        <v>585000</v>
      </c>
      <c r="AE788" s="5">
        <f t="shared" si="293"/>
        <v>3.6423841059602653</v>
      </c>
      <c r="AF788" s="10">
        <f t="shared" si="294"/>
        <v>1636800</v>
      </c>
      <c r="AG788" s="10">
        <f t="shared" si="295"/>
        <v>528000</v>
      </c>
      <c r="AH788" s="10">
        <f t="shared" si="296"/>
        <v>264000</v>
      </c>
      <c r="AI788" s="10">
        <f t="shared" si="297"/>
        <v>132000</v>
      </c>
      <c r="AJ788" s="10">
        <f t="shared" si="298"/>
        <v>79200</v>
      </c>
    </row>
    <row r="789" spans="1:36" x14ac:dyDescent="0.3">
      <c r="A789" t="s">
        <v>3100</v>
      </c>
      <c r="B789" t="s">
        <v>3101</v>
      </c>
      <c r="C789" t="s">
        <v>456</v>
      </c>
      <c r="D789" t="s">
        <v>59</v>
      </c>
      <c r="E789">
        <v>60666</v>
      </c>
      <c r="F789" t="s">
        <v>15</v>
      </c>
      <c r="G789">
        <v>14</v>
      </c>
      <c r="H789">
        <v>150</v>
      </c>
      <c r="I789" t="str" cm="1">
        <f t="array" ref="I789">_xlfn.IFS(H789&lt;=120,"V1",H789&lt;=150,"V2",H789&lt;=250,"V3", H789&lt;=350, "V4")</f>
        <v>V2</v>
      </c>
      <c r="J789" t="s">
        <v>3102</v>
      </c>
      <c r="K789" t="str">
        <f t="shared" si="276"/>
        <v>41.99870660096533</v>
      </c>
      <c r="L789" t="str">
        <f t="shared" si="277"/>
        <v>-87.888457775115</v>
      </c>
      <c r="M789">
        <v>195</v>
      </c>
      <c r="N789" s="1">
        <v>44014</v>
      </c>
      <c r="O789" s="1">
        <v>46099</v>
      </c>
      <c r="P789" s="2">
        <f t="shared" si="278"/>
        <v>5.7084188911704308</v>
      </c>
      <c r="Q789" s="2" t="str">
        <f t="shared" si="279"/>
        <v>Mid</v>
      </c>
      <c r="R789">
        <f t="shared" si="280"/>
        <v>2100</v>
      </c>
      <c r="S789" t="str">
        <f t="shared" si="281"/>
        <v>Small</v>
      </c>
      <c r="T789" t="str">
        <f t="shared" si="282"/>
        <v>Lower EV Adoption Corridor</v>
      </c>
      <c r="U789" s="3">
        <f t="shared" si="283"/>
        <v>3465000.0000000005</v>
      </c>
      <c r="V789" s="4">
        <f t="shared" si="284"/>
        <v>840000</v>
      </c>
      <c r="W789" s="3">
        <f t="shared" si="285"/>
        <v>10500000</v>
      </c>
      <c r="X789" s="3">
        <f t="shared" si="286"/>
        <v>6300000</v>
      </c>
      <c r="Y789">
        <f t="shared" si="287"/>
        <v>0.3</v>
      </c>
      <c r="Z789">
        <f t="shared" si="288"/>
        <v>0.75757575757575757</v>
      </c>
      <c r="AA789" t="str">
        <f t="shared" si="289"/>
        <v>Tier 4 - Stable Network</v>
      </c>
      <c r="AB789" s="3">
        <f t="shared" si="290"/>
        <v>60000</v>
      </c>
      <c r="AC789" s="3">
        <f t="shared" si="291"/>
        <v>750000</v>
      </c>
      <c r="AD789" s="3">
        <f t="shared" si="292"/>
        <v>247500.00000000003</v>
      </c>
      <c r="AE789" s="5">
        <f t="shared" si="293"/>
        <v>3.9999999999999991</v>
      </c>
      <c r="AF789" s="10">
        <f t="shared" si="294"/>
        <v>520800</v>
      </c>
      <c r="AG789" s="10">
        <f t="shared" si="295"/>
        <v>168000</v>
      </c>
      <c r="AH789" s="10">
        <f t="shared" si="296"/>
        <v>84000</v>
      </c>
      <c r="AI789" s="10">
        <f t="shared" si="297"/>
        <v>42000</v>
      </c>
      <c r="AJ789" s="10">
        <f t="shared" si="298"/>
        <v>25200</v>
      </c>
    </row>
    <row r="790" spans="1:36" x14ac:dyDescent="0.3">
      <c r="A790" t="s">
        <v>3103</v>
      </c>
      <c r="B790" t="s">
        <v>3104</v>
      </c>
      <c r="C790" t="s">
        <v>3105</v>
      </c>
      <c r="D790" t="s">
        <v>41</v>
      </c>
      <c r="E790">
        <v>32448</v>
      </c>
      <c r="F790" t="s">
        <v>15</v>
      </c>
      <c r="G790">
        <v>8</v>
      </c>
      <c r="H790">
        <v>250</v>
      </c>
      <c r="I790" t="str" cm="1">
        <f t="array" ref="I790">_xlfn.IFS(H790&lt;=120,"V1",H790&lt;=150,"V2",H790&lt;=250,"V3", H790&lt;=350, "V4")</f>
        <v>V3</v>
      </c>
      <c r="J790" t="s">
        <v>3106</v>
      </c>
      <c r="K790" t="str">
        <f t="shared" si="276"/>
        <v>30.716016</v>
      </c>
      <c r="L790" t="str">
        <f t="shared" si="277"/>
        <v>-85.184269</v>
      </c>
      <c r="M790">
        <v>26</v>
      </c>
      <c r="N790" s="1">
        <v>44225</v>
      </c>
      <c r="O790" s="1">
        <v>46099</v>
      </c>
      <c r="P790" s="2">
        <f t="shared" si="278"/>
        <v>5.1307323750855582</v>
      </c>
      <c r="Q790" s="2" t="str">
        <f t="shared" si="279"/>
        <v>Mid</v>
      </c>
      <c r="R790">
        <f t="shared" si="280"/>
        <v>2000</v>
      </c>
      <c r="S790" t="str">
        <f t="shared" si="281"/>
        <v>Small</v>
      </c>
      <c r="T790" t="str">
        <f t="shared" si="282"/>
        <v>High EV Adoption Corridor</v>
      </c>
      <c r="U790" s="3">
        <f t="shared" si="283"/>
        <v>4680000</v>
      </c>
      <c r="V790" s="4">
        <f t="shared" si="284"/>
        <v>1056000</v>
      </c>
      <c r="W790" s="3">
        <f t="shared" si="285"/>
        <v>13200000.000000002</v>
      </c>
      <c r="X790" s="3">
        <f t="shared" si="286"/>
        <v>9900000.0000000019</v>
      </c>
      <c r="Y790">
        <f t="shared" si="287"/>
        <v>0.23999999999999996</v>
      </c>
      <c r="Z790">
        <f t="shared" si="288"/>
        <v>0.77435897435897438</v>
      </c>
      <c r="AA790" t="str">
        <f t="shared" si="289"/>
        <v>Tier 1 - Priority Fleet</v>
      </c>
      <c r="AB790" s="3">
        <f t="shared" si="290"/>
        <v>132000</v>
      </c>
      <c r="AC790" s="3">
        <f t="shared" si="291"/>
        <v>1650000.0000000002</v>
      </c>
      <c r="AD790" s="3">
        <f t="shared" si="292"/>
        <v>585000</v>
      </c>
      <c r="AE790" s="5">
        <f t="shared" si="293"/>
        <v>3.6423841059602653</v>
      </c>
      <c r="AF790" s="10">
        <f t="shared" si="294"/>
        <v>654720</v>
      </c>
      <c r="AG790" s="10">
        <f t="shared" si="295"/>
        <v>211200</v>
      </c>
      <c r="AH790" s="10">
        <f t="shared" si="296"/>
        <v>105600</v>
      </c>
      <c r="AI790" s="10">
        <f t="shared" si="297"/>
        <v>52800</v>
      </c>
      <c r="AJ790" s="10">
        <f t="shared" si="298"/>
        <v>31680</v>
      </c>
    </row>
    <row r="791" spans="1:36" x14ac:dyDescent="0.3">
      <c r="A791" t="s">
        <v>3107</v>
      </c>
      <c r="B791" t="s">
        <v>3108</v>
      </c>
      <c r="C791" t="s">
        <v>3109</v>
      </c>
      <c r="D791" t="s">
        <v>321</v>
      </c>
      <c r="E791">
        <v>1230</v>
      </c>
      <c r="F791" t="s">
        <v>15</v>
      </c>
      <c r="G791">
        <v>8</v>
      </c>
      <c r="H791">
        <v>250</v>
      </c>
      <c r="I791" t="str" cm="1">
        <f t="array" ref="I791">_xlfn.IFS(H791&lt;=120,"V1",H791&lt;=150,"V2",H791&lt;=250,"V3", H791&lt;=350, "V4")</f>
        <v>V3</v>
      </c>
      <c r="J791" t="s">
        <v>3110</v>
      </c>
      <c r="K791" t="str">
        <f t="shared" si="276"/>
        <v>42.180663</v>
      </c>
      <c r="L791" t="str">
        <f t="shared" si="277"/>
        <v>-73.364632</v>
      </c>
      <c r="M791">
        <v>209</v>
      </c>
      <c r="N791" s="1">
        <v>44100</v>
      </c>
      <c r="O791" s="1">
        <v>46099</v>
      </c>
      <c r="P791" s="2">
        <f t="shared" si="278"/>
        <v>5.4729637234770703</v>
      </c>
      <c r="Q791" s="2" t="str">
        <f t="shared" si="279"/>
        <v>Mid</v>
      </c>
      <c r="R791">
        <f t="shared" si="280"/>
        <v>2000</v>
      </c>
      <c r="S791" t="str">
        <f t="shared" si="281"/>
        <v>Small</v>
      </c>
      <c r="T791" t="str">
        <f t="shared" si="282"/>
        <v>Lower EV Adoption Corridor</v>
      </c>
      <c r="U791" s="3">
        <f t="shared" si="283"/>
        <v>3600000</v>
      </c>
      <c r="V791" s="4">
        <f t="shared" si="284"/>
        <v>880000.00000000012</v>
      </c>
      <c r="W791" s="3">
        <f t="shared" si="285"/>
        <v>12000000</v>
      </c>
      <c r="X791" s="3">
        <f t="shared" si="286"/>
        <v>6600000.0000000009</v>
      </c>
      <c r="Y791">
        <f t="shared" si="287"/>
        <v>0.31515151515151513</v>
      </c>
      <c r="Z791">
        <f t="shared" si="288"/>
        <v>0.75555555555555554</v>
      </c>
      <c r="AA791" t="str">
        <f t="shared" si="289"/>
        <v>Tier 2 - Growth Markets</v>
      </c>
      <c r="AB791" s="3">
        <f t="shared" si="290"/>
        <v>110000.00000000001</v>
      </c>
      <c r="AC791" s="3">
        <f t="shared" si="291"/>
        <v>1500000</v>
      </c>
      <c r="AD791" s="3">
        <f t="shared" si="292"/>
        <v>450000</v>
      </c>
      <c r="AE791" s="5">
        <f t="shared" si="293"/>
        <v>4.4117647058823533</v>
      </c>
      <c r="AF791" s="10">
        <f t="shared" si="294"/>
        <v>545600.00000000012</v>
      </c>
      <c r="AG791" s="10">
        <f t="shared" si="295"/>
        <v>176000.00000000003</v>
      </c>
      <c r="AH791" s="10">
        <f t="shared" si="296"/>
        <v>88000.000000000015</v>
      </c>
      <c r="AI791" s="10">
        <f t="shared" si="297"/>
        <v>44000.000000000007</v>
      </c>
      <c r="AJ791" s="10">
        <f t="shared" si="298"/>
        <v>26400.000000000004</v>
      </c>
    </row>
    <row r="792" spans="1:36" x14ac:dyDescent="0.3">
      <c r="A792" t="s">
        <v>3111</v>
      </c>
      <c r="B792" t="s">
        <v>3112</v>
      </c>
      <c r="C792" t="s">
        <v>3113</v>
      </c>
      <c r="D792" t="s">
        <v>72</v>
      </c>
      <c r="E792">
        <v>85346</v>
      </c>
      <c r="F792" t="s">
        <v>15</v>
      </c>
      <c r="G792">
        <v>36</v>
      </c>
      <c r="H792">
        <v>250</v>
      </c>
      <c r="I792" t="str" cm="1">
        <f t="array" ref="I792">_xlfn.IFS(H792&lt;=120,"V1",H792&lt;=150,"V2",H792&lt;=250,"V3", H792&lt;=350, "V4")</f>
        <v>V3</v>
      </c>
      <c r="J792" t="s">
        <v>3114</v>
      </c>
      <c r="K792" t="str">
        <f t="shared" si="276"/>
        <v>33.661314</v>
      </c>
      <c r="L792" t="str">
        <f t="shared" si="277"/>
        <v>-114.242174</v>
      </c>
      <c r="M792">
        <v>280</v>
      </c>
      <c r="N792" s="1">
        <v>41592</v>
      </c>
      <c r="O792" s="1">
        <v>46099</v>
      </c>
      <c r="P792" s="2">
        <f t="shared" si="278"/>
        <v>12.33949349760438</v>
      </c>
      <c r="Q792" s="2" t="str">
        <f t="shared" si="279"/>
        <v>Old</v>
      </c>
      <c r="R792">
        <f t="shared" si="280"/>
        <v>9000</v>
      </c>
      <c r="S792" t="str">
        <f t="shared" si="281"/>
        <v>Medium</v>
      </c>
      <c r="T792" t="str">
        <f t="shared" si="282"/>
        <v>Lower EV Adoption Corridor</v>
      </c>
      <c r="U792" s="3">
        <f t="shared" si="283"/>
        <v>16200000</v>
      </c>
      <c r="V792" s="4">
        <f t="shared" si="284"/>
        <v>3960000.0000000005</v>
      </c>
      <c r="W792" s="3">
        <f t="shared" si="285"/>
        <v>54000000</v>
      </c>
      <c r="X792" s="3">
        <f t="shared" si="286"/>
        <v>29700000.000000004</v>
      </c>
      <c r="Y792">
        <f t="shared" si="287"/>
        <v>0.31515151515151513</v>
      </c>
      <c r="Z792">
        <f t="shared" si="288"/>
        <v>0.75555555555555554</v>
      </c>
      <c r="AA792" t="str">
        <f t="shared" si="289"/>
        <v>Tier 2 - Growth Markets</v>
      </c>
      <c r="AB792" s="3">
        <f t="shared" si="290"/>
        <v>110000.00000000001</v>
      </c>
      <c r="AC792" s="3">
        <f t="shared" si="291"/>
        <v>1500000</v>
      </c>
      <c r="AD792" s="3">
        <f t="shared" si="292"/>
        <v>450000</v>
      </c>
      <c r="AE792" s="5">
        <f t="shared" si="293"/>
        <v>4.4117647058823533</v>
      </c>
      <c r="AF792" s="10">
        <f t="shared" si="294"/>
        <v>2455200.0000000005</v>
      </c>
      <c r="AG792" s="10">
        <f t="shared" si="295"/>
        <v>792000.00000000012</v>
      </c>
      <c r="AH792" s="10">
        <f t="shared" si="296"/>
        <v>396000.00000000006</v>
      </c>
      <c r="AI792" s="10">
        <f t="shared" si="297"/>
        <v>198000.00000000003</v>
      </c>
      <c r="AJ792" s="10">
        <f t="shared" si="298"/>
        <v>118800.00000000001</v>
      </c>
    </row>
    <row r="793" spans="1:36" x14ac:dyDescent="0.3">
      <c r="A793" t="s">
        <v>3115</v>
      </c>
      <c r="B793" t="s">
        <v>3116</v>
      </c>
      <c r="C793" t="s">
        <v>3117</v>
      </c>
      <c r="D793" t="s">
        <v>14</v>
      </c>
      <c r="E793">
        <v>95054</v>
      </c>
      <c r="F793" t="s">
        <v>15</v>
      </c>
      <c r="G793">
        <v>16</v>
      </c>
      <c r="H793">
        <v>72</v>
      </c>
      <c r="I793" t="str" cm="1">
        <f t="array" ref="I793">_xlfn.IFS(H793&lt;=120,"V1",H793&lt;=150,"V2",H793&lt;=250,"V3", H793&lt;=350, "V4")</f>
        <v>V1</v>
      </c>
      <c r="J793" t="s">
        <v>3118</v>
      </c>
      <c r="K793" t="str">
        <f t="shared" si="276"/>
        <v>37.394816</v>
      </c>
      <c r="L793" t="str">
        <f t="shared" si="277"/>
        <v>-121.945157</v>
      </c>
      <c r="M793">
        <v>6</v>
      </c>
      <c r="N793" s="1">
        <v>44091</v>
      </c>
      <c r="O793" s="1">
        <v>46099</v>
      </c>
      <c r="P793" s="2">
        <f t="shared" si="278"/>
        <v>5.4976043805612598</v>
      </c>
      <c r="Q793" s="2" t="str">
        <f t="shared" si="279"/>
        <v>Mid</v>
      </c>
      <c r="R793">
        <f t="shared" si="280"/>
        <v>1152</v>
      </c>
      <c r="S793" t="str">
        <f t="shared" si="281"/>
        <v>Small</v>
      </c>
      <c r="T793" t="str">
        <f t="shared" si="282"/>
        <v>High EV Adoption Corridor</v>
      </c>
      <c r="U793" s="3">
        <f t="shared" si="283"/>
        <v>2246400</v>
      </c>
      <c r="V793" s="4">
        <f t="shared" si="284"/>
        <v>497664</v>
      </c>
      <c r="W793" s="3">
        <f t="shared" si="285"/>
        <v>5068800</v>
      </c>
      <c r="X793" s="3">
        <f t="shared" si="286"/>
        <v>4665600</v>
      </c>
      <c r="Y793">
        <f t="shared" si="287"/>
        <v>0.21530864197530863</v>
      </c>
      <c r="Z793">
        <f t="shared" si="288"/>
        <v>0.77846153846153843</v>
      </c>
      <c r="AA793" t="str">
        <f t="shared" si="289"/>
        <v>Tier 3 - Upgrade Pipeline</v>
      </c>
      <c r="AB793" s="3">
        <f t="shared" si="290"/>
        <v>31104</v>
      </c>
      <c r="AC793" s="3">
        <f t="shared" si="291"/>
        <v>316800</v>
      </c>
      <c r="AD793" s="3">
        <f t="shared" si="292"/>
        <v>140400</v>
      </c>
      <c r="AE793" s="5">
        <f t="shared" si="293"/>
        <v>2.8985507246376812</v>
      </c>
      <c r="AF793" s="10">
        <f t="shared" si="294"/>
        <v>308551.67999999999</v>
      </c>
      <c r="AG793" s="10">
        <f t="shared" si="295"/>
        <v>99532.800000000003</v>
      </c>
      <c r="AH793" s="10">
        <f t="shared" si="296"/>
        <v>49766.400000000001</v>
      </c>
      <c r="AI793" s="10">
        <f t="shared" si="297"/>
        <v>24883.200000000001</v>
      </c>
      <c r="AJ793" s="10">
        <f t="shared" si="298"/>
        <v>14929.92</v>
      </c>
    </row>
    <row r="794" spans="1:36" x14ac:dyDescent="0.3">
      <c r="A794" t="s">
        <v>3119</v>
      </c>
      <c r="B794" t="s">
        <v>3120</v>
      </c>
      <c r="C794" t="s">
        <v>2080</v>
      </c>
      <c r="D794" t="s">
        <v>14</v>
      </c>
      <c r="E794">
        <v>94102</v>
      </c>
      <c r="F794" t="s">
        <v>15</v>
      </c>
      <c r="G794">
        <v>12</v>
      </c>
      <c r="H794">
        <v>72</v>
      </c>
      <c r="I794" t="str" cm="1">
        <f t="array" ref="I794">_xlfn.IFS(H794&lt;=120,"V1",H794&lt;=150,"V2",H794&lt;=250,"V3", H794&lt;=350, "V4")</f>
        <v>V1</v>
      </c>
      <c r="J794" t="s">
        <v>3121</v>
      </c>
      <c r="K794" t="str">
        <f t="shared" si="276"/>
        <v>37.781296</v>
      </c>
      <c r="L794" t="str">
        <f t="shared" si="277"/>
        <v>-122.421394</v>
      </c>
      <c r="M794">
        <v>26</v>
      </c>
      <c r="N794" s="1">
        <v>44057</v>
      </c>
      <c r="O794" s="1">
        <v>46099</v>
      </c>
      <c r="P794" s="2">
        <f t="shared" si="278"/>
        <v>5.590691307323751</v>
      </c>
      <c r="Q794" s="2" t="str">
        <f t="shared" si="279"/>
        <v>Mid</v>
      </c>
      <c r="R794">
        <f t="shared" si="280"/>
        <v>864</v>
      </c>
      <c r="S794" t="str">
        <f t="shared" si="281"/>
        <v>Small</v>
      </c>
      <c r="T794" t="str">
        <f t="shared" si="282"/>
        <v>High EV Adoption Corridor</v>
      </c>
      <c r="U794" s="3">
        <f t="shared" si="283"/>
        <v>1684800</v>
      </c>
      <c r="V794" s="4">
        <f t="shared" si="284"/>
        <v>373248</v>
      </c>
      <c r="W794" s="3">
        <f t="shared" si="285"/>
        <v>3801600.0000000005</v>
      </c>
      <c r="X794" s="3">
        <f t="shared" si="286"/>
        <v>3499200</v>
      </c>
      <c r="Y794">
        <f t="shared" si="287"/>
        <v>0.21530864197530863</v>
      </c>
      <c r="Z794">
        <f t="shared" si="288"/>
        <v>0.77846153846153843</v>
      </c>
      <c r="AA794" t="str">
        <f t="shared" si="289"/>
        <v>Tier 3 - Upgrade Pipeline</v>
      </c>
      <c r="AB794" s="3">
        <f t="shared" si="290"/>
        <v>31104</v>
      </c>
      <c r="AC794" s="3">
        <f t="shared" si="291"/>
        <v>316800.00000000006</v>
      </c>
      <c r="AD794" s="3">
        <f t="shared" si="292"/>
        <v>140400</v>
      </c>
      <c r="AE794" s="5">
        <f t="shared" si="293"/>
        <v>2.8985507246376816</v>
      </c>
      <c r="AF794" s="10">
        <f t="shared" si="294"/>
        <v>231413.76000000001</v>
      </c>
      <c r="AG794" s="10">
        <f t="shared" si="295"/>
        <v>74649.600000000006</v>
      </c>
      <c r="AH794" s="10">
        <f t="shared" si="296"/>
        <v>37324.800000000003</v>
      </c>
      <c r="AI794" s="10">
        <f t="shared" si="297"/>
        <v>18662.400000000001</v>
      </c>
      <c r="AJ794" s="10">
        <f t="shared" si="298"/>
        <v>11197.439999999999</v>
      </c>
    </row>
    <row r="795" spans="1:36" x14ac:dyDescent="0.3">
      <c r="A795" t="s">
        <v>3122</v>
      </c>
      <c r="B795" t="s">
        <v>3123</v>
      </c>
      <c r="C795" t="s">
        <v>3124</v>
      </c>
      <c r="D795" t="s">
        <v>230</v>
      </c>
      <c r="E795">
        <v>98503</v>
      </c>
      <c r="F795" t="s">
        <v>15</v>
      </c>
      <c r="G795">
        <v>12</v>
      </c>
      <c r="H795">
        <v>250</v>
      </c>
      <c r="I795" t="str" cm="1">
        <f t="array" ref="I795">_xlfn.IFS(H795&lt;=120,"V1",H795&lt;=150,"V2",H795&lt;=250,"V3", H795&lt;=350, "V4")</f>
        <v>V3</v>
      </c>
      <c r="J795" t="s">
        <v>3125</v>
      </c>
      <c r="K795" t="str">
        <f t="shared" si="276"/>
        <v>47.0427557461906</v>
      </c>
      <c r="L795" t="str">
        <f t="shared" si="277"/>
        <v>-122.836407423019</v>
      </c>
      <c r="M795">
        <v>64</v>
      </c>
      <c r="N795" s="1">
        <v>44134</v>
      </c>
      <c r="O795" s="1">
        <v>46099</v>
      </c>
      <c r="P795" s="2">
        <f t="shared" si="278"/>
        <v>5.3798767967145791</v>
      </c>
      <c r="Q795" s="2" t="str">
        <f t="shared" si="279"/>
        <v>Mid</v>
      </c>
      <c r="R795">
        <f t="shared" si="280"/>
        <v>3000</v>
      </c>
      <c r="S795" t="str">
        <f t="shared" si="281"/>
        <v>Small</v>
      </c>
      <c r="T795" t="str">
        <f t="shared" si="282"/>
        <v>High EV Adoption Corridor</v>
      </c>
      <c r="U795" s="3">
        <f t="shared" si="283"/>
        <v>7020000</v>
      </c>
      <c r="V795" s="4">
        <f t="shared" si="284"/>
        <v>1584000</v>
      </c>
      <c r="W795" s="3">
        <f t="shared" si="285"/>
        <v>19800000</v>
      </c>
      <c r="X795" s="3">
        <f t="shared" si="286"/>
        <v>14850000</v>
      </c>
      <c r="Y795">
        <f t="shared" si="287"/>
        <v>0.24</v>
      </c>
      <c r="Z795">
        <f t="shared" si="288"/>
        <v>0.77435897435897438</v>
      </c>
      <c r="AA795" t="str">
        <f t="shared" si="289"/>
        <v>Tier 1 - Priority Fleet</v>
      </c>
      <c r="AB795" s="3">
        <f t="shared" si="290"/>
        <v>132000</v>
      </c>
      <c r="AC795" s="3">
        <f t="shared" si="291"/>
        <v>1650000</v>
      </c>
      <c r="AD795" s="3">
        <f t="shared" si="292"/>
        <v>585000</v>
      </c>
      <c r="AE795" s="5">
        <f t="shared" si="293"/>
        <v>3.6423841059602649</v>
      </c>
      <c r="AF795" s="10">
        <f t="shared" si="294"/>
        <v>982080</v>
      </c>
      <c r="AG795" s="10">
        <f t="shared" si="295"/>
        <v>316800</v>
      </c>
      <c r="AH795" s="10">
        <f t="shared" si="296"/>
        <v>158400</v>
      </c>
      <c r="AI795" s="10">
        <f t="shared" si="297"/>
        <v>79200</v>
      </c>
      <c r="AJ795" s="10">
        <f t="shared" si="298"/>
        <v>47520</v>
      </c>
    </row>
    <row r="796" spans="1:36" x14ac:dyDescent="0.3">
      <c r="A796" t="s">
        <v>3126</v>
      </c>
      <c r="B796" t="s">
        <v>3127</v>
      </c>
      <c r="C796" t="s">
        <v>3128</v>
      </c>
      <c r="D796" t="s">
        <v>77</v>
      </c>
      <c r="E796">
        <v>27577</v>
      </c>
      <c r="F796" t="s">
        <v>15</v>
      </c>
      <c r="G796">
        <v>8</v>
      </c>
      <c r="H796">
        <v>150</v>
      </c>
      <c r="I796" t="str" cm="1">
        <f t="array" ref="I796">_xlfn.IFS(H796&lt;=120,"V1",H796&lt;=150,"V2",H796&lt;=250,"V3", H796&lt;=350, "V4")</f>
        <v>V2</v>
      </c>
      <c r="J796" t="s">
        <v>3129</v>
      </c>
      <c r="K796" t="str">
        <f t="shared" si="276"/>
        <v>35.505</v>
      </c>
      <c r="L796" t="str">
        <f t="shared" si="277"/>
        <v>-78.325583</v>
      </c>
      <c r="M796">
        <v>45</v>
      </c>
      <c r="N796" s="1">
        <v>43742</v>
      </c>
      <c r="O796" s="1">
        <v>46099</v>
      </c>
      <c r="P796" s="2">
        <f t="shared" si="278"/>
        <v>6.453114305270363</v>
      </c>
      <c r="Q796" s="2" t="str">
        <f t="shared" si="279"/>
        <v>Mid</v>
      </c>
      <c r="R796">
        <f t="shared" si="280"/>
        <v>1200</v>
      </c>
      <c r="S796" t="str">
        <f t="shared" si="281"/>
        <v>Small</v>
      </c>
      <c r="T796" t="str">
        <f t="shared" si="282"/>
        <v>Lower EV Adoption Corridor</v>
      </c>
      <c r="U796" s="3">
        <f t="shared" si="283"/>
        <v>1980000.0000000002</v>
      </c>
      <c r="V796" s="4">
        <f t="shared" si="284"/>
        <v>480000</v>
      </c>
      <c r="W796" s="3">
        <f t="shared" si="285"/>
        <v>6000000</v>
      </c>
      <c r="X796" s="3">
        <f t="shared" si="286"/>
        <v>3600000</v>
      </c>
      <c r="Y796">
        <f t="shared" si="287"/>
        <v>0.3</v>
      </c>
      <c r="Z796">
        <f t="shared" si="288"/>
        <v>0.75757575757575757</v>
      </c>
      <c r="AA796" t="str">
        <f t="shared" si="289"/>
        <v>Tier 4 - Stable Network</v>
      </c>
      <c r="AB796" s="3">
        <f t="shared" si="290"/>
        <v>60000</v>
      </c>
      <c r="AC796" s="3">
        <f t="shared" si="291"/>
        <v>750000</v>
      </c>
      <c r="AD796" s="3">
        <f t="shared" si="292"/>
        <v>247500.00000000003</v>
      </c>
      <c r="AE796" s="5">
        <f t="shared" si="293"/>
        <v>3.9999999999999996</v>
      </c>
      <c r="AF796" s="10">
        <f t="shared" si="294"/>
        <v>297600</v>
      </c>
      <c r="AG796" s="10">
        <f t="shared" si="295"/>
        <v>96000</v>
      </c>
      <c r="AH796" s="10">
        <f t="shared" si="296"/>
        <v>48000</v>
      </c>
      <c r="AI796" s="10">
        <f t="shared" si="297"/>
        <v>24000</v>
      </c>
      <c r="AJ796" s="10">
        <f t="shared" si="298"/>
        <v>14400</v>
      </c>
    </row>
    <row r="797" spans="1:36" x14ac:dyDescent="0.3">
      <c r="A797" t="s">
        <v>3130</v>
      </c>
      <c r="B797" t="s">
        <v>3131</v>
      </c>
      <c r="C797" t="s">
        <v>3132</v>
      </c>
      <c r="D797" t="s">
        <v>299</v>
      </c>
      <c r="E797">
        <v>22180</v>
      </c>
      <c r="F797" t="s">
        <v>15</v>
      </c>
      <c r="G797">
        <v>8</v>
      </c>
      <c r="H797">
        <v>250</v>
      </c>
      <c r="I797" t="str" cm="1">
        <f t="array" ref="I797">_xlfn.IFS(H797&lt;=120,"V1",H797&lt;=150,"V2",H797&lt;=250,"V3", H797&lt;=350, "V4")</f>
        <v>V3</v>
      </c>
      <c r="J797" t="s">
        <v>3133</v>
      </c>
      <c r="K797" t="str">
        <f t="shared" si="276"/>
        <v>38.895195</v>
      </c>
      <c r="L797" t="str">
        <f t="shared" si="277"/>
        <v>-77.273938</v>
      </c>
      <c r="M797">
        <v>120</v>
      </c>
      <c r="N797" s="1">
        <v>44028</v>
      </c>
      <c r="O797" s="1">
        <v>46099</v>
      </c>
      <c r="P797" s="2">
        <f t="shared" si="278"/>
        <v>5.6700889801505818</v>
      </c>
      <c r="Q797" s="2" t="str">
        <f t="shared" si="279"/>
        <v>Mid</v>
      </c>
      <c r="R797">
        <f t="shared" si="280"/>
        <v>2000</v>
      </c>
      <c r="S797" t="str">
        <f t="shared" si="281"/>
        <v>Small</v>
      </c>
      <c r="T797" t="str">
        <f t="shared" si="282"/>
        <v>Lower EV Adoption Corridor</v>
      </c>
      <c r="U797" s="3">
        <f t="shared" si="283"/>
        <v>3600000</v>
      </c>
      <c r="V797" s="4">
        <f t="shared" si="284"/>
        <v>880000.00000000012</v>
      </c>
      <c r="W797" s="3">
        <f t="shared" si="285"/>
        <v>12000000</v>
      </c>
      <c r="X797" s="3">
        <f t="shared" si="286"/>
        <v>6600000.0000000009</v>
      </c>
      <c r="Y797">
        <f t="shared" si="287"/>
        <v>0.31515151515151513</v>
      </c>
      <c r="Z797">
        <f t="shared" si="288"/>
        <v>0.75555555555555554</v>
      </c>
      <c r="AA797" t="str">
        <f t="shared" si="289"/>
        <v>Tier 2 - Growth Markets</v>
      </c>
      <c r="AB797" s="3">
        <f t="shared" si="290"/>
        <v>110000.00000000001</v>
      </c>
      <c r="AC797" s="3">
        <f t="shared" si="291"/>
        <v>1500000</v>
      </c>
      <c r="AD797" s="3">
        <f t="shared" si="292"/>
        <v>450000</v>
      </c>
      <c r="AE797" s="5">
        <f t="shared" si="293"/>
        <v>4.4117647058823533</v>
      </c>
      <c r="AF797" s="10">
        <f t="shared" si="294"/>
        <v>545600.00000000012</v>
      </c>
      <c r="AG797" s="10">
        <f t="shared" si="295"/>
        <v>176000.00000000003</v>
      </c>
      <c r="AH797" s="10">
        <f t="shared" si="296"/>
        <v>88000.000000000015</v>
      </c>
      <c r="AI797" s="10">
        <f t="shared" si="297"/>
        <v>44000.000000000007</v>
      </c>
      <c r="AJ797" s="10">
        <f t="shared" si="298"/>
        <v>26400.000000000004</v>
      </c>
    </row>
    <row r="798" spans="1:36" x14ac:dyDescent="0.3">
      <c r="A798" t="s">
        <v>3134</v>
      </c>
      <c r="B798" t="s">
        <v>3135</v>
      </c>
      <c r="C798" t="s">
        <v>3136</v>
      </c>
      <c r="D798" t="s">
        <v>184</v>
      </c>
      <c r="E798">
        <v>45601</v>
      </c>
      <c r="F798" t="s">
        <v>15</v>
      </c>
      <c r="G798">
        <v>8</v>
      </c>
      <c r="H798">
        <v>250</v>
      </c>
      <c r="I798" t="str" cm="1">
        <f t="array" ref="I798">_xlfn.IFS(H798&lt;=120,"V1",H798&lt;=150,"V2",H798&lt;=250,"V3", H798&lt;=350, "V4")</f>
        <v>V3</v>
      </c>
      <c r="J798" t="s">
        <v>3137</v>
      </c>
      <c r="K798" t="str">
        <f t="shared" si="276"/>
        <v>39.35835</v>
      </c>
      <c r="L798" t="str">
        <f t="shared" si="277"/>
        <v>-82.977277</v>
      </c>
      <c r="M798">
        <v>190</v>
      </c>
      <c r="N798" s="1">
        <v>44086</v>
      </c>
      <c r="O798" s="1">
        <v>46099</v>
      </c>
      <c r="P798" s="2">
        <f t="shared" si="278"/>
        <v>5.5112936344969201</v>
      </c>
      <c r="Q798" s="2" t="str">
        <f t="shared" si="279"/>
        <v>Mid</v>
      </c>
      <c r="R798">
        <f t="shared" si="280"/>
        <v>2000</v>
      </c>
      <c r="S798" t="str">
        <f t="shared" si="281"/>
        <v>Small</v>
      </c>
      <c r="T798" t="str">
        <f t="shared" si="282"/>
        <v>Lower EV Adoption Corridor</v>
      </c>
      <c r="U798" s="3">
        <f t="shared" si="283"/>
        <v>3600000</v>
      </c>
      <c r="V798" s="4">
        <f t="shared" si="284"/>
        <v>880000.00000000012</v>
      </c>
      <c r="W798" s="3">
        <f t="shared" si="285"/>
        <v>12000000</v>
      </c>
      <c r="X798" s="3">
        <f t="shared" si="286"/>
        <v>6600000.0000000009</v>
      </c>
      <c r="Y798">
        <f t="shared" si="287"/>
        <v>0.31515151515151513</v>
      </c>
      <c r="Z798">
        <f t="shared" si="288"/>
        <v>0.75555555555555554</v>
      </c>
      <c r="AA798" t="str">
        <f t="shared" si="289"/>
        <v>Tier 2 - Growth Markets</v>
      </c>
      <c r="AB798" s="3">
        <f t="shared" si="290"/>
        <v>110000.00000000001</v>
      </c>
      <c r="AC798" s="3">
        <f t="shared" si="291"/>
        <v>1500000</v>
      </c>
      <c r="AD798" s="3">
        <f t="shared" si="292"/>
        <v>450000</v>
      </c>
      <c r="AE798" s="5">
        <f t="shared" si="293"/>
        <v>4.4117647058823533</v>
      </c>
      <c r="AF798" s="10">
        <f t="shared" si="294"/>
        <v>545600.00000000012</v>
      </c>
      <c r="AG798" s="10">
        <f t="shared" si="295"/>
        <v>176000.00000000003</v>
      </c>
      <c r="AH798" s="10">
        <f t="shared" si="296"/>
        <v>88000.000000000015</v>
      </c>
      <c r="AI798" s="10">
        <f t="shared" si="297"/>
        <v>44000.000000000007</v>
      </c>
      <c r="AJ798" s="10">
        <f t="shared" si="298"/>
        <v>26400.000000000004</v>
      </c>
    </row>
    <row r="799" spans="1:36" x14ac:dyDescent="0.3">
      <c r="A799" t="s">
        <v>3138</v>
      </c>
      <c r="B799" t="s">
        <v>3139</v>
      </c>
      <c r="C799" t="s">
        <v>3140</v>
      </c>
      <c r="D799" t="s">
        <v>14</v>
      </c>
      <c r="E799">
        <v>95062</v>
      </c>
      <c r="F799" t="s">
        <v>15</v>
      </c>
      <c r="G799">
        <v>16</v>
      </c>
      <c r="H799">
        <v>250</v>
      </c>
      <c r="I799" t="str" cm="1">
        <f t="array" ref="I799">_xlfn.IFS(H799&lt;=120,"V1",H799&lt;=150,"V2",H799&lt;=250,"V3", H799&lt;=350, "V4")</f>
        <v>V3</v>
      </c>
      <c r="J799" t="s">
        <v>3141</v>
      </c>
      <c r="K799" t="str">
        <f t="shared" si="276"/>
        <v>36.978635</v>
      </c>
      <c r="L799" t="str">
        <f t="shared" si="277"/>
        <v>-122.013968</v>
      </c>
      <c r="M799">
        <v>23</v>
      </c>
      <c r="N799" s="1">
        <v>44028</v>
      </c>
      <c r="O799" s="1">
        <v>46099</v>
      </c>
      <c r="P799" s="2">
        <f t="shared" si="278"/>
        <v>5.6700889801505818</v>
      </c>
      <c r="Q799" s="2" t="str">
        <f t="shared" si="279"/>
        <v>Mid</v>
      </c>
      <c r="R799">
        <f t="shared" si="280"/>
        <v>4000</v>
      </c>
      <c r="S799" t="str">
        <f t="shared" si="281"/>
        <v>Small</v>
      </c>
      <c r="T799" t="str">
        <f t="shared" si="282"/>
        <v>High EV Adoption Corridor</v>
      </c>
      <c r="U799" s="3">
        <f t="shared" si="283"/>
        <v>9360000</v>
      </c>
      <c r="V799" s="4">
        <f t="shared" si="284"/>
        <v>2112000</v>
      </c>
      <c r="W799" s="3">
        <f t="shared" si="285"/>
        <v>26400000.000000004</v>
      </c>
      <c r="X799" s="3">
        <f t="shared" si="286"/>
        <v>19800000.000000004</v>
      </c>
      <c r="Y799">
        <f t="shared" si="287"/>
        <v>0.23999999999999996</v>
      </c>
      <c r="Z799">
        <f t="shared" si="288"/>
        <v>0.77435897435897438</v>
      </c>
      <c r="AA799" t="str">
        <f t="shared" si="289"/>
        <v>Tier 1 - Priority Fleet</v>
      </c>
      <c r="AB799" s="3">
        <f t="shared" si="290"/>
        <v>132000</v>
      </c>
      <c r="AC799" s="3">
        <f t="shared" si="291"/>
        <v>1650000.0000000002</v>
      </c>
      <c r="AD799" s="3">
        <f t="shared" si="292"/>
        <v>585000</v>
      </c>
      <c r="AE799" s="5">
        <f t="shared" si="293"/>
        <v>3.6423841059602653</v>
      </c>
      <c r="AF799" s="10">
        <f t="shared" si="294"/>
        <v>1309440</v>
      </c>
      <c r="AG799" s="10">
        <f t="shared" si="295"/>
        <v>422400</v>
      </c>
      <c r="AH799" s="10">
        <f t="shared" si="296"/>
        <v>211200</v>
      </c>
      <c r="AI799" s="10">
        <f t="shared" si="297"/>
        <v>105600</v>
      </c>
      <c r="AJ799" s="10">
        <f t="shared" si="298"/>
        <v>63360</v>
      </c>
    </row>
    <row r="800" spans="1:36" x14ac:dyDescent="0.3">
      <c r="A800" t="s">
        <v>3142</v>
      </c>
      <c r="B800" t="s">
        <v>3143</v>
      </c>
      <c r="C800" t="s">
        <v>3144</v>
      </c>
      <c r="D800" t="s">
        <v>143</v>
      </c>
      <c r="E800">
        <v>88415</v>
      </c>
      <c r="F800" t="s">
        <v>15</v>
      </c>
      <c r="G800">
        <v>8</v>
      </c>
      <c r="H800">
        <v>250</v>
      </c>
      <c r="I800" t="str" cm="1">
        <f t="array" ref="I800">_xlfn.IFS(H800&lt;=120,"V1",H800&lt;=150,"V2",H800&lt;=250,"V3", H800&lt;=350, "V4")</f>
        <v>V3</v>
      </c>
      <c r="J800" t="s">
        <v>3145</v>
      </c>
      <c r="K800" t="str">
        <f t="shared" si="276"/>
        <v>36.449444</v>
      </c>
      <c r="L800" t="str">
        <f t="shared" si="277"/>
        <v>-103.182028</v>
      </c>
      <c r="M800">
        <v>1540</v>
      </c>
      <c r="N800" s="1">
        <v>44288</v>
      </c>
      <c r="O800" s="1">
        <v>46099</v>
      </c>
      <c r="P800" s="2">
        <f t="shared" si="278"/>
        <v>4.9582477754962353</v>
      </c>
      <c r="Q800" s="2" t="str">
        <f t="shared" si="279"/>
        <v>Mid</v>
      </c>
      <c r="R800">
        <f t="shared" si="280"/>
        <v>2000</v>
      </c>
      <c r="S800" t="str">
        <f t="shared" si="281"/>
        <v>Small</v>
      </c>
      <c r="T800" t="str">
        <f t="shared" si="282"/>
        <v>Lower EV Adoption Corridor</v>
      </c>
      <c r="U800" s="3">
        <f t="shared" si="283"/>
        <v>3600000</v>
      </c>
      <c r="V800" s="4">
        <f t="shared" si="284"/>
        <v>880000.00000000012</v>
      </c>
      <c r="W800" s="3">
        <f t="shared" si="285"/>
        <v>12000000</v>
      </c>
      <c r="X800" s="3">
        <f t="shared" si="286"/>
        <v>6600000.0000000009</v>
      </c>
      <c r="Y800">
        <f t="shared" si="287"/>
        <v>0.31515151515151513</v>
      </c>
      <c r="Z800">
        <f t="shared" si="288"/>
        <v>0.75555555555555554</v>
      </c>
      <c r="AA800" t="str">
        <f t="shared" si="289"/>
        <v>Tier 2 - Growth Markets</v>
      </c>
      <c r="AB800" s="3">
        <f t="shared" si="290"/>
        <v>110000.00000000001</v>
      </c>
      <c r="AC800" s="3">
        <f t="shared" si="291"/>
        <v>1500000</v>
      </c>
      <c r="AD800" s="3">
        <f t="shared" si="292"/>
        <v>450000</v>
      </c>
      <c r="AE800" s="5">
        <f t="shared" si="293"/>
        <v>4.4117647058823533</v>
      </c>
      <c r="AF800" s="10">
        <f t="shared" si="294"/>
        <v>545600.00000000012</v>
      </c>
      <c r="AG800" s="10">
        <f t="shared" si="295"/>
        <v>176000.00000000003</v>
      </c>
      <c r="AH800" s="10">
        <f t="shared" si="296"/>
        <v>88000.000000000015</v>
      </c>
      <c r="AI800" s="10">
        <f t="shared" si="297"/>
        <v>44000.000000000007</v>
      </c>
      <c r="AJ800" s="10">
        <f t="shared" si="298"/>
        <v>26400.000000000004</v>
      </c>
    </row>
    <row r="801" spans="1:36" x14ac:dyDescent="0.3">
      <c r="A801" t="s">
        <v>3146</v>
      </c>
      <c r="B801" t="s">
        <v>3147</v>
      </c>
      <c r="C801" t="s">
        <v>3148</v>
      </c>
      <c r="D801" t="s">
        <v>230</v>
      </c>
      <c r="E801">
        <v>98011</v>
      </c>
      <c r="F801" t="s">
        <v>15</v>
      </c>
      <c r="G801">
        <v>10</v>
      </c>
      <c r="H801">
        <v>72</v>
      </c>
      <c r="I801" t="str" cm="1">
        <f t="array" ref="I801">_xlfn.IFS(H801&lt;=120,"V1",H801&lt;=150,"V2",H801&lt;=250,"V3", H801&lt;=350, "V4")</f>
        <v>V1</v>
      </c>
      <c r="J801" t="s">
        <v>3149</v>
      </c>
      <c r="K801" t="str">
        <f t="shared" si="276"/>
        <v>47.767606</v>
      </c>
      <c r="L801" t="str">
        <f t="shared" si="277"/>
        <v>-122.191712</v>
      </c>
      <c r="M801">
        <v>24</v>
      </c>
      <c r="N801" s="1">
        <v>44020</v>
      </c>
      <c r="O801" s="1">
        <v>46099</v>
      </c>
      <c r="P801" s="2">
        <f t="shared" si="278"/>
        <v>5.6919917864476384</v>
      </c>
      <c r="Q801" s="2" t="str">
        <f t="shared" si="279"/>
        <v>Mid</v>
      </c>
      <c r="R801">
        <f t="shared" si="280"/>
        <v>720</v>
      </c>
      <c r="S801" t="str">
        <f t="shared" si="281"/>
        <v>Small</v>
      </c>
      <c r="T801" t="str">
        <f t="shared" si="282"/>
        <v>High EV Adoption Corridor</v>
      </c>
      <c r="U801" s="3">
        <f t="shared" si="283"/>
        <v>1404000</v>
      </c>
      <c r="V801" s="4">
        <f t="shared" si="284"/>
        <v>311040</v>
      </c>
      <c r="W801" s="3">
        <f t="shared" si="285"/>
        <v>3168000.0000000005</v>
      </c>
      <c r="X801" s="3">
        <f t="shared" si="286"/>
        <v>2916000</v>
      </c>
      <c r="Y801">
        <f t="shared" si="287"/>
        <v>0.21530864197530863</v>
      </c>
      <c r="Z801">
        <f t="shared" si="288"/>
        <v>0.77846153846153843</v>
      </c>
      <c r="AA801" t="str">
        <f t="shared" si="289"/>
        <v>Tier 3 - Upgrade Pipeline</v>
      </c>
      <c r="AB801" s="3">
        <f t="shared" si="290"/>
        <v>31104</v>
      </c>
      <c r="AC801" s="3">
        <f t="shared" si="291"/>
        <v>316800.00000000006</v>
      </c>
      <c r="AD801" s="3">
        <f t="shared" si="292"/>
        <v>140400</v>
      </c>
      <c r="AE801" s="5">
        <f t="shared" si="293"/>
        <v>2.8985507246376816</v>
      </c>
      <c r="AF801" s="10">
        <f t="shared" si="294"/>
        <v>192844.79999999999</v>
      </c>
      <c r="AG801" s="10">
        <f t="shared" si="295"/>
        <v>62208</v>
      </c>
      <c r="AH801" s="10">
        <f t="shared" si="296"/>
        <v>31104</v>
      </c>
      <c r="AI801" s="10">
        <f t="shared" si="297"/>
        <v>15552</v>
      </c>
      <c r="AJ801" s="10">
        <f t="shared" si="298"/>
        <v>9331.1999999999989</v>
      </c>
    </row>
    <row r="802" spans="1:36" x14ac:dyDescent="0.3">
      <c r="A802" t="s">
        <v>3150</v>
      </c>
      <c r="B802" t="s">
        <v>3151</v>
      </c>
      <c r="C802" t="s">
        <v>3152</v>
      </c>
      <c r="D802" t="s">
        <v>28</v>
      </c>
      <c r="E802">
        <v>31525</v>
      </c>
      <c r="F802" t="s">
        <v>15</v>
      </c>
      <c r="G802">
        <v>24</v>
      </c>
      <c r="H802">
        <v>250</v>
      </c>
      <c r="I802" t="str" cm="1">
        <f t="array" ref="I802">_xlfn.IFS(H802&lt;=120,"V1",H802&lt;=150,"V2",H802&lt;=250,"V3", H802&lt;=350, "V4")</f>
        <v>V3</v>
      </c>
      <c r="J802" t="s">
        <v>3153</v>
      </c>
      <c r="K802" t="str">
        <f t="shared" si="276"/>
        <v>31.245874</v>
      </c>
      <c r="L802" t="str">
        <f t="shared" si="277"/>
        <v>-81.501667</v>
      </c>
      <c r="M802">
        <v>9</v>
      </c>
      <c r="N802" s="1">
        <v>44061</v>
      </c>
      <c r="O802" s="1">
        <v>46099</v>
      </c>
      <c r="P802" s="2">
        <f t="shared" si="278"/>
        <v>5.5797399041752227</v>
      </c>
      <c r="Q802" s="2" t="str">
        <f t="shared" si="279"/>
        <v>Mid</v>
      </c>
      <c r="R802">
        <f t="shared" si="280"/>
        <v>6000</v>
      </c>
      <c r="S802" t="str">
        <f t="shared" si="281"/>
        <v>Small</v>
      </c>
      <c r="T802" t="str">
        <f t="shared" si="282"/>
        <v>Lower EV Adoption Corridor</v>
      </c>
      <c r="U802" s="3">
        <f t="shared" si="283"/>
        <v>10800000</v>
      </c>
      <c r="V802" s="4">
        <f t="shared" si="284"/>
        <v>2640000</v>
      </c>
      <c r="W802" s="3">
        <f t="shared" si="285"/>
        <v>36000000</v>
      </c>
      <c r="X802" s="3">
        <f t="shared" si="286"/>
        <v>19800000</v>
      </c>
      <c r="Y802">
        <f t="shared" si="287"/>
        <v>0.31515151515151513</v>
      </c>
      <c r="Z802">
        <f t="shared" si="288"/>
        <v>0.75555555555555554</v>
      </c>
      <c r="AA802" t="str">
        <f t="shared" si="289"/>
        <v>Tier 2 - Growth Markets</v>
      </c>
      <c r="AB802" s="3">
        <f t="shared" si="290"/>
        <v>110000</v>
      </c>
      <c r="AC802" s="3">
        <f t="shared" si="291"/>
        <v>1500000</v>
      </c>
      <c r="AD802" s="3">
        <f t="shared" si="292"/>
        <v>450000</v>
      </c>
      <c r="AE802" s="5">
        <f t="shared" si="293"/>
        <v>4.4117647058823533</v>
      </c>
      <c r="AF802" s="10">
        <f t="shared" si="294"/>
        <v>1636800</v>
      </c>
      <c r="AG802" s="10">
        <f t="shared" si="295"/>
        <v>528000</v>
      </c>
      <c r="AH802" s="10">
        <f t="shared" si="296"/>
        <v>264000</v>
      </c>
      <c r="AI802" s="10">
        <f t="shared" si="297"/>
        <v>132000</v>
      </c>
      <c r="AJ802" s="10">
        <f t="shared" si="298"/>
        <v>79200</v>
      </c>
    </row>
    <row r="803" spans="1:36" x14ac:dyDescent="0.3">
      <c r="A803" t="s">
        <v>3154</v>
      </c>
      <c r="B803" t="s">
        <v>3155</v>
      </c>
      <c r="C803" t="s">
        <v>3156</v>
      </c>
      <c r="D803" t="s">
        <v>648</v>
      </c>
      <c r="E803">
        <v>83336</v>
      </c>
      <c r="F803" t="s">
        <v>15</v>
      </c>
      <c r="G803">
        <v>8</v>
      </c>
      <c r="H803">
        <v>250</v>
      </c>
      <c r="I803" t="str" cm="1">
        <f t="array" ref="I803">_xlfn.IFS(H803&lt;=120,"V1",H803&lt;=150,"V2",H803&lt;=250,"V3", H803&lt;=350, "V4")</f>
        <v>V3</v>
      </c>
      <c r="J803" t="s">
        <v>3157</v>
      </c>
      <c r="K803" t="str">
        <f t="shared" si="276"/>
        <v>42.56159</v>
      </c>
      <c r="L803" t="str">
        <f t="shared" si="277"/>
        <v>-113.790261</v>
      </c>
      <c r="M803">
        <v>1264</v>
      </c>
      <c r="N803" s="1">
        <v>44020</v>
      </c>
      <c r="O803" s="1">
        <v>46099</v>
      </c>
      <c r="P803" s="2">
        <f t="shared" si="278"/>
        <v>5.6919917864476384</v>
      </c>
      <c r="Q803" s="2" t="str">
        <f t="shared" si="279"/>
        <v>Mid</v>
      </c>
      <c r="R803">
        <f t="shared" si="280"/>
        <v>2000</v>
      </c>
      <c r="S803" t="str">
        <f t="shared" si="281"/>
        <v>Small</v>
      </c>
      <c r="T803" t="str">
        <f t="shared" si="282"/>
        <v>Lower EV Adoption Corridor</v>
      </c>
      <c r="U803" s="3">
        <f t="shared" si="283"/>
        <v>3600000</v>
      </c>
      <c r="V803" s="4">
        <f t="shared" si="284"/>
        <v>880000.00000000012</v>
      </c>
      <c r="W803" s="3">
        <f t="shared" si="285"/>
        <v>12000000</v>
      </c>
      <c r="X803" s="3">
        <f t="shared" si="286"/>
        <v>6600000.0000000009</v>
      </c>
      <c r="Y803">
        <f t="shared" si="287"/>
        <v>0.31515151515151513</v>
      </c>
      <c r="Z803">
        <f t="shared" si="288"/>
        <v>0.75555555555555554</v>
      </c>
      <c r="AA803" t="str">
        <f t="shared" si="289"/>
        <v>Tier 2 - Growth Markets</v>
      </c>
      <c r="AB803" s="3">
        <f t="shared" si="290"/>
        <v>110000.00000000001</v>
      </c>
      <c r="AC803" s="3">
        <f t="shared" si="291"/>
        <v>1500000</v>
      </c>
      <c r="AD803" s="3">
        <f t="shared" si="292"/>
        <v>450000</v>
      </c>
      <c r="AE803" s="5">
        <f t="shared" si="293"/>
        <v>4.4117647058823533</v>
      </c>
      <c r="AF803" s="10">
        <f t="shared" si="294"/>
        <v>545600.00000000012</v>
      </c>
      <c r="AG803" s="10">
        <f t="shared" si="295"/>
        <v>176000.00000000003</v>
      </c>
      <c r="AH803" s="10">
        <f t="shared" si="296"/>
        <v>88000.000000000015</v>
      </c>
      <c r="AI803" s="10">
        <f t="shared" si="297"/>
        <v>44000.000000000007</v>
      </c>
      <c r="AJ803" s="10">
        <f t="shared" si="298"/>
        <v>26400.000000000004</v>
      </c>
    </row>
    <row r="804" spans="1:36" x14ac:dyDescent="0.3">
      <c r="A804" t="s">
        <v>3158</v>
      </c>
      <c r="B804" t="s">
        <v>3159</v>
      </c>
      <c r="C804" t="s">
        <v>3160</v>
      </c>
      <c r="D804" t="s">
        <v>14</v>
      </c>
      <c r="E804">
        <v>95356</v>
      </c>
      <c r="F804" t="s">
        <v>15</v>
      </c>
      <c r="G804">
        <v>12</v>
      </c>
      <c r="H804">
        <v>250</v>
      </c>
      <c r="I804" t="str" cm="1">
        <f t="array" ref="I804">_xlfn.IFS(H804&lt;=120,"V1",H804&lt;=150,"V2",H804&lt;=250,"V3", H804&lt;=350, "V4")</f>
        <v>V3</v>
      </c>
      <c r="J804" t="s">
        <v>3161</v>
      </c>
      <c r="K804" t="str">
        <f t="shared" si="276"/>
        <v>37.694343</v>
      </c>
      <c r="L804" t="str">
        <f t="shared" si="277"/>
        <v>-121.064215</v>
      </c>
      <c r="M804">
        <v>22</v>
      </c>
      <c r="N804" s="1">
        <v>44025</v>
      </c>
      <c r="O804" s="1">
        <v>46099</v>
      </c>
      <c r="P804" s="2">
        <f t="shared" si="278"/>
        <v>5.678302532511978</v>
      </c>
      <c r="Q804" s="2" t="str">
        <f t="shared" si="279"/>
        <v>Mid</v>
      </c>
      <c r="R804">
        <f t="shared" si="280"/>
        <v>3000</v>
      </c>
      <c r="S804" t="str">
        <f t="shared" si="281"/>
        <v>Small</v>
      </c>
      <c r="T804" t="str">
        <f t="shared" si="282"/>
        <v>High EV Adoption Corridor</v>
      </c>
      <c r="U804" s="3">
        <f t="shared" si="283"/>
        <v>7020000</v>
      </c>
      <c r="V804" s="4">
        <f t="shared" si="284"/>
        <v>1584000</v>
      </c>
      <c r="W804" s="3">
        <f t="shared" si="285"/>
        <v>19800000</v>
      </c>
      <c r="X804" s="3">
        <f t="shared" si="286"/>
        <v>14850000</v>
      </c>
      <c r="Y804">
        <f t="shared" si="287"/>
        <v>0.24</v>
      </c>
      <c r="Z804">
        <f t="shared" si="288"/>
        <v>0.77435897435897438</v>
      </c>
      <c r="AA804" t="str">
        <f t="shared" si="289"/>
        <v>Tier 1 - Priority Fleet</v>
      </c>
      <c r="AB804" s="3">
        <f t="shared" si="290"/>
        <v>132000</v>
      </c>
      <c r="AC804" s="3">
        <f t="shared" si="291"/>
        <v>1650000</v>
      </c>
      <c r="AD804" s="3">
        <f t="shared" si="292"/>
        <v>585000</v>
      </c>
      <c r="AE804" s="5">
        <f t="shared" si="293"/>
        <v>3.6423841059602649</v>
      </c>
      <c r="AF804" s="10">
        <f t="shared" si="294"/>
        <v>982080</v>
      </c>
      <c r="AG804" s="10">
        <f t="shared" si="295"/>
        <v>316800</v>
      </c>
      <c r="AH804" s="10">
        <f t="shared" si="296"/>
        <v>158400</v>
      </c>
      <c r="AI804" s="10">
        <f t="shared" si="297"/>
        <v>79200</v>
      </c>
      <c r="AJ804" s="10">
        <f t="shared" si="298"/>
        <v>47520</v>
      </c>
    </row>
    <row r="805" spans="1:36" x14ac:dyDescent="0.3">
      <c r="A805" t="s">
        <v>3162</v>
      </c>
      <c r="B805" t="s">
        <v>3163</v>
      </c>
      <c r="C805" t="s">
        <v>3164</v>
      </c>
      <c r="D805" t="s">
        <v>299</v>
      </c>
      <c r="E805">
        <v>23901</v>
      </c>
      <c r="F805" t="s">
        <v>15</v>
      </c>
      <c r="G805">
        <v>8</v>
      </c>
      <c r="H805">
        <v>250</v>
      </c>
      <c r="I805" t="str" cm="1">
        <f t="array" ref="I805">_xlfn.IFS(H805&lt;=120,"V1",H805&lt;=150,"V2",H805&lt;=250,"V3", H805&lt;=350, "V4")</f>
        <v>V3</v>
      </c>
      <c r="J805" t="s">
        <v>3165</v>
      </c>
      <c r="K805" t="str">
        <f t="shared" si="276"/>
        <v>37.271854</v>
      </c>
      <c r="L805" t="str">
        <f t="shared" si="277"/>
        <v>-78.401442</v>
      </c>
      <c r="M805">
        <v>137</v>
      </c>
      <c r="N805" s="1">
        <v>44007</v>
      </c>
      <c r="O805" s="1">
        <v>46099</v>
      </c>
      <c r="P805" s="2">
        <f t="shared" si="278"/>
        <v>5.7275838466803561</v>
      </c>
      <c r="Q805" s="2" t="str">
        <f t="shared" si="279"/>
        <v>Mid</v>
      </c>
      <c r="R805">
        <f t="shared" si="280"/>
        <v>2000</v>
      </c>
      <c r="S805" t="str">
        <f t="shared" si="281"/>
        <v>Small</v>
      </c>
      <c r="T805" t="str">
        <f t="shared" si="282"/>
        <v>Lower EV Adoption Corridor</v>
      </c>
      <c r="U805" s="3">
        <f t="shared" si="283"/>
        <v>3600000</v>
      </c>
      <c r="V805" s="4">
        <f t="shared" si="284"/>
        <v>880000.00000000012</v>
      </c>
      <c r="W805" s="3">
        <f t="shared" si="285"/>
        <v>12000000</v>
      </c>
      <c r="X805" s="3">
        <f t="shared" si="286"/>
        <v>6600000.0000000009</v>
      </c>
      <c r="Y805">
        <f t="shared" si="287"/>
        <v>0.31515151515151513</v>
      </c>
      <c r="Z805">
        <f t="shared" si="288"/>
        <v>0.75555555555555554</v>
      </c>
      <c r="AA805" t="str">
        <f t="shared" si="289"/>
        <v>Tier 2 - Growth Markets</v>
      </c>
      <c r="AB805" s="3">
        <f t="shared" si="290"/>
        <v>110000.00000000001</v>
      </c>
      <c r="AC805" s="3">
        <f t="shared" si="291"/>
        <v>1500000</v>
      </c>
      <c r="AD805" s="3">
        <f t="shared" si="292"/>
        <v>450000</v>
      </c>
      <c r="AE805" s="5">
        <f t="shared" si="293"/>
        <v>4.4117647058823533</v>
      </c>
      <c r="AF805" s="10">
        <f t="shared" si="294"/>
        <v>545600.00000000012</v>
      </c>
      <c r="AG805" s="10">
        <f t="shared" si="295"/>
        <v>176000.00000000003</v>
      </c>
      <c r="AH805" s="10">
        <f t="shared" si="296"/>
        <v>88000.000000000015</v>
      </c>
      <c r="AI805" s="10">
        <f t="shared" si="297"/>
        <v>44000.000000000007</v>
      </c>
      <c r="AJ805" s="10">
        <f t="shared" si="298"/>
        <v>26400.000000000004</v>
      </c>
    </row>
    <row r="806" spans="1:36" x14ac:dyDescent="0.3">
      <c r="A806" t="s">
        <v>3166</v>
      </c>
      <c r="B806" t="s">
        <v>3167</v>
      </c>
      <c r="C806" t="s">
        <v>856</v>
      </c>
      <c r="D806" t="s">
        <v>852</v>
      </c>
      <c r="E806">
        <v>7081</v>
      </c>
      <c r="F806" t="s">
        <v>15</v>
      </c>
      <c r="G806">
        <v>8</v>
      </c>
      <c r="H806">
        <v>250</v>
      </c>
      <c r="I806" t="str" cm="1">
        <f t="array" ref="I806">_xlfn.IFS(H806&lt;=120,"V1",H806&lt;=150,"V2",H806&lt;=250,"V3", H806&lt;=350, "V4")</f>
        <v>V3</v>
      </c>
      <c r="J806" t="s">
        <v>3168</v>
      </c>
      <c r="K806" t="str">
        <f t="shared" si="276"/>
        <v>40.717706</v>
      </c>
      <c r="L806" t="str">
        <f t="shared" si="277"/>
        <v>-74.329462</v>
      </c>
      <c r="M806">
        <v>53</v>
      </c>
      <c r="N806" s="1">
        <v>44042</v>
      </c>
      <c r="O806" s="1">
        <v>46099</v>
      </c>
      <c r="P806" s="2">
        <f t="shared" si="278"/>
        <v>5.631759069130732</v>
      </c>
      <c r="Q806" s="2" t="str">
        <f t="shared" si="279"/>
        <v>Mid</v>
      </c>
      <c r="R806">
        <f t="shared" si="280"/>
        <v>2000</v>
      </c>
      <c r="S806" t="str">
        <f t="shared" si="281"/>
        <v>Small</v>
      </c>
      <c r="T806" t="str">
        <f t="shared" si="282"/>
        <v>High EV Adoption Corridor</v>
      </c>
      <c r="U806" s="3">
        <f t="shared" si="283"/>
        <v>4680000</v>
      </c>
      <c r="V806" s="4">
        <f t="shared" si="284"/>
        <v>1056000</v>
      </c>
      <c r="W806" s="3">
        <f t="shared" si="285"/>
        <v>13200000.000000002</v>
      </c>
      <c r="X806" s="3">
        <f t="shared" si="286"/>
        <v>9900000.0000000019</v>
      </c>
      <c r="Y806">
        <f t="shared" si="287"/>
        <v>0.23999999999999996</v>
      </c>
      <c r="Z806">
        <f t="shared" si="288"/>
        <v>0.77435897435897438</v>
      </c>
      <c r="AA806" t="str">
        <f t="shared" si="289"/>
        <v>Tier 1 - Priority Fleet</v>
      </c>
      <c r="AB806" s="3">
        <f t="shared" si="290"/>
        <v>132000</v>
      </c>
      <c r="AC806" s="3">
        <f t="shared" si="291"/>
        <v>1650000.0000000002</v>
      </c>
      <c r="AD806" s="3">
        <f t="shared" si="292"/>
        <v>585000</v>
      </c>
      <c r="AE806" s="5">
        <f t="shared" si="293"/>
        <v>3.6423841059602653</v>
      </c>
      <c r="AF806" s="10">
        <f t="shared" si="294"/>
        <v>654720</v>
      </c>
      <c r="AG806" s="10">
        <f t="shared" si="295"/>
        <v>211200</v>
      </c>
      <c r="AH806" s="10">
        <f t="shared" si="296"/>
        <v>105600</v>
      </c>
      <c r="AI806" s="10">
        <f t="shared" si="297"/>
        <v>52800</v>
      </c>
      <c r="AJ806" s="10">
        <f t="shared" si="298"/>
        <v>31680</v>
      </c>
    </row>
    <row r="807" spans="1:36" x14ac:dyDescent="0.3">
      <c r="A807" t="s">
        <v>3169</v>
      </c>
      <c r="B807" t="s">
        <v>3170</v>
      </c>
      <c r="C807" t="s">
        <v>3171</v>
      </c>
      <c r="D807" t="s">
        <v>852</v>
      </c>
      <c r="E807">
        <v>8096</v>
      </c>
      <c r="F807" t="s">
        <v>15</v>
      </c>
      <c r="G807">
        <v>12</v>
      </c>
      <c r="H807">
        <v>150</v>
      </c>
      <c r="I807" t="str" cm="1">
        <f t="array" ref="I807">_xlfn.IFS(H807&lt;=120,"V1",H807&lt;=150,"V2",H807&lt;=250,"V3", H807&lt;=350, "V4")</f>
        <v>V2</v>
      </c>
      <c r="J807" t="s">
        <v>3172</v>
      </c>
      <c r="K807" t="str">
        <f t="shared" si="276"/>
        <v>39.833413</v>
      </c>
      <c r="L807" t="str">
        <f t="shared" si="277"/>
        <v>-75.097737</v>
      </c>
      <c r="M807">
        <v>15</v>
      </c>
      <c r="N807" s="1">
        <v>44041</v>
      </c>
      <c r="O807" s="1">
        <v>46099</v>
      </c>
      <c r="P807" s="2">
        <f t="shared" si="278"/>
        <v>5.6344969199178641</v>
      </c>
      <c r="Q807" s="2" t="str">
        <f t="shared" si="279"/>
        <v>Mid</v>
      </c>
      <c r="R807">
        <f t="shared" si="280"/>
        <v>1800</v>
      </c>
      <c r="S807" t="str">
        <f t="shared" si="281"/>
        <v>Small</v>
      </c>
      <c r="T807" t="str">
        <f t="shared" si="282"/>
        <v>High EV Adoption Corridor</v>
      </c>
      <c r="U807" s="3">
        <f t="shared" si="283"/>
        <v>3861000.0000000009</v>
      </c>
      <c r="V807" s="4">
        <f t="shared" si="284"/>
        <v>864000</v>
      </c>
      <c r="W807" s="3">
        <f t="shared" si="285"/>
        <v>9900000</v>
      </c>
      <c r="X807" s="3">
        <f t="shared" si="286"/>
        <v>8100000</v>
      </c>
      <c r="Y807">
        <f t="shared" si="287"/>
        <v>0.22888888888888889</v>
      </c>
      <c r="Z807">
        <f t="shared" si="288"/>
        <v>0.77622377622377625</v>
      </c>
      <c r="AA807" t="str">
        <f t="shared" si="289"/>
        <v>Tier 3 - Upgrade Pipeline</v>
      </c>
      <c r="AB807" s="3">
        <f t="shared" si="290"/>
        <v>72000</v>
      </c>
      <c r="AC807" s="3">
        <f t="shared" si="291"/>
        <v>825000</v>
      </c>
      <c r="AD807" s="3">
        <f t="shared" si="292"/>
        <v>321750.00000000006</v>
      </c>
      <c r="AE807" s="5">
        <f t="shared" si="293"/>
        <v>3.3033033033033021</v>
      </c>
      <c r="AF807" s="10">
        <f t="shared" si="294"/>
        <v>535680</v>
      </c>
      <c r="AG807" s="10">
        <f t="shared" si="295"/>
        <v>172800</v>
      </c>
      <c r="AH807" s="10">
        <f t="shared" si="296"/>
        <v>86400</v>
      </c>
      <c r="AI807" s="10">
        <f t="shared" si="297"/>
        <v>43200</v>
      </c>
      <c r="AJ807" s="10">
        <f t="shared" si="298"/>
        <v>25920</v>
      </c>
    </row>
    <row r="808" spans="1:36" x14ac:dyDescent="0.3">
      <c r="A808" t="s">
        <v>3173</v>
      </c>
      <c r="B808" t="s">
        <v>3174</v>
      </c>
      <c r="C808" t="s">
        <v>3175</v>
      </c>
      <c r="D808" t="s">
        <v>268</v>
      </c>
      <c r="E808">
        <v>81401</v>
      </c>
      <c r="F808" t="s">
        <v>15</v>
      </c>
      <c r="G808">
        <v>8</v>
      </c>
      <c r="H808">
        <v>250</v>
      </c>
      <c r="I808" t="str" cm="1">
        <f t="array" ref="I808">_xlfn.IFS(H808&lt;=120,"V1",H808&lt;=150,"V2",H808&lt;=250,"V3", H808&lt;=350, "V4")</f>
        <v>V3</v>
      </c>
      <c r="J808" t="s">
        <v>3176</v>
      </c>
      <c r="K808" t="str">
        <f t="shared" si="276"/>
        <v>38.481242</v>
      </c>
      <c r="L808" t="str">
        <f t="shared" si="277"/>
        <v>-107.876472</v>
      </c>
      <c r="M808">
        <v>1769</v>
      </c>
      <c r="N808" s="1">
        <v>44183</v>
      </c>
      <c r="O808" s="1">
        <v>46099</v>
      </c>
      <c r="P808" s="2">
        <f t="shared" si="278"/>
        <v>5.245722108145106</v>
      </c>
      <c r="Q808" s="2" t="str">
        <f t="shared" si="279"/>
        <v>Mid</v>
      </c>
      <c r="R808">
        <f t="shared" si="280"/>
        <v>2000</v>
      </c>
      <c r="S808" t="str">
        <f t="shared" si="281"/>
        <v>Small</v>
      </c>
      <c r="T808" t="str">
        <f t="shared" si="282"/>
        <v>High EV Adoption Corridor</v>
      </c>
      <c r="U808" s="3">
        <f t="shared" si="283"/>
        <v>4680000</v>
      </c>
      <c r="V808" s="4">
        <f t="shared" si="284"/>
        <v>1056000</v>
      </c>
      <c r="W808" s="3">
        <f t="shared" si="285"/>
        <v>13200000.000000002</v>
      </c>
      <c r="X808" s="3">
        <f t="shared" si="286"/>
        <v>9900000.0000000019</v>
      </c>
      <c r="Y808">
        <f t="shared" si="287"/>
        <v>0.23999999999999996</v>
      </c>
      <c r="Z808">
        <f t="shared" si="288"/>
        <v>0.77435897435897438</v>
      </c>
      <c r="AA808" t="str">
        <f t="shared" si="289"/>
        <v>Tier 1 - Priority Fleet</v>
      </c>
      <c r="AB808" s="3">
        <f t="shared" si="290"/>
        <v>132000</v>
      </c>
      <c r="AC808" s="3">
        <f t="shared" si="291"/>
        <v>1650000.0000000002</v>
      </c>
      <c r="AD808" s="3">
        <f t="shared" si="292"/>
        <v>585000</v>
      </c>
      <c r="AE808" s="5">
        <f t="shared" si="293"/>
        <v>3.6423841059602653</v>
      </c>
      <c r="AF808" s="10">
        <f t="shared" si="294"/>
        <v>654720</v>
      </c>
      <c r="AG808" s="10">
        <f t="shared" si="295"/>
        <v>211200</v>
      </c>
      <c r="AH808" s="10">
        <f t="shared" si="296"/>
        <v>105600</v>
      </c>
      <c r="AI808" s="10">
        <f t="shared" si="297"/>
        <v>52800</v>
      </c>
      <c r="AJ808" s="10">
        <f t="shared" si="298"/>
        <v>31680</v>
      </c>
    </row>
    <row r="809" spans="1:36" x14ac:dyDescent="0.3">
      <c r="A809" t="s">
        <v>3177</v>
      </c>
      <c r="B809" t="s">
        <v>3178</v>
      </c>
      <c r="C809" t="s">
        <v>3179</v>
      </c>
      <c r="D809" t="s">
        <v>14</v>
      </c>
      <c r="E809">
        <v>94904</v>
      </c>
      <c r="F809" t="s">
        <v>15</v>
      </c>
      <c r="G809">
        <v>14</v>
      </c>
      <c r="H809">
        <v>72</v>
      </c>
      <c r="I809" t="str" cm="1">
        <f t="array" ref="I809">_xlfn.IFS(H809&lt;=120,"V1",H809&lt;=150,"V2",H809&lt;=250,"V3", H809&lt;=350, "V4")</f>
        <v>V1</v>
      </c>
      <c r="J809" t="s">
        <v>3180</v>
      </c>
      <c r="K809" t="str">
        <f t="shared" si="276"/>
        <v>37.944776</v>
      </c>
      <c r="L809" t="str">
        <f t="shared" si="277"/>
        <v>-122.522706</v>
      </c>
      <c r="M809">
        <v>4</v>
      </c>
      <c r="N809" s="1">
        <v>44181</v>
      </c>
      <c r="O809" s="1">
        <v>46099</v>
      </c>
      <c r="P809" s="2">
        <f t="shared" si="278"/>
        <v>5.2511978097193701</v>
      </c>
      <c r="Q809" s="2" t="str">
        <f t="shared" si="279"/>
        <v>Mid</v>
      </c>
      <c r="R809">
        <f t="shared" si="280"/>
        <v>1008</v>
      </c>
      <c r="S809" t="str">
        <f t="shared" si="281"/>
        <v>Small</v>
      </c>
      <c r="T809" t="str">
        <f t="shared" si="282"/>
        <v>High EV Adoption Corridor</v>
      </c>
      <c r="U809" s="3">
        <f t="shared" si="283"/>
        <v>1965600</v>
      </c>
      <c r="V809" s="4">
        <f t="shared" si="284"/>
        <v>435456</v>
      </c>
      <c r="W809" s="3">
        <f t="shared" si="285"/>
        <v>4435200</v>
      </c>
      <c r="X809" s="3">
        <f t="shared" si="286"/>
        <v>4082400</v>
      </c>
      <c r="Y809">
        <f t="shared" si="287"/>
        <v>0.21530864197530863</v>
      </c>
      <c r="Z809">
        <f t="shared" si="288"/>
        <v>0.77846153846153843</v>
      </c>
      <c r="AA809" t="str">
        <f t="shared" si="289"/>
        <v>Tier 3 - Upgrade Pipeline</v>
      </c>
      <c r="AB809" s="3">
        <f t="shared" si="290"/>
        <v>31104</v>
      </c>
      <c r="AC809" s="3">
        <f t="shared" si="291"/>
        <v>316800</v>
      </c>
      <c r="AD809" s="3">
        <f t="shared" si="292"/>
        <v>140400</v>
      </c>
      <c r="AE809" s="5">
        <f t="shared" si="293"/>
        <v>2.8985507246376812</v>
      </c>
      <c r="AF809" s="10">
        <f t="shared" si="294"/>
        <v>269982.71999999997</v>
      </c>
      <c r="AG809" s="10">
        <f t="shared" si="295"/>
        <v>87091.200000000012</v>
      </c>
      <c r="AH809" s="10">
        <f t="shared" si="296"/>
        <v>43545.600000000006</v>
      </c>
      <c r="AI809" s="10">
        <f t="shared" si="297"/>
        <v>21772.800000000003</v>
      </c>
      <c r="AJ809" s="10">
        <f t="shared" si="298"/>
        <v>13063.68</v>
      </c>
    </row>
    <row r="810" spans="1:36" x14ac:dyDescent="0.3">
      <c r="A810" t="s">
        <v>3181</v>
      </c>
      <c r="B810" t="s">
        <v>3182</v>
      </c>
      <c r="C810" t="s">
        <v>3183</v>
      </c>
      <c r="D810" t="s">
        <v>299</v>
      </c>
      <c r="E810">
        <v>22560</v>
      </c>
      <c r="F810" t="s">
        <v>15</v>
      </c>
      <c r="G810">
        <v>8</v>
      </c>
      <c r="H810">
        <v>250</v>
      </c>
      <c r="I810" t="str" cm="1">
        <f t="array" ref="I810">_xlfn.IFS(H810&lt;=120,"V1",H810&lt;=150,"V2",H810&lt;=250,"V3", H810&lt;=350, "V4")</f>
        <v>V3</v>
      </c>
      <c r="J810" t="s">
        <v>3184</v>
      </c>
      <c r="K810" t="str">
        <f t="shared" si="276"/>
        <v>37.903836</v>
      </c>
      <c r="L810" t="str">
        <f t="shared" si="277"/>
        <v>-76.865734</v>
      </c>
      <c r="M810">
        <v>11</v>
      </c>
      <c r="N810" s="1">
        <v>44210</v>
      </c>
      <c r="O810" s="1">
        <v>46099</v>
      </c>
      <c r="P810" s="2">
        <f t="shared" si="278"/>
        <v>5.1718001368925393</v>
      </c>
      <c r="Q810" s="2" t="str">
        <f t="shared" si="279"/>
        <v>Mid</v>
      </c>
      <c r="R810">
        <f t="shared" si="280"/>
        <v>2000</v>
      </c>
      <c r="S810" t="str">
        <f t="shared" si="281"/>
        <v>Small</v>
      </c>
      <c r="T810" t="str">
        <f t="shared" si="282"/>
        <v>Lower EV Adoption Corridor</v>
      </c>
      <c r="U810" s="3">
        <f t="shared" si="283"/>
        <v>3600000</v>
      </c>
      <c r="V810" s="4">
        <f t="shared" si="284"/>
        <v>880000.00000000012</v>
      </c>
      <c r="W810" s="3">
        <f t="shared" si="285"/>
        <v>12000000</v>
      </c>
      <c r="X810" s="3">
        <f t="shared" si="286"/>
        <v>6600000.0000000009</v>
      </c>
      <c r="Y810">
        <f t="shared" si="287"/>
        <v>0.31515151515151513</v>
      </c>
      <c r="Z810">
        <f t="shared" si="288"/>
        <v>0.75555555555555554</v>
      </c>
      <c r="AA810" t="str">
        <f t="shared" si="289"/>
        <v>Tier 2 - Growth Markets</v>
      </c>
      <c r="AB810" s="3">
        <f t="shared" si="290"/>
        <v>110000.00000000001</v>
      </c>
      <c r="AC810" s="3">
        <f t="shared" si="291"/>
        <v>1500000</v>
      </c>
      <c r="AD810" s="3">
        <f t="shared" si="292"/>
        <v>450000</v>
      </c>
      <c r="AE810" s="5">
        <f t="shared" si="293"/>
        <v>4.4117647058823533</v>
      </c>
      <c r="AF810" s="10">
        <f t="shared" si="294"/>
        <v>545600.00000000012</v>
      </c>
      <c r="AG810" s="10">
        <f t="shared" si="295"/>
        <v>176000.00000000003</v>
      </c>
      <c r="AH810" s="10">
        <f t="shared" si="296"/>
        <v>88000.000000000015</v>
      </c>
      <c r="AI810" s="10">
        <f t="shared" si="297"/>
        <v>44000.000000000007</v>
      </c>
      <c r="AJ810" s="10">
        <f t="shared" si="298"/>
        <v>26400.000000000004</v>
      </c>
    </row>
    <row r="811" spans="1:36" x14ac:dyDescent="0.3">
      <c r="A811" t="s">
        <v>3185</v>
      </c>
      <c r="B811" t="s">
        <v>3186</v>
      </c>
      <c r="C811" t="s">
        <v>3187</v>
      </c>
      <c r="D811" t="s">
        <v>41</v>
      </c>
      <c r="E811">
        <v>33809</v>
      </c>
      <c r="F811" t="s">
        <v>15</v>
      </c>
      <c r="G811">
        <v>7</v>
      </c>
      <c r="H811">
        <v>250</v>
      </c>
      <c r="I811" t="str" cm="1">
        <f t="array" ref="I811">_xlfn.IFS(H811&lt;=120,"V1",H811&lt;=150,"V2",H811&lt;=250,"V3", H811&lt;=350, "V4")</f>
        <v>V3</v>
      </c>
      <c r="J811" t="s">
        <v>3188</v>
      </c>
      <c r="K811" t="str">
        <f t="shared" si="276"/>
        <v>28.0979989</v>
      </c>
      <c r="L811" t="str">
        <f t="shared" si="277"/>
        <v>-81.9746033</v>
      </c>
      <c r="M811">
        <v>60</v>
      </c>
      <c r="N811" s="1">
        <v>44077</v>
      </c>
      <c r="O811" s="1">
        <v>46099</v>
      </c>
      <c r="P811" s="2">
        <f t="shared" si="278"/>
        <v>5.5359342915811087</v>
      </c>
      <c r="Q811" s="2" t="str">
        <f t="shared" si="279"/>
        <v>Mid</v>
      </c>
      <c r="R811">
        <f t="shared" si="280"/>
        <v>1750</v>
      </c>
      <c r="S811" t="str">
        <f t="shared" si="281"/>
        <v>Small</v>
      </c>
      <c r="T811" t="str">
        <f t="shared" si="282"/>
        <v>High EV Adoption Corridor</v>
      </c>
      <c r="U811" s="3">
        <f t="shared" si="283"/>
        <v>4095000</v>
      </c>
      <c r="V811" s="4">
        <f t="shared" si="284"/>
        <v>924000.00000000012</v>
      </c>
      <c r="W811" s="3">
        <f t="shared" si="285"/>
        <v>11550000.000000002</v>
      </c>
      <c r="X811" s="3">
        <f t="shared" si="286"/>
        <v>8662500.0000000019</v>
      </c>
      <c r="Y811">
        <f t="shared" si="287"/>
        <v>0.24</v>
      </c>
      <c r="Z811">
        <f t="shared" si="288"/>
        <v>0.77435897435897438</v>
      </c>
      <c r="AA811" t="str">
        <f t="shared" si="289"/>
        <v>Tier 1 - Priority Fleet</v>
      </c>
      <c r="AB811" s="3">
        <f t="shared" si="290"/>
        <v>132000.00000000003</v>
      </c>
      <c r="AC811" s="3">
        <f t="shared" si="291"/>
        <v>1650000.0000000002</v>
      </c>
      <c r="AD811" s="3">
        <f t="shared" si="292"/>
        <v>585000</v>
      </c>
      <c r="AE811" s="5">
        <f t="shared" si="293"/>
        <v>3.6423841059602653</v>
      </c>
      <c r="AF811" s="10">
        <f t="shared" si="294"/>
        <v>572880.00000000012</v>
      </c>
      <c r="AG811" s="10">
        <f t="shared" si="295"/>
        <v>184800.00000000003</v>
      </c>
      <c r="AH811" s="10">
        <f t="shared" si="296"/>
        <v>92400.000000000015</v>
      </c>
      <c r="AI811" s="10">
        <f t="shared" si="297"/>
        <v>46200.000000000007</v>
      </c>
      <c r="AJ811" s="10">
        <f t="shared" si="298"/>
        <v>27720.000000000004</v>
      </c>
    </row>
    <row r="812" spans="1:36" x14ac:dyDescent="0.3">
      <c r="A812" t="s">
        <v>3189</v>
      </c>
      <c r="B812" t="s">
        <v>3190</v>
      </c>
      <c r="C812" t="s">
        <v>3191</v>
      </c>
      <c r="D812" t="s">
        <v>2013</v>
      </c>
      <c r="E812">
        <v>58201</v>
      </c>
      <c r="F812" t="s">
        <v>15</v>
      </c>
      <c r="G812">
        <v>8</v>
      </c>
      <c r="H812">
        <v>250</v>
      </c>
      <c r="I812" t="str" cm="1">
        <f t="array" ref="I812">_xlfn.IFS(H812&lt;=120,"V1",H812&lt;=150,"V2",H812&lt;=250,"V3", H812&lt;=350, "V4")</f>
        <v>V3</v>
      </c>
      <c r="J812" t="s">
        <v>3192</v>
      </c>
      <c r="K812" t="str">
        <f t="shared" si="276"/>
        <v>47.888156</v>
      </c>
      <c r="L812" t="str">
        <f t="shared" si="277"/>
        <v>-97.081142</v>
      </c>
      <c r="M812">
        <v>255</v>
      </c>
      <c r="N812" s="1">
        <v>44433</v>
      </c>
      <c r="O812" s="1">
        <v>46099</v>
      </c>
      <c r="P812" s="2">
        <f t="shared" si="278"/>
        <v>4.561259411362081</v>
      </c>
      <c r="Q812" s="2" t="str">
        <f t="shared" si="279"/>
        <v>Mid</v>
      </c>
      <c r="R812">
        <f t="shared" si="280"/>
        <v>2000</v>
      </c>
      <c r="S812" t="str">
        <f t="shared" si="281"/>
        <v>Small</v>
      </c>
      <c r="T812" t="str">
        <f t="shared" si="282"/>
        <v>Lower EV Adoption Corridor</v>
      </c>
      <c r="U812" s="3">
        <f t="shared" si="283"/>
        <v>3600000</v>
      </c>
      <c r="V812" s="4">
        <f t="shared" si="284"/>
        <v>880000.00000000012</v>
      </c>
      <c r="W812" s="3">
        <f t="shared" si="285"/>
        <v>12000000</v>
      </c>
      <c r="X812" s="3">
        <f t="shared" si="286"/>
        <v>6600000.0000000009</v>
      </c>
      <c r="Y812">
        <f t="shared" si="287"/>
        <v>0.31515151515151513</v>
      </c>
      <c r="Z812">
        <f t="shared" si="288"/>
        <v>0.75555555555555554</v>
      </c>
      <c r="AA812" t="str">
        <f t="shared" si="289"/>
        <v>Tier 2 - Growth Markets</v>
      </c>
      <c r="AB812" s="3">
        <f t="shared" si="290"/>
        <v>110000.00000000001</v>
      </c>
      <c r="AC812" s="3">
        <f t="shared" si="291"/>
        <v>1500000</v>
      </c>
      <c r="AD812" s="3">
        <f t="shared" si="292"/>
        <v>450000</v>
      </c>
      <c r="AE812" s="5">
        <f t="shared" si="293"/>
        <v>4.4117647058823533</v>
      </c>
      <c r="AF812" s="10">
        <f t="shared" si="294"/>
        <v>545600.00000000012</v>
      </c>
      <c r="AG812" s="10">
        <f t="shared" si="295"/>
        <v>176000.00000000003</v>
      </c>
      <c r="AH812" s="10">
        <f t="shared" si="296"/>
        <v>88000.000000000015</v>
      </c>
      <c r="AI812" s="10">
        <f t="shared" si="297"/>
        <v>44000.000000000007</v>
      </c>
      <c r="AJ812" s="10">
        <f t="shared" si="298"/>
        <v>26400.000000000004</v>
      </c>
    </row>
    <row r="813" spans="1:36" x14ac:dyDescent="0.3">
      <c r="A813" t="s">
        <v>3193</v>
      </c>
      <c r="B813" t="s">
        <v>3194</v>
      </c>
      <c r="C813" t="s">
        <v>3195</v>
      </c>
      <c r="D813" t="s">
        <v>14</v>
      </c>
      <c r="E813">
        <v>93673</v>
      </c>
      <c r="F813" t="s">
        <v>15</v>
      </c>
      <c r="G813">
        <v>16</v>
      </c>
      <c r="H813">
        <v>250</v>
      </c>
      <c r="I813" t="str" cm="1">
        <f t="array" ref="I813">_xlfn.IFS(H813&lt;=120,"V1",H813&lt;=150,"V2",H813&lt;=250,"V3", H813&lt;=350, "V4")</f>
        <v>V3</v>
      </c>
      <c r="J813" t="s">
        <v>3196</v>
      </c>
      <c r="K813" t="str">
        <f t="shared" si="276"/>
        <v>36.44881</v>
      </c>
      <c r="L813" t="str">
        <f t="shared" si="277"/>
        <v>-119.486404</v>
      </c>
      <c r="M813">
        <v>87</v>
      </c>
      <c r="N813" s="1">
        <v>44153</v>
      </c>
      <c r="O813" s="1">
        <v>46099</v>
      </c>
      <c r="P813" s="2">
        <f t="shared" si="278"/>
        <v>5.3278576317590689</v>
      </c>
      <c r="Q813" s="2" t="str">
        <f t="shared" si="279"/>
        <v>Mid</v>
      </c>
      <c r="R813">
        <f t="shared" si="280"/>
        <v>4000</v>
      </c>
      <c r="S813" t="str">
        <f t="shared" si="281"/>
        <v>Small</v>
      </c>
      <c r="T813" t="str">
        <f t="shared" si="282"/>
        <v>High EV Adoption Corridor</v>
      </c>
      <c r="U813" s="3">
        <f t="shared" si="283"/>
        <v>9360000</v>
      </c>
      <c r="V813" s="4">
        <f t="shared" si="284"/>
        <v>2112000</v>
      </c>
      <c r="W813" s="3">
        <f t="shared" si="285"/>
        <v>26400000.000000004</v>
      </c>
      <c r="X813" s="3">
        <f t="shared" si="286"/>
        <v>19800000.000000004</v>
      </c>
      <c r="Y813">
        <f t="shared" si="287"/>
        <v>0.23999999999999996</v>
      </c>
      <c r="Z813">
        <f t="shared" si="288"/>
        <v>0.77435897435897438</v>
      </c>
      <c r="AA813" t="str">
        <f t="shared" si="289"/>
        <v>Tier 1 - Priority Fleet</v>
      </c>
      <c r="AB813" s="3">
        <f t="shared" si="290"/>
        <v>132000</v>
      </c>
      <c r="AC813" s="3">
        <f t="shared" si="291"/>
        <v>1650000.0000000002</v>
      </c>
      <c r="AD813" s="3">
        <f t="shared" si="292"/>
        <v>585000</v>
      </c>
      <c r="AE813" s="5">
        <f t="shared" si="293"/>
        <v>3.6423841059602653</v>
      </c>
      <c r="AF813" s="10">
        <f t="shared" si="294"/>
        <v>1309440</v>
      </c>
      <c r="AG813" s="10">
        <f t="shared" si="295"/>
        <v>422400</v>
      </c>
      <c r="AH813" s="10">
        <f t="shared" si="296"/>
        <v>211200</v>
      </c>
      <c r="AI813" s="10">
        <f t="shared" si="297"/>
        <v>105600</v>
      </c>
      <c r="AJ813" s="10">
        <f t="shared" si="298"/>
        <v>63360</v>
      </c>
    </row>
    <row r="814" spans="1:36" x14ac:dyDescent="0.3">
      <c r="A814" t="s">
        <v>3197</v>
      </c>
      <c r="B814" t="s">
        <v>3198</v>
      </c>
      <c r="C814" t="s">
        <v>3199</v>
      </c>
      <c r="D814" t="s">
        <v>14</v>
      </c>
      <c r="E814">
        <v>94025</v>
      </c>
      <c r="F814" t="s">
        <v>15</v>
      </c>
      <c r="G814">
        <v>18</v>
      </c>
      <c r="H814">
        <v>72</v>
      </c>
      <c r="I814" t="str" cm="1">
        <f t="array" ref="I814">_xlfn.IFS(H814&lt;=120,"V1",H814&lt;=150,"V2",H814&lt;=250,"V3", H814&lt;=350, "V4")</f>
        <v>V1</v>
      </c>
      <c r="J814" t="s">
        <v>3200</v>
      </c>
      <c r="K814" t="str">
        <f t="shared" si="276"/>
        <v>37.423372</v>
      </c>
      <c r="L814" t="str">
        <f t="shared" si="277"/>
        <v>-122.198189</v>
      </c>
      <c r="M814">
        <v>59</v>
      </c>
      <c r="N814" s="1">
        <v>43790</v>
      </c>
      <c r="O814" s="1">
        <v>46099</v>
      </c>
      <c r="P814" s="2">
        <f t="shared" si="278"/>
        <v>6.321697467488022</v>
      </c>
      <c r="Q814" s="2" t="str">
        <f t="shared" si="279"/>
        <v>Mid</v>
      </c>
      <c r="R814">
        <f t="shared" si="280"/>
        <v>1296</v>
      </c>
      <c r="S814" t="str">
        <f t="shared" si="281"/>
        <v>Small</v>
      </c>
      <c r="T814" t="str">
        <f t="shared" si="282"/>
        <v>High EV Adoption Corridor</v>
      </c>
      <c r="U814" s="3">
        <f t="shared" si="283"/>
        <v>2527200</v>
      </c>
      <c r="V814" s="4">
        <f t="shared" si="284"/>
        <v>559872</v>
      </c>
      <c r="W814" s="3">
        <f t="shared" si="285"/>
        <v>5702400</v>
      </c>
      <c r="X814" s="3">
        <f t="shared" si="286"/>
        <v>5248800</v>
      </c>
      <c r="Y814">
        <f t="shared" si="287"/>
        <v>0.21530864197530863</v>
      </c>
      <c r="Z814">
        <f t="shared" si="288"/>
        <v>0.77846153846153843</v>
      </c>
      <c r="AA814" t="str">
        <f t="shared" si="289"/>
        <v>Tier 3 - Upgrade Pipeline</v>
      </c>
      <c r="AB814" s="3">
        <f t="shared" si="290"/>
        <v>31104</v>
      </c>
      <c r="AC814" s="3">
        <f t="shared" si="291"/>
        <v>316800</v>
      </c>
      <c r="AD814" s="3">
        <f t="shared" si="292"/>
        <v>140400</v>
      </c>
      <c r="AE814" s="5">
        <f t="shared" si="293"/>
        <v>2.8985507246376812</v>
      </c>
      <c r="AF814" s="10">
        <f t="shared" si="294"/>
        <v>347120.64000000001</v>
      </c>
      <c r="AG814" s="10">
        <f t="shared" si="295"/>
        <v>111974.40000000001</v>
      </c>
      <c r="AH814" s="10">
        <f t="shared" si="296"/>
        <v>55987.200000000004</v>
      </c>
      <c r="AI814" s="10">
        <f t="shared" si="297"/>
        <v>27993.600000000002</v>
      </c>
      <c r="AJ814" s="10">
        <f t="shared" si="298"/>
        <v>16796.16</v>
      </c>
    </row>
    <row r="815" spans="1:36" x14ac:dyDescent="0.3">
      <c r="A815" t="s">
        <v>3201</v>
      </c>
      <c r="B815" t="s">
        <v>3202</v>
      </c>
      <c r="C815" t="s">
        <v>3203</v>
      </c>
      <c r="D815" t="s">
        <v>14</v>
      </c>
      <c r="E815">
        <v>90503</v>
      </c>
      <c r="F815" t="s">
        <v>15</v>
      </c>
      <c r="G815">
        <v>20</v>
      </c>
      <c r="H815">
        <v>250</v>
      </c>
      <c r="I815" t="str" cm="1">
        <f t="array" ref="I815">_xlfn.IFS(H815&lt;=120,"V1",H815&lt;=150,"V2",H815&lt;=250,"V3", H815&lt;=350, "V4")</f>
        <v>V3</v>
      </c>
      <c r="J815" t="s">
        <v>3204</v>
      </c>
      <c r="K815" t="str">
        <f t="shared" si="276"/>
        <v>33.834811</v>
      </c>
      <c r="L815" t="str">
        <f t="shared" si="277"/>
        <v>-118.349039</v>
      </c>
      <c r="M815">
        <v>26</v>
      </c>
      <c r="N815" s="1">
        <v>44218</v>
      </c>
      <c r="O815" s="1">
        <v>46099</v>
      </c>
      <c r="P815" s="2">
        <f t="shared" si="278"/>
        <v>5.1498973305954827</v>
      </c>
      <c r="Q815" s="2" t="str">
        <f t="shared" si="279"/>
        <v>Mid</v>
      </c>
      <c r="R815">
        <f t="shared" si="280"/>
        <v>5000</v>
      </c>
      <c r="S815" t="str">
        <f t="shared" si="281"/>
        <v>Small</v>
      </c>
      <c r="T815" t="str">
        <f t="shared" si="282"/>
        <v>High EV Adoption Corridor</v>
      </c>
      <c r="U815" s="3">
        <f t="shared" si="283"/>
        <v>11700000</v>
      </c>
      <c r="V815" s="4">
        <f t="shared" si="284"/>
        <v>2640000</v>
      </c>
      <c r="W815" s="3">
        <f t="shared" si="285"/>
        <v>33000000.000000004</v>
      </c>
      <c r="X815" s="3">
        <f t="shared" si="286"/>
        <v>24750000.000000004</v>
      </c>
      <c r="Y815">
        <f t="shared" si="287"/>
        <v>0.23999999999999996</v>
      </c>
      <c r="Z815">
        <f t="shared" si="288"/>
        <v>0.77435897435897438</v>
      </c>
      <c r="AA815" t="str">
        <f t="shared" si="289"/>
        <v>Tier 1 - Priority Fleet</v>
      </c>
      <c r="AB815" s="3">
        <f t="shared" si="290"/>
        <v>132000</v>
      </c>
      <c r="AC815" s="3">
        <f t="shared" si="291"/>
        <v>1650000.0000000002</v>
      </c>
      <c r="AD815" s="3">
        <f t="shared" si="292"/>
        <v>585000</v>
      </c>
      <c r="AE815" s="5">
        <f t="shared" si="293"/>
        <v>3.6423841059602653</v>
      </c>
      <c r="AF815" s="10">
        <f t="shared" si="294"/>
        <v>1636800</v>
      </c>
      <c r="AG815" s="10">
        <f t="shared" si="295"/>
        <v>528000</v>
      </c>
      <c r="AH815" s="10">
        <f t="shared" si="296"/>
        <v>264000</v>
      </c>
      <c r="AI815" s="10">
        <f t="shared" si="297"/>
        <v>132000</v>
      </c>
      <c r="AJ815" s="10">
        <f t="shared" si="298"/>
        <v>79200</v>
      </c>
    </row>
    <row r="816" spans="1:36" x14ac:dyDescent="0.3">
      <c r="A816" t="s">
        <v>3205</v>
      </c>
      <c r="B816" t="s">
        <v>3206</v>
      </c>
      <c r="C816" t="s">
        <v>3207</v>
      </c>
      <c r="D816" t="s">
        <v>153</v>
      </c>
      <c r="E816">
        <v>17325</v>
      </c>
      <c r="F816" t="s">
        <v>15</v>
      </c>
      <c r="G816">
        <v>8</v>
      </c>
      <c r="H816">
        <v>250</v>
      </c>
      <c r="I816" t="str" cm="1">
        <f t="array" ref="I816">_xlfn.IFS(H816&lt;=120,"V1",H816&lt;=150,"V2",H816&lt;=250,"V3", H816&lt;=350, "V4")</f>
        <v>V3</v>
      </c>
      <c r="J816" t="s">
        <v>3208</v>
      </c>
      <c r="K816" t="str">
        <f t="shared" si="276"/>
        <v>39.844127</v>
      </c>
      <c r="L816" t="str">
        <f t="shared" si="277"/>
        <v>-77.19905</v>
      </c>
      <c r="M816">
        <v>182</v>
      </c>
      <c r="N816" s="1">
        <v>44119</v>
      </c>
      <c r="O816" s="1">
        <v>46099</v>
      </c>
      <c r="P816" s="2">
        <f t="shared" si="278"/>
        <v>5.420944558521561</v>
      </c>
      <c r="Q816" s="2" t="str">
        <f t="shared" si="279"/>
        <v>Mid</v>
      </c>
      <c r="R816">
        <f t="shared" si="280"/>
        <v>2000</v>
      </c>
      <c r="S816" t="str">
        <f t="shared" si="281"/>
        <v>Small</v>
      </c>
      <c r="T816" t="str">
        <f t="shared" si="282"/>
        <v>Lower EV Adoption Corridor</v>
      </c>
      <c r="U816" s="3">
        <f t="shared" si="283"/>
        <v>3600000</v>
      </c>
      <c r="V816" s="4">
        <f t="shared" si="284"/>
        <v>880000.00000000012</v>
      </c>
      <c r="W816" s="3">
        <f t="shared" si="285"/>
        <v>12000000</v>
      </c>
      <c r="X816" s="3">
        <f t="shared" si="286"/>
        <v>6600000.0000000009</v>
      </c>
      <c r="Y816">
        <f t="shared" si="287"/>
        <v>0.31515151515151513</v>
      </c>
      <c r="Z816">
        <f t="shared" si="288"/>
        <v>0.75555555555555554</v>
      </c>
      <c r="AA816" t="str">
        <f t="shared" si="289"/>
        <v>Tier 2 - Growth Markets</v>
      </c>
      <c r="AB816" s="3">
        <f t="shared" si="290"/>
        <v>110000.00000000001</v>
      </c>
      <c r="AC816" s="3">
        <f t="shared" si="291"/>
        <v>1500000</v>
      </c>
      <c r="AD816" s="3">
        <f t="shared" si="292"/>
        <v>450000</v>
      </c>
      <c r="AE816" s="5">
        <f t="shared" si="293"/>
        <v>4.4117647058823533</v>
      </c>
      <c r="AF816" s="10">
        <f t="shared" si="294"/>
        <v>545600.00000000012</v>
      </c>
      <c r="AG816" s="10">
        <f t="shared" si="295"/>
        <v>176000.00000000003</v>
      </c>
      <c r="AH816" s="10">
        <f t="shared" si="296"/>
        <v>88000.000000000015</v>
      </c>
      <c r="AI816" s="10">
        <f t="shared" si="297"/>
        <v>44000.000000000007</v>
      </c>
      <c r="AJ816" s="10">
        <f t="shared" si="298"/>
        <v>26400.000000000004</v>
      </c>
    </row>
    <row r="817" spans="1:36" x14ac:dyDescent="0.3">
      <c r="A817" t="s">
        <v>3209</v>
      </c>
      <c r="B817" t="s">
        <v>3210</v>
      </c>
      <c r="C817" t="s">
        <v>419</v>
      </c>
      <c r="D817" t="s">
        <v>14</v>
      </c>
      <c r="E817">
        <v>91915</v>
      </c>
      <c r="F817" t="s">
        <v>15</v>
      </c>
      <c r="G817">
        <v>16</v>
      </c>
      <c r="H817">
        <v>250</v>
      </c>
      <c r="I817" t="str" cm="1">
        <f t="array" ref="I817">_xlfn.IFS(H817&lt;=120,"V1",H817&lt;=150,"V2",H817&lt;=250,"V3", H817&lt;=350, "V4")</f>
        <v>V3</v>
      </c>
      <c r="J817" t="s">
        <v>3211</v>
      </c>
      <c r="K817" t="str">
        <f t="shared" si="276"/>
        <v>32.649168</v>
      </c>
      <c r="L817" t="str">
        <f t="shared" si="277"/>
        <v>-116.9676</v>
      </c>
      <c r="M817">
        <v>168</v>
      </c>
      <c r="N817" s="1">
        <v>44047</v>
      </c>
      <c r="O817" s="1">
        <v>46099</v>
      </c>
      <c r="P817" s="2">
        <f t="shared" si="278"/>
        <v>5.6180698151950716</v>
      </c>
      <c r="Q817" s="2" t="str">
        <f t="shared" si="279"/>
        <v>Mid</v>
      </c>
      <c r="R817">
        <f t="shared" si="280"/>
        <v>4000</v>
      </c>
      <c r="S817" t="str">
        <f t="shared" si="281"/>
        <v>Small</v>
      </c>
      <c r="T817" t="str">
        <f t="shared" si="282"/>
        <v>High EV Adoption Corridor</v>
      </c>
      <c r="U817" s="3">
        <f t="shared" si="283"/>
        <v>9360000</v>
      </c>
      <c r="V817" s="4">
        <f t="shared" si="284"/>
        <v>2112000</v>
      </c>
      <c r="W817" s="3">
        <f t="shared" si="285"/>
        <v>26400000.000000004</v>
      </c>
      <c r="X817" s="3">
        <f t="shared" si="286"/>
        <v>19800000.000000004</v>
      </c>
      <c r="Y817">
        <f t="shared" si="287"/>
        <v>0.23999999999999996</v>
      </c>
      <c r="Z817">
        <f t="shared" si="288"/>
        <v>0.77435897435897438</v>
      </c>
      <c r="AA817" t="str">
        <f t="shared" si="289"/>
        <v>Tier 1 - Priority Fleet</v>
      </c>
      <c r="AB817" s="3">
        <f t="shared" si="290"/>
        <v>132000</v>
      </c>
      <c r="AC817" s="3">
        <f t="shared" si="291"/>
        <v>1650000.0000000002</v>
      </c>
      <c r="AD817" s="3">
        <f t="shared" si="292"/>
        <v>585000</v>
      </c>
      <c r="AE817" s="5">
        <f t="shared" si="293"/>
        <v>3.6423841059602653</v>
      </c>
      <c r="AF817" s="10">
        <f t="shared" si="294"/>
        <v>1309440</v>
      </c>
      <c r="AG817" s="10">
        <f t="shared" si="295"/>
        <v>422400</v>
      </c>
      <c r="AH817" s="10">
        <f t="shared" si="296"/>
        <v>211200</v>
      </c>
      <c r="AI817" s="10">
        <f t="shared" si="297"/>
        <v>105600</v>
      </c>
      <c r="AJ817" s="10">
        <f t="shared" si="298"/>
        <v>63360</v>
      </c>
    </row>
    <row r="818" spans="1:36" x14ac:dyDescent="0.3">
      <c r="A818" t="s">
        <v>3212</v>
      </c>
      <c r="B818" t="s">
        <v>3213</v>
      </c>
      <c r="C818" t="s">
        <v>3214</v>
      </c>
      <c r="D818" t="s">
        <v>41</v>
      </c>
      <c r="E818">
        <v>33043</v>
      </c>
      <c r="F818" t="s">
        <v>15</v>
      </c>
      <c r="G818">
        <v>8</v>
      </c>
      <c r="H818">
        <v>250</v>
      </c>
      <c r="I818" t="str" cm="1">
        <f t="array" ref="I818">_xlfn.IFS(H818&lt;=120,"V1",H818&lt;=150,"V2",H818&lt;=250,"V3", H818&lt;=350, "V4")</f>
        <v>V3</v>
      </c>
      <c r="J818" t="s">
        <v>3215</v>
      </c>
      <c r="K818" t="str">
        <f t="shared" si="276"/>
        <v>24.673431</v>
      </c>
      <c r="L818" t="str">
        <f t="shared" si="277"/>
        <v>-81.356383</v>
      </c>
      <c r="M818">
        <v>1</v>
      </c>
      <c r="N818" s="1">
        <v>44806</v>
      </c>
      <c r="O818" s="1">
        <v>46099</v>
      </c>
      <c r="P818" s="2">
        <f t="shared" si="278"/>
        <v>3.5400410677618068</v>
      </c>
      <c r="Q818" s="2" t="str">
        <f t="shared" si="279"/>
        <v>Mid</v>
      </c>
      <c r="R818">
        <f t="shared" si="280"/>
        <v>2000</v>
      </c>
      <c r="S818" t="str">
        <f t="shared" si="281"/>
        <v>Small</v>
      </c>
      <c r="T818" t="str">
        <f t="shared" si="282"/>
        <v>High EV Adoption Corridor</v>
      </c>
      <c r="U818" s="3">
        <f t="shared" si="283"/>
        <v>4680000</v>
      </c>
      <c r="V818" s="4">
        <f t="shared" si="284"/>
        <v>1056000</v>
      </c>
      <c r="W818" s="3">
        <f t="shared" si="285"/>
        <v>13200000.000000002</v>
      </c>
      <c r="X818" s="3">
        <f t="shared" si="286"/>
        <v>9900000.0000000019</v>
      </c>
      <c r="Y818">
        <f t="shared" si="287"/>
        <v>0.23999999999999996</v>
      </c>
      <c r="Z818">
        <f t="shared" si="288"/>
        <v>0.77435897435897438</v>
      </c>
      <c r="AA818" t="str">
        <f t="shared" si="289"/>
        <v>Tier 1 - Priority Fleet</v>
      </c>
      <c r="AB818" s="3">
        <f t="shared" si="290"/>
        <v>132000</v>
      </c>
      <c r="AC818" s="3">
        <f t="shared" si="291"/>
        <v>1650000.0000000002</v>
      </c>
      <c r="AD818" s="3">
        <f t="shared" si="292"/>
        <v>585000</v>
      </c>
      <c r="AE818" s="5">
        <f t="shared" si="293"/>
        <v>3.6423841059602653</v>
      </c>
      <c r="AF818" s="10">
        <f t="shared" si="294"/>
        <v>654720</v>
      </c>
      <c r="AG818" s="10">
        <f t="shared" si="295"/>
        <v>211200</v>
      </c>
      <c r="AH818" s="10">
        <f t="shared" si="296"/>
        <v>105600</v>
      </c>
      <c r="AI818" s="10">
        <f t="shared" si="297"/>
        <v>52800</v>
      </c>
      <c r="AJ818" s="10">
        <f t="shared" si="298"/>
        <v>31680</v>
      </c>
    </row>
    <row r="819" spans="1:36" x14ac:dyDescent="0.3">
      <c r="A819" t="s">
        <v>3216</v>
      </c>
      <c r="B819" t="s">
        <v>3217</v>
      </c>
      <c r="C819" t="s">
        <v>3218</v>
      </c>
      <c r="D819" t="s">
        <v>41</v>
      </c>
      <c r="E819">
        <v>34602</v>
      </c>
      <c r="F819" t="s">
        <v>15</v>
      </c>
      <c r="G819">
        <v>12</v>
      </c>
      <c r="H819">
        <v>250</v>
      </c>
      <c r="I819" t="str" cm="1">
        <f t="array" ref="I819">_xlfn.IFS(H819&lt;=120,"V1",H819&lt;=150,"V2",H819&lt;=250,"V3", H819&lt;=350, "V4")</f>
        <v>V3</v>
      </c>
      <c r="J819" t="s">
        <v>3219</v>
      </c>
      <c r="K819" t="str">
        <f t="shared" si="276"/>
        <v>28.522692</v>
      </c>
      <c r="L819" t="str">
        <f t="shared" si="277"/>
        <v>-82.229948</v>
      </c>
      <c r="M819">
        <v>29</v>
      </c>
      <c r="N819" s="1">
        <v>44573</v>
      </c>
      <c r="O819" s="1">
        <v>46099</v>
      </c>
      <c r="P819" s="2">
        <f t="shared" si="278"/>
        <v>4.1779603011635862</v>
      </c>
      <c r="Q819" s="2" t="str">
        <f t="shared" si="279"/>
        <v>Mid</v>
      </c>
      <c r="R819">
        <f t="shared" si="280"/>
        <v>3000</v>
      </c>
      <c r="S819" t="str">
        <f t="shared" si="281"/>
        <v>Small</v>
      </c>
      <c r="T819" t="str">
        <f t="shared" si="282"/>
        <v>High EV Adoption Corridor</v>
      </c>
      <c r="U819" s="3">
        <f t="shared" si="283"/>
        <v>7020000</v>
      </c>
      <c r="V819" s="4">
        <f t="shared" si="284"/>
        <v>1584000</v>
      </c>
      <c r="W819" s="3">
        <f t="shared" si="285"/>
        <v>19800000</v>
      </c>
      <c r="X819" s="3">
        <f t="shared" si="286"/>
        <v>14850000</v>
      </c>
      <c r="Y819">
        <f t="shared" si="287"/>
        <v>0.24</v>
      </c>
      <c r="Z819">
        <f t="shared" si="288"/>
        <v>0.77435897435897438</v>
      </c>
      <c r="AA819" t="str">
        <f t="shared" si="289"/>
        <v>Tier 1 - Priority Fleet</v>
      </c>
      <c r="AB819" s="3">
        <f t="shared" si="290"/>
        <v>132000</v>
      </c>
      <c r="AC819" s="3">
        <f t="shared" si="291"/>
        <v>1650000</v>
      </c>
      <c r="AD819" s="3">
        <f t="shared" si="292"/>
        <v>585000</v>
      </c>
      <c r="AE819" s="5">
        <f t="shared" si="293"/>
        <v>3.6423841059602649</v>
      </c>
      <c r="AF819" s="10">
        <f t="shared" si="294"/>
        <v>982080</v>
      </c>
      <c r="AG819" s="10">
        <f t="shared" si="295"/>
        <v>316800</v>
      </c>
      <c r="AH819" s="10">
        <f t="shared" si="296"/>
        <v>158400</v>
      </c>
      <c r="AI819" s="10">
        <f t="shared" si="297"/>
        <v>79200</v>
      </c>
      <c r="AJ819" s="10">
        <f t="shared" si="298"/>
        <v>47520</v>
      </c>
    </row>
    <row r="820" spans="1:36" x14ac:dyDescent="0.3">
      <c r="A820" t="s">
        <v>3220</v>
      </c>
      <c r="B820" t="s">
        <v>3221</v>
      </c>
      <c r="C820" t="s">
        <v>3222</v>
      </c>
      <c r="D820" t="s">
        <v>153</v>
      </c>
      <c r="E820">
        <v>19520</v>
      </c>
      <c r="F820" t="s">
        <v>15</v>
      </c>
      <c r="G820">
        <v>8</v>
      </c>
      <c r="H820">
        <v>250</v>
      </c>
      <c r="I820" t="str" cm="1">
        <f t="array" ref="I820">_xlfn.IFS(H820&lt;=120,"V1",H820&lt;=150,"V2",H820&lt;=250,"V3", H820&lt;=350, "V4")</f>
        <v>V3</v>
      </c>
      <c r="J820" t="s">
        <v>3223</v>
      </c>
      <c r="K820" t="str">
        <f t="shared" si="276"/>
        <v>40.121588</v>
      </c>
      <c r="L820" t="str">
        <f t="shared" si="277"/>
        <v>-75.775761</v>
      </c>
      <c r="M820">
        <v>170</v>
      </c>
      <c r="N820" s="1">
        <v>44554</v>
      </c>
      <c r="O820" s="1">
        <v>46099</v>
      </c>
      <c r="P820" s="2">
        <f t="shared" si="278"/>
        <v>4.2299794661190964</v>
      </c>
      <c r="Q820" s="2" t="str">
        <f t="shared" si="279"/>
        <v>Mid</v>
      </c>
      <c r="R820">
        <f t="shared" si="280"/>
        <v>2000</v>
      </c>
      <c r="S820" t="str">
        <f t="shared" si="281"/>
        <v>Small</v>
      </c>
      <c r="T820" t="str">
        <f t="shared" si="282"/>
        <v>Lower EV Adoption Corridor</v>
      </c>
      <c r="U820" s="3">
        <f t="shared" si="283"/>
        <v>3600000</v>
      </c>
      <c r="V820" s="4">
        <f t="shared" si="284"/>
        <v>880000.00000000012</v>
      </c>
      <c r="W820" s="3">
        <f t="shared" si="285"/>
        <v>12000000</v>
      </c>
      <c r="X820" s="3">
        <f t="shared" si="286"/>
        <v>6600000.0000000009</v>
      </c>
      <c r="Y820">
        <f t="shared" si="287"/>
        <v>0.31515151515151513</v>
      </c>
      <c r="Z820">
        <f t="shared" si="288"/>
        <v>0.75555555555555554</v>
      </c>
      <c r="AA820" t="str">
        <f t="shared" si="289"/>
        <v>Tier 2 - Growth Markets</v>
      </c>
      <c r="AB820" s="3">
        <f t="shared" si="290"/>
        <v>110000.00000000001</v>
      </c>
      <c r="AC820" s="3">
        <f t="shared" si="291"/>
        <v>1500000</v>
      </c>
      <c r="AD820" s="3">
        <f t="shared" si="292"/>
        <v>450000</v>
      </c>
      <c r="AE820" s="5">
        <f t="shared" si="293"/>
        <v>4.4117647058823533</v>
      </c>
      <c r="AF820" s="10">
        <f t="shared" si="294"/>
        <v>545600.00000000012</v>
      </c>
      <c r="AG820" s="10">
        <f t="shared" si="295"/>
        <v>176000.00000000003</v>
      </c>
      <c r="AH820" s="10">
        <f t="shared" si="296"/>
        <v>88000.000000000015</v>
      </c>
      <c r="AI820" s="10">
        <f t="shared" si="297"/>
        <v>44000.000000000007</v>
      </c>
      <c r="AJ820" s="10">
        <f t="shared" si="298"/>
        <v>26400.000000000004</v>
      </c>
    </row>
    <row r="821" spans="1:36" x14ac:dyDescent="0.3">
      <c r="A821" t="s">
        <v>3224</v>
      </c>
      <c r="B821" t="s">
        <v>3225</v>
      </c>
      <c r="C821" t="s">
        <v>3226</v>
      </c>
      <c r="D821" t="s">
        <v>321</v>
      </c>
      <c r="E821">
        <v>1930</v>
      </c>
      <c r="F821" t="s">
        <v>15</v>
      </c>
      <c r="G821">
        <v>8</v>
      </c>
      <c r="H821">
        <v>250</v>
      </c>
      <c r="I821" t="str" cm="1">
        <f t="array" ref="I821">_xlfn.IFS(H821&lt;=120,"V1",H821&lt;=150,"V2",H821&lt;=250,"V3", H821&lt;=350, "V4")</f>
        <v>V3</v>
      </c>
      <c r="J821" t="s">
        <v>3227</v>
      </c>
      <c r="K821" t="str">
        <f t="shared" si="276"/>
        <v>42.623417</v>
      </c>
      <c r="L821" t="str">
        <f t="shared" si="277"/>
        <v>-70.6545</v>
      </c>
      <c r="M821">
        <v>43</v>
      </c>
      <c r="N821" s="1">
        <v>44834</v>
      </c>
      <c r="O821" s="1">
        <v>46099</v>
      </c>
      <c r="P821" s="2">
        <f t="shared" si="278"/>
        <v>3.463381245722108</v>
      </c>
      <c r="Q821" s="2" t="str">
        <f t="shared" si="279"/>
        <v>Mid</v>
      </c>
      <c r="R821">
        <f t="shared" si="280"/>
        <v>2000</v>
      </c>
      <c r="S821" t="str">
        <f t="shared" si="281"/>
        <v>Small</v>
      </c>
      <c r="T821" t="str">
        <f t="shared" si="282"/>
        <v>Lower EV Adoption Corridor</v>
      </c>
      <c r="U821" s="3">
        <f t="shared" si="283"/>
        <v>3600000</v>
      </c>
      <c r="V821" s="4">
        <f t="shared" si="284"/>
        <v>880000.00000000012</v>
      </c>
      <c r="W821" s="3">
        <f t="shared" si="285"/>
        <v>12000000</v>
      </c>
      <c r="X821" s="3">
        <f t="shared" si="286"/>
        <v>6600000.0000000009</v>
      </c>
      <c r="Y821">
        <f t="shared" si="287"/>
        <v>0.31515151515151513</v>
      </c>
      <c r="Z821">
        <f t="shared" si="288"/>
        <v>0.75555555555555554</v>
      </c>
      <c r="AA821" t="str">
        <f t="shared" si="289"/>
        <v>Tier 2 - Growth Markets</v>
      </c>
      <c r="AB821" s="3">
        <f t="shared" si="290"/>
        <v>110000.00000000001</v>
      </c>
      <c r="AC821" s="3">
        <f t="shared" si="291"/>
        <v>1500000</v>
      </c>
      <c r="AD821" s="3">
        <f t="shared" si="292"/>
        <v>450000</v>
      </c>
      <c r="AE821" s="5">
        <f t="shared" si="293"/>
        <v>4.4117647058823533</v>
      </c>
      <c r="AF821" s="10">
        <f t="shared" si="294"/>
        <v>545600.00000000012</v>
      </c>
      <c r="AG821" s="10">
        <f t="shared" si="295"/>
        <v>176000.00000000003</v>
      </c>
      <c r="AH821" s="10">
        <f t="shared" si="296"/>
        <v>88000.000000000015</v>
      </c>
      <c r="AI821" s="10">
        <f t="shared" si="297"/>
        <v>44000.000000000007</v>
      </c>
      <c r="AJ821" s="10">
        <f t="shared" si="298"/>
        <v>26400.000000000004</v>
      </c>
    </row>
    <row r="822" spans="1:36" x14ac:dyDescent="0.3">
      <c r="A822" t="s">
        <v>3228</v>
      </c>
      <c r="B822" t="s">
        <v>3229</v>
      </c>
      <c r="C822" t="s">
        <v>3230</v>
      </c>
      <c r="D822" t="s">
        <v>299</v>
      </c>
      <c r="E822">
        <v>23805</v>
      </c>
      <c r="F822" t="s">
        <v>15</v>
      </c>
      <c r="G822">
        <v>8</v>
      </c>
      <c r="H822">
        <v>250</v>
      </c>
      <c r="I822" t="str" cm="1">
        <f t="array" ref="I822">_xlfn.IFS(H822&lt;=120,"V1",H822&lt;=150,"V2",H822&lt;=250,"V3", H822&lt;=350, "V4")</f>
        <v>V3</v>
      </c>
      <c r="J822" t="s">
        <v>3231</v>
      </c>
      <c r="K822" t="str">
        <f t="shared" si="276"/>
        <v>37.1906</v>
      </c>
      <c r="L822" t="str">
        <f t="shared" si="277"/>
        <v>-77.3663</v>
      </c>
      <c r="M822">
        <v>47</v>
      </c>
      <c r="N822" s="1">
        <v>44177</v>
      </c>
      <c r="O822" s="1">
        <v>46099</v>
      </c>
      <c r="P822" s="2">
        <f t="shared" si="278"/>
        <v>5.2621492128678984</v>
      </c>
      <c r="Q822" s="2" t="str">
        <f t="shared" si="279"/>
        <v>Mid</v>
      </c>
      <c r="R822">
        <f t="shared" si="280"/>
        <v>2000</v>
      </c>
      <c r="S822" t="str">
        <f t="shared" si="281"/>
        <v>Small</v>
      </c>
      <c r="T822" t="str">
        <f t="shared" si="282"/>
        <v>Lower EV Adoption Corridor</v>
      </c>
      <c r="U822" s="3">
        <f t="shared" si="283"/>
        <v>3600000</v>
      </c>
      <c r="V822" s="4">
        <f t="shared" si="284"/>
        <v>880000.00000000012</v>
      </c>
      <c r="W822" s="3">
        <f t="shared" si="285"/>
        <v>12000000</v>
      </c>
      <c r="X822" s="3">
        <f t="shared" si="286"/>
        <v>6600000.0000000009</v>
      </c>
      <c r="Y822">
        <f t="shared" si="287"/>
        <v>0.31515151515151513</v>
      </c>
      <c r="Z822">
        <f t="shared" si="288"/>
        <v>0.75555555555555554</v>
      </c>
      <c r="AA822" t="str">
        <f t="shared" si="289"/>
        <v>Tier 2 - Growth Markets</v>
      </c>
      <c r="AB822" s="3">
        <f t="shared" si="290"/>
        <v>110000.00000000001</v>
      </c>
      <c r="AC822" s="3">
        <f t="shared" si="291"/>
        <v>1500000</v>
      </c>
      <c r="AD822" s="3">
        <f t="shared" si="292"/>
        <v>450000</v>
      </c>
      <c r="AE822" s="5">
        <f t="shared" si="293"/>
        <v>4.4117647058823533</v>
      </c>
      <c r="AF822" s="10">
        <f t="shared" si="294"/>
        <v>545600.00000000012</v>
      </c>
      <c r="AG822" s="10">
        <f t="shared" si="295"/>
        <v>176000.00000000003</v>
      </c>
      <c r="AH822" s="10">
        <f t="shared" si="296"/>
        <v>88000.000000000015</v>
      </c>
      <c r="AI822" s="10">
        <f t="shared" si="297"/>
        <v>44000.000000000007</v>
      </c>
      <c r="AJ822" s="10">
        <f t="shared" si="298"/>
        <v>26400.000000000004</v>
      </c>
    </row>
    <row r="823" spans="1:36" x14ac:dyDescent="0.3">
      <c r="A823" t="s">
        <v>3232</v>
      </c>
      <c r="B823" t="s">
        <v>3233</v>
      </c>
      <c r="C823" t="s">
        <v>2279</v>
      </c>
      <c r="D823" t="s">
        <v>230</v>
      </c>
      <c r="E823">
        <v>98107</v>
      </c>
      <c r="F823" t="s">
        <v>15</v>
      </c>
      <c r="G823">
        <v>8</v>
      </c>
      <c r="H823">
        <v>150</v>
      </c>
      <c r="I823" t="str" cm="1">
        <f t="array" ref="I823">_xlfn.IFS(H823&lt;=120,"V1",H823&lt;=150,"V2",H823&lt;=250,"V3", H823&lt;=350, "V4")</f>
        <v>V2</v>
      </c>
      <c r="J823" t="s">
        <v>3234</v>
      </c>
      <c r="K823" t="str">
        <f t="shared" si="276"/>
        <v>47.662639</v>
      </c>
      <c r="L823" t="str">
        <f t="shared" si="277"/>
        <v>-122.374975</v>
      </c>
      <c r="M823">
        <v>9</v>
      </c>
      <c r="N823" s="1">
        <v>44176</v>
      </c>
      <c r="O823" s="1">
        <v>46099</v>
      </c>
      <c r="P823" s="2">
        <f t="shared" si="278"/>
        <v>5.2648870636550305</v>
      </c>
      <c r="Q823" s="2" t="str">
        <f t="shared" si="279"/>
        <v>Mid</v>
      </c>
      <c r="R823">
        <f t="shared" si="280"/>
        <v>1200</v>
      </c>
      <c r="S823" t="str">
        <f t="shared" si="281"/>
        <v>Small</v>
      </c>
      <c r="T823" t="str">
        <f t="shared" si="282"/>
        <v>High EV Adoption Corridor</v>
      </c>
      <c r="U823" s="3">
        <f t="shared" si="283"/>
        <v>2574000.0000000005</v>
      </c>
      <c r="V823" s="4">
        <f t="shared" si="284"/>
        <v>576000</v>
      </c>
      <c r="W823" s="3">
        <f t="shared" si="285"/>
        <v>6600000.0000000009</v>
      </c>
      <c r="X823" s="3">
        <f t="shared" si="286"/>
        <v>5400000</v>
      </c>
      <c r="Y823">
        <f t="shared" si="287"/>
        <v>0.22888888888888889</v>
      </c>
      <c r="Z823">
        <f t="shared" si="288"/>
        <v>0.77622377622377625</v>
      </c>
      <c r="AA823" t="str">
        <f t="shared" si="289"/>
        <v>Tier 3 - Upgrade Pipeline</v>
      </c>
      <c r="AB823" s="3">
        <f t="shared" si="290"/>
        <v>72000</v>
      </c>
      <c r="AC823" s="3">
        <f t="shared" si="291"/>
        <v>825000.00000000012</v>
      </c>
      <c r="AD823" s="3">
        <f t="shared" si="292"/>
        <v>321750.00000000006</v>
      </c>
      <c r="AE823" s="5">
        <f t="shared" si="293"/>
        <v>3.303303303303303</v>
      </c>
      <c r="AF823" s="10">
        <f t="shared" si="294"/>
        <v>357120</v>
      </c>
      <c r="AG823" s="10">
        <f t="shared" si="295"/>
        <v>115200</v>
      </c>
      <c r="AH823" s="10">
        <f t="shared" si="296"/>
        <v>57600</v>
      </c>
      <c r="AI823" s="10">
        <f t="shared" si="297"/>
        <v>28800</v>
      </c>
      <c r="AJ823" s="10">
        <f t="shared" si="298"/>
        <v>17280</v>
      </c>
    </row>
    <row r="824" spans="1:36" x14ac:dyDescent="0.3">
      <c r="A824" t="s">
        <v>3235</v>
      </c>
      <c r="B824" t="s">
        <v>3236</v>
      </c>
      <c r="C824" t="s">
        <v>3237</v>
      </c>
      <c r="D824" t="s">
        <v>14</v>
      </c>
      <c r="E824">
        <v>90265</v>
      </c>
      <c r="F824" t="s">
        <v>15</v>
      </c>
      <c r="G824">
        <v>5</v>
      </c>
      <c r="H824">
        <v>72</v>
      </c>
      <c r="I824" t="str" cm="1">
        <f t="array" ref="I824">_xlfn.IFS(H824&lt;=120,"V1",H824&lt;=150,"V2",H824&lt;=250,"V3", H824&lt;=350, "V4")</f>
        <v>V1</v>
      </c>
      <c r="J824" t="s">
        <v>3238</v>
      </c>
      <c r="K824" t="str">
        <f t="shared" si="276"/>
        <v>34.037043</v>
      </c>
      <c r="L824" t="str">
        <f t="shared" si="277"/>
        <v>-118.685809</v>
      </c>
      <c r="M824">
        <v>5</v>
      </c>
      <c r="N824" s="1">
        <v>43629</v>
      </c>
      <c r="O824" s="1">
        <v>46099</v>
      </c>
      <c r="P824" s="2">
        <f t="shared" si="278"/>
        <v>6.7624914442162902</v>
      </c>
      <c r="Q824" s="2" t="str">
        <f t="shared" si="279"/>
        <v>Mid</v>
      </c>
      <c r="R824">
        <f t="shared" si="280"/>
        <v>360</v>
      </c>
      <c r="S824" t="str">
        <f t="shared" si="281"/>
        <v>Small</v>
      </c>
      <c r="T824" t="str">
        <f t="shared" si="282"/>
        <v>High EV Adoption Corridor</v>
      </c>
      <c r="U824" s="3">
        <f t="shared" si="283"/>
        <v>702000</v>
      </c>
      <c r="V824" s="4">
        <f t="shared" si="284"/>
        <v>155520</v>
      </c>
      <c r="W824" s="3">
        <f t="shared" si="285"/>
        <v>1584000.0000000002</v>
      </c>
      <c r="X824" s="3">
        <f t="shared" si="286"/>
        <v>1458000</v>
      </c>
      <c r="Y824">
        <f t="shared" si="287"/>
        <v>0.21530864197530863</v>
      </c>
      <c r="Z824">
        <f t="shared" si="288"/>
        <v>0.77846153846153843</v>
      </c>
      <c r="AA824" t="str">
        <f t="shared" si="289"/>
        <v>Tier 3 - Upgrade Pipeline</v>
      </c>
      <c r="AB824" s="3">
        <f t="shared" si="290"/>
        <v>31104</v>
      </c>
      <c r="AC824" s="3">
        <f t="shared" si="291"/>
        <v>316800.00000000006</v>
      </c>
      <c r="AD824" s="3">
        <f t="shared" si="292"/>
        <v>140400</v>
      </c>
      <c r="AE824" s="5">
        <f t="shared" si="293"/>
        <v>2.8985507246376816</v>
      </c>
      <c r="AF824" s="10">
        <f t="shared" si="294"/>
        <v>96422.399999999994</v>
      </c>
      <c r="AG824" s="10">
        <f t="shared" si="295"/>
        <v>31104</v>
      </c>
      <c r="AH824" s="10">
        <f t="shared" si="296"/>
        <v>15552</v>
      </c>
      <c r="AI824" s="10">
        <f t="shared" si="297"/>
        <v>7776</v>
      </c>
      <c r="AJ824" s="10">
        <f t="shared" si="298"/>
        <v>4665.5999999999995</v>
      </c>
    </row>
    <row r="825" spans="1:36" x14ac:dyDescent="0.3">
      <c r="A825" t="s">
        <v>3239</v>
      </c>
      <c r="B825" t="s">
        <v>3240</v>
      </c>
      <c r="C825" t="s">
        <v>3241</v>
      </c>
      <c r="D825" t="s">
        <v>1412</v>
      </c>
      <c r="E825">
        <v>19971</v>
      </c>
      <c r="F825" t="s">
        <v>15</v>
      </c>
      <c r="G825">
        <v>8</v>
      </c>
      <c r="H825">
        <v>250</v>
      </c>
      <c r="I825" t="str" cm="1">
        <f t="array" ref="I825">_xlfn.IFS(H825&lt;=120,"V1",H825&lt;=150,"V2",H825&lt;=250,"V3", H825&lt;=350, "V4")</f>
        <v>V3</v>
      </c>
      <c r="J825" t="s">
        <v>3242</v>
      </c>
      <c r="K825" t="str">
        <f t="shared" si="276"/>
        <v>38.712542</v>
      </c>
      <c r="L825" t="str">
        <f t="shared" si="277"/>
        <v>-75.10381</v>
      </c>
      <c r="M825">
        <v>7</v>
      </c>
      <c r="N825" s="1">
        <v>44203</v>
      </c>
      <c r="O825" s="1">
        <v>46099</v>
      </c>
      <c r="P825" s="2">
        <f t="shared" si="278"/>
        <v>5.1909650924024637</v>
      </c>
      <c r="Q825" s="2" t="str">
        <f t="shared" si="279"/>
        <v>Mid</v>
      </c>
      <c r="R825">
        <f t="shared" si="280"/>
        <v>2000</v>
      </c>
      <c r="S825" t="str">
        <f t="shared" si="281"/>
        <v>Small</v>
      </c>
      <c r="T825" t="str">
        <f t="shared" si="282"/>
        <v>Lower EV Adoption Corridor</v>
      </c>
      <c r="U825" s="3">
        <f t="shared" si="283"/>
        <v>3600000</v>
      </c>
      <c r="V825" s="4">
        <f t="shared" si="284"/>
        <v>880000.00000000012</v>
      </c>
      <c r="W825" s="3">
        <f t="shared" si="285"/>
        <v>12000000</v>
      </c>
      <c r="X825" s="3">
        <f t="shared" si="286"/>
        <v>6600000.0000000009</v>
      </c>
      <c r="Y825">
        <f t="shared" si="287"/>
        <v>0.31515151515151513</v>
      </c>
      <c r="Z825">
        <f t="shared" si="288"/>
        <v>0.75555555555555554</v>
      </c>
      <c r="AA825" t="str">
        <f t="shared" si="289"/>
        <v>Tier 2 - Growth Markets</v>
      </c>
      <c r="AB825" s="3">
        <f t="shared" si="290"/>
        <v>110000.00000000001</v>
      </c>
      <c r="AC825" s="3">
        <f t="shared" si="291"/>
        <v>1500000</v>
      </c>
      <c r="AD825" s="3">
        <f t="shared" si="292"/>
        <v>450000</v>
      </c>
      <c r="AE825" s="5">
        <f t="shared" si="293"/>
        <v>4.4117647058823533</v>
      </c>
      <c r="AF825" s="10">
        <f t="shared" si="294"/>
        <v>545600.00000000012</v>
      </c>
      <c r="AG825" s="10">
        <f t="shared" si="295"/>
        <v>176000.00000000003</v>
      </c>
      <c r="AH825" s="10">
        <f t="shared" si="296"/>
        <v>88000.000000000015</v>
      </c>
      <c r="AI825" s="10">
        <f t="shared" si="297"/>
        <v>44000.000000000007</v>
      </c>
      <c r="AJ825" s="10">
        <f t="shared" si="298"/>
        <v>26400.000000000004</v>
      </c>
    </row>
    <row r="826" spans="1:36" x14ac:dyDescent="0.3">
      <c r="A826" t="s">
        <v>3243</v>
      </c>
      <c r="B826" t="s">
        <v>3244</v>
      </c>
      <c r="C826" t="s">
        <v>3245</v>
      </c>
      <c r="D826" t="s">
        <v>299</v>
      </c>
      <c r="E826">
        <v>23185</v>
      </c>
      <c r="F826" t="s">
        <v>15</v>
      </c>
      <c r="G826">
        <v>8</v>
      </c>
      <c r="H826">
        <v>250</v>
      </c>
      <c r="I826" t="str" cm="1">
        <f t="array" ref="I826">_xlfn.IFS(H826&lt;=120,"V1",H826&lt;=150,"V2",H826&lt;=250,"V3", H826&lt;=350, "V4")</f>
        <v>V3</v>
      </c>
      <c r="J826" t="s">
        <v>3246</v>
      </c>
      <c r="K826" t="str">
        <f t="shared" si="276"/>
        <v>37.266487</v>
      </c>
      <c r="L826" t="str">
        <f t="shared" si="277"/>
        <v>-76.676613</v>
      </c>
      <c r="M826">
        <v>25</v>
      </c>
      <c r="N826" s="1">
        <v>44183</v>
      </c>
      <c r="O826" s="1">
        <v>46099</v>
      </c>
      <c r="P826" s="2">
        <f t="shared" si="278"/>
        <v>5.245722108145106</v>
      </c>
      <c r="Q826" s="2" t="str">
        <f t="shared" si="279"/>
        <v>Mid</v>
      </c>
      <c r="R826">
        <f t="shared" si="280"/>
        <v>2000</v>
      </c>
      <c r="S826" t="str">
        <f t="shared" si="281"/>
        <v>Small</v>
      </c>
      <c r="T826" t="str">
        <f t="shared" si="282"/>
        <v>Lower EV Adoption Corridor</v>
      </c>
      <c r="U826" s="3">
        <f t="shared" si="283"/>
        <v>3600000</v>
      </c>
      <c r="V826" s="4">
        <f t="shared" si="284"/>
        <v>880000.00000000012</v>
      </c>
      <c r="W826" s="3">
        <f t="shared" si="285"/>
        <v>12000000</v>
      </c>
      <c r="X826" s="3">
        <f t="shared" si="286"/>
        <v>6600000.0000000009</v>
      </c>
      <c r="Y826">
        <f t="shared" si="287"/>
        <v>0.31515151515151513</v>
      </c>
      <c r="Z826">
        <f t="shared" si="288"/>
        <v>0.75555555555555554</v>
      </c>
      <c r="AA826" t="str">
        <f t="shared" si="289"/>
        <v>Tier 2 - Growth Markets</v>
      </c>
      <c r="AB826" s="3">
        <f t="shared" si="290"/>
        <v>110000.00000000001</v>
      </c>
      <c r="AC826" s="3">
        <f t="shared" si="291"/>
        <v>1500000</v>
      </c>
      <c r="AD826" s="3">
        <f t="shared" si="292"/>
        <v>450000</v>
      </c>
      <c r="AE826" s="5">
        <f t="shared" si="293"/>
        <v>4.4117647058823533</v>
      </c>
      <c r="AF826" s="10">
        <f t="shared" si="294"/>
        <v>545600.00000000012</v>
      </c>
      <c r="AG826" s="10">
        <f t="shared" si="295"/>
        <v>176000.00000000003</v>
      </c>
      <c r="AH826" s="10">
        <f t="shared" si="296"/>
        <v>88000.000000000015</v>
      </c>
      <c r="AI826" s="10">
        <f t="shared" si="297"/>
        <v>44000.000000000007</v>
      </c>
      <c r="AJ826" s="10">
        <f t="shared" si="298"/>
        <v>26400.000000000004</v>
      </c>
    </row>
    <row r="827" spans="1:36" x14ac:dyDescent="0.3">
      <c r="A827" t="s">
        <v>3247</v>
      </c>
      <c r="B827" t="s">
        <v>3248</v>
      </c>
      <c r="C827" t="s">
        <v>3249</v>
      </c>
      <c r="D827" t="s">
        <v>505</v>
      </c>
      <c r="E827">
        <v>73077</v>
      </c>
      <c r="F827" t="s">
        <v>15</v>
      </c>
      <c r="G827">
        <v>6</v>
      </c>
      <c r="H827">
        <v>150</v>
      </c>
      <c r="I827" t="str" cm="1">
        <f t="array" ref="I827">_xlfn.IFS(H827&lt;=120,"V1",H827&lt;=150,"V2",H827&lt;=250,"V3", H827&lt;=350, "V4")</f>
        <v>V2</v>
      </c>
      <c r="J827" t="s">
        <v>3250</v>
      </c>
      <c r="K827" t="str">
        <f t="shared" si="276"/>
        <v>36.289315</v>
      </c>
      <c r="L827" t="str">
        <f t="shared" si="277"/>
        <v>-97.325935</v>
      </c>
      <c r="M827">
        <v>330</v>
      </c>
      <c r="N827" s="1">
        <v>42109</v>
      </c>
      <c r="O827" s="1">
        <v>46099</v>
      </c>
      <c r="P827" s="2">
        <f t="shared" si="278"/>
        <v>10.924024640657084</v>
      </c>
      <c r="Q827" s="2" t="str">
        <f t="shared" si="279"/>
        <v>Old</v>
      </c>
      <c r="R827">
        <f t="shared" si="280"/>
        <v>900</v>
      </c>
      <c r="S827" t="str">
        <f t="shared" si="281"/>
        <v>Small</v>
      </c>
      <c r="T827" t="str">
        <f t="shared" si="282"/>
        <v>Lower EV Adoption Corridor</v>
      </c>
      <c r="U827" s="3">
        <f t="shared" si="283"/>
        <v>1485000.0000000002</v>
      </c>
      <c r="V827" s="4">
        <f t="shared" si="284"/>
        <v>360000</v>
      </c>
      <c r="W827" s="3">
        <f t="shared" si="285"/>
        <v>4500000</v>
      </c>
      <c r="X827" s="3">
        <f t="shared" si="286"/>
        <v>2700000</v>
      </c>
      <c r="Y827">
        <f t="shared" si="287"/>
        <v>0.3</v>
      </c>
      <c r="Z827">
        <f t="shared" si="288"/>
        <v>0.75757575757575757</v>
      </c>
      <c r="AA827" t="str">
        <f t="shared" si="289"/>
        <v>Tier 4 - Stable Network</v>
      </c>
      <c r="AB827" s="3">
        <f t="shared" si="290"/>
        <v>60000</v>
      </c>
      <c r="AC827" s="3">
        <f t="shared" si="291"/>
        <v>750000</v>
      </c>
      <c r="AD827" s="3">
        <f t="shared" si="292"/>
        <v>247500.00000000003</v>
      </c>
      <c r="AE827" s="5">
        <f t="shared" si="293"/>
        <v>3.9999999999999991</v>
      </c>
      <c r="AF827" s="10">
        <f t="shared" si="294"/>
        <v>223200</v>
      </c>
      <c r="AG827" s="10">
        <f t="shared" si="295"/>
        <v>72000</v>
      </c>
      <c r="AH827" s="10">
        <f t="shared" si="296"/>
        <v>36000</v>
      </c>
      <c r="AI827" s="10">
        <f t="shared" si="297"/>
        <v>18000</v>
      </c>
      <c r="AJ827" s="10">
        <f t="shared" si="298"/>
        <v>10800</v>
      </c>
    </row>
    <row r="828" spans="1:36" x14ac:dyDescent="0.3">
      <c r="A828" t="s">
        <v>3251</v>
      </c>
      <c r="B828" t="s">
        <v>3252</v>
      </c>
      <c r="C828" t="s">
        <v>3237</v>
      </c>
      <c r="D828" t="s">
        <v>14</v>
      </c>
      <c r="E828">
        <v>90265</v>
      </c>
      <c r="F828" t="s">
        <v>15</v>
      </c>
      <c r="G828">
        <v>8</v>
      </c>
      <c r="H828">
        <v>250</v>
      </c>
      <c r="I828" t="str" cm="1">
        <f t="array" ref="I828">_xlfn.IFS(H828&lt;=120,"V1",H828&lt;=150,"V2",H828&lt;=250,"V3", H828&lt;=350, "V4")</f>
        <v>V3</v>
      </c>
      <c r="J828" t="s">
        <v>3253</v>
      </c>
      <c r="K828" t="str">
        <f t="shared" si="276"/>
        <v>34.036024</v>
      </c>
      <c r="L828" t="str">
        <f t="shared" si="277"/>
        <v>-118.684095</v>
      </c>
      <c r="M828">
        <v>4</v>
      </c>
      <c r="N828" s="1">
        <v>44182</v>
      </c>
      <c r="O828" s="1">
        <v>46099</v>
      </c>
      <c r="P828" s="2">
        <f t="shared" si="278"/>
        <v>5.248459958932238</v>
      </c>
      <c r="Q828" s="2" t="str">
        <f t="shared" si="279"/>
        <v>Mid</v>
      </c>
      <c r="R828">
        <f t="shared" si="280"/>
        <v>2000</v>
      </c>
      <c r="S828" t="str">
        <f t="shared" si="281"/>
        <v>Small</v>
      </c>
      <c r="T828" t="str">
        <f t="shared" si="282"/>
        <v>High EV Adoption Corridor</v>
      </c>
      <c r="U828" s="3">
        <f t="shared" si="283"/>
        <v>4680000</v>
      </c>
      <c r="V828" s="4">
        <f t="shared" si="284"/>
        <v>1056000</v>
      </c>
      <c r="W828" s="3">
        <f t="shared" si="285"/>
        <v>13200000.000000002</v>
      </c>
      <c r="X828" s="3">
        <f t="shared" si="286"/>
        <v>9900000.0000000019</v>
      </c>
      <c r="Y828">
        <f t="shared" si="287"/>
        <v>0.23999999999999996</v>
      </c>
      <c r="Z828">
        <f t="shared" si="288"/>
        <v>0.77435897435897438</v>
      </c>
      <c r="AA828" t="str">
        <f t="shared" si="289"/>
        <v>Tier 1 - Priority Fleet</v>
      </c>
      <c r="AB828" s="3">
        <f t="shared" si="290"/>
        <v>132000</v>
      </c>
      <c r="AC828" s="3">
        <f t="shared" si="291"/>
        <v>1650000.0000000002</v>
      </c>
      <c r="AD828" s="3">
        <f t="shared" si="292"/>
        <v>585000</v>
      </c>
      <c r="AE828" s="5">
        <f t="shared" si="293"/>
        <v>3.6423841059602653</v>
      </c>
      <c r="AF828" s="10">
        <f t="shared" si="294"/>
        <v>654720</v>
      </c>
      <c r="AG828" s="10">
        <f t="shared" si="295"/>
        <v>211200</v>
      </c>
      <c r="AH828" s="10">
        <f t="shared" si="296"/>
        <v>105600</v>
      </c>
      <c r="AI828" s="10">
        <f t="shared" si="297"/>
        <v>52800</v>
      </c>
      <c r="AJ828" s="10">
        <f t="shared" si="298"/>
        <v>31680</v>
      </c>
    </row>
    <row r="829" spans="1:36" x14ac:dyDescent="0.3">
      <c r="A829" t="s">
        <v>3254</v>
      </c>
      <c r="B829" t="s">
        <v>3255</v>
      </c>
      <c r="C829" t="s">
        <v>3256</v>
      </c>
      <c r="D829" t="s">
        <v>14</v>
      </c>
      <c r="E829">
        <v>93927</v>
      </c>
      <c r="F829" t="s">
        <v>15</v>
      </c>
      <c r="G829">
        <v>12</v>
      </c>
      <c r="H829">
        <v>250</v>
      </c>
      <c r="I829" t="str" cm="1">
        <f t="array" ref="I829">_xlfn.IFS(H829&lt;=120,"V1",H829&lt;=150,"V2",H829&lt;=250,"V3", H829&lt;=350, "V4")</f>
        <v>V3</v>
      </c>
      <c r="J829" t="s">
        <v>3257</v>
      </c>
      <c r="K829" t="str">
        <f t="shared" si="276"/>
        <v>36.32925</v>
      </c>
      <c r="L829" t="str">
        <f t="shared" si="277"/>
        <v>-121.245444</v>
      </c>
      <c r="M829">
        <v>86</v>
      </c>
      <c r="N829" s="1">
        <v>44180</v>
      </c>
      <c r="O829" s="1">
        <v>46099</v>
      </c>
      <c r="P829" s="2">
        <f t="shared" si="278"/>
        <v>5.2539356605065022</v>
      </c>
      <c r="Q829" s="2" t="str">
        <f t="shared" si="279"/>
        <v>Mid</v>
      </c>
      <c r="R829">
        <f t="shared" si="280"/>
        <v>3000</v>
      </c>
      <c r="S829" t="str">
        <f t="shared" si="281"/>
        <v>Small</v>
      </c>
      <c r="T829" t="str">
        <f t="shared" si="282"/>
        <v>High EV Adoption Corridor</v>
      </c>
      <c r="U829" s="3">
        <f t="shared" si="283"/>
        <v>7020000</v>
      </c>
      <c r="V829" s="4">
        <f t="shared" si="284"/>
        <v>1584000</v>
      </c>
      <c r="W829" s="3">
        <f t="shared" si="285"/>
        <v>19800000</v>
      </c>
      <c r="X829" s="3">
        <f t="shared" si="286"/>
        <v>14850000</v>
      </c>
      <c r="Y829">
        <f t="shared" si="287"/>
        <v>0.24</v>
      </c>
      <c r="Z829">
        <f t="shared" si="288"/>
        <v>0.77435897435897438</v>
      </c>
      <c r="AA829" t="str">
        <f t="shared" si="289"/>
        <v>Tier 1 - Priority Fleet</v>
      </c>
      <c r="AB829" s="3">
        <f t="shared" si="290"/>
        <v>132000</v>
      </c>
      <c r="AC829" s="3">
        <f t="shared" si="291"/>
        <v>1650000</v>
      </c>
      <c r="AD829" s="3">
        <f t="shared" si="292"/>
        <v>585000</v>
      </c>
      <c r="AE829" s="5">
        <f t="shared" si="293"/>
        <v>3.6423841059602649</v>
      </c>
      <c r="AF829" s="10">
        <f t="shared" si="294"/>
        <v>982080</v>
      </c>
      <c r="AG829" s="10">
        <f t="shared" si="295"/>
        <v>316800</v>
      </c>
      <c r="AH829" s="10">
        <f t="shared" si="296"/>
        <v>158400</v>
      </c>
      <c r="AI829" s="10">
        <f t="shared" si="297"/>
        <v>79200</v>
      </c>
      <c r="AJ829" s="10">
        <f t="shared" si="298"/>
        <v>47520</v>
      </c>
    </row>
    <row r="830" spans="1:36" x14ac:dyDescent="0.3">
      <c r="A830" t="s">
        <v>3258</v>
      </c>
      <c r="B830" t="s">
        <v>3259</v>
      </c>
      <c r="C830" t="s">
        <v>3260</v>
      </c>
      <c r="D830" t="s">
        <v>41</v>
      </c>
      <c r="E830">
        <v>32159</v>
      </c>
      <c r="F830" t="s">
        <v>15</v>
      </c>
      <c r="G830">
        <v>8</v>
      </c>
      <c r="H830">
        <v>250</v>
      </c>
      <c r="I830" t="str" cm="1">
        <f t="array" ref="I830">_xlfn.IFS(H830&lt;=120,"V1",H830&lt;=150,"V2",H830&lt;=250,"V3", H830&lt;=350, "V4")</f>
        <v>V3</v>
      </c>
      <c r="J830" t="s">
        <v>3261</v>
      </c>
      <c r="K830" t="str">
        <f t="shared" si="276"/>
        <v>28.917179</v>
      </c>
      <c r="L830" t="str">
        <f t="shared" si="277"/>
        <v>-81.923031</v>
      </c>
      <c r="M830">
        <v>24</v>
      </c>
      <c r="N830" s="1">
        <v>44083</v>
      </c>
      <c r="O830" s="1">
        <v>46099</v>
      </c>
      <c r="P830" s="2">
        <f t="shared" si="278"/>
        <v>5.5195071868583163</v>
      </c>
      <c r="Q830" s="2" t="str">
        <f t="shared" si="279"/>
        <v>Mid</v>
      </c>
      <c r="R830">
        <f t="shared" si="280"/>
        <v>2000</v>
      </c>
      <c r="S830" t="str">
        <f t="shared" si="281"/>
        <v>Small</v>
      </c>
      <c r="T830" t="str">
        <f t="shared" si="282"/>
        <v>High EV Adoption Corridor</v>
      </c>
      <c r="U830" s="3">
        <f t="shared" si="283"/>
        <v>4680000</v>
      </c>
      <c r="V830" s="4">
        <f t="shared" si="284"/>
        <v>1056000</v>
      </c>
      <c r="W830" s="3">
        <f t="shared" si="285"/>
        <v>13200000.000000002</v>
      </c>
      <c r="X830" s="3">
        <f t="shared" si="286"/>
        <v>9900000.0000000019</v>
      </c>
      <c r="Y830">
        <f t="shared" si="287"/>
        <v>0.23999999999999996</v>
      </c>
      <c r="Z830">
        <f t="shared" si="288"/>
        <v>0.77435897435897438</v>
      </c>
      <c r="AA830" t="str">
        <f t="shared" si="289"/>
        <v>Tier 1 - Priority Fleet</v>
      </c>
      <c r="AB830" s="3">
        <f t="shared" si="290"/>
        <v>132000</v>
      </c>
      <c r="AC830" s="3">
        <f t="shared" si="291"/>
        <v>1650000.0000000002</v>
      </c>
      <c r="AD830" s="3">
        <f t="shared" si="292"/>
        <v>585000</v>
      </c>
      <c r="AE830" s="5">
        <f t="shared" si="293"/>
        <v>3.6423841059602653</v>
      </c>
      <c r="AF830" s="10">
        <f t="shared" si="294"/>
        <v>654720</v>
      </c>
      <c r="AG830" s="10">
        <f t="shared" si="295"/>
        <v>211200</v>
      </c>
      <c r="AH830" s="10">
        <f t="shared" si="296"/>
        <v>105600</v>
      </c>
      <c r="AI830" s="10">
        <f t="shared" si="297"/>
        <v>52800</v>
      </c>
      <c r="AJ830" s="10">
        <f t="shared" si="298"/>
        <v>31680</v>
      </c>
    </row>
    <row r="831" spans="1:36" x14ac:dyDescent="0.3">
      <c r="A831" t="s">
        <v>3262</v>
      </c>
      <c r="B831" t="s">
        <v>3263</v>
      </c>
      <c r="C831" t="s">
        <v>3264</v>
      </c>
      <c r="D831" t="s">
        <v>41</v>
      </c>
      <c r="E831">
        <v>34787</v>
      </c>
      <c r="F831" t="s">
        <v>15</v>
      </c>
      <c r="G831">
        <v>8</v>
      </c>
      <c r="H831">
        <v>250</v>
      </c>
      <c r="I831" t="str" cm="1">
        <f t="array" ref="I831">_xlfn.IFS(H831&lt;=120,"V1",H831&lt;=150,"V2",H831&lt;=250,"V3", H831&lt;=350, "V4")</f>
        <v>V3</v>
      </c>
      <c r="J831" t="s">
        <v>3265</v>
      </c>
      <c r="K831" t="str">
        <f t="shared" si="276"/>
        <v>28.551646</v>
      </c>
      <c r="L831" t="str">
        <f t="shared" si="277"/>
        <v>-81.584416</v>
      </c>
      <c r="M831">
        <v>39</v>
      </c>
      <c r="N831" s="1">
        <v>44183</v>
      </c>
      <c r="O831" s="1">
        <v>46099</v>
      </c>
      <c r="P831" s="2">
        <f t="shared" si="278"/>
        <v>5.245722108145106</v>
      </c>
      <c r="Q831" s="2" t="str">
        <f t="shared" si="279"/>
        <v>Mid</v>
      </c>
      <c r="R831">
        <f t="shared" si="280"/>
        <v>2000</v>
      </c>
      <c r="S831" t="str">
        <f t="shared" si="281"/>
        <v>Small</v>
      </c>
      <c r="T831" t="str">
        <f t="shared" si="282"/>
        <v>High EV Adoption Corridor</v>
      </c>
      <c r="U831" s="3">
        <f t="shared" si="283"/>
        <v>4680000</v>
      </c>
      <c r="V831" s="4">
        <f t="shared" si="284"/>
        <v>1056000</v>
      </c>
      <c r="W831" s="3">
        <f t="shared" si="285"/>
        <v>13200000.000000002</v>
      </c>
      <c r="X831" s="3">
        <f t="shared" si="286"/>
        <v>9900000.0000000019</v>
      </c>
      <c r="Y831">
        <f t="shared" si="287"/>
        <v>0.23999999999999996</v>
      </c>
      <c r="Z831">
        <f t="shared" si="288"/>
        <v>0.77435897435897438</v>
      </c>
      <c r="AA831" t="str">
        <f t="shared" si="289"/>
        <v>Tier 1 - Priority Fleet</v>
      </c>
      <c r="AB831" s="3">
        <f t="shared" si="290"/>
        <v>132000</v>
      </c>
      <c r="AC831" s="3">
        <f t="shared" si="291"/>
        <v>1650000.0000000002</v>
      </c>
      <c r="AD831" s="3">
        <f t="shared" si="292"/>
        <v>585000</v>
      </c>
      <c r="AE831" s="5">
        <f t="shared" si="293"/>
        <v>3.6423841059602653</v>
      </c>
      <c r="AF831" s="10">
        <f t="shared" si="294"/>
        <v>654720</v>
      </c>
      <c r="AG831" s="10">
        <f t="shared" si="295"/>
        <v>211200</v>
      </c>
      <c r="AH831" s="10">
        <f t="shared" si="296"/>
        <v>105600</v>
      </c>
      <c r="AI831" s="10">
        <f t="shared" si="297"/>
        <v>52800</v>
      </c>
      <c r="AJ831" s="10">
        <f t="shared" si="298"/>
        <v>31680</v>
      </c>
    </row>
    <row r="832" spans="1:36" x14ac:dyDescent="0.3">
      <c r="A832" t="s">
        <v>3266</v>
      </c>
      <c r="B832" t="s">
        <v>3267</v>
      </c>
      <c r="C832" t="s">
        <v>476</v>
      </c>
      <c r="D832" t="s">
        <v>14</v>
      </c>
      <c r="E832">
        <v>94403</v>
      </c>
      <c r="F832" t="s">
        <v>15</v>
      </c>
      <c r="G832">
        <v>12</v>
      </c>
      <c r="H832">
        <v>250</v>
      </c>
      <c r="I832" t="str" cm="1">
        <f t="array" ref="I832">_xlfn.IFS(H832&lt;=120,"V1",H832&lt;=150,"V2",H832&lt;=250,"V3", H832&lt;=350, "V4")</f>
        <v>V3</v>
      </c>
      <c r="J832" t="s">
        <v>3268</v>
      </c>
      <c r="K832" t="str">
        <f t="shared" si="276"/>
        <v>37.533306</v>
      </c>
      <c r="L832" t="str">
        <f t="shared" si="277"/>
        <v>-122.327472</v>
      </c>
      <c r="M832">
        <v>108</v>
      </c>
      <c r="N832" s="1">
        <v>44202</v>
      </c>
      <c r="O832" s="1">
        <v>46099</v>
      </c>
      <c r="P832" s="2">
        <f t="shared" si="278"/>
        <v>5.1937029431895958</v>
      </c>
      <c r="Q832" s="2" t="str">
        <f t="shared" si="279"/>
        <v>Mid</v>
      </c>
      <c r="R832">
        <f t="shared" si="280"/>
        <v>3000</v>
      </c>
      <c r="S832" t="str">
        <f t="shared" si="281"/>
        <v>Small</v>
      </c>
      <c r="T832" t="str">
        <f t="shared" si="282"/>
        <v>High EV Adoption Corridor</v>
      </c>
      <c r="U832" s="3">
        <f t="shared" si="283"/>
        <v>7020000</v>
      </c>
      <c r="V832" s="4">
        <f t="shared" si="284"/>
        <v>1584000</v>
      </c>
      <c r="W832" s="3">
        <f t="shared" si="285"/>
        <v>19800000</v>
      </c>
      <c r="X832" s="3">
        <f t="shared" si="286"/>
        <v>14850000</v>
      </c>
      <c r="Y832">
        <f t="shared" si="287"/>
        <v>0.24</v>
      </c>
      <c r="Z832">
        <f t="shared" si="288"/>
        <v>0.77435897435897438</v>
      </c>
      <c r="AA832" t="str">
        <f t="shared" si="289"/>
        <v>Tier 1 - Priority Fleet</v>
      </c>
      <c r="AB832" s="3">
        <f t="shared" si="290"/>
        <v>132000</v>
      </c>
      <c r="AC832" s="3">
        <f t="shared" si="291"/>
        <v>1650000</v>
      </c>
      <c r="AD832" s="3">
        <f t="shared" si="292"/>
        <v>585000</v>
      </c>
      <c r="AE832" s="5">
        <f t="shared" si="293"/>
        <v>3.6423841059602649</v>
      </c>
      <c r="AF832" s="10">
        <f t="shared" si="294"/>
        <v>982080</v>
      </c>
      <c r="AG832" s="10">
        <f t="shared" si="295"/>
        <v>316800</v>
      </c>
      <c r="AH832" s="10">
        <f t="shared" si="296"/>
        <v>158400</v>
      </c>
      <c r="AI832" s="10">
        <f t="shared" si="297"/>
        <v>79200</v>
      </c>
      <c r="AJ832" s="10">
        <f t="shared" si="298"/>
        <v>47520</v>
      </c>
    </row>
    <row r="833" spans="1:36" x14ac:dyDescent="0.3">
      <c r="A833" t="s">
        <v>3269</v>
      </c>
      <c r="B833" t="s">
        <v>3270</v>
      </c>
      <c r="C833" t="s">
        <v>3271</v>
      </c>
      <c r="D833" t="s">
        <v>14</v>
      </c>
      <c r="E833">
        <v>93955</v>
      </c>
      <c r="F833" t="s">
        <v>15</v>
      </c>
      <c r="G833">
        <v>12</v>
      </c>
      <c r="H833">
        <v>250</v>
      </c>
      <c r="I833" t="str" cm="1">
        <f t="array" ref="I833">_xlfn.IFS(H833&lt;=120,"V1",H833&lt;=150,"V2",H833&lt;=250,"V3", H833&lt;=350, "V4")</f>
        <v>V3</v>
      </c>
      <c r="J833" t="s">
        <v>3272</v>
      </c>
      <c r="K833" t="str">
        <f t="shared" si="276"/>
        <v>36.621976</v>
      </c>
      <c r="L833" t="str">
        <f t="shared" si="277"/>
        <v>-121.844208</v>
      </c>
      <c r="M833">
        <v>16</v>
      </c>
      <c r="N833" s="1">
        <v>44303</v>
      </c>
      <c r="O833" s="1">
        <v>46099</v>
      </c>
      <c r="P833" s="2">
        <f t="shared" si="278"/>
        <v>4.9171800136892543</v>
      </c>
      <c r="Q833" s="2" t="str">
        <f t="shared" si="279"/>
        <v>Mid</v>
      </c>
      <c r="R833">
        <f t="shared" si="280"/>
        <v>3000</v>
      </c>
      <c r="S833" t="str">
        <f t="shared" si="281"/>
        <v>Small</v>
      </c>
      <c r="T833" t="str">
        <f t="shared" si="282"/>
        <v>High EV Adoption Corridor</v>
      </c>
      <c r="U833" s="3">
        <f t="shared" si="283"/>
        <v>7020000</v>
      </c>
      <c r="V833" s="4">
        <f t="shared" si="284"/>
        <v>1584000</v>
      </c>
      <c r="W833" s="3">
        <f t="shared" si="285"/>
        <v>19800000</v>
      </c>
      <c r="X833" s="3">
        <f t="shared" si="286"/>
        <v>14850000</v>
      </c>
      <c r="Y833">
        <f t="shared" si="287"/>
        <v>0.24</v>
      </c>
      <c r="Z833">
        <f t="shared" si="288"/>
        <v>0.77435897435897438</v>
      </c>
      <c r="AA833" t="str">
        <f t="shared" si="289"/>
        <v>Tier 1 - Priority Fleet</v>
      </c>
      <c r="AB833" s="3">
        <f t="shared" si="290"/>
        <v>132000</v>
      </c>
      <c r="AC833" s="3">
        <f t="shared" si="291"/>
        <v>1650000</v>
      </c>
      <c r="AD833" s="3">
        <f t="shared" si="292"/>
        <v>585000</v>
      </c>
      <c r="AE833" s="5">
        <f t="shared" si="293"/>
        <v>3.6423841059602649</v>
      </c>
      <c r="AF833" s="10">
        <f t="shared" si="294"/>
        <v>982080</v>
      </c>
      <c r="AG833" s="10">
        <f t="shared" si="295"/>
        <v>316800</v>
      </c>
      <c r="AH833" s="10">
        <f t="shared" si="296"/>
        <v>158400</v>
      </c>
      <c r="AI833" s="10">
        <f t="shared" si="297"/>
        <v>79200</v>
      </c>
      <c r="AJ833" s="10">
        <f t="shared" si="298"/>
        <v>47520</v>
      </c>
    </row>
    <row r="834" spans="1:36" x14ac:dyDescent="0.3">
      <c r="A834" t="s">
        <v>3273</v>
      </c>
      <c r="B834" t="s">
        <v>3274</v>
      </c>
      <c r="C834" t="s">
        <v>3275</v>
      </c>
      <c r="D834" t="s">
        <v>852</v>
      </c>
      <c r="E834">
        <v>8691</v>
      </c>
      <c r="F834" t="s">
        <v>15</v>
      </c>
      <c r="G834">
        <v>8</v>
      </c>
      <c r="H834">
        <v>250</v>
      </c>
      <c r="I834" t="str" cm="1">
        <f t="array" ref="I834">_xlfn.IFS(H834&lt;=120,"V1",H834&lt;=150,"V2",H834&lt;=250,"V3", H834&lt;=350, "V4")</f>
        <v>V3</v>
      </c>
      <c r="J834" t="s">
        <v>3276</v>
      </c>
      <c r="K834" t="str">
        <f t="shared" si="276"/>
        <v>40.176935</v>
      </c>
      <c r="L834" t="str">
        <f t="shared" si="277"/>
        <v>-74.631786</v>
      </c>
      <c r="M834">
        <v>29</v>
      </c>
      <c r="N834" s="1">
        <v>44322</v>
      </c>
      <c r="O834" s="1">
        <v>46099</v>
      </c>
      <c r="P834" s="2">
        <f t="shared" si="278"/>
        <v>4.8651608487337441</v>
      </c>
      <c r="Q834" s="2" t="str">
        <f t="shared" si="279"/>
        <v>Mid</v>
      </c>
      <c r="R834">
        <f t="shared" si="280"/>
        <v>2000</v>
      </c>
      <c r="S834" t="str">
        <f t="shared" si="281"/>
        <v>Small</v>
      </c>
      <c r="T834" t="str">
        <f t="shared" si="282"/>
        <v>High EV Adoption Corridor</v>
      </c>
      <c r="U834" s="3">
        <f t="shared" si="283"/>
        <v>4680000</v>
      </c>
      <c r="V834" s="4">
        <f t="shared" si="284"/>
        <v>1056000</v>
      </c>
      <c r="W834" s="3">
        <f t="shared" si="285"/>
        <v>13200000.000000002</v>
      </c>
      <c r="X834" s="3">
        <f t="shared" si="286"/>
        <v>9900000.0000000019</v>
      </c>
      <c r="Y834">
        <f t="shared" si="287"/>
        <v>0.23999999999999996</v>
      </c>
      <c r="Z834">
        <f t="shared" si="288"/>
        <v>0.77435897435897438</v>
      </c>
      <c r="AA834" t="str">
        <f t="shared" si="289"/>
        <v>Tier 1 - Priority Fleet</v>
      </c>
      <c r="AB834" s="3">
        <f t="shared" si="290"/>
        <v>132000</v>
      </c>
      <c r="AC834" s="3">
        <f t="shared" si="291"/>
        <v>1650000.0000000002</v>
      </c>
      <c r="AD834" s="3">
        <f t="shared" si="292"/>
        <v>585000</v>
      </c>
      <c r="AE834" s="5">
        <f t="shared" si="293"/>
        <v>3.6423841059602653</v>
      </c>
      <c r="AF834" s="10">
        <f t="shared" si="294"/>
        <v>654720</v>
      </c>
      <c r="AG834" s="10">
        <f t="shared" si="295"/>
        <v>211200</v>
      </c>
      <c r="AH834" s="10">
        <f t="shared" si="296"/>
        <v>105600</v>
      </c>
      <c r="AI834" s="10">
        <f t="shared" si="297"/>
        <v>52800</v>
      </c>
      <c r="AJ834" s="10">
        <f t="shared" si="298"/>
        <v>31680</v>
      </c>
    </row>
    <row r="835" spans="1:36" x14ac:dyDescent="0.3">
      <c r="A835" t="s">
        <v>3277</v>
      </c>
      <c r="B835" t="s">
        <v>3278</v>
      </c>
      <c r="C835" t="s">
        <v>3279</v>
      </c>
      <c r="D835" t="s">
        <v>50</v>
      </c>
      <c r="E835">
        <v>78628</v>
      </c>
      <c r="F835" t="s">
        <v>15</v>
      </c>
      <c r="G835">
        <v>16</v>
      </c>
      <c r="H835">
        <v>250</v>
      </c>
      <c r="I835" t="str" cm="1">
        <f t="array" ref="I835">_xlfn.IFS(H835&lt;=120,"V1",H835&lt;=150,"V2",H835&lt;=250,"V3", H835&lt;=350, "V4")</f>
        <v>V3</v>
      </c>
      <c r="J835" t="s">
        <v>3280</v>
      </c>
      <c r="K835" t="str">
        <f t="shared" ref="K835:K898" si="299">TRIM(LEFT(J835, FIND(",", J835) - 1))</f>
        <v>30.632093</v>
      </c>
      <c r="L835" t="str">
        <f t="shared" ref="L835:L898" si="300">TRIM(MID(J835, FIND(",", J835) + 1, LEN(J835)))</f>
        <v>-97.694003</v>
      </c>
      <c r="M835">
        <v>244</v>
      </c>
      <c r="N835" s="1">
        <v>45028</v>
      </c>
      <c r="O835" s="1">
        <v>46099</v>
      </c>
      <c r="P835" s="2">
        <f t="shared" ref="P835:P898" si="301">(O835-N835)/365.25</f>
        <v>2.9322381930184807</v>
      </c>
      <c r="Q835" s="2" t="str">
        <f t="shared" ref="Q835:Q898" si="302">IF(P835&lt;3,"New",IF(P835&lt;=8,"Mid","Old"))</f>
        <v>New</v>
      </c>
      <c r="R835">
        <f t="shared" ref="R835:R898" si="303">G835*H835</f>
        <v>4000</v>
      </c>
      <c r="S835" t="str">
        <f t="shared" ref="S835:S898" si="304">IF(G835&lt;=30,"Small",IF(G835&lt;=60,"Medium","Large"))</f>
        <v>Small</v>
      </c>
      <c r="T835" t="str">
        <f t="shared" ref="T835:T898" si="305">IF(OR(D835="CA",D835="FL",D835="WA",D835="CO",D835="TX",D835="NJ"),"High EV Adoption Corridor","Lower EV Adoption Corridor")</f>
        <v>High EV Adoption Corridor</v>
      </c>
      <c r="U835" s="3">
        <f t="shared" ref="U835:U898" si="306" xml:space="preserve"> R835 * 1500 *
  IF(I835="V1",1,
     IF(I835="V2",1.1,1.2)) *
  IF(T835="High EV Adoption Corridor",1.3,1)</f>
        <v>9360000</v>
      </c>
      <c r="V835" s="4">
        <f t="shared" ref="V835:V898" si="307" xml:space="preserve"> R835 * 400 *
  IF(I835="V1",0.9,
     IF(I835="V2",1,1.1)) *
  IF(T835="High EV Adoption Corridor",1.2,1)</f>
        <v>2112000</v>
      </c>
      <c r="W835" s="3">
        <f t="shared" ref="W835:W898" si="308" xml:space="preserve"> R835 * 5000 *
  IF(I835="V1",0.8,
     IF(I835="V2",1,1.2)) *
  IF(T835="High EV Adoption Corridor",1.1,1)</f>
        <v>26400000.000000004</v>
      </c>
      <c r="X835" s="3">
        <f t="shared" ref="X835:X898" si="309" xml:space="preserve"> R835 * 3000 *
  IF(I835="V1",0.9,
     IF(I835="V2",1,1.1)) *
  IF(T835="High EV Adoption Corridor",1.5,1)</f>
        <v>19800000.000000004</v>
      </c>
      <c r="Y835">
        <f t="shared" ref="Y835:Y898" si="310" xml:space="preserve"> ((W835/10) + V835) / X835</f>
        <v>0.23999999999999996</v>
      </c>
      <c r="Z835">
        <f t="shared" ref="Z835:Z898" si="311">(U835-V835)/U835</f>
        <v>0.77435897435897438</v>
      </c>
      <c r="AA835" t="str">
        <f t="shared" ref="AA835:AA898" si="312">IF(AND(I835="V3",T835="High EV Adoption Corridor"),
"Tier 1 - Priority Fleet",
IF(AND(I835="V3",T835="Lower EV Adoption Corridor"),
"Tier 2 - Growth Markets",
IF(AND(OR(I835="V1",I835="V2"),T835="High EV Adoption Corridor"),
"Tier 3 - Upgrade Pipeline",
IF(AND(I835="V2",T835="Lower EV Adoption Corridor"),
"Tier 4 - Stable Network",
"Tier 5 - Retirement Pipeline"))))</f>
        <v>Tier 1 - Priority Fleet</v>
      </c>
      <c r="AB835" s="3">
        <f t="shared" ref="AB835:AB898" si="313">V835/G835</f>
        <v>132000</v>
      </c>
      <c r="AC835" s="3">
        <f t="shared" ref="AC835:AC898" si="314">W835/G835</f>
        <v>1650000.0000000002</v>
      </c>
      <c r="AD835" s="3">
        <f t="shared" ref="AD835:AD898" si="315">U835/G835</f>
        <v>585000</v>
      </c>
      <c r="AE835" s="5">
        <f t="shared" ref="AE835:AE898" si="316">W835/(U835-V835)</f>
        <v>3.6423841059602653</v>
      </c>
      <c r="AF835" s="10">
        <f t="shared" ref="AF835:AF898" si="317">V835*0.62</f>
        <v>1309440</v>
      </c>
      <c r="AG835" s="10">
        <f t="shared" ref="AG835:AG898" si="318">V835*0.2</f>
        <v>422400</v>
      </c>
      <c r="AH835" s="10">
        <f t="shared" ref="AH835:AH898" si="319">V835*0.1</f>
        <v>211200</v>
      </c>
      <c r="AI835" s="10">
        <f t="shared" ref="AI835:AI898" si="320">V835*0.05</f>
        <v>105600</v>
      </c>
      <c r="AJ835" s="10">
        <f t="shared" ref="AJ835:AJ898" si="321">V835*0.03</f>
        <v>63360</v>
      </c>
    </row>
    <row r="836" spans="1:36" x14ac:dyDescent="0.3">
      <c r="A836" t="s">
        <v>3281</v>
      </c>
      <c r="B836" t="s">
        <v>3282</v>
      </c>
      <c r="C836" t="s">
        <v>929</v>
      </c>
      <c r="D836" t="s">
        <v>41</v>
      </c>
      <c r="E836">
        <v>33896</v>
      </c>
      <c r="F836" t="s">
        <v>15</v>
      </c>
      <c r="G836">
        <v>12</v>
      </c>
      <c r="H836">
        <v>250</v>
      </c>
      <c r="I836" t="str" cm="1">
        <f t="array" ref="I836">_xlfn.IFS(H836&lt;=120,"V1",H836&lt;=150,"V2",H836&lt;=250,"V3", H836&lt;=350, "V4")</f>
        <v>V3</v>
      </c>
      <c r="J836" t="s">
        <v>3283</v>
      </c>
      <c r="K836" t="str">
        <f t="shared" si="299"/>
        <v>28.258509</v>
      </c>
      <c r="L836" t="str">
        <f t="shared" si="300"/>
        <v>-81.590088</v>
      </c>
      <c r="M836">
        <v>41</v>
      </c>
      <c r="N836" s="1">
        <v>44341</v>
      </c>
      <c r="O836" s="1">
        <v>46099</v>
      </c>
      <c r="P836" s="2">
        <f t="shared" si="301"/>
        <v>4.8131416837782339</v>
      </c>
      <c r="Q836" s="2" t="str">
        <f t="shared" si="302"/>
        <v>Mid</v>
      </c>
      <c r="R836">
        <f t="shared" si="303"/>
        <v>3000</v>
      </c>
      <c r="S836" t="str">
        <f t="shared" si="304"/>
        <v>Small</v>
      </c>
      <c r="T836" t="str">
        <f t="shared" si="305"/>
        <v>High EV Adoption Corridor</v>
      </c>
      <c r="U836" s="3">
        <f t="shared" si="306"/>
        <v>7020000</v>
      </c>
      <c r="V836" s="4">
        <f t="shared" si="307"/>
        <v>1584000</v>
      </c>
      <c r="W836" s="3">
        <f t="shared" si="308"/>
        <v>19800000</v>
      </c>
      <c r="X836" s="3">
        <f t="shared" si="309"/>
        <v>14850000</v>
      </c>
      <c r="Y836">
        <f t="shared" si="310"/>
        <v>0.24</v>
      </c>
      <c r="Z836">
        <f t="shared" si="311"/>
        <v>0.77435897435897438</v>
      </c>
      <c r="AA836" t="str">
        <f t="shared" si="312"/>
        <v>Tier 1 - Priority Fleet</v>
      </c>
      <c r="AB836" s="3">
        <f t="shared" si="313"/>
        <v>132000</v>
      </c>
      <c r="AC836" s="3">
        <f t="shared" si="314"/>
        <v>1650000</v>
      </c>
      <c r="AD836" s="3">
        <f t="shared" si="315"/>
        <v>585000</v>
      </c>
      <c r="AE836" s="5">
        <f t="shared" si="316"/>
        <v>3.6423841059602649</v>
      </c>
      <c r="AF836" s="10">
        <f t="shared" si="317"/>
        <v>982080</v>
      </c>
      <c r="AG836" s="10">
        <f t="shared" si="318"/>
        <v>316800</v>
      </c>
      <c r="AH836" s="10">
        <f t="shared" si="319"/>
        <v>158400</v>
      </c>
      <c r="AI836" s="10">
        <f t="shared" si="320"/>
        <v>79200</v>
      </c>
      <c r="AJ836" s="10">
        <f t="shared" si="321"/>
        <v>47520</v>
      </c>
    </row>
    <row r="837" spans="1:36" x14ac:dyDescent="0.3">
      <c r="A837" t="s">
        <v>3284</v>
      </c>
      <c r="B837" t="s">
        <v>3285</v>
      </c>
      <c r="C837" t="s">
        <v>3286</v>
      </c>
      <c r="D837" t="s">
        <v>153</v>
      </c>
      <c r="E837">
        <v>16127</v>
      </c>
      <c r="F837" t="s">
        <v>15</v>
      </c>
      <c r="G837">
        <v>6</v>
      </c>
      <c r="H837">
        <v>250</v>
      </c>
      <c r="I837" t="str" cm="1">
        <f t="array" ref="I837">_xlfn.IFS(H837&lt;=120,"V1",H837&lt;=150,"V2",H837&lt;=250,"V3", H837&lt;=350, "V4")</f>
        <v>V3</v>
      </c>
      <c r="J837" t="s">
        <v>3287</v>
      </c>
      <c r="K837" t="str">
        <f t="shared" si="299"/>
        <v>41.143778</v>
      </c>
      <c r="L837" t="str">
        <f t="shared" si="300"/>
        <v>-80.157055</v>
      </c>
      <c r="M837">
        <v>395</v>
      </c>
      <c r="N837" s="1">
        <v>43868</v>
      </c>
      <c r="O837" s="1">
        <v>46099</v>
      </c>
      <c r="P837" s="2">
        <f t="shared" si="301"/>
        <v>6.108145106091718</v>
      </c>
      <c r="Q837" s="2" t="str">
        <f t="shared" si="302"/>
        <v>Mid</v>
      </c>
      <c r="R837">
        <f t="shared" si="303"/>
        <v>1500</v>
      </c>
      <c r="S837" t="str">
        <f t="shared" si="304"/>
        <v>Small</v>
      </c>
      <c r="T837" t="str">
        <f t="shared" si="305"/>
        <v>Lower EV Adoption Corridor</v>
      </c>
      <c r="U837" s="3">
        <f t="shared" si="306"/>
        <v>2700000</v>
      </c>
      <c r="V837" s="4">
        <f t="shared" si="307"/>
        <v>660000</v>
      </c>
      <c r="W837" s="3">
        <f t="shared" si="308"/>
        <v>9000000</v>
      </c>
      <c r="X837" s="3">
        <f t="shared" si="309"/>
        <v>4950000</v>
      </c>
      <c r="Y837">
        <f t="shared" si="310"/>
        <v>0.31515151515151513</v>
      </c>
      <c r="Z837">
        <f t="shared" si="311"/>
        <v>0.75555555555555554</v>
      </c>
      <c r="AA837" t="str">
        <f t="shared" si="312"/>
        <v>Tier 2 - Growth Markets</v>
      </c>
      <c r="AB837" s="3">
        <f t="shared" si="313"/>
        <v>110000</v>
      </c>
      <c r="AC837" s="3">
        <f t="shared" si="314"/>
        <v>1500000</v>
      </c>
      <c r="AD837" s="3">
        <f t="shared" si="315"/>
        <v>450000</v>
      </c>
      <c r="AE837" s="5">
        <f t="shared" si="316"/>
        <v>4.4117647058823533</v>
      </c>
      <c r="AF837" s="10">
        <f t="shared" si="317"/>
        <v>409200</v>
      </c>
      <c r="AG837" s="10">
        <f t="shared" si="318"/>
        <v>132000</v>
      </c>
      <c r="AH837" s="10">
        <f t="shared" si="319"/>
        <v>66000</v>
      </c>
      <c r="AI837" s="10">
        <f t="shared" si="320"/>
        <v>33000</v>
      </c>
      <c r="AJ837" s="10">
        <f t="shared" si="321"/>
        <v>19800</v>
      </c>
    </row>
    <row r="838" spans="1:36" x14ac:dyDescent="0.3">
      <c r="A838" t="s">
        <v>3288</v>
      </c>
      <c r="B838" t="s">
        <v>3289</v>
      </c>
      <c r="C838" t="s">
        <v>3290</v>
      </c>
      <c r="D838" t="s">
        <v>14</v>
      </c>
      <c r="E838">
        <v>96067</v>
      </c>
      <c r="F838" t="s">
        <v>15</v>
      </c>
      <c r="G838">
        <v>16</v>
      </c>
      <c r="H838">
        <v>150</v>
      </c>
      <c r="I838" t="str" cm="1">
        <f t="array" ref="I838">_xlfn.IFS(H838&lt;=120,"V1",H838&lt;=150,"V2",H838&lt;=250,"V3", H838&lt;=350, "V4")</f>
        <v>V2</v>
      </c>
      <c r="J838" t="s">
        <v>3291</v>
      </c>
      <c r="K838" t="str">
        <f t="shared" si="299"/>
        <v>41.310348</v>
      </c>
      <c r="L838" t="str">
        <f t="shared" si="300"/>
        <v>-122.316039</v>
      </c>
      <c r="M838">
        <v>1070</v>
      </c>
      <c r="N838" s="1">
        <v>43104</v>
      </c>
      <c r="O838" s="1">
        <v>46099</v>
      </c>
      <c r="P838" s="2">
        <f t="shared" si="301"/>
        <v>8.1998631074606436</v>
      </c>
      <c r="Q838" s="2" t="str">
        <f t="shared" si="302"/>
        <v>Old</v>
      </c>
      <c r="R838">
        <f t="shared" si="303"/>
        <v>2400</v>
      </c>
      <c r="S838" t="str">
        <f t="shared" si="304"/>
        <v>Small</v>
      </c>
      <c r="T838" t="str">
        <f t="shared" si="305"/>
        <v>High EV Adoption Corridor</v>
      </c>
      <c r="U838" s="3">
        <f t="shared" si="306"/>
        <v>5148000.0000000009</v>
      </c>
      <c r="V838" s="4">
        <f t="shared" si="307"/>
        <v>1152000</v>
      </c>
      <c r="W838" s="3">
        <f t="shared" si="308"/>
        <v>13200000.000000002</v>
      </c>
      <c r="X838" s="3">
        <f t="shared" si="309"/>
        <v>10800000</v>
      </c>
      <c r="Y838">
        <f t="shared" si="310"/>
        <v>0.22888888888888889</v>
      </c>
      <c r="Z838">
        <f t="shared" si="311"/>
        <v>0.77622377622377625</v>
      </c>
      <c r="AA838" t="str">
        <f t="shared" si="312"/>
        <v>Tier 3 - Upgrade Pipeline</v>
      </c>
      <c r="AB838" s="3">
        <f t="shared" si="313"/>
        <v>72000</v>
      </c>
      <c r="AC838" s="3">
        <f t="shared" si="314"/>
        <v>825000.00000000012</v>
      </c>
      <c r="AD838" s="3">
        <f t="shared" si="315"/>
        <v>321750.00000000006</v>
      </c>
      <c r="AE838" s="5">
        <f t="shared" si="316"/>
        <v>3.303303303303303</v>
      </c>
      <c r="AF838" s="10">
        <f t="shared" si="317"/>
        <v>714240</v>
      </c>
      <c r="AG838" s="10">
        <f t="shared" si="318"/>
        <v>230400</v>
      </c>
      <c r="AH838" s="10">
        <f t="shared" si="319"/>
        <v>115200</v>
      </c>
      <c r="AI838" s="10">
        <f t="shared" si="320"/>
        <v>57600</v>
      </c>
      <c r="AJ838" s="10">
        <f t="shared" si="321"/>
        <v>34560</v>
      </c>
    </row>
    <row r="839" spans="1:36" x14ac:dyDescent="0.3">
      <c r="A839" t="s">
        <v>3292</v>
      </c>
      <c r="B839" t="s">
        <v>3293</v>
      </c>
      <c r="C839" t="s">
        <v>3294</v>
      </c>
      <c r="D839" t="s">
        <v>316</v>
      </c>
      <c r="E839">
        <v>97814</v>
      </c>
      <c r="F839" t="s">
        <v>15</v>
      </c>
      <c r="G839">
        <v>8</v>
      </c>
      <c r="H839">
        <v>150</v>
      </c>
      <c r="I839" t="str" cm="1">
        <f t="array" ref="I839">_xlfn.IFS(H839&lt;=120,"V1",H839&lt;=150,"V2",H839&lt;=250,"V3", H839&lt;=350, "V4")</f>
        <v>V2</v>
      </c>
      <c r="J839" t="s">
        <v>3295</v>
      </c>
      <c r="K839" t="str">
        <f t="shared" si="299"/>
        <v>44.782849</v>
      </c>
      <c r="L839" t="str">
        <f t="shared" si="300"/>
        <v>-117.812422</v>
      </c>
      <c r="M839">
        <v>1044</v>
      </c>
      <c r="N839" s="1">
        <v>42180</v>
      </c>
      <c r="O839" s="1">
        <v>46099</v>
      </c>
      <c r="P839" s="2">
        <f t="shared" si="301"/>
        <v>10.729637234770705</v>
      </c>
      <c r="Q839" s="2" t="str">
        <f t="shared" si="302"/>
        <v>Old</v>
      </c>
      <c r="R839">
        <f t="shared" si="303"/>
        <v>1200</v>
      </c>
      <c r="S839" t="str">
        <f t="shared" si="304"/>
        <v>Small</v>
      </c>
      <c r="T839" t="str">
        <f t="shared" si="305"/>
        <v>Lower EV Adoption Corridor</v>
      </c>
      <c r="U839" s="3">
        <f t="shared" si="306"/>
        <v>1980000.0000000002</v>
      </c>
      <c r="V839" s="4">
        <f t="shared" si="307"/>
        <v>480000</v>
      </c>
      <c r="W839" s="3">
        <f t="shared" si="308"/>
        <v>6000000</v>
      </c>
      <c r="X839" s="3">
        <f t="shared" si="309"/>
        <v>3600000</v>
      </c>
      <c r="Y839">
        <f t="shared" si="310"/>
        <v>0.3</v>
      </c>
      <c r="Z839">
        <f t="shared" si="311"/>
        <v>0.75757575757575757</v>
      </c>
      <c r="AA839" t="str">
        <f t="shared" si="312"/>
        <v>Tier 4 - Stable Network</v>
      </c>
      <c r="AB839" s="3">
        <f t="shared" si="313"/>
        <v>60000</v>
      </c>
      <c r="AC839" s="3">
        <f t="shared" si="314"/>
        <v>750000</v>
      </c>
      <c r="AD839" s="3">
        <f t="shared" si="315"/>
        <v>247500.00000000003</v>
      </c>
      <c r="AE839" s="5">
        <f t="shared" si="316"/>
        <v>3.9999999999999996</v>
      </c>
      <c r="AF839" s="10">
        <f t="shared" si="317"/>
        <v>297600</v>
      </c>
      <c r="AG839" s="10">
        <f t="shared" si="318"/>
        <v>96000</v>
      </c>
      <c r="AH839" s="10">
        <f t="shared" si="319"/>
        <v>48000</v>
      </c>
      <c r="AI839" s="10">
        <f t="shared" si="320"/>
        <v>24000</v>
      </c>
      <c r="AJ839" s="10">
        <f t="shared" si="321"/>
        <v>14400</v>
      </c>
    </row>
    <row r="840" spans="1:36" x14ac:dyDescent="0.3">
      <c r="A840" t="s">
        <v>3296</v>
      </c>
      <c r="B840" t="s">
        <v>3297</v>
      </c>
      <c r="C840" t="s">
        <v>1627</v>
      </c>
      <c r="D840" t="s">
        <v>14</v>
      </c>
      <c r="E840">
        <v>92121</v>
      </c>
      <c r="F840" t="s">
        <v>15</v>
      </c>
      <c r="G840">
        <v>12</v>
      </c>
      <c r="H840">
        <v>150</v>
      </c>
      <c r="I840" t="str" cm="1">
        <f t="array" ref="I840">_xlfn.IFS(H840&lt;=120,"V1",H840&lt;=150,"V2",H840&lt;=250,"V3", H840&lt;=350, "V4")</f>
        <v>V2</v>
      </c>
      <c r="J840" t="s">
        <v>3298</v>
      </c>
      <c r="K840" t="str">
        <f t="shared" si="299"/>
        <v>32.902137</v>
      </c>
      <c r="L840" t="str">
        <f t="shared" si="300"/>
        <v>-117.193489</v>
      </c>
      <c r="M840">
        <v>88</v>
      </c>
      <c r="N840" s="1">
        <v>42163</v>
      </c>
      <c r="O840" s="1">
        <v>46099</v>
      </c>
      <c r="P840" s="2">
        <f t="shared" si="301"/>
        <v>10.776180698151951</v>
      </c>
      <c r="Q840" s="2" t="str">
        <f t="shared" si="302"/>
        <v>Old</v>
      </c>
      <c r="R840">
        <f t="shared" si="303"/>
        <v>1800</v>
      </c>
      <c r="S840" t="str">
        <f t="shared" si="304"/>
        <v>Small</v>
      </c>
      <c r="T840" t="str">
        <f t="shared" si="305"/>
        <v>High EV Adoption Corridor</v>
      </c>
      <c r="U840" s="3">
        <f t="shared" si="306"/>
        <v>3861000.0000000009</v>
      </c>
      <c r="V840" s="4">
        <f t="shared" si="307"/>
        <v>864000</v>
      </c>
      <c r="W840" s="3">
        <f t="shared" si="308"/>
        <v>9900000</v>
      </c>
      <c r="X840" s="3">
        <f t="shared" si="309"/>
        <v>8100000</v>
      </c>
      <c r="Y840">
        <f t="shared" si="310"/>
        <v>0.22888888888888889</v>
      </c>
      <c r="Z840">
        <f t="shared" si="311"/>
        <v>0.77622377622377625</v>
      </c>
      <c r="AA840" t="str">
        <f t="shared" si="312"/>
        <v>Tier 3 - Upgrade Pipeline</v>
      </c>
      <c r="AB840" s="3">
        <f t="shared" si="313"/>
        <v>72000</v>
      </c>
      <c r="AC840" s="3">
        <f t="shared" si="314"/>
        <v>825000</v>
      </c>
      <c r="AD840" s="3">
        <f t="shared" si="315"/>
        <v>321750.00000000006</v>
      </c>
      <c r="AE840" s="5">
        <f t="shared" si="316"/>
        <v>3.3033033033033021</v>
      </c>
      <c r="AF840" s="10">
        <f t="shared" si="317"/>
        <v>535680</v>
      </c>
      <c r="AG840" s="10">
        <f t="shared" si="318"/>
        <v>172800</v>
      </c>
      <c r="AH840" s="10">
        <f t="shared" si="319"/>
        <v>86400</v>
      </c>
      <c r="AI840" s="10">
        <f t="shared" si="320"/>
        <v>43200</v>
      </c>
      <c r="AJ840" s="10">
        <f t="shared" si="321"/>
        <v>25920</v>
      </c>
    </row>
    <row r="841" spans="1:36" x14ac:dyDescent="0.3">
      <c r="A841" t="s">
        <v>3299</v>
      </c>
      <c r="B841" t="s">
        <v>3300</v>
      </c>
      <c r="C841" t="s">
        <v>3301</v>
      </c>
      <c r="D841" t="s">
        <v>316</v>
      </c>
      <c r="E841">
        <v>97058</v>
      </c>
      <c r="F841" t="s">
        <v>15</v>
      </c>
      <c r="G841">
        <v>5</v>
      </c>
      <c r="H841">
        <v>150</v>
      </c>
      <c r="I841" t="str" cm="1">
        <f t="array" ref="I841">_xlfn.IFS(H841&lt;=120,"V1",H841&lt;=150,"V2",H841&lt;=250,"V3", H841&lt;=350, "V4")</f>
        <v>V2</v>
      </c>
      <c r="J841" t="s">
        <v>3302</v>
      </c>
      <c r="K841" t="str">
        <f t="shared" si="299"/>
        <v>45.611964</v>
      </c>
      <c r="L841" t="str">
        <f t="shared" si="300"/>
        <v>-121.208526</v>
      </c>
      <c r="M841">
        <v>45</v>
      </c>
      <c r="N841" s="1">
        <v>41852</v>
      </c>
      <c r="O841" s="1">
        <v>46099</v>
      </c>
      <c r="P841" s="2">
        <f t="shared" si="301"/>
        <v>11.627652292950033</v>
      </c>
      <c r="Q841" s="2" t="str">
        <f t="shared" si="302"/>
        <v>Old</v>
      </c>
      <c r="R841">
        <f t="shared" si="303"/>
        <v>750</v>
      </c>
      <c r="S841" t="str">
        <f t="shared" si="304"/>
        <v>Small</v>
      </c>
      <c r="T841" t="str">
        <f t="shared" si="305"/>
        <v>Lower EV Adoption Corridor</v>
      </c>
      <c r="U841" s="3">
        <f t="shared" si="306"/>
        <v>1237500</v>
      </c>
      <c r="V841" s="4">
        <f t="shared" si="307"/>
        <v>300000</v>
      </c>
      <c r="W841" s="3">
        <f t="shared" si="308"/>
        <v>3750000</v>
      </c>
      <c r="X841" s="3">
        <f t="shared" si="309"/>
        <v>2250000</v>
      </c>
      <c r="Y841">
        <f t="shared" si="310"/>
        <v>0.3</v>
      </c>
      <c r="Z841">
        <f t="shared" si="311"/>
        <v>0.75757575757575757</v>
      </c>
      <c r="AA841" t="str">
        <f t="shared" si="312"/>
        <v>Tier 4 - Stable Network</v>
      </c>
      <c r="AB841" s="3">
        <f t="shared" si="313"/>
        <v>60000</v>
      </c>
      <c r="AC841" s="3">
        <f t="shared" si="314"/>
        <v>750000</v>
      </c>
      <c r="AD841" s="3">
        <f t="shared" si="315"/>
        <v>247500</v>
      </c>
      <c r="AE841" s="5">
        <f t="shared" si="316"/>
        <v>4</v>
      </c>
      <c r="AF841" s="10">
        <f t="shared" si="317"/>
        <v>186000</v>
      </c>
      <c r="AG841" s="10">
        <f t="shared" si="318"/>
        <v>60000</v>
      </c>
      <c r="AH841" s="10">
        <f t="shared" si="319"/>
        <v>30000</v>
      </c>
      <c r="AI841" s="10">
        <f t="shared" si="320"/>
        <v>15000</v>
      </c>
      <c r="AJ841" s="10">
        <f t="shared" si="321"/>
        <v>9000</v>
      </c>
    </row>
    <row r="842" spans="1:36" x14ac:dyDescent="0.3">
      <c r="A842" t="s">
        <v>3303</v>
      </c>
      <c r="B842" t="s">
        <v>3304</v>
      </c>
      <c r="C842" t="s">
        <v>3305</v>
      </c>
      <c r="D842" t="s">
        <v>28</v>
      </c>
      <c r="E842">
        <v>31601</v>
      </c>
      <c r="F842" t="s">
        <v>15</v>
      </c>
      <c r="G842">
        <v>8</v>
      </c>
      <c r="H842">
        <v>250</v>
      </c>
      <c r="I842" t="str" cm="1">
        <f t="array" ref="I842">_xlfn.IFS(H842&lt;=120,"V1",H842&lt;=150,"V2",H842&lt;=250,"V3", H842&lt;=350, "V4")</f>
        <v>V3</v>
      </c>
      <c r="J842" t="s">
        <v>3306</v>
      </c>
      <c r="K842" t="str">
        <f t="shared" si="299"/>
        <v>30.81732</v>
      </c>
      <c r="L842" t="str">
        <f t="shared" si="300"/>
        <v>-83.320889</v>
      </c>
      <c r="M842">
        <v>61</v>
      </c>
      <c r="N842" s="1">
        <v>44115</v>
      </c>
      <c r="O842" s="1">
        <v>46099</v>
      </c>
      <c r="P842" s="2">
        <f t="shared" si="301"/>
        <v>5.4318959616700893</v>
      </c>
      <c r="Q842" s="2" t="str">
        <f t="shared" si="302"/>
        <v>Mid</v>
      </c>
      <c r="R842">
        <f t="shared" si="303"/>
        <v>2000</v>
      </c>
      <c r="S842" t="str">
        <f t="shared" si="304"/>
        <v>Small</v>
      </c>
      <c r="T842" t="str">
        <f t="shared" si="305"/>
        <v>Lower EV Adoption Corridor</v>
      </c>
      <c r="U842" s="3">
        <f t="shared" si="306"/>
        <v>3600000</v>
      </c>
      <c r="V842" s="4">
        <f t="shared" si="307"/>
        <v>880000.00000000012</v>
      </c>
      <c r="W842" s="3">
        <f t="shared" si="308"/>
        <v>12000000</v>
      </c>
      <c r="X842" s="3">
        <f t="shared" si="309"/>
        <v>6600000.0000000009</v>
      </c>
      <c r="Y842">
        <f t="shared" si="310"/>
        <v>0.31515151515151513</v>
      </c>
      <c r="Z842">
        <f t="shared" si="311"/>
        <v>0.75555555555555554</v>
      </c>
      <c r="AA842" t="str">
        <f t="shared" si="312"/>
        <v>Tier 2 - Growth Markets</v>
      </c>
      <c r="AB842" s="3">
        <f t="shared" si="313"/>
        <v>110000.00000000001</v>
      </c>
      <c r="AC842" s="3">
        <f t="shared" si="314"/>
        <v>1500000</v>
      </c>
      <c r="AD842" s="3">
        <f t="shared" si="315"/>
        <v>450000</v>
      </c>
      <c r="AE842" s="5">
        <f t="shared" si="316"/>
        <v>4.4117647058823533</v>
      </c>
      <c r="AF842" s="10">
        <f t="shared" si="317"/>
        <v>545600.00000000012</v>
      </c>
      <c r="AG842" s="10">
        <f t="shared" si="318"/>
        <v>176000.00000000003</v>
      </c>
      <c r="AH842" s="10">
        <f t="shared" si="319"/>
        <v>88000.000000000015</v>
      </c>
      <c r="AI842" s="10">
        <f t="shared" si="320"/>
        <v>44000.000000000007</v>
      </c>
      <c r="AJ842" s="10">
        <f t="shared" si="321"/>
        <v>26400.000000000004</v>
      </c>
    </row>
    <row r="843" spans="1:36" x14ac:dyDescent="0.3">
      <c r="A843" t="s">
        <v>3307</v>
      </c>
      <c r="B843" t="s">
        <v>3308</v>
      </c>
      <c r="C843" t="s">
        <v>3309</v>
      </c>
      <c r="D843" t="s">
        <v>1110</v>
      </c>
      <c r="E843">
        <v>72949</v>
      </c>
      <c r="F843" t="s">
        <v>15</v>
      </c>
      <c r="G843">
        <v>8</v>
      </c>
      <c r="H843">
        <v>250</v>
      </c>
      <c r="I843" t="str" cm="1">
        <f t="array" ref="I843">_xlfn.IFS(H843&lt;=120,"V1",H843&lt;=150,"V2",H843&lt;=250,"V3", H843&lt;=350, "V4")</f>
        <v>V3</v>
      </c>
      <c r="J843" t="s">
        <v>3310</v>
      </c>
      <c r="K843" t="str">
        <f t="shared" si="299"/>
        <v>35.5238</v>
      </c>
      <c r="L843" t="str">
        <f t="shared" si="300"/>
        <v>-93.8636</v>
      </c>
      <c r="M843">
        <v>160</v>
      </c>
      <c r="N843" s="1">
        <v>44078</v>
      </c>
      <c r="O843" s="1">
        <v>46099</v>
      </c>
      <c r="P843" s="2">
        <f t="shared" si="301"/>
        <v>5.5331964407939767</v>
      </c>
      <c r="Q843" s="2" t="str">
        <f t="shared" si="302"/>
        <v>Mid</v>
      </c>
      <c r="R843">
        <f t="shared" si="303"/>
        <v>2000</v>
      </c>
      <c r="S843" t="str">
        <f t="shared" si="304"/>
        <v>Small</v>
      </c>
      <c r="T843" t="str">
        <f t="shared" si="305"/>
        <v>Lower EV Adoption Corridor</v>
      </c>
      <c r="U843" s="3">
        <f t="shared" si="306"/>
        <v>3600000</v>
      </c>
      <c r="V843" s="4">
        <f t="shared" si="307"/>
        <v>880000.00000000012</v>
      </c>
      <c r="W843" s="3">
        <f t="shared" si="308"/>
        <v>12000000</v>
      </c>
      <c r="X843" s="3">
        <f t="shared" si="309"/>
        <v>6600000.0000000009</v>
      </c>
      <c r="Y843">
        <f t="shared" si="310"/>
        <v>0.31515151515151513</v>
      </c>
      <c r="Z843">
        <f t="shared" si="311"/>
        <v>0.75555555555555554</v>
      </c>
      <c r="AA843" t="str">
        <f t="shared" si="312"/>
        <v>Tier 2 - Growth Markets</v>
      </c>
      <c r="AB843" s="3">
        <f t="shared" si="313"/>
        <v>110000.00000000001</v>
      </c>
      <c r="AC843" s="3">
        <f t="shared" si="314"/>
        <v>1500000</v>
      </c>
      <c r="AD843" s="3">
        <f t="shared" si="315"/>
        <v>450000</v>
      </c>
      <c r="AE843" s="5">
        <f t="shared" si="316"/>
        <v>4.4117647058823533</v>
      </c>
      <c r="AF843" s="10">
        <f t="shared" si="317"/>
        <v>545600.00000000012</v>
      </c>
      <c r="AG843" s="10">
        <f t="shared" si="318"/>
        <v>176000.00000000003</v>
      </c>
      <c r="AH843" s="10">
        <f t="shared" si="319"/>
        <v>88000.000000000015</v>
      </c>
      <c r="AI843" s="10">
        <f t="shared" si="320"/>
        <v>44000.000000000007</v>
      </c>
      <c r="AJ843" s="10">
        <f t="shared" si="321"/>
        <v>26400.000000000004</v>
      </c>
    </row>
    <row r="844" spans="1:36" x14ac:dyDescent="0.3">
      <c r="A844" t="s">
        <v>3311</v>
      </c>
      <c r="B844" t="s">
        <v>3312</v>
      </c>
      <c r="C844" t="s">
        <v>530</v>
      </c>
      <c r="D844" t="s">
        <v>14</v>
      </c>
      <c r="E844">
        <v>95014</v>
      </c>
      <c r="F844" t="s">
        <v>15</v>
      </c>
      <c r="G844">
        <v>28</v>
      </c>
      <c r="H844">
        <v>250</v>
      </c>
      <c r="I844" t="str" cm="1">
        <f t="array" ref="I844">_xlfn.IFS(H844&lt;=120,"V1",H844&lt;=150,"V2",H844&lt;=250,"V3", H844&lt;=350, "V4")</f>
        <v>V3</v>
      </c>
      <c r="J844" t="s">
        <v>3313</v>
      </c>
      <c r="K844" t="str">
        <f t="shared" si="299"/>
        <v>37.324722</v>
      </c>
      <c r="L844" t="str">
        <f t="shared" si="300"/>
        <v>-122.03684</v>
      </c>
      <c r="M844">
        <v>76</v>
      </c>
      <c r="N844" s="1">
        <v>44152</v>
      </c>
      <c r="O844" s="1">
        <v>46099</v>
      </c>
      <c r="P844" s="2">
        <f t="shared" si="301"/>
        <v>5.330595482546201</v>
      </c>
      <c r="Q844" s="2" t="str">
        <f t="shared" si="302"/>
        <v>Mid</v>
      </c>
      <c r="R844">
        <f t="shared" si="303"/>
        <v>7000</v>
      </c>
      <c r="S844" t="str">
        <f t="shared" si="304"/>
        <v>Small</v>
      </c>
      <c r="T844" t="str">
        <f t="shared" si="305"/>
        <v>High EV Adoption Corridor</v>
      </c>
      <c r="U844" s="3">
        <f t="shared" si="306"/>
        <v>16380000</v>
      </c>
      <c r="V844" s="4">
        <f t="shared" si="307"/>
        <v>3696000.0000000005</v>
      </c>
      <c r="W844" s="3">
        <f t="shared" si="308"/>
        <v>46200000.000000007</v>
      </c>
      <c r="X844" s="3">
        <f t="shared" si="309"/>
        <v>34650000.000000007</v>
      </c>
      <c r="Y844">
        <f t="shared" si="310"/>
        <v>0.24</v>
      </c>
      <c r="Z844">
        <f t="shared" si="311"/>
        <v>0.77435897435897438</v>
      </c>
      <c r="AA844" t="str">
        <f t="shared" si="312"/>
        <v>Tier 1 - Priority Fleet</v>
      </c>
      <c r="AB844" s="3">
        <f t="shared" si="313"/>
        <v>132000.00000000003</v>
      </c>
      <c r="AC844" s="3">
        <f t="shared" si="314"/>
        <v>1650000.0000000002</v>
      </c>
      <c r="AD844" s="3">
        <f t="shared" si="315"/>
        <v>585000</v>
      </c>
      <c r="AE844" s="5">
        <f t="shared" si="316"/>
        <v>3.6423841059602653</v>
      </c>
      <c r="AF844" s="10">
        <f t="shared" si="317"/>
        <v>2291520.0000000005</v>
      </c>
      <c r="AG844" s="10">
        <f t="shared" si="318"/>
        <v>739200.00000000012</v>
      </c>
      <c r="AH844" s="10">
        <f t="shared" si="319"/>
        <v>369600.00000000006</v>
      </c>
      <c r="AI844" s="10">
        <f t="shared" si="320"/>
        <v>184800.00000000003</v>
      </c>
      <c r="AJ844" s="10">
        <f t="shared" si="321"/>
        <v>110880.00000000001</v>
      </c>
    </row>
    <row r="845" spans="1:36" x14ac:dyDescent="0.3">
      <c r="A845" t="s">
        <v>3314</v>
      </c>
      <c r="B845" t="s">
        <v>3315</v>
      </c>
      <c r="C845" t="s">
        <v>3316</v>
      </c>
      <c r="D845" t="s">
        <v>852</v>
      </c>
      <c r="E845">
        <v>7201</v>
      </c>
      <c r="F845" t="s">
        <v>15</v>
      </c>
      <c r="G845">
        <v>16</v>
      </c>
      <c r="H845">
        <v>250</v>
      </c>
      <c r="I845" t="str" cm="1">
        <f t="array" ref="I845">_xlfn.IFS(H845&lt;=120,"V1",H845&lt;=150,"V2",H845&lt;=250,"V3", H845&lt;=350, "V4")</f>
        <v>V3</v>
      </c>
      <c r="J845" t="s">
        <v>3317</v>
      </c>
      <c r="K845" t="str">
        <f t="shared" si="299"/>
        <v>40.662806</v>
      </c>
      <c r="L845" t="str">
        <f t="shared" si="300"/>
        <v>-74.173611</v>
      </c>
      <c r="M845">
        <v>6</v>
      </c>
      <c r="N845" s="1">
        <v>44068</v>
      </c>
      <c r="O845" s="1">
        <v>46099</v>
      </c>
      <c r="P845" s="2">
        <f t="shared" si="301"/>
        <v>5.5605749486652973</v>
      </c>
      <c r="Q845" s="2" t="str">
        <f t="shared" si="302"/>
        <v>Mid</v>
      </c>
      <c r="R845">
        <f t="shared" si="303"/>
        <v>4000</v>
      </c>
      <c r="S845" t="str">
        <f t="shared" si="304"/>
        <v>Small</v>
      </c>
      <c r="T845" t="str">
        <f t="shared" si="305"/>
        <v>High EV Adoption Corridor</v>
      </c>
      <c r="U845" s="3">
        <f t="shared" si="306"/>
        <v>9360000</v>
      </c>
      <c r="V845" s="4">
        <f t="shared" si="307"/>
        <v>2112000</v>
      </c>
      <c r="W845" s="3">
        <f t="shared" si="308"/>
        <v>26400000.000000004</v>
      </c>
      <c r="X845" s="3">
        <f t="shared" si="309"/>
        <v>19800000.000000004</v>
      </c>
      <c r="Y845">
        <f t="shared" si="310"/>
        <v>0.23999999999999996</v>
      </c>
      <c r="Z845">
        <f t="shared" si="311"/>
        <v>0.77435897435897438</v>
      </c>
      <c r="AA845" t="str">
        <f t="shared" si="312"/>
        <v>Tier 1 - Priority Fleet</v>
      </c>
      <c r="AB845" s="3">
        <f t="shared" si="313"/>
        <v>132000</v>
      </c>
      <c r="AC845" s="3">
        <f t="shared" si="314"/>
        <v>1650000.0000000002</v>
      </c>
      <c r="AD845" s="3">
        <f t="shared" si="315"/>
        <v>585000</v>
      </c>
      <c r="AE845" s="5">
        <f t="shared" si="316"/>
        <v>3.6423841059602653</v>
      </c>
      <c r="AF845" s="10">
        <f t="shared" si="317"/>
        <v>1309440</v>
      </c>
      <c r="AG845" s="10">
        <f t="shared" si="318"/>
        <v>422400</v>
      </c>
      <c r="AH845" s="10">
        <f t="shared" si="319"/>
        <v>211200</v>
      </c>
      <c r="AI845" s="10">
        <f t="shared" si="320"/>
        <v>105600</v>
      </c>
      <c r="AJ845" s="10">
        <f t="shared" si="321"/>
        <v>63360</v>
      </c>
    </row>
    <row r="846" spans="1:36" x14ac:dyDescent="0.3">
      <c r="A846" t="s">
        <v>3318</v>
      </c>
      <c r="B846" t="s">
        <v>3319</v>
      </c>
      <c r="C846" t="s">
        <v>601</v>
      </c>
      <c r="D846" t="s">
        <v>1412</v>
      </c>
      <c r="E846">
        <v>19702</v>
      </c>
      <c r="F846" t="s">
        <v>15</v>
      </c>
      <c r="G846">
        <v>8</v>
      </c>
      <c r="H846">
        <v>250</v>
      </c>
      <c r="I846" t="str" cm="1">
        <f t="array" ref="I846">_xlfn.IFS(H846&lt;=120,"V1",H846&lt;=150,"V2",H846&lt;=250,"V3", H846&lt;=350, "V4")</f>
        <v>V3</v>
      </c>
      <c r="J846" t="s">
        <v>3320</v>
      </c>
      <c r="K846" t="str">
        <f t="shared" si="299"/>
        <v>39.642686</v>
      </c>
      <c r="L846" t="str">
        <f t="shared" si="300"/>
        <v>-75.729226</v>
      </c>
      <c r="M846">
        <v>19</v>
      </c>
      <c r="N846" s="1">
        <v>45002</v>
      </c>
      <c r="O846" s="1">
        <v>46099</v>
      </c>
      <c r="P846" s="2">
        <f t="shared" si="301"/>
        <v>3.0034223134839153</v>
      </c>
      <c r="Q846" s="2" t="str">
        <f t="shared" si="302"/>
        <v>Mid</v>
      </c>
      <c r="R846">
        <f t="shared" si="303"/>
        <v>2000</v>
      </c>
      <c r="S846" t="str">
        <f t="shared" si="304"/>
        <v>Small</v>
      </c>
      <c r="T846" t="str">
        <f t="shared" si="305"/>
        <v>Lower EV Adoption Corridor</v>
      </c>
      <c r="U846" s="3">
        <f t="shared" si="306"/>
        <v>3600000</v>
      </c>
      <c r="V846" s="4">
        <f t="shared" si="307"/>
        <v>880000.00000000012</v>
      </c>
      <c r="W846" s="3">
        <f t="shared" si="308"/>
        <v>12000000</v>
      </c>
      <c r="X846" s="3">
        <f t="shared" si="309"/>
        <v>6600000.0000000009</v>
      </c>
      <c r="Y846">
        <f t="shared" si="310"/>
        <v>0.31515151515151513</v>
      </c>
      <c r="Z846">
        <f t="shared" si="311"/>
        <v>0.75555555555555554</v>
      </c>
      <c r="AA846" t="str">
        <f t="shared" si="312"/>
        <v>Tier 2 - Growth Markets</v>
      </c>
      <c r="AB846" s="3">
        <f t="shared" si="313"/>
        <v>110000.00000000001</v>
      </c>
      <c r="AC846" s="3">
        <f t="shared" si="314"/>
        <v>1500000</v>
      </c>
      <c r="AD846" s="3">
        <f t="shared" si="315"/>
        <v>450000</v>
      </c>
      <c r="AE846" s="5">
        <f t="shared" si="316"/>
        <v>4.4117647058823533</v>
      </c>
      <c r="AF846" s="10">
        <f t="shared" si="317"/>
        <v>545600.00000000012</v>
      </c>
      <c r="AG846" s="10">
        <f t="shared" si="318"/>
        <v>176000.00000000003</v>
      </c>
      <c r="AH846" s="10">
        <f t="shared" si="319"/>
        <v>88000.000000000015</v>
      </c>
      <c r="AI846" s="10">
        <f t="shared" si="320"/>
        <v>44000.000000000007</v>
      </c>
      <c r="AJ846" s="10">
        <f t="shared" si="321"/>
        <v>26400.000000000004</v>
      </c>
    </row>
    <row r="847" spans="1:36" x14ac:dyDescent="0.3">
      <c r="A847" t="s">
        <v>3321</v>
      </c>
      <c r="B847" t="s">
        <v>3322</v>
      </c>
      <c r="C847" t="s">
        <v>3323</v>
      </c>
      <c r="D847" t="s">
        <v>14</v>
      </c>
      <c r="E847">
        <v>92673</v>
      </c>
      <c r="F847" t="s">
        <v>15</v>
      </c>
      <c r="G847">
        <v>16</v>
      </c>
      <c r="H847">
        <v>250</v>
      </c>
      <c r="I847" t="str" cm="1">
        <f t="array" ref="I847">_xlfn.IFS(H847&lt;=120,"V1",H847&lt;=150,"V2",H847&lt;=250,"V3", H847&lt;=350, "V4")</f>
        <v>V3</v>
      </c>
      <c r="J847" t="s">
        <v>3324</v>
      </c>
      <c r="K847" t="str">
        <f t="shared" si="299"/>
        <v>33.463091</v>
      </c>
      <c r="L847" t="str">
        <f t="shared" si="300"/>
        <v>-117.60783</v>
      </c>
      <c r="M847">
        <v>124</v>
      </c>
      <c r="N847" s="1">
        <v>44105</v>
      </c>
      <c r="O847" s="1">
        <v>46099</v>
      </c>
      <c r="P847" s="2">
        <f t="shared" si="301"/>
        <v>5.4592744695414099</v>
      </c>
      <c r="Q847" s="2" t="str">
        <f t="shared" si="302"/>
        <v>Mid</v>
      </c>
      <c r="R847">
        <f t="shared" si="303"/>
        <v>4000</v>
      </c>
      <c r="S847" t="str">
        <f t="shared" si="304"/>
        <v>Small</v>
      </c>
      <c r="T847" t="str">
        <f t="shared" si="305"/>
        <v>High EV Adoption Corridor</v>
      </c>
      <c r="U847" s="3">
        <f t="shared" si="306"/>
        <v>9360000</v>
      </c>
      <c r="V847" s="4">
        <f t="shared" si="307"/>
        <v>2112000</v>
      </c>
      <c r="W847" s="3">
        <f t="shared" si="308"/>
        <v>26400000.000000004</v>
      </c>
      <c r="X847" s="3">
        <f t="shared" si="309"/>
        <v>19800000.000000004</v>
      </c>
      <c r="Y847">
        <f t="shared" si="310"/>
        <v>0.23999999999999996</v>
      </c>
      <c r="Z847">
        <f t="shared" si="311"/>
        <v>0.77435897435897438</v>
      </c>
      <c r="AA847" t="str">
        <f t="shared" si="312"/>
        <v>Tier 1 - Priority Fleet</v>
      </c>
      <c r="AB847" s="3">
        <f t="shared" si="313"/>
        <v>132000</v>
      </c>
      <c r="AC847" s="3">
        <f t="shared" si="314"/>
        <v>1650000.0000000002</v>
      </c>
      <c r="AD847" s="3">
        <f t="shared" si="315"/>
        <v>585000</v>
      </c>
      <c r="AE847" s="5">
        <f t="shared" si="316"/>
        <v>3.6423841059602653</v>
      </c>
      <c r="AF847" s="10">
        <f t="shared" si="317"/>
        <v>1309440</v>
      </c>
      <c r="AG847" s="10">
        <f t="shared" si="318"/>
        <v>422400</v>
      </c>
      <c r="AH847" s="10">
        <f t="shared" si="319"/>
        <v>211200</v>
      </c>
      <c r="AI847" s="10">
        <f t="shared" si="320"/>
        <v>105600</v>
      </c>
      <c r="AJ847" s="10">
        <f t="shared" si="321"/>
        <v>63360</v>
      </c>
    </row>
    <row r="848" spans="1:36" x14ac:dyDescent="0.3">
      <c r="A848" t="s">
        <v>3325</v>
      </c>
      <c r="B848" t="s">
        <v>3326</v>
      </c>
      <c r="C848" t="s">
        <v>3327</v>
      </c>
      <c r="D848" t="s">
        <v>643</v>
      </c>
      <c r="E848">
        <v>5819</v>
      </c>
      <c r="F848" t="s">
        <v>15</v>
      </c>
      <c r="G848">
        <v>8</v>
      </c>
      <c r="H848">
        <v>250</v>
      </c>
      <c r="I848" t="str" cm="1">
        <f t="array" ref="I848">_xlfn.IFS(H848&lt;=120,"V1",H848&lt;=150,"V2",H848&lt;=250,"V3", H848&lt;=350, "V4")</f>
        <v>V3</v>
      </c>
      <c r="J848" t="s">
        <v>3328</v>
      </c>
      <c r="K848" t="str">
        <f t="shared" si="299"/>
        <v>44.460841</v>
      </c>
      <c r="L848" t="str">
        <f t="shared" si="300"/>
        <v>-72.014819</v>
      </c>
      <c r="M848">
        <v>179</v>
      </c>
      <c r="N848" s="1">
        <v>44834</v>
      </c>
      <c r="O848" s="1">
        <v>46099</v>
      </c>
      <c r="P848" s="2">
        <f t="shared" si="301"/>
        <v>3.463381245722108</v>
      </c>
      <c r="Q848" s="2" t="str">
        <f t="shared" si="302"/>
        <v>Mid</v>
      </c>
      <c r="R848">
        <f t="shared" si="303"/>
        <v>2000</v>
      </c>
      <c r="S848" t="str">
        <f t="shared" si="304"/>
        <v>Small</v>
      </c>
      <c r="T848" t="str">
        <f t="shared" si="305"/>
        <v>Lower EV Adoption Corridor</v>
      </c>
      <c r="U848" s="3">
        <f t="shared" si="306"/>
        <v>3600000</v>
      </c>
      <c r="V848" s="4">
        <f t="shared" si="307"/>
        <v>880000.00000000012</v>
      </c>
      <c r="W848" s="3">
        <f t="shared" si="308"/>
        <v>12000000</v>
      </c>
      <c r="X848" s="3">
        <f t="shared" si="309"/>
        <v>6600000.0000000009</v>
      </c>
      <c r="Y848">
        <f t="shared" si="310"/>
        <v>0.31515151515151513</v>
      </c>
      <c r="Z848">
        <f t="shared" si="311"/>
        <v>0.75555555555555554</v>
      </c>
      <c r="AA848" t="str">
        <f t="shared" si="312"/>
        <v>Tier 2 - Growth Markets</v>
      </c>
      <c r="AB848" s="3">
        <f t="shared" si="313"/>
        <v>110000.00000000001</v>
      </c>
      <c r="AC848" s="3">
        <f t="shared" si="314"/>
        <v>1500000</v>
      </c>
      <c r="AD848" s="3">
        <f t="shared" si="315"/>
        <v>450000</v>
      </c>
      <c r="AE848" s="5">
        <f t="shared" si="316"/>
        <v>4.4117647058823533</v>
      </c>
      <c r="AF848" s="10">
        <f t="shared" si="317"/>
        <v>545600.00000000012</v>
      </c>
      <c r="AG848" s="10">
        <f t="shared" si="318"/>
        <v>176000.00000000003</v>
      </c>
      <c r="AH848" s="10">
        <f t="shared" si="319"/>
        <v>88000.000000000015</v>
      </c>
      <c r="AI848" s="10">
        <f t="shared" si="320"/>
        <v>44000.000000000007</v>
      </c>
      <c r="AJ848" s="10">
        <f t="shared" si="321"/>
        <v>26400.000000000004</v>
      </c>
    </row>
    <row r="849" spans="1:36" x14ac:dyDescent="0.3">
      <c r="A849" t="s">
        <v>3329</v>
      </c>
      <c r="B849" t="s">
        <v>3330</v>
      </c>
      <c r="C849" t="s">
        <v>2653</v>
      </c>
      <c r="D849" t="s">
        <v>14</v>
      </c>
      <c r="E849">
        <v>95667</v>
      </c>
      <c r="F849" t="s">
        <v>15</v>
      </c>
      <c r="G849">
        <v>8</v>
      </c>
      <c r="H849">
        <v>250</v>
      </c>
      <c r="I849" t="str" cm="1">
        <f t="array" ref="I849">_xlfn.IFS(H849&lt;=120,"V1",H849&lt;=150,"V2",H849&lt;=250,"V3", H849&lt;=350, "V4")</f>
        <v>V3</v>
      </c>
      <c r="J849" t="s">
        <v>3331</v>
      </c>
      <c r="K849" t="str">
        <f t="shared" si="299"/>
        <v>38.709815</v>
      </c>
      <c r="L849" t="str">
        <f t="shared" si="300"/>
        <v>-120.842293</v>
      </c>
      <c r="M849">
        <v>528</v>
      </c>
      <c r="N849" s="1">
        <v>44331</v>
      </c>
      <c r="O849" s="1">
        <v>46099</v>
      </c>
      <c r="P849" s="2">
        <f t="shared" si="301"/>
        <v>4.8405201916495555</v>
      </c>
      <c r="Q849" s="2" t="str">
        <f t="shared" si="302"/>
        <v>Mid</v>
      </c>
      <c r="R849">
        <f t="shared" si="303"/>
        <v>2000</v>
      </c>
      <c r="S849" t="str">
        <f t="shared" si="304"/>
        <v>Small</v>
      </c>
      <c r="T849" t="str">
        <f t="shared" si="305"/>
        <v>High EV Adoption Corridor</v>
      </c>
      <c r="U849" s="3">
        <f t="shared" si="306"/>
        <v>4680000</v>
      </c>
      <c r="V849" s="4">
        <f t="shared" si="307"/>
        <v>1056000</v>
      </c>
      <c r="W849" s="3">
        <f t="shared" si="308"/>
        <v>13200000.000000002</v>
      </c>
      <c r="X849" s="3">
        <f t="shared" si="309"/>
        <v>9900000.0000000019</v>
      </c>
      <c r="Y849">
        <f t="shared" si="310"/>
        <v>0.23999999999999996</v>
      </c>
      <c r="Z849">
        <f t="shared" si="311"/>
        <v>0.77435897435897438</v>
      </c>
      <c r="AA849" t="str">
        <f t="shared" si="312"/>
        <v>Tier 1 - Priority Fleet</v>
      </c>
      <c r="AB849" s="3">
        <f t="shared" si="313"/>
        <v>132000</v>
      </c>
      <c r="AC849" s="3">
        <f t="shared" si="314"/>
        <v>1650000.0000000002</v>
      </c>
      <c r="AD849" s="3">
        <f t="shared" si="315"/>
        <v>585000</v>
      </c>
      <c r="AE849" s="5">
        <f t="shared" si="316"/>
        <v>3.6423841059602653</v>
      </c>
      <c r="AF849" s="10">
        <f t="shared" si="317"/>
        <v>654720</v>
      </c>
      <c r="AG849" s="10">
        <f t="shared" si="318"/>
        <v>211200</v>
      </c>
      <c r="AH849" s="10">
        <f t="shared" si="319"/>
        <v>105600</v>
      </c>
      <c r="AI849" s="10">
        <f t="shared" si="320"/>
        <v>52800</v>
      </c>
      <c r="AJ849" s="10">
        <f t="shared" si="321"/>
        <v>31680</v>
      </c>
    </row>
    <row r="850" spans="1:36" x14ac:dyDescent="0.3">
      <c r="A850" t="s">
        <v>3332</v>
      </c>
      <c r="B850" t="s">
        <v>3333</v>
      </c>
      <c r="C850" t="s">
        <v>3334</v>
      </c>
      <c r="D850" t="s">
        <v>14</v>
      </c>
      <c r="E850">
        <v>95363</v>
      </c>
      <c r="F850" t="s">
        <v>15</v>
      </c>
      <c r="G850">
        <v>8</v>
      </c>
      <c r="H850">
        <v>250</v>
      </c>
      <c r="I850" t="str" cm="1">
        <f t="array" ref="I850">_xlfn.IFS(H850&lt;=120,"V1",H850&lt;=150,"V2",H850&lt;=250,"V3", H850&lt;=350, "V4")</f>
        <v>V3</v>
      </c>
      <c r="J850" t="s">
        <v>3335</v>
      </c>
      <c r="K850" t="str">
        <f t="shared" si="299"/>
        <v>37.466496</v>
      </c>
      <c r="L850" t="str">
        <f t="shared" si="300"/>
        <v>-121.174403</v>
      </c>
      <c r="M850">
        <v>60</v>
      </c>
      <c r="N850" s="1">
        <v>44072</v>
      </c>
      <c r="O850" s="1">
        <v>46099</v>
      </c>
      <c r="P850" s="2">
        <f t="shared" si="301"/>
        <v>5.5496235455167691</v>
      </c>
      <c r="Q850" s="2" t="str">
        <f t="shared" si="302"/>
        <v>Mid</v>
      </c>
      <c r="R850">
        <f t="shared" si="303"/>
        <v>2000</v>
      </c>
      <c r="S850" t="str">
        <f t="shared" si="304"/>
        <v>Small</v>
      </c>
      <c r="T850" t="str">
        <f t="shared" si="305"/>
        <v>High EV Adoption Corridor</v>
      </c>
      <c r="U850" s="3">
        <f t="shared" si="306"/>
        <v>4680000</v>
      </c>
      <c r="V850" s="4">
        <f t="shared" si="307"/>
        <v>1056000</v>
      </c>
      <c r="W850" s="3">
        <f t="shared" si="308"/>
        <v>13200000.000000002</v>
      </c>
      <c r="X850" s="3">
        <f t="shared" si="309"/>
        <v>9900000.0000000019</v>
      </c>
      <c r="Y850">
        <f t="shared" si="310"/>
        <v>0.23999999999999996</v>
      </c>
      <c r="Z850">
        <f t="shared" si="311"/>
        <v>0.77435897435897438</v>
      </c>
      <c r="AA850" t="str">
        <f t="shared" si="312"/>
        <v>Tier 1 - Priority Fleet</v>
      </c>
      <c r="AB850" s="3">
        <f t="shared" si="313"/>
        <v>132000</v>
      </c>
      <c r="AC850" s="3">
        <f t="shared" si="314"/>
        <v>1650000.0000000002</v>
      </c>
      <c r="AD850" s="3">
        <f t="shared" si="315"/>
        <v>585000</v>
      </c>
      <c r="AE850" s="5">
        <f t="shared" si="316"/>
        <v>3.6423841059602653</v>
      </c>
      <c r="AF850" s="10">
        <f t="shared" si="317"/>
        <v>654720</v>
      </c>
      <c r="AG850" s="10">
        <f t="shared" si="318"/>
        <v>211200</v>
      </c>
      <c r="AH850" s="10">
        <f t="shared" si="319"/>
        <v>105600</v>
      </c>
      <c r="AI850" s="10">
        <f t="shared" si="320"/>
        <v>52800</v>
      </c>
      <c r="AJ850" s="10">
        <f t="shared" si="321"/>
        <v>31680</v>
      </c>
    </row>
    <row r="851" spans="1:36" x14ac:dyDescent="0.3">
      <c r="A851" t="s">
        <v>3336</v>
      </c>
      <c r="B851" t="s">
        <v>3337</v>
      </c>
      <c r="C851" t="s">
        <v>3338</v>
      </c>
      <c r="D851" t="s">
        <v>77</v>
      </c>
      <c r="E851">
        <v>27530</v>
      </c>
      <c r="F851" t="s">
        <v>15</v>
      </c>
      <c r="G851">
        <v>8</v>
      </c>
      <c r="H851">
        <v>250</v>
      </c>
      <c r="I851" t="str" cm="1">
        <f t="array" ref="I851">_xlfn.IFS(H851&lt;=120,"V1",H851&lt;=150,"V2",H851&lt;=250,"V3", H851&lt;=350, "V4")</f>
        <v>V3</v>
      </c>
      <c r="J851" t="s">
        <v>3339</v>
      </c>
      <c r="K851" t="str">
        <f t="shared" si="299"/>
        <v>35.386452</v>
      </c>
      <c r="L851" t="str">
        <f t="shared" si="300"/>
        <v>-77.948309</v>
      </c>
      <c r="M851">
        <v>33</v>
      </c>
      <c r="N851" s="1">
        <v>44196</v>
      </c>
      <c r="O851" s="1">
        <v>46099</v>
      </c>
      <c r="P851" s="2">
        <f t="shared" si="301"/>
        <v>5.2101300479123891</v>
      </c>
      <c r="Q851" s="2" t="str">
        <f t="shared" si="302"/>
        <v>Mid</v>
      </c>
      <c r="R851">
        <f t="shared" si="303"/>
        <v>2000</v>
      </c>
      <c r="S851" t="str">
        <f t="shared" si="304"/>
        <v>Small</v>
      </c>
      <c r="T851" t="str">
        <f t="shared" si="305"/>
        <v>Lower EV Adoption Corridor</v>
      </c>
      <c r="U851" s="3">
        <f t="shared" si="306"/>
        <v>3600000</v>
      </c>
      <c r="V851" s="4">
        <f t="shared" si="307"/>
        <v>880000.00000000012</v>
      </c>
      <c r="W851" s="3">
        <f t="shared" si="308"/>
        <v>12000000</v>
      </c>
      <c r="X851" s="3">
        <f t="shared" si="309"/>
        <v>6600000.0000000009</v>
      </c>
      <c r="Y851">
        <f t="shared" si="310"/>
        <v>0.31515151515151513</v>
      </c>
      <c r="Z851">
        <f t="shared" si="311"/>
        <v>0.75555555555555554</v>
      </c>
      <c r="AA851" t="str">
        <f t="shared" si="312"/>
        <v>Tier 2 - Growth Markets</v>
      </c>
      <c r="AB851" s="3">
        <f t="shared" si="313"/>
        <v>110000.00000000001</v>
      </c>
      <c r="AC851" s="3">
        <f t="shared" si="314"/>
        <v>1500000</v>
      </c>
      <c r="AD851" s="3">
        <f t="shared" si="315"/>
        <v>450000</v>
      </c>
      <c r="AE851" s="5">
        <f t="shared" si="316"/>
        <v>4.4117647058823533</v>
      </c>
      <c r="AF851" s="10">
        <f t="shared" si="317"/>
        <v>545600.00000000012</v>
      </c>
      <c r="AG851" s="10">
        <f t="shared" si="318"/>
        <v>176000.00000000003</v>
      </c>
      <c r="AH851" s="10">
        <f t="shared" si="319"/>
        <v>88000.000000000015</v>
      </c>
      <c r="AI851" s="10">
        <f t="shared" si="320"/>
        <v>44000.000000000007</v>
      </c>
      <c r="AJ851" s="10">
        <f t="shared" si="321"/>
        <v>26400.000000000004</v>
      </c>
    </row>
    <row r="852" spans="1:36" x14ac:dyDescent="0.3">
      <c r="A852" t="s">
        <v>3340</v>
      </c>
      <c r="B852" t="s">
        <v>3341</v>
      </c>
      <c r="C852" t="s">
        <v>1627</v>
      </c>
      <c r="D852" t="s">
        <v>14</v>
      </c>
      <c r="E852">
        <v>92111</v>
      </c>
      <c r="F852" t="s">
        <v>15</v>
      </c>
      <c r="G852">
        <v>16</v>
      </c>
      <c r="H852">
        <v>250</v>
      </c>
      <c r="I852" t="str" cm="1">
        <f t="array" ref="I852">_xlfn.IFS(H852&lt;=120,"V1",H852&lt;=150,"V2",H852&lt;=250,"V3", H852&lt;=350, "V4")</f>
        <v>V3</v>
      </c>
      <c r="J852" t="s">
        <v>3342</v>
      </c>
      <c r="K852" t="str">
        <f t="shared" si="299"/>
        <v>32.818922</v>
      </c>
      <c r="L852" t="str">
        <f t="shared" si="300"/>
        <v>-117.179792</v>
      </c>
      <c r="M852">
        <v>112</v>
      </c>
      <c r="N852" s="1">
        <v>44153</v>
      </c>
      <c r="O852" s="1">
        <v>46099</v>
      </c>
      <c r="P852" s="2">
        <f t="shared" si="301"/>
        <v>5.3278576317590689</v>
      </c>
      <c r="Q852" s="2" t="str">
        <f t="shared" si="302"/>
        <v>Mid</v>
      </c>
      <c r="R852">
        <f t="shared" si="303"/>
        <v>4000</v>
      </c>
      <c r="S852" t="str">
        <f t="shared" si="304"/>
        <v>Small</v>
      </c>
      <c r="T852" t="str">
        <f t="shared" si="305"/>
        <v>High EV Adoption Corridor</v>
      </c>
      <c r="U852" s="3">
        <f t="shared" si="306"/>
        <v>9360000</v>
      </c>
      <c r="V852" s="4">
        <f t="shared" si="307"/>
        <v>2112000</v>
      </c>
      <c r="W852" s="3">
        <f t="shared" si="308"/>
        <v>26400000.000000004</v>
      </c>
      <c r="X852" s="3">
        <f t="shared" si="309"/>
        <v>19800000.000000004</v>
      </c>
      <c r="Y852">
        <f t="shared" si="310"/>
        <v>0.23999999999999996</v>
      </c>
      <c r="Z852">
        <f t="shared" si="311"/>
        <v>0.77435897435897438</v>
      </c>
      <c r="AA852" t="str">
        <f t="shared" si="312"/>
        <v>Tier 1 - Priority Fleet</v>
      </c>
      <c r="AB852" s="3">
        <f t="shared" si="313"/>
        <v>132000</v>
      </c>
      <c r="AC852" s="3">
        <f t="shared" si="314"/>
        <v>1650000.0000000002</v>
      </c>
      <c r="AD852" s="3">
        <f t="shared" si="315"/>
        <v>585000</v>
      </c>
      <c r="AE852" s="5">
        <f t="shared" si="316"/>
        <v>3.6423841059602653</v>
      </c>
      <c r="AF852" s="10">
        <f t="shared" si="317"/>
        <v>1309440</v>
      </c>
      <c r="AG852" s="10">
        <f t="shared" si="318"/>
        <v>422400</v>
      </c>
      <c r="AH852" s="10">
        <f t="shared" si="319"/>
        <v>211200</v>
      </c>
      <c r="AI852" s="10">
        <f t="shared" si="320"/>
        <v>105600</v>
      </c>
      <c r="AJ852" s="10">
        <f t="shared" si="321"/>
        <v>63360</v>
      </c>
    </row>
    <row r="853" spans="1:36" x14ac:dyDescent="0.3">
      <c r="A853" t="s">
        <v>3343</v>
      </c>
      <c r="B853" t="s">
        <v>3344</v>
      </c>
      <c r="C853" t="s">
        <v>3345</v>
      </c>
      <c r="D853" t="s">
        <v>852</v>
      </c>
      <c r="E853">
        <v>8822</v>
      </c>
      <c r="F853" t="s">
        <v>15</v>
      </c>
      <c r="G853">
        <v>8</v>
      </c>
      <c r="H853">
        <v>250</v>
      </c>
      <c r="I853" t="str" cm="1">
        <f t="array" ref="I853">_xlfn.IFS(H853&lt;=120,"V1",H853&lt;=150,"V2",H853&lt;=250,"V3", H853&lt;=350, "V4")</f>
        <v>V3</v>
      </c>
      <c r="J853" t="s">
        <v>3346</v>
      </c>
      <c r="K853" t="str">
        <f t="shared" si="299"/>
        <v>40.505245</v>
      </c>
      <c r="L853" t="str">
        <f t="shared" si="300"/>
        <v>-74.851828</v>
      </c>
      <c r="M853">
        <v>48</v>
      </c>
      <c r="N853" s="1">
        <v>44322</v>
      </c>
      <c r="O853" s="1">
        <v>46099</v>
      </c>
      <c r="P853" s="2">
        <f t="shared" si="301"/>
        <v>4.8651608487337441</v>
      </c>
      <c r="Q853" s="2" t="str">
        <f t="shared" si="302"/>
        <v>Mid</v>
      </c>
      <c r="R853">
        <f t="shared" si="303"/>
        <v>2000</v>
      </c>
      <c r="S853" t="str">
        <f t="shared" si="304"/>
        <v>Small</v>
      </c>
      <c r="T853" t="str">
        <f t="shared" si="305"/>
        <v>High EV Adoption Corridor</v>
      </c>
      <c r="U853" s="3">
        <f t="shared" si="306"/>
        <v>4680000</v>
      </c>
      <c r="V853" s="4">
        <f t="shared" si="307"/>
        <v>1056000</v>
      </c>
      <c r="W853" s="3">
        <f t="shared" si="308"/>
        <v>13200000.000000002</v>
      </c>
      <c r="X853" s="3">
        <f t="shared" si="309"/>
        <v>9900000.0000000019</v>
      </c>
      <c r="Y853">
        <f t="shared" si="310"/>
        <v>0.23999999999999996</v>
      </c>
      <c r="Z853">
        <f t="shared" si="311"/>
        <v>0.77435897435897438</v>
      </c>
      <c r="AA853" t="str">
        <f t="shared" si="312"/>
        <v>Tier 1 - Priority Fleet</v>
      </c>
      <c r="AB853" s="3">
        <f t="shared" si="313"/>
        <v>132000</v>
      </c>
      <c r="AC853" s="3">
        <f t="shared" si="314"/>
        <v>1650000.0000000002</v>
      </c>
      <c r="AD853" s="3">
        <f t="shared" si="315"/>
        <v>585000</v>
      </c>
      <c r="AE853" s="5">
        <f t="shared" si="316"/>
        <v>3.6423841059602653</v>
      </c>
      <c r="AF853" s="10">
        <f t="shared" si="317"/>
        <v>654720</v>
      </c>
      <c r="AG853" s="10">
        <f t="shared" si="318"/>
        <v>211200</v>
      </c>
      <c r="AH853" s="10">
        <f t="shared" si="319"/>
        <v>105600</v>
      </c>
      <c r="AI853" s="10">
        <f t="shared" si="320"/>
        <v>52800</v>
      </c>
      <c r="AJ853" s="10">
        <f t="shared" si="321"/>
        <v>31680</v>
      </c>
    </row>
    <row r="854" spans="1:36" x14ac:dyDescent="0.3">
      <c r="A854" t="s">
        <v>3347</v>
      </c>
      <c r="B854" t="s">
        <v>3348</v>
      </c>
      <c r="C854" t="s">
        <v>3349</v>
      </c>
      <c r="D854" t="s">
        <v>41</v>
      </c>
      <c r="E854">
        <v>34429</v>
      </c>
      <c r="F854" t="s">
        <v>15</v>
      </c>
      <c r="G854">
        <v>8</v>
      </c>
      <c r="H854">
        <v>250</v>
      </c>
      <c r="I854" t="str" cm="1">
        <f t="array" ref="I854">_xlfn.IFS(H854&lt;=120,"V1",H854&lt;=150,"V2",H854&lt;=250,"V3", H854&lt;=350, "V4")</f>
        <v>V3</v>
      </c>
      <c r="J854" t="s">
        <v>3350</v>
      </c>
      <c r="K854" t="str">
        <f t="shared" si="299"/>
        <v>28.899556</v>
      </c>
      <c r="L854" t="str">
        <f t="shared" si="300"/>
        <v>-82.586778</v>
      </c>
      <c r="M854">
        <v>3</v>
      </c>
      <c r="N854" s="1">
        <v>44322</v>
      </c>
      <c r="O854" s="1">
        <v>46099</v>
      </c>
      <c r="P854" s="2">
        <f t="shared" si="301"/>
        <v>4.8651608487337441</v>
      </c>
      <c r="Q854" s="2" t="str">
        <f t="shared" si="302"/>
        <v>Mid</v>
      </c>
      <c r="R854">
        <f t="shared" si="303"/>
        <v>2000</v>
      </c>
      <c r="S854" t="str">
        <f t="shared" si="304"/>
        <v>Small</v>
      </c>
      <c r="T854" t="str">
        <f t="shared" si="305"/>
        <v>High EV Adoption Corridor</v>
      </c>
      <c r="U854" s="3">
        <f t="shared" si="306"/>
        <v>4680000</v>
      </c>
      <c r="V854" s="4">
        <f t="shared" si="307"/>
        <v>1056000</v>
      </c>
      <c r="W854" s="3">
        <f t="shared" si="308"/>
        <v>13200000.000000002</v>
      </c>
      <c r="X854" s="3">
        <f t="shared" si="309"/>
        <v>9900000.0000000019</v>
      </c>
      <c r="Y854">
        <f t="shared" si="310"/>
        <v>0.23999999999999996</v>
      </c>
      <c r="Z854">
        <f t="shared" si="311"/>
        <v>0.77435897435897438</v>
      </c>
      <c r="AA854" t="str">
        <f t="shared" si="312"/>
        <v>Tier 1 - Priority Fleet</v>
      </c>
      <c r="AB854" s="3">
        <f t="shared" si="313"/>
        <v>132000</v>
      </c>
      <c r="AC854" s="3">
        <f t="shared" si="314"/>
        <v>1650000.0000000002</v>
      </c>
      <c r="AD854" s="3">
        <f t="shared" si="315"/>
        <v>585000</v>
      </c>
      <c r="AE854" s="5">
        <f t="shared" si="316"/>
        <v>3.6423841059602653</v>
      </c>
      <c r="AF854" s="10">
        <f t="shared" si="317"/>
        <v>654720</v>
      </c>
      <c r="AG854" s="10">
        <f t="shared" si="318"/>
        <v>211200</v>
      </c>
      <c r="AH854" s="10">
        <f t="shared" si="319"/>
        <v>105600</v>
      </c>
      <c r="AI854" s="10">
        <f t="shared" si="320"/>
        <v>52800</v>
      </c>
      <c r="AJ854" s="10">
        <f t="shared" si="321"/>
        <v>31680</v>
      </c>
    </row>
    <row r="855" spans="1:36" x14ac:dyDescent="0.3">
      <c r="A855" t="s">
        <v>3351</v>
      </c>
      <c r="B855" t="s">
        <v>3352</v>
      </c>
      <c r="C855" t="s">
        <v>2334</v>
      </c>
      <c r="D855" t="s">
        <v>41</v>
      </c>
      <c r="E855">
        <v>32216</v>
      </c>
      <c r="F855" t="s">
        <v>15</v>
      </c>
      <c r="G855">
        <v>12</v>
      </c>
      <c r="H855">
        <v>250</v>
      </c>
      <c r="I855" t="str" cm="1">
        <f t="array" ref="I855">_xlfn.IFS(H855&lt;=120,"V1",H855&lt;=150,"V2",H855&lt;=250,"V3", H855&lt;=350, "V4")</f>
        <v>V3</v>
      </c>
      <c r="J855" t="s">
        <v>3353</v>
      </c>
      <c r="K855" t="str">
        <f t="shared" si="299"/>
        <v>30.265516</v>
      </c>
      <c r="L855" t="str">
        <f t="shared" si="300"/>
        <v>-81.617034</v>
      </c>
      <c r="M855">
        <v>7</v>
      </c>
      <c r="N855" s="1">
        <v>44400</v>
      </c>
      <c r="O855" s="1">
        <v>46099</v>
      </c>
      <c r="P855" s="2">
        <f t="shared" si="301"/>
        <v>4.6516084873374401</v>
      </c>
      <c r="Q855" s="2" t="str">
        <f t="shared" si="302"/>
        <v>Mid</v>
      </c>
      <c r="R855">
        <f t="shared" si="303"/>
        <v>3000</v>
      </c>
      <c r="S855" t="str">
        <f t="shared" si="304"/>
        <v>Small</v>
      </c>
      <c r="T855" t="str">
        <f t="shared" si="305"/>
        <v>High EV Adoption Corridor</v>
      </c>
      <c r="U855" s="3">
        <f t="shared" si="306"/>
        <v>7020000</v>
      </c>
      <c r="V855" s="4">
        <f t="shared" si="307"/>
        <v>1584000</v>
      </c>
      <c r="W855" s="3">
        <f t="shared" si="308"/>
        <v>19800000</v>
      </c>
      <c r="X855" s="3">
        <f t="shared" si="309"/>
        <v>14850000</v>
      </c>
      <c r="Y855">
        <f t="shared" si="310"/>
        <v>0.24</v>
      </c>
      <c r="Z855">
        <f t="shared" si="311"/>
        <v>0.77435897435897438</v>
      </c>
      <c r="AA855" t="str">
        <f t="shared" si="312"/>
        <v>Tier 1 - Priority Fleet</v>
      </c>
      <c r="AB855" s="3">
        <f t="shared" si="313"/>
        <v>132000</v>
      </c>
      <c r="AC855" s="3">
        <f t="shared" si="314"/>
        <v>1650000</v>
      </c>
      <c r="AD855" s="3">
        <f t="shared" si="315"/>
        <v>585000</v>
      </c>
      <c r="AE855" s="5">
        <f t="shared" si="316"/>
        <v>3.6423841059602649</v>
      </c>
      <c r="AF855" s="10">
        <f t="shared" si="317"/>
        <v>982080</v>
      </c>
      <c r="AG855" s="10">
        <f t="shared" si="318"/>
        <v>316800</v>
      </c>
      <c r="AH855" s="10">
        <f t="shared" si="319"/>
        <v>158400</v>
      </c>
      <c r="AI855" s="10">
        <f t="shared" si="320"/>
        <v>79200</v>
      </c>
      <c r="AJ855" s="10">
        <f t="shared" si="321"/>
        <v>47520</v>
      </c>
    </row>
    <row r="856" spans="1:36" x14ac:dyDescent="0.3">
      <c r="A856" t="s">
        <v>3354</v>
      </c>
      <c r="B856" t="s">
        <v>3355</v>
      </c>
      <c r="C856" t="s">
        <v>3052</v>
      </c>
      <c r="D856" t="s">
        <v>913</v>
      </c>
      <c r="E856">
        <v>21230</v>
      </c>
      <c r="F856" t="s">
        <v>15</v>
      </c>
      <c r="G856">
        <v>8</v>
      </c>
      <c r="H856">
        <v>72</v>
      </c>
      <c r="I856" t="str" cm="1">
        <f t="array" ref="I856">_xlfn.IFS(H856&lt;=120,"V1",H856&lt;=150,"V2",H856&lt;=250,"V3", H856&lt;=350, "V4")</f>
        <v>V1</v>
      </c>
      <c r="J856" t="s">
        <v>3356</v>
      </c>
      <c r="K856" t="str">
        <f t="shared" si="299"/>
        <v>39.268454</v>
      </c>
      <c r="L856" t="str">
        <f t="shared" si="300"/>
        <v>-76.59925</v>
      </c>
      <c r="M856">
        <v>6</v>
      </c>
      <c r="N856" s="1">
        <v>43398</v>
      </c>
      <c r="O856" s="1">
        <v>46099</v>
      </c>
      <c r="P856" s="2">
        <f t="shared" si="301"/>
        <v>7.3949349760438059</v>
      </c>
      <c r="Q856" s="2" t="str">
        <f t="shared" si="302"/>
        <v>Mid</v>
      </c>
      <c r="R856">
        <f t="shared" si="303"/>
        <v>576</v>
      </c>
      <c r="S856" t="str">
        <f t="shared" si="304"/>
        <v>Small</v>
      </c>
      <c r="T856" t="str">
        <f t="shared" si="305"/>
        <v>Lower EV Adoption Corridor</v>
      </c>
      <c r="U856" s="3">
        <f t="shared" si="306"/>
        <v>864000</v>
      </c>
      <c r="V856" s="4">
        <f t="shared" si="307"/>
        <v>207360</v>
      </c>
      <c r="W856" s="3">
        <f t="shared" si="308"/>
        <v>2304000</v>
      </c>
      <c r="X856" s="3">
        <f t="shared" si="309"/>
        <v>1555200</v>
      </c>
      <c r="Y856">
        <f t="shared" si="310"/>
        <v>0.2814814814814815</v>
      </c>
      <c r="Z856">
        <f t="shared" si="311"/>
        <v>0.76</v>
      </c>
      <c r="AA856" t="str">
        <f t="shared" si="312"/>
        <v>Tier 5 - Retirement Pipeline</v>
      </c>
      <c r="AB856" s="3">
        <f t="shared" si="313"/>
        <v>25920</v>
      </c>
      <c r="AC856" s="3">
        <f t="shared" si="314"/>
        <v>288000</v>
      </c>
      <c r="AD856" s="3">
        <f t="shared" si="315"/>
        <v>108000</v>
      </c>
      <c r="AE856" s="5">
        <f t="shared" si="316"/>
        <v>3.5087719298245612</v>
      </c>
      <c r="AF856" s="10">
        <f t="shared" si="317"/>
        <v>128563.2</v>
      </c>
      <c r="AG856" s="10">
        <f t="shared" si="318"/>
        <v>41472</v>
      </c>
      <c r="AH856" s="10">
        <f t="shared" si="319"/>
        <v>20736</v>
      </c>
      <c r="AI856" s="10">
        <f t="shared" si="320"/>
        <v>10368</v>
      </c>
      <c r="AJ856" s="10">
        <f t="shared" si="321"/>
        <v>6220.8</v>
      </c>
    </row>
    <row r="857" spans="1:36" x14ac:dyDescent="0.3">
      <c r="A857" t="s">
        <v>3357</v>
      </c>
      <c r="B857" t="s">
        <v>3358</v>
      </c>
      <c r="C857" t="s">
        <v>3359</v>
      </c>
      <c r="D857" t="s">
        <v>14</v>
      </c>
      <c r="E857">
        <v>91344</v>
      </c>
      <c r="F857" t="s">
        <v>15</v>
      </c>
      <c r="G857">
        <v>20</v>
      </c>
      <c r="H857">
        <v>250</v>
      </c>
      <c r="I857" t="str" cm="1">
        <f t="array" ref="I857">_xlfn.IFS(H857&lt;=120,"V1",H857&lt;=150,"V2",H857&lt;=250,"V3", H857&lt;=350, "V4")</f>
        <v>V3</v>
      </c>
      <c r="J857" t="s">
        <v>3360</v>
      </c>
      <c r="K857" t="str">
        <f t="shared" si="299"/>
        <v>34.266172</v>
      </c>
      <c r="L857" t="str">
        <f t="shared" si="300"/>
        <v>-118.524155</v>
      </c>
      <c r="M857">
        <v>317</v>
      </c>
      <c r="N857" s="1">
        <v>44189</v>
      </c>
      <c r="O857" s="1">
        <v>46099</v>
      </c>
      <c r="P857" s="2">
        <f t="shared" si="301"/>
        <v>5.2292950034223136</v>
      </c>
      <c r="Q857" s="2" t="str">
        <f t="shared" si="302"/>
        <v>Mid</v>
      </c>
      <c r="R857">
        <f t="shared" si="303"/>
        <v>5000</v>
      </c>
      <c r="S857" t="str">
        <f t="shared" si="304"/>
        <v>Small</v>
      </c>
      <c r="T857" t="str">
        <f t="shared" si="305"/>
        <v>High EV Adoption Corridor</v>
      </c>
      <c r="U857" s="3">
        <f t="shared" si="306"/>
        <v>11700000</v>
      </c>
      <c r="V857" s="4">
        <f t="shared" si="307"/>
        <v>2640000</v>
      </c>
      <c r="W857" s="3">
        <f t="shared" si="308"/>
        <v>33000000.000000004</v>
      </c>
      <c r="X857" s="3">
        <f t="shared" si="309"/>
        <v>24750000.000000004</v>
      </c>
      <c r="Y857">
        <f t="shared" si="310"/>
        <v>0.23999999999999996</v>
      </c>
      <c r="Z857">
        <f t="shared" si="311"/>
        <v>0.77435897435897438</v>
      </c>
      <c r="AA857" t="str">
        <f t="shared" si="312"/>
        <v>Tier 1 - Priority Fleet</v>
      </c>
      <c r="AB857" s="3">
        <f t="shared" si="313"/>
        <v>132000</v>
      </c>
      <c r="AC857" s="3">
        <f t="shared" si="314"/>
        <v>1650000.0000000002</v>
      </c>
      <c r="AD857" s="3">
        <f t="shared" si="315"/>
        <v>585000</v>
      </c>
      <c r="AE857" s="5">
        <f t="shared" si="316"/>
        <v>3.6423841059602653</v>
      </c>
      <c r="AF857" s="10">
        <f t="shared" si="317"/>
        <v>1636800</v>
      </c>
      <c r="AG857" s="10">
        <f t="shared" si="318"/>
        <v>528000</v>
      </c>
      <c r="AH857" s="10">
        <f t="shared" si="319"/>
        <v>264000</v>
      </c>
      <c r="AI857" s="10">
        <f t="shared" si="320"/>
        <v>132000</v>
      </c>
      <c r="AJ857" s="10">
        <f t="shared" si="321"/>
        <v>79200</v>
      </c>
    </row>
    <row r="858" spans="1:36" x14ac:dyDescent="0.3">
      <c r="A858" t="s">
        <v>3361</v>
      </c>
      <c r="B858" t="s">
        <v>3362</v>
      </c>
      <c r="C858" t="s">
        <v>3363</v>
      </c>
      <c r="D858" t="s">
        <v>41</v>
      </c>
      <c r="E858">
        <v>34760</v>
      </c>
      <c r="F858" t="s">
        <v>15</v>
      </c>
      <c r="G858">
        <v>8</v>
      </c>
      <c r="H858">
        <v>250</v>
      </c>
      <c r="I858" t="str" cm="1">
        <f t="array" ref="I858">_xlfn.IFS(H858&lt;=120,"V1",H858&lt;=150,"V2",H858&lt;=250,"V3", H858&lt;=350, "V4")</f>
        <v>V3</v>
      </c>
      <c r="J858" t="s">
        <v>3364</v>
      </c>
      <c r="K858" t="str">
        <f t="shared" si="299"/>
        <v>28.094603</v>
      </c>
      <c r="L858" t="str">
        <f t="shared" si="300"/>
        <v>-81.27413</v>
      </c>
      <c r="M858">
        <v>25</v>
      </c>
      <c r="N858" s="1">
        <v>44569</v>
      </c>
      <c r="O858" s="1">
        <v>46099</v>
      </c>
      <c r="P858" s="2">
        <f t="shared" si="301"/>
        <v>4.1889117043121153</v>
      </c>
      <c r="Q858" s="2" t="str">
        <f t="shared" si="302"/>
        <v>Mid</v>
      </c>
      <c r="R858">
        <f t="shared" si="303"/>
        <v>2000</v>
      </c>
      <c r="S858" t="str">
        <f t="shared" si="304"/>
        <v>Small</v>
      </c>
      <c r="T858" t="str">
        <f t="shared" si="305"/>
        <v>High EV Adoption Corridor</v>
      </c>
      <c r="U858" s="3">
        <f t="shared" si="306"/>
        <v>4680000</v>
      </c>
      <c r="V858" s="4">
        <f t="shared" si="307"/>
        <v>1056000</v>
      </c>
      <c r="W858" s="3">
        <f t="shared" si="308"/>
        <v>13200000.000000002</v>
      </c>
      <c r="X858" s="3">
        <f t="shared" si="309"/>
        <v>9900000.0000000019</v>
      </c>
      <c r="Y858">
        <f t="shared" si="310"/>
        <v>0.23999999999999996</v>
      </c>
      <c r="Z858">
        <f t="shared" si="311"/>
        <v>0.77435897435897438</v>
      </c>
      <c r="AA858" t="str">
        <f t="shared" si="312"/>
        <v>Tier 1 - Priority Fleet</v>
      </c>
      <c r="AB858" s="3">
        <f t="shared" si="313"/>
        <v>132000</v>
      </c>
      <c r="AC858" s="3">
        <f t="shared" si="314"/>
        <v>1650000.0000000002</v>
      </c>
      <c r="AD858" s="3">
        <f t="shared" si="315"/>
        <v>585000</v>
      </c>
      <c r="AE858" s="5">
        <f t="shared" si="316"/>
        <v>3.6423841059602653</v>
      </c>
      <c r="AF858" s="10">
        <f t="shared" si="317"/>
        <v>654720</v>
      </c>
      <c r="AG858" s="10">
        <f t="shared" si="318"/>
        <v>211200</v>
      </c>
      <c r="AH858" s="10">
        <f t="shared" si="319"/>
        <v>105600</v>
      </c>
      <c r="AI858" s="10">
        <f t="shared" si="320"/>
        <v>52800</v>
      </c>
      <c r="AJ858" s="10">
        <f t="shared" si="321"/>
        <v>31680</v>
      </c>
    </row>
    <row r="859" spans="1:36" x14ac:dyDescent="0.3">
      <c r="A859" t="s">
        <v>3365</v>
      </c>
      <c r="B859" t="s">
        <v>3366</v>
      </c>
      <c r="C859" t="s">
        <v>3367</v>
      </c>
      <c r="D859" t="s">
        <v>433</v>
      </c>
      <c r="E859">
        <v>89835</v>
      </c>
      <c r="F859" t="s">
        <v>15</v>
      </c>
      <c r="G859">
        <v>8</v>
      </c>
      <c r="H859">
        <v>250</v>
      </c>
      <c r="I859" t="str" cm="1">
        <f t="array" ref="I859">_xlfn.IFS(H859&lt;=120,"V1",H859&lt;=150,"V2",H859&lt;=250,"V3", H859&lt;=350, "V4")</f>
        <v>V3</v>
      </c>
      <c r="J859" t="s">
        <v>3368</v>
      </c>
      <c r="K859" t="str">
        <f t="shared" si="299"/>
        <v>41.101369</v>
      </c>
      <c r="L859" t="str">
        <f t="shared" si="300"/>
        <v>-114.956259</v>
      </c>
      <c r="M859">
        <v>1721</v>
      </c>
      <c r="N859" s="1">
        <v>44198</v>
      </c>
      <c r="O859" s="1">
        <v>46099</v>
      </c>
      <c r="P859" s="2">
        <f t="shared" si="301"/>
        <v>5.204654346338125</v>
      </c>
      <c r="Q859" s="2" t="str">
        <f t="shared" si="302"/>
        <v>Mid</v>
      </c>
      <c r="R859">
        <f t="shared" si="303"/>
        <v>2000</v>
      </c>
      <c r="S859" t="str">
        <f t="shared" si="304"/>
        <v>Small</v>
      </c>
      <c r="T859" t="str">
        <f t="shared" si="305"/>
        <v>Lower EV Adoption Corridor</v>
      </c>
      <c r="U859" s="3">
        <f t="shared" si="306"/>
        <v>3600000</v>
      </c>
      <c r="V859" s="4">
        <f t="shared" si="307"/>
        <v>880000.00000000012</v>
      </c>
      <c r="W859" s="3">
        <f t="shared" si="308"/>
        <v>12000000</v>
      </c>
      <c r="X859" s="3">
        <f t="shared" si="309"/>
        <v>6600000.0000000009</v>
      </c>
      <c r="Y859">
        <f t="shared" si="310"/>
        <v>0.31515151515151513</v>
      </c>
      <c r="Z859">
        <f t="shared" si="311"/>
        <v>0.75555555555555554</v>
      </c>
      <c r="AA859" t="str">
        <f t="shared" si="312"/>
        <v>Tier 2 - Growth Markets</v>
      </c>
      <c r="AB859" s="3">
        <f t="shared" si="313"/>
        <v>110000.00000000001</v>
      </c>
      <c r="AC859" s="3">
        <f t="shared" si="314"/>
        <v>1500000</v>
      </c>
      <c r="AD859" s="3">
        <f t="shared" si="315"/>
        <v>450000</v>
      </c>
      <c r="AE859" s="5">
        <f t="shared" si="316"/>
        <v>4.4117647058823533</v>
      </c>
      <c r="AF859" s="10">
        <f t="shared" si="317"/>
        <v>545600.00000000012</v>
      </c>
      <c r="AG859" s="10">
        <f t="shared" si="318"/>
        <v>176000.00000000003</v>
      </c>
      <c r="AH859" s="10">
        <f t="shared" si="319"/>
        <v>88000.000000000015</v>
      </c>
      <c r="AI859" s="10">
        <f t="shared" si="320"/>
        <v>44000.000000000007</v>
      </c>
      <c r="AJ859" s="10">
        <f t="shared" si="321"/>
        <v>26400.000000000004</v>
      </c>
    </row>
    <row r="860" spans="1:36" x14ac:dyDescent="0.3">
      <c r="A860" t="s">
        <v>3369</v>
      </c>
      <c r="B860" t="s">
        <v>3370</v>
      </c>
      <c r="C860" t="s">
        <v>3371</v>
      </c>
      <c r="D860" t="s">
        <v>153</v>
      </c>
      <c r="E860">
        <v>16148</v>
      </c>
      <c r="F860" t="s">
        <v>15</v>
      </c>
      <c r="G860">
        <v>8</v>
      </c>
      <c r="H860">
        <v>150</v>
      </c>
      <c r="I860" t="str" cm="1">
        <f t="array" ref="I860">_xlfn.IFS(H860&lt;=120,"V1",H860&lt;=150,"V2",H860&lt;=250,"V3", H860&lt;=350, "V4")</f>
        <v>V2</v>
      </c>
      <c r="J860" t="s">
        <v>3372</v>
      </c>
      <c r="K860" t="str">
        <f t="shared" si="299"/>
        <v>41.201068</v>
      </c>
      <c r="L860" t="str">
        <f t="shared" si="300"/>
        <v>-80.455205</v>
      </c>
      <c r="M860">
        <v>420</v>
      </c>
      <c r="N860" s="1">
        <v>42983</v>
      </c>
      <c r="O860" s="1">
        <v>46099</v>
      </c>
      <c r="P860" s="2">
        <f t="shared" si="301"/>
        <v>8.5311430527036283</v>
      </c>
      <c r="Q860" s="2" t="str">
        <f t="shared" si="302"/>
        <v>Old</v>
      </c>
      <c r="R860">
        <f t="shared" si="303"/>
        <v>1200</v>
      </c>
      <c r="S860" t="str">
        <f t="shared" si="304"/>
        <v>Small</v>
      </c>
      <c r="T860" t="str">
        <f t="shared" si="305"/>
        <v>Lower EV Adoption Corridor</v>
      </c>
      <c r="U860" s="3">
        <f t="shared" si="306"/>
        <v>1980000.0000000002</v>
      </c>
      <c r="V860" s="4">
        <f t="shared" si="307"/>
        <v>480000</v>
      </c>
      <c r="W860" s="3">
        <f t="shared" si="308"/>
        <v>6000000</v>
      </c>
      <c r="X860" s="3">
        <f t="shared" si="309"/>
        <v>3600000</v>
      </c>
      <c r="Y860">
        <f t="shared" si="310"/>
        <v>0.3</v>
      </c>
      <c r="Z860">
        <f t="shared" si="311"/>
        <v>0.75757575757575757</v>
      </c>
      <c r="AA860" t="str">
        <f t="shared" si="312"/>
        <v>Tier 4 - Stable Network</v>
      </c>
      <c r="AB860" s="3">
        <f t="shared" si="313"/>
        <v>60000</v>
      </c>
      <c r="AC860" s="3">
        <f t="shared" si="314"/>
        <v>750000</v>
      </c>
      <c r="AD860" s="3">
        <f t="shared" si="315"/>
        <v>247500.00000000003</v>
      </c>
      <c r="AE860" s="5">
        <f t="shared" si="316"/>
        <v>3.9999999999999996</v>
      </c>
      <c r="AF860" s="10">
        <f t="shared" si="317"/>
        <v>297600</v>
      </c>
      <c r="AG860" s="10">
        <f t="shared" si="318"/>
        <v>96000</v>
      </c>
      <c r="AH860" s="10">
        <f t="shared" si="319"/>
        <v>48000</v>
      </c>
      <c r="AI860" s="10">
        <f t="shared" si="320"/>
        <v>24000</v>
      </c>
      <c r="AJ860" s="10">
        <f t="shared" si="321"/>
        <v>14400</v>
      </c>
    </row>
    <row r="861" spans="1:36" x14ac:dyDescent="0.3">
      <c r="A861" t="s">
        <v>3373</v>
      </c>
      <c r="B861" t="s">
        <v>3374</v>
      </c>
      <c r="C861" t="s">
        <v>3375</v>
      </c>
      <c r="D861" t="s">
        <v>225</v>
      </c>
      <c r="E861">
        <v>84720</v>
      </c>
      <c r="F861" t="s">
        <v>15</v>
      </c>
      <c r="G861">
        <v>16</v>
      </c>
      <c r="H861">
        <v>250</v>
      </c>
      <c r="I861" t="str" cm="1">
        <f t="array" ref="I861">_xlfn.IFS(H861&lt;=120,"V1",H861&lt;=150,"V2",H861&lt;=250,"V3", H861&lt;=350, "V4")</f>
        <v>V3</v>
      </c>
      <c r="J861" t="s">
        <v>3376</v>
      </c>
      <c r="K861" t="str">
        <f t="shared" si="299"/>
        <v>37.606299</v>
      </c>
      <c r="L861" t="str">
        <f t="shared" si="300"/>
        <v>-113.161244</v>
      </c>
      <c r="M861">
        <v>1678</v>
      </c>
      <c r="N861" s="1">
        <v>44188</v>
      </c>
      <c r="O861" s="1">
        <v>46099</v>
      </c>
      <c r="P861" s="2">
        <f t="shared" si="301"/>
        <v>5.2320328542094456</v>
      </c>
      <c r="Q861" s="2" t="str">
        <f t="shared" si="302"/>
        <v>Mid</v>
      </c>
      <c r="R861">
        <f t="shared" si="303"/>
        <v>4000</v>
      </c>
      <c r="S861" t="str">
        <f t="shared" si="304"/>
        <v>Small</v>
      </c>
      <c r="T861" t="str">
        <f t="shared" si="305"/>
        <v>Lower EV Adoption Corridor</v>
      </c>
      <c r="U861" s="3">
        <f t="shared" si="306"/>
        <v>7200000</v>
      </c>
      <c r="V861" s="4">
        <f t="shared" si="307"/>
        <v>1760000.0000000002</v>
      </c>
      <c r="W861" s="3">
        <f t="shared" si="308"/>
        <v>24000000</v>
      </c>
      <c r="X861" s="3">
        <f t="shared" si="309"/>
        <v>13200000.000000002</v>
      </c>
      <c r="Y861">
        <f t="shared" si="310"/>
        <v>0.31515151515151513</v>
      </c>
      <c r="Z861">
        <f t="shared" si="311"/>
        <v>0.75555555555555554</v>
      </c>
      <c r="AA861" t="str">
        <f t="shared" si="312"/>
        <v>Tier 2 - Growth Markets</v>
      </c>
      <c r="AB861" s="3">
        <f t="shared" si="313"/>
        <v>110000.00000000001</v>
      </c>
      <c r="AC861" s="3">
        <f t="shared" si="314"/>
        <v>1500000</v>
      </c>
      <c r="AD861" s="3">
        <f t="shared" si="315"/>
        <v>450000</v>
      </c>
      <c r="AE861" s="5">
        <f t="shared" si="316"/>
        <v>4.4117647058823533</v>
      </c>
      <c r="AF861" s="10">
        <f t="shared" si="317"/>
        <v>1091200.0000000002</v>
      </c>
      <c r="AG861" s="10">
        <f t="shared" si="318"/>
        <v>352000.00000000006</v>
      </c>
      <c r="AH861" s="10">
        <f t="shared" si="319"/>
        <v>176000.00000000003</v>
      </c>
      <c r="AI861" s="10">
        <f t="shared" si="320"/>
        <v>88000.000000000015</v>
      </c>
      <c r="AJ861" s="10">
        <f t="shared" si="321"/>
        <v>52800.000000000007</v>
      </c>
    </row>
    <row r="862" spans="1:36" x14ac:dyDescent="0.3">
      <c r="A862" t="s">
        <v>3377</v>
      </c>
      <c r="B862" t="s">
        <v>3378</v>
      </c>
      <c r="C862" t="s">
        <v>3379</v>
      </c>
      <c r="D862" t="s">
        <v>1110</v>
      </c>
      <c r="E862">
        <v>72956</v>
      </c>
      <c r="F862" t="s">
        <v>15</v>
      </c>
      <c r="G862">
        <v>6</v>
      </c>
      <c r="H862">
        <v>250</v>
      </c>
      <c r="I862" t="str" cm="1">
        <f t="array" ref="I862">_xlfn.IFS(H862&lt;=120,"V1",H862&lt;=150,"V2",H862&lt;=250,"V3", H862&lt;=350, "V4")</f>
        <v>V3</v>
      </c>
      <c r="J862" t="s">
        <v>3380</v>
      </c>
      <c r="K862" t="str">
        <f t="shared" si="299"/>
        <v>35.458391</v>
      </c>
      <c r="L862" t="str">
        <f t="shared" si="300"/>
        <v>-94.356308</v>
      </c>
      <c r="M862">
        <v>165</v>
      </c>
      <c r="N862" s="1">
        <v>44274</v>
      </c>
      <c r="O862" s="1">
        <v>46099</v>
      </c>
      <c r="P862" s="2">
        <f t="shared" si="301"/>
        <v>4.9965776865160851</v>
      </c>
      <c r="Q862" s="2" t="str">
        <f t="shared" si="302"/>
        <v>Mid</v>
      </c>
      <c r="R862">
        <f t="shared" si="303"/>
        <v>1500</v>
      </c>
      <c r="S862" t="str">
        <f t="shared" si="304"/>
        <v>Small</v>
      </c>
      <c r="T862" t="str">
        <f t="shared" si="305"/>
        <v>Lower EV Adoption Corridor</v>
      </c>
      <c r="U862" s="3">
        <f t="shared" si="306"/>
        <v>2700000</v>
      </c>
      <c r="V862" s="4">
        <f t="shared" si="307"/>
        <v>660000</v>
      </c>
      <c r="W862" s="3">
        <f t="shared" si="308"/>
        <v>9000000</v>
      </c>
      <c r="X862" s="3">
        <f t="shared" si="309"/>
        <v>4950000</v>
      </c>
      <c r="Y862">
        <f t="shared" si="310"/>
        <v>0.31515151515151513</v>
      </c>
      <c r="Z862">
        <f t="shared" si="311"/>
        <v>0.75555555555555554</v>
      </c>
      <c r="AA862" t="str">
        <f t="shared" si="312"/>
        <v>Tier 2 - Growth Markets</v>
      </c>
      <c r="AB862" s="3">
        <f t="shared" si="313"/>
        <v>110000</v>
      </c>
      <c r="AC862" s="3">
        <f t="shared" si="314"/>
        <v>1500000</v>
      </c>
      <c r="AD862" s="3">
        <f t="shared" si="315"/>
        <v>450000</v>
      </c>
      <c r="AE862" s="5">
        <f t="shared" si="316"/>
        <v>4.4117647058823533</v>
      </c>
      <c r="AF862" s="10">
        <f t="shared" si="317"/>
        <v>409200</v>
      </c>
      <c r="AG862" s="10">
        <f t="shared" si="318"/>
        <v>132000</v>
      </c>
      <c r="AH862" s="10">
        <f t="shared" si="319"/>
        <v>66000</v>
      </c>
      <c r="AI862" s="10">
        <f t="shared" si="320"/>
        <v>33000</v>
      </c>
      <c r="AJ862" s="10">
        <f t="shared" si="321"/>
        <v>19800</v>
      </c>
    </row>
    <row r="863" spans="1:36" x14ac:dyDescent="0.3">
      <c r="A863" t="s">
        <v>3381</v>
      </c>
      <c r="B863" t="s">
        <v>3382</v>
      </c>
      <c r="C863" t="s">
        <v>3383</v>
      </c>
      <c r="D863" t="s">
        <v>230</v>
      </c>
      <c r="E863">
        <v>98901</v>
      </c>
      <c r="F863" t="s">
        <v>15</v>
      </c>
      <c r="G863">
        <v>8</v>
      </c>
      <c r="H863">
        <v>250</v>
      </c>
      <c r="I863" t="str" cm="1">
        <f t="array" ref="I863">_xlfn.IFS(H863&lt;=120,"V1",H863&lt;=150,"V2",H863&lt;=250,"V3", H863&lt;=350, "V4")</f>
        <v>V3</v>
      </c>
      <c r="J863" t="s">
        <v>3384</v>
      </c>
      <c r="K863" t="str">
        <f t="shared" si="299"/>
        <v>46.608814</v>
      </c>
      <c r="L863" t="str">
        <f t="shared" si="300"/>
        <v>-120.491244</v>
      </c>
      <c r="M863">
        <v>317</v>
      </c>
      <c r="N863" s="1">
        <v>44285</v>
      </c>
      <c r="O863" s="1">
        <v>46099</v>
      </c>
      <c r="P863" s="2">
        <f t="shared" si="301"/>
        <v>4.9664613278576315</v>
      </c>
      <c r="Q863" s="2" t="str">
        <f t="shared" si="302"/>
        <v>Mid</v>
      </c>
      <c r="R863">
        <f t="shared" si="303"/>
        <v>2000</v>
      </c>
      <c r="S863" t="str">
        <f t="shared" si="304"/>
        <v>Small</v>
      </c>
      <c r="T863" t="str">
        <f t="shared" si="305"/>
        <v>High EV Adoption Corridor</v>
      </c>
      <c r="U863" s="3">
        <f t="shared" si="306"/>
        <v>4680000</v>
      </c>
      <c r="V863" s="4">
        <f t="shared" si="307"/>
        <v>1056000</v>
      </c>
      <c r="W863" s="3">
        <f t="shared" si="308"/>
        <v>13200000.000000002</v>
      </c>
      <c r="X863" s="3">
        <f t="shared" si="309"/>
        <v>9900000.0000000019</v>
      </c>
      <c r="Y863">
        <f t="shared" si="310"/>
        <v>0.23999999999999996</v>
      </c>
      <c r="Z863">
        <f t="shared" si="311"/>
        <v>0.77435897435897438</v>
      </c>
      <c r="AA863" t="str">
        <f t="shared" si="312"/>
        <v>Tier 1 - Priority Fleet</v>
      </c>
      <c r="AB863" s="3">
        <f t="shared" si="313"/>
        <v>132000</v>
      </c>
      <c r="AC863" s="3">
        <f t="shared" si="314"/>
        <v>1650000.0000000002</v>
      </c>
      <c r="AD863" s="3">
        <f t="shared" si="315"/>
        <v>585000</v>
      </c>
      <c r="AE863" s="5">
        <f t="shared" si="316"/>
        <v>3.6423841059602653</v>
      </c>
      <c r="AF863" s="10">
        <f t="shared" si="317"/>
        <v>654720</v>
      </c>
      <c r="AG863" s="10">
        <f t="shared" si="318"/>
        <v>211200</v>
      </c>
      <c r="AH863" s="10">
        <f t="shared" si="319"/>
        <v>105600</v>
      </c>
      <c r="AI863" s="10">
        <f t="shared" si="320"/>
        <v>52800</v>
      </c>
      <c r="AJ863" s="10">
        <f t="shared" si="321"/>
        <v>31680</v>
      </c>
    </row>
    <row r="864" spans="1:36" x14ac:dyDescent="0.3">
      <c r="A864" t="s">
        <v>3385</v>
      </c>
      <c r="B864" t="s">
        <v>3386</v>
      </c>
      <c r="C864" t="s">
        <v>3387</v>
      </c>
      <c r="D864" t="s">
        <v>14</v>
      </c>
      <c r="E864">
        <v>95650</v>
      </c>
      <c r="F864" t="s">
        <v>15</v>
      </c>
      <c r="G864">
        <v>8</v>
      </c>
      <c r="H864">
        <v>250</v>
      </c>
      <c r="I864" t="str" cm="1">
        <f t="array" ref="I864">_xlfn.IFS(H864&lt;=120,"V1",H864&lt;=150,"V2",H864&lt;=250,"V3", H864&lt;=350, "V4")</f>
        <v>V3</v>
      </c>
      <c r="J864" t="s">
        <v>3388</v>
      </c>
      <c r="K864" t="str">
        <f t="shared" si="299"/>
        <v>38.817444</v>
      </c>
      <c r="L864" t="str">
        <f t="shared" si="300"/>
        <v>-121.189472</v>
      </c>
      <c r="M864">
        <v>115</v>
      </c>
      <c r="N864" s="1">
        <v>44288</v>
      </c>
      <c r="O864" s="1">
        <v>46099</v>
      </c>
      <c r="P864" s="2">
        <f t="shared" si="301"/>
        <v>4.9582477754962353</v>
      </c>
      <c r="Q864" s="2" t="str">
        <f t="shared" si="302"/>
        <v>Mid</v>
      </c>
      <c r="R864">
        <f t="shared" si="303"/>
        <v>2000</v>
      </c>
      <c r="S864" t="str">
        <f t="shared" si="304"/>
        <v>Small</v>
      </c>
      <c r="T864" t="str">
        <f t="shared" si="305"/>
        <v>High EV Adoption Corridor</v>
      </c>
      <c r="U864" s="3">
        <f t="shared" si="306"/>
        <v>4680000</v>
      </c>
      <c r="V864" s="4">
        <f t="shared" si="307"/>
        <v>1056000</v>
      </c>
      <c r="W864" s="3">
        <f t="shared" si="308"/>
        <v>13200000.000000002</v>
      </c>
      <c r="X864" s="3">
        <f t="shared" si="309"/>
        <v>9900000.0000000019</v>
      </c>
      <c r="Y864">
        <f t="shared" si="310"/>
        <v>0.23999999999999996</v>
      </c>
      <c r="Z864">
        <f t="shared" si="311"/>
        <v>0.77435897435897438</v>
      </c>
      <c r="AA864" t="str">
        <f t="shared" si="312"/>
        <v>Tier 1 - Priority Fleet</v>
      </c>
      <c r="AB864" s="3">
        <f t="shared" si="313"/>
        <v>132000</v>
      </c>
      <c r="AC864" s="3">
        <f t="shared" si="314"/>
        <v>1650000.0000000002</v>
      </c>
      <c r="AD864" s="3">
        <f t="shared" si="315"/>
        <v>585000</v>
      </c>
      <c r="AE864" s="5">
        <f t="shared" si="316"/>
        <v>3.6423841059602653</v>
      </c>
      <c r="AF864" s="10">
        <f t="shared" si="317"/>
        <v>654720</v>
      </c>
      <c r="AG864" s="10">
        <f t="shared" si="318"/>
        <v>211200</v>
      </c>
      <c r="AH864" s="10">
        <f t="shared" si="319"/>
        <v>105600</v>
      </c>
      <c r="AI864" s="10">
        <f t="shared" si="320"/>
        <v>52800</v>
      </c>
      <c r="AJ864" s="10">
        <f t="shared" si="321"/>
        <v>31680</v>
      </c>
    </row>
    <row r="865" spans="1:36" x14ac:dyDescent="0.3">
      <c r="A865" t="s">
        <v>3389</v>
      </c>
      <c r="B865" t="s">
        <v>3390</v>
      </c>
      <c r="C865" t="s">
        <v>2937</v>
      </c>
      <c r="D865" t="s">
        <v>299</v>
      </c>
      <c r="E865">
        <v>24153</v>
      </c>
      <c r="F865" t="s">
        <v>15</v>
      </c>
      <c r="G865">
        <v>8</v>
      </c>
      <c r="H865">
        <v>150</v>
      </c>
      <c r="I865" t="str" cm="1">
        <f t="array" ref="I865">_xlfn.IFS(H865&lt;=120,"V1",H865&lt;=150,"V2",H865&lt;=250,"V3", H865&lt;=350, "V4")</f>
        <v>V2</v>
      </c>
      <c r="J865" t="s">
        <v>3391</v>
      </c>
      <c r="K865" t="str">
        <f t="shared" si="299"/>
        <v>37.289384</v>
      </c>
      <c r="L865" t="str">
        <f t="shared" si="300"/>
        <v>-80.079866</v>
      </c>
      <c r="M865">
        <v>317</v>
      </c>
      <c r="N865" s="1">
        <v>43784</v>
      </c>
      <c r="O865" s="1">
        <v>46099</v>
      </c>
      <c r="P865" s="2">
        <f t="shared" si="301"/>
        <v>6.3381245722108144</v>
      </c>
      <c r="Q865" s="2" t="str">
        <f t="shared" si="302"/>
        <v>Mid</v>
      </c>
      <c r="R865">
        <f t="shared" si="303"/>
        <v>1200</v>
      </c>
      <c r="S865" t="str">
        <f t="shared" si="304"/>
        <v>Small</v>
      </c>
      <c r="T865" t="str">
        <f t="shared" si="305"/>
        <v>Lower EV Adoption Corridor</v>
      </c>
      <c r="U865" s="3">
        <f t="shared" si="306"/>
        <v>1980000.0000000002</v>
      </c>
      <c r="V865" s="4">
        <f t="shared" si="307"/>
        <v>480000</v>
      </c>
      <c r="W865" s="3">
        <f t="shared" si="308"/>
        <v>6000000</v>
      </c>
      <c r="X865" s="3">
        <f t="shared" si="309"/>
        <v>3600000</v>
      </c>
      <c r="Y865">
        <f t="shared" si="310"/>
        <v>0.3</v>
      </c>
      <c r="Z865">
        <f t="shared" si="311"/>
        <v>0.75757575757575757</v>
      </c>
      <c r="AA865" t="str">
        <f t="shared" si="312"/>
        <v>Tier 4 - Stable Network</v>
      </c>
      <c r="AB865" s="3">
        <f t="shared" si="313"/>
        <v>60000</v>
      </c>
      <c r="AC865" s="3">
        <f t="shared" si="314"/>
        <v>750000</v>
      </c>
      <c r="AD865" s="3">
        <f t="shared" si="315"/>
        <v>247500.00000000003</v>
      </c>
      <c r="AE865" s="5">
        <f t="shared" si="316"/>
        <v>3.9999999999999996</v>
      </c>
      <c r="AF865" s="10">
        <f t="shared" si="317"/>
        <v>297600</v>
      </c>
      <c r="AG865" s="10">
        <f t="shared" si="318"/>
        <v>96000</v>
      </c>
      <c r="AH865" s="10">
        <f t="shared" si="319"/>
        <v>48000</v>
      </c>
      <c r="AI865" s="10">
        <f t="shared" si="320"/>
        <v>24000</v>
      </c>
      <c r="AJ865" s="10">
        <f t="shared" si="321"/>
        <v>14400</v>
      </c>
    </row>
    <row r="866" spans="1:36" x14ac:dyDescent="0.3">
      <c r="A866" t="s">
        <v>3392</v>
      </c>
      <c r="B866" t="s">
        <v>3393</v>
      </c>
      <c r="C866" t="s">
        <v>3394</v>
      </c>
      <c r="D866" t="s">
        <v>41</v>
      </c>
      <c r="E866">
        <v>34119</v>
      </c>
      <c r="F866" t="s">
        <v>15</v>
      </c>
      <c r="G866">
        <v>8</v>
      </c>
      <c r="H866">
        <v>250</v>
      </c>
      <c r="I866" t="str" cm="1">
        <f t="array" ref="I866">_xlfn.IFS(H866&lt;=120,"V1",H866&lt;=150,"V2",H866&lt;=250,"V3", H866&lt;=350, "V4")</f>
        <v>V3</v>
      </c>
      <c r="J866" t="s">
        <v>3395</v>
      </c>
      <c r="K866" t="str">
        <f t="shared" si="299"/>
        <v>26.271106</v>
      </c>
      <c r="L866" t="str">
        <f t="shared" si="300"/>
        <v>-81.739504</v>
      </c>
      <c r="M866">
        <v>5</v>
      </c>
      <c r="N866" s="1">
        <v>44447</v>
      </c>
      <c r="O866" s="1">
        <v>46099</v>
      </c>
      <c r="P866" s="2">
        <f t="shared" si="301"/>
        <v>4.5229295003422312</v>
      </c>
      <c r="Q866" s="2" t="str">
        <f t="shared" si="302"/>
        <v>Mid</v>
      </c>
      <c r="R866">
        <f t="shared" si="303"/>
        <v>2000</v>
      </c>
      <c r="S866" t="str">
        <f t="shared" si="304"/>
        <v>Small</v>
      </c>
      <c r="T866" t="str">
        <f t="shared" si="305"/>
        <v>High EV Adoption Corridor</v>
      </c>
      <c r="U866" s="3">
        <f t="shared" si="306"/>
        <v>4680000</v>
      </c>
      <c r="V866" s="4">
        <f t="shared" si="307"/>
        <v>1056000</v>
      </c>
      <c r="W866" s="3">
        <f t="shared" si="308"/>
        <v>13200000.000000002</v>
      </c>
      <c r="X866" s="3">
        <f t="shared" si="309"/>
        <v>9900000.0000000019</v>
      </c>
      <c r="Y866">
        <f t="shared" si="310"/>
        <v>0.23999999999999996</v>
      </c>
      <c r="Z866">
        <f t="shared" si="311"/>
        <v>0.77435897435897438</v>
      </c>
      <c r="AA866" t="str">
        <f t="shared" si="312"/>
        <v>Tier 1 - Priority Fleet</v>
      </c>
      <c r="AB866" s="3">
        <f t="shared" si="313"/>
        <v>132000</v>
      </c>
      <c r="AC866" s="3">
        <f t="shared" si="314"/>
        <v>1650000.0000000002</v>
      </c>
      <c r="AD866" s="3">
        <f t="shared" si="315"/>
        <v>585000</v>
      </c>
      <c r="AE866" s="5">
        <f t="shared" si="316"/>
        <v>3.6423841059602653</v>
      </c>
      <c r="AF866" s="10">
        <f t="shared" si="317"/>
        <v>654720</v>
      </c>
      <c r="AG866" s="10">
        <f t="shared" si="318"/>
        <v>211200</v>
      </c>
      <c r="AH866" s="10">
        <f t="shared" si="319"/>
        <v>105600</v>
      </c>
      <c r="AI866" s="10">
        <f t="shared" si="320"/>
        <v>52800</v>
      </c>
      <c r="AJ866" s="10">
        <f t="shared" si="321"/>
        <v>31680</v>
      </c>
    </row>
    <row r="867" spans="1:36" x14ac:dyDescent="0.3">
      <c r="A867" t="s">
        <v>3396</v>
      </c>
      <c r="B867" t="s">
        <v>3397</v>
      </c>
      <c r="C867" t="s">
        <v>3398</v>
      </c>
      <c r="D867" t="s">
        <v>14</v>
      </c>
      <c r="E867">
        <v>94568</v>
      </c>
      <c r="F867" t="s">
        <v>15</v>
      </c>
      <c r="G867">
        <v>10</v>
      </c>
      <c r="H867">
        <v>150</v>
      </c>
      <c r="I867" t="str" cm="1">
        <f t="array" ref="I867">_xlfn.IFS(H867&lt;=120,"V1",H867&lt;=150,"V2",H867&lt;=250,"V3", H867&lt;=350, "V4")</f>
        <v>V2</v>
      </c>
      <c r="J867" t="s">
        <v>3399</v>
      </c>
      <c r="K867" t="str">
        <f t="shared" si="299"/>
        <v>37.703993</v>
      </c>
      <c r="L867" t="str">
        <f t="shared" si="300"/>
        <v>-121.852249</v>
      </c>
      <c r="M867">
        <v>109</v>
      </c>
      <c r="N867" s="1">
        <v>44498</v>
      </c>
      <c r="O867" s="1">
        <v>46099</v>
      </c>
      <c r="P867" s="2">
        <f t="shared" si="301"/>
        <v>4.3832991101984939</v>
      </c>
      <c r="Q867" s="2" t="str">
        <f t="shared" si="302"/>
        <v>Mid</v>
      </c>
      <c r="R867">
        <f t="shared" si="303"/>
        <v>1500</v>
      </c>
      <c r="S867" t="str">
        <f t="shared" si="304"/>
        <v>Small</v>
      </c>
      <c r="T867" t="str">
        <f t="shared" si="305"/>
        <v>High EV Adoption Corridor</v>
      </c>
      <c r="U867" s="3">
        <f t="shared" si="306"/>
        <v>3217500</v>
      </c>
      <c r="V867" s="4">
        <f t="shared" si="307"/>
        <v>720000</v>
      </c>
      <c r="W867" s="3">
        <f t="shared" si="308"/>
        <v>8250000.0000000009</v>
      </c>
      <c r="X867" s="3">
        <f t="shared" si="309"/>
        <v>6750000</v>
      </c>
      <c r="Y867">
        <f t="shared" si="310"/>
        <v>0.22888888888888889</v>
      </c>
      <c r="Z867">
        <f t="shared" si="311"/>
        <v>0.77622377622377625</v>
      </c>
      <c r="AA867" t="str">
        <f t="shared" si="312"/>
        <v>Tier 3 - Upgrade Pipeline</v>
      </c>
      <c r="AB867" s="3">
        <f t="shared" si="313"/>
        <v>72000</v>
      </c>
      <c r="AC867" s="3">
        <f t="shared" si="314"/>
        <v>825000.00000000012</v>
      </c>
      <c r="AD867" s="3">
        <f t="shared" si="315"/>
        <v>321750</v>
      </c>
      <c r="AE867" s="5">
        <f t="shared" si="316"/>
        <v>3.3033033033033035</v>
      </c>
      <c r="AF867" s="10">
        <f t="shared" si="317"/>
        <v>446400</v>
      </c>
      <c r="AG867" s="10">
        <f t="shared" si="318"/>
        <v>144000</v>
      </c>
      <c r="AH867" s="10">
        <f t="shared" si="319"/>
        <v>72000</v>
      </c>
      <c r="AI867" s="10">
        <f t="shared" si="320"/>
        <v>36000</v>
      </c>
      <c r="AJ867" s="10">
        <f t="shared" si="321"/>
        <v>21600</v>
      </c>
    </row>
    <row r="868" spans="1:36" x14ac:dyDescent="0.3">
      <c r="A868" t="s">
        <v>3400</v>
      </c>
      <c r="B868" t="s">
        <v>3401</v>
      </c>
      <c r="C868" t="s">
        <v>601</v>
      </c>
      <c r="D868" t="s">
        <v>1412</v>
      </c>
      <c r="E868">
        <v>19713</v>
      </c>
      <c r="F868" t="s">
        <v>15</v>
      </c>
      <c r="G868">
        <v>8</v>
      </c>
      <c r="H868">
        <v>250</v>
      </c>
      <c r="I868" t="str" cm="1">
        <f t="array" ref="I868">_xlfn.IFS(H868&lt;=120,"V1",H868&lt;=150,"V2",H868&lt;=250,"V3", H868&lt;=350, "V4")</f>
        <v>V3</v>
      </c>
      <c r="J868" t="s">
        <v>3402</v>
      </c>
      <c r="K868" t="str">
        <f t="shared" si="299"/>
        <v>39.662049</v>
      </c>
      <c r="L868" t="str">
        <f t="shared" si="300"/>
        <v>-75.73563</v>
      </c>
      <c r="M868">
        <v>25</v>
      </c>
      <c r="N868" s="1">
        <v>44999</v>
      </c>
      <c r="O868" s="1">
        <v>46099</v>
      </c>
      <c r="P868" s="2">
        <f t="shared" si="301"/>
        <v>3.0116358658453115</v>
      </c>
      <c r="Q868" s="2" t="str">
        <f t="shared" si="302"/>
        <v>Mid</v>
      </c>
      <c r="R868">
        <f t="shared" si="303"/>
        <v>2000</v>
      </c>
      <c r="S868" t="str">
        <f t="shared" si="304"/>
        <v>Small</v>
      </c>
      <c r="T868" t="str">
        <f t="shared" si="305"/>
        <v>Lower EV Adoption Corridor</v>
      </c>
      <c r="U868" s="3">
        <f t="shared" si="306"/>
        <v>3600000</v>
      </c>
      <c r="V868" s="4">
        <f t="shared" si="307"/>
        <v>880000.00000000012</v>
      </c>
      <c r="W868" s="3">
        <f t="shared" si="308"/>
        <v>12000000</v>
      </c>
      <c r="X868" s="3">
        <f t="shared" si="309"/>
        <v>6600000.0000000009</v>
      </c>
      <c r="Y868">
        <f t="shared" si="310"/>
        <v>0.31515151515151513</v>
      </c>
      <c r="Z868">
        <f t="shared" si="311"/>
        <v>0.75555555555555554</v>
      </c>
      <c r="AA868" t="str">
        <f t="shared" si="312"/>
        <v>Tier 2 - Growth Markets</v>
      </c>
      <c r="AB868" s="3">
        <f t="shared" si="313"/>
        <v>110000.00000000001</v>
      </c>
      <c r="AC868" s="3">
        <f t="shared" si="314"/>
        <v>1500000</v>
      </c>
      <c r="AD868" s="3">
        <f t="shared" si="315"/>
        <v>450000</v>
      </c>
      <c r="AE868" s="5">
        <f t="shared" si="316"/>
        <v>4.4117647058823533</v>
      </c>
      <c r="AF868" s="10">
        <f t="shared" si="317"/>
        <v>545600.00000000012</v>
      </c>
      <c r="AG868" s="10">
        <f t="shared" si="318"/>
        <v>176000.00000000003</v>
      </c>
      <c r="AH868" s="10">
        <f t="shared" si="319"/>
        <v>88000.000000000015</v>
      </c>
      <c r="AI868" s="10">
        <f t="shared" si="320"/>
        <v>44000.000000000007</v>
      </c>
      <c r="AJ868" s="10">
        <f t="shared" si="321"/>
        <v>26400.000000000004</v>
      </c>
    </row>
    <row r="869" spans="1:36" x14ac:dyDescent="0.3">
      <c r="A869" t="s">
        <v>3403</v>
      </c>
      <c r="B869" t="s">
        <v>3404</v>
      </c>
      <c r="C869" t="s">
        <v>1320</v>
      </c>
      <c r="D869" t="s">
        <v>72</v>
      </c>
      <c r="E869">
        <v>86401</v>
      </c>
      <c r="F869" t="s">
        <v>15</v>
      </c>
      <c r="G869">
        <v>10</v>
      </c>
      <c r="H869">
        <v>120</v>
      </c>
      <c r="I869" t="str" cm="1">
        <f t="array" ref="I869">_xlfn.IFS(H869&lt;=120,"V1",H869&lt;=150,"V2",H869&lt;=250,"V3", H869&lt;=350, "V4")</f>
        <v>V1</v>
      </c>
      <c r="J869" t="s">
        <v>3405</v>
      </c>
      <c r="K869" t="str">
        <f t="shared" si="299"/>
        <v>35.191331</v>
      </c>
      <c r="L869" t="str">
        <f t="shared" si="300"/>
        <v>-114.065592</v>
      </c>
      <c r="M869">
        <v>1025</v>
      </c>
      <c r="N869" s="1">
        <v>41661</v>
      </c>
      <c r="O869" s="1">
        <v>46099</v>
      </c>
      <c r="P869" s="2">
        <f t="shared" si="301"/>
        <v>12.150581793292266</v>
      </c>
      <c r="Q869" s="2" t="str">
        <f t="shared" si="302"/>
        <v>Old</v>
      </c>
      <c r="R869">
        <f t="shared" si="303"/>
        <v>1200</v>
      </c>
      <c r="S869" t="str">
        <f t="shared" si="304"/>
        <v>Small</v>
      </c>
      <c r="T869" t="str">
        <f t="shared" si="305"/>
        <v>Lower EV Adoption Corridor</v>
      </c>
      <c r="U869" s="3">
        <f t="shared" si="306"/>
        <v>1800000</v>
      </c>
      <c r="V869" s="4">
        <f t="shared" si="307"/>
        <v>432000</v>
      </c>
      <c r="W869" s="3">
        <f t="shared" si="308"/>
        <v>4800000</v>
      </c>
      <c r="X869" s="3">
        <f t="shared" si="309"/>
        <v>3240000</v>
      </c>
      <c r="Y869">
        <f t="shared" si="310"/>
        <v>0.2814814814814815</v>
      </c>
      <c r="Z869">
        <f t="shared" si="311"/>
        <v>0.76</v>
      </c>
      <c r="AA869" t="str">
        <f t="shared" si="312"/>
        <v>Tier 5 - Retirement Pipeline</v>
      </c>
      <c r="AB869" s="3">
        <f t="shared" si="313"/>
        <v>43200</v>
      </c>
      <c r="AC869" s="3">
        <f t="shared" si="314"/>
        <v>480000</v>
      </c>
      <c r="AD869" s="3">
        <f t="shared" si="315"/>
        <v>180000</v>
      </c>
      <c r="AE869" s="5">
        <f t="shared" si="316"/>
        <v>3.5087719298245612</v>
      </c>
      <c r="AF869" s="10">
        <f t="shared" si="317"/>
        <v>267840</v>
      </c>
      <c r="AG869" s="10">
        <f t="shared" si="318"/>
        <v>86400</v>
      </c>
      <c r="AH869" s="10">
        <f t="shared" si="319"/>
        <v>43200</v>
      </c>
      <c r="AI869" s="10">
        <f t="shared" si="320"/>
        <v>21600</v>
      </c>
      <c r="AJ869" s="10">
        <f t="shared" si="321"/>
        <v>12960</v>
      </c>
    </row>
    <row r="870" spans="1:36" x14ac:dyDescent="0.3">
      <c r="A870" t="s">
        <v>3406</v>
      </c>
      <c r="B870" t="s">
        <v>3407</v>
      </c>
      <c r="C870" t="s">
        <v>3408</v>
      </c>
      <c r="D870" t="s">
        <v>77</v>
      </c>
      <c r="E870">
        <v>28504</v>
      </c>
      <c r="F870" t="s">
        <v>15</v>
      </c>
      <c r="G870">
        <v>8</v>
      </c>
      <c r="H870">
        <v>250</v>
      </c>
      <c r="I870" t="str" cm="1">
        <f t="array" ref="I870">_xlfn.IFS(H870&lt;=120,"V1",H870&lt;=150,"V2",H870&lt;=250,"V3", H870&lt;=350, "V4")</f>
        <v>V3</v>
      </c>
      <c r="J870" t="s">
        <v>3409</v>
      </c>
      <c r="K870" t="str">
        <f t="shared" si="299"/>
        <v>35.26079</v>
      </c>
      <c r="L870" t="str">
        <f t="shared" si="300"/>
        <v>-77.649666</v>
      </c>
      <c r="M870">
        <v>13</v>
      </c>
      <c r="N870" s="1">
        <v>44092</v>
      </c>
      <c r="O870" s="1">
        <v>46099</v>
      </c>
      <c r="P870" s="2">
        <f t="shared" si="301"/>
        <v>5.4948665297741277</v>
      </c>
      <c r="Q870" s="2" t="str">
        <f t="shared" si="302"/>
        <v>Mid</v>
      </c>
      <c r="R870">
        <f t="shared" si="303"/>
        <v>2000</v>
      </c>
      <c r="S870" t="str">
        <f t="shared" si="304"/>
        <v>Small</v>
      </c>
      <c r="T870" t="str">
        <f t="shared" si="305"/>
        <v>Lower EV Adoption Corridor</v>
      </c>
      <c r="U870" s="3">
        <f t="shared" si="306"/>
        <v>3600000</v>
      </c>
      <c r="V870" s="4">
        <f t="shared" si="307"/>
        <v>880000.00000000012</v>
      </c>
      <c r="W870" s="3">
        <f t="shared" si="308"/>
        <v>12000000</v>
      </c>
      <c r="X870" s="3">
        <f t="shared" si="309"/>
        <v>6600000.0000000009</v>
      </c>
      <c r="Y870">
        <f t="shared" si="310"/>
        <v>0.31515151515151513</v>
      </c>
      <c r="Z870">
        <f t="shared" si="311"/>
        <v>0.75555555555555554</v>
      </c>
      <c r="AA870" t="str">
        <f t="shared" si="312"/>
        <v>Tier 2 - Growth Markets</v>
      </c>
      <c r="AB870" s="3">
        <f t="shared" si="313"/>
        <v>110000.00000000001</v>
      </c>
      <c r="AC870" s="3">
        <f t="shared" si="314"/>
        <v>1500000</v>
      </c>
      <c r="AD870" s="3">
        <f t="shared" si="315"/>
        <v>450000</v>
      </c>
      <c r="AE870" s="5">
        <f t="shared" si="316"/>
        <v>4.4117647058823533</v>
      </c>
      <c r="AF870" s="10">
        <f t="shared" si="317"/>
        <v>545600.00000000012</v>
      </c>
      <c r="AG870" s="10">
        <f t="shared" si="318"/>
        <v>176000.00000000003</v>
      </c>
      <c r="AH870" s="10">
        <f t="shared" si="319"/>
        <v>88000.000000000015</v>
      </c>
      <c r="AI870" s="10">
        <f t="shared" si="320"/>
        <v>44000.000000000007</v>
      </c>
      <c r="AJ870" s="10">
        <f t="shared" si="321"/>
        <v>26400.000000000004</v>
      </c>
    </row>
    <row r="871" spans="1:36" x14ac:dyDescent="0.3">
      <c r="A871" t="s">
        <v>3410</v>
      </c>
      <c r="B871" t="s">
        <v>3411</v>
      </c>
      <c r="C871" t="s">
        <v>3412</v>
      </c>
      <c r="D871" t="s">
        <v>14</v>
      </c>
      <c r="E871">
        <v>93065</v>
      </c>
      <c r="F871" t="s">
        <v>15</v>
      </c>
      <c r="G871">
        <v>16</v>
      </c>
      <c r="H871">
        <v>250</v>
      </c>
      <c r="I871" t="str" cm="1">
        <f t="array" ref="I871">_xlfn.IFS(H871&lt;=120,"V1",H871&lt;=150,"V2",H871&lt;=250,"V3", H871&lt;=350, "V4")</f>
        <v>V3</v>
      </c>
      <c r="J871" t="s">
        <v>3413</v>
      </c>
      <c r="K871" t="str">
        <f t="shared" si="299"/>
        <v>34.272167</v>
      </c>
      <c r="L871" t="str">
        <f t="shared" si="300"/>
        <v>-118.797139</v>
      </c>
      <c r="M871">
        <v>220</v>
      </c>
      <c r="N871" s="1">
        <v>44096</v>
      </c>
      <c r="O871" s="1">
        <v>46099</v>
      </c>
      <c r="P871" s="2">
        <f t="shared" si="301"/>
        <v>5.4839151266255985</v>
      </c>
      <c r="Q871" s="2" t="str">
        <f t="shared" si="302"/>
        <v>Mid</v>
      </c>
      <c r="R871">
        <f t="shared" si="303"/>
        <v>4000</v>
      </c>
      <c r="S871" t="str">
        <f t="shared" si="304"/>
        <v>Small</v>
      </c>
      <c r="T871" t="str">
        <f t="shared" si="305"/>
        <v>High EV Adoption Corridor</v>
      </c>
      <c r="U871" s="3">
        <f t="shared" si="306"/>
        <v>9360000</v>
      </c>
      <c r="V871" s="4">
        <f t="shared" si="307"/>
        <v>2112000</v>
      </c>
      <c r="W871" s="3">
        <f t="shared" si="308"/>
        <v>26400000.000000004</v>
      </c>
      <c r="X871" s="3">
        <f t="shared" si="309"/>
        <v>19800000.000000004</v>
      </c>
      <c r="Y871">
        <f t="shared" si="310"/>
        <v>0.23999999999999996</v>
      </c>
      <c r="Z871">
        <f t="shared" si="311"/>
        <v>0.77435897435897438</v>
      </c>
      <c r="AA871" t="str">
        <f t="shared" si="312"/>
        <v>Tier 1 - Priority Fleet</v>
      </c>
      <c r="AB871" s="3">
        <f t="shared" si="313"/>
        <v>132000</v>
      </c>
      <c r="AC871" s="3">
        <f t="shared" si="314"/>
        <v>1650000.0000000002</v>
      </c>
      <c r="AD871" s="3">
        <f t="shared" si="315"/>
        <v>585000</v>
      </c>
      <c r="AE871" s="5">
        <f t="shared" si="316"/>
        <v>3.6423841059602653</v>
      </c>
      <c r="AF871" s="10">
        <f t="shared" si="317"/>
        <v>1309440</v>
      </c>
      <c r="AG871" s="10">
        <f t="shared" si="318"/>
        <v>422400</v>
      </c>
      <c r="AH871" s="10">
        <f t="shared" si="319"/>
        <v>211200</v>
      </c>
      <c r="AI871" s="10">
        <f t="shared" si="320"/>
        <v>105600</v>
      </c>
      <c r="AJ871" s="10">
        <f t="shared" si="321"/>
        <v>63360</v>
      </c>
    </row>
    <row r="872" spans="1:36" x14ac:dyDescent="0.3">
      <c r="A872" t="s">
        <v>3414</v>
      </c>
      <c r="B872" t="s">
        <v>3415</v>
      </c>
      <c r="C872" t="s">
        <v>2334</v>
      </c>
      <c r="D872" t="s">
        <v>41</v>
      </c>
      <c r="E872">
        <v>32221</v>
      </c>
      <c r="F872" t="s">
        <v>15</v>
      </c>
      <c r="G872">
        <v>8</v>
      </c>
      <c r="H872">
        <v>250</v>
      </c>
      <c r="I872" t="str" cm="1">
        <f t="array" ref="I872">_xlfn.IFS(H872&lt;=120,"V1",H872&lt;=150,"V2",H872&lt;=250,"V3", H872&lt;=350, "V4")</f>
        <v>V3</v>
      </c>
      <c r="J872" t="s">
        <v>3416</v>
      </c>
      <c r="K872" t="str">
        <f t="shared" si="299"/>
        <v>30.307077</v>
      </c>
      <c r="L872" t="str">
        <f t="shared" si="300"/>
        <v>-81.847887</v>
      </c>
      <c r="M872">
        <v>21</v>
      </c>
      <c r="N872" s="1">
        <v>44093</v>
      </c>
      <c r="O872" s="1">
        <v>46099</v>
      </c>
      <c r="P872" s="2">
        <f t="shared" si="301"/>
        <v>5.4921286789869956</v>
      </c>
      <c r="Q872" s="2" t="str">
        <f t="shared" si="302"/>
        <v>Mid</v>
      </c>
      <c r="R872">
        <f t="shared" si="303"/>
        <v>2000</v>
      </c>
      <c r="S872" t="str">
        <f t="shared" si="304"/>
        <v>Small</v>
      </c>
      <c r="T872" t="str">
        <f t="shared" si="305"/>
        <v>High EV Adoption Corridor</v>
      </c>
      <c r="U872" s="3">
        <f t="shared" si="306"/>
        <v>4680000</v>
      </c>
      <c r="V872" s="4">
        <f t="shared" si="307"/>
        <v>1056000</v>
      </c>
      <c r="W872" s="3">
        <f t="shared" si="308"/>
        <v>13200000.000000002</v>
      </c>
      <c r="X872" s="3">
        <f t="shared" si="309"/>
        <v>9900000.0000000019</v>
      </c>
      <c r="Y872">
        <f t="shared" si="310"/>
        <v>0.23999999999999996</v>
      </c>
      <c r="Z872">
        <f t="shared" si="311"/>
        <v>0.77435897435897438</v>
      </c>
      <c r="AA872" t="str">
        <f t="shared" si="312"/>
        <v>Tier 1 - Priority Fleet</v>
      </c>
      <c r="AB872" s="3">
        <f t="shared" si="313"/>
        <v>132000</v>
      </c>
      <c r="AC872" s="3">
        <f t="shared" si="314"/>
        <v>1650000.0000000002</v>
      </c>
      <c r="AD872" s="3">
        <f t="shared" si="315"/>
        <v>585000</v>
      </c>
      <c r="AE872" s="5">
        <f t="shared" si="316"/>
        <v>3.6423841059602653</v>
      </c>
      <c r="AF872" s="10">
        <f t="shared" si="317"/>
        <v>654720</v>
      </c>
      <c r="AG872" s="10">
        <f t="shared" si="318"/>
        <v>211200</v>
      </c>
      <c r="AH872" s="10">
        <f t="shared" si="319"/>
        <v>105600</v>
      </c>
      <c r="AI872" s="10">
        <f t="shared" si="320"/>
        <v>52800</v>
      </c>
      <c r="AJ872" s="10">
        <f t="shared" si="321"/>
        <v>31680</v>
      </c>
    </row>
    <row r="873" spans="1:36" x14ac:dyDescent="0.3">
      <c r="A873" t="s">
        <v>3417</v>
      </c>
      <c r="B873" t="s">
        <v>3418</v>
      </c>
      <c r="C873" t="s">
        <v>3419</v>
      </c>
      <c r="D873" t="s">
        <v>14</v>
      </c>
      <c r="E873">
        <v>90201</v>
      </c>
      <c r="F873" t="s">
        <v>15</v>
      </c>
      <c r="G873">
        <v>8</v>
      </c>
      <c r="H873">
        <v>250</v>
      </c>
      <c r="I873" t="str" cm="1">
        <f t="array" ref="I873">_xlfn.IFS(H873&lt;=120,"V1",H873&lt;=150,"V2",H873&lt;=250,"V3", H873&lt;=350, "V4")</f>
        <v>V3</v>
      </c>
      <c r="J873" t="s">
        <v>3420</v>
      </c>
      <c r="K873" t="str">
        <f t="shared" si="299"/>
        <v>33.977915</v>
      </c>
      <c r="L873" t="str">
        <f t="shared" si="300"/>
        <v>-118.188681</v>
      </c>
      <c r="M873">
        <v>44</v>
      </c>
      <c r="N873" s="1">
        <v>44327</v>
      </c>
      <c r="O873" s="1">
        <v>46099</v>
      </c>
      <c r="P873" s="2">
        <f t="shared" si="301"/>
        <v>4.8514715947980838</v>
      </c>
      <c r="Q873" s="2" t="str">
        <f t="shared" si="302"/>
        <v>Mid</v>
      </c>
      <c r="R873">
        <f t="shared" si="303"/>
        <v>2000</v>
      </c>
      <c r="S873" t="str">
        <f t="shared" si="304"/>
        <v>Small</v>
      </c>
      <c r="T873" t="str">
        <f t="shared" si="305"/>
        <v>High EV Adoption Corridor</v>
      </c>
      <c r="U873" s="3">
        <f t="shared" si="306"/>
        <v>4680000</v>
      </c>
      <c r="V873" s="4">
        <f t="shared" si="307"/>
        <v>1056000</v>
      </c>
      <c r="W873" s="3">
        <f t="shared" si="308"/>
        <v>13200000.000000002</v>
      </c>
      <c r="X873" s="3">
        <f t="shared" si="309"/>
        <v>9900000.0000000019</v>
      </c>
      <c r="Y873">
        <f t="shared" si="310"/>
        <v>0.23999999999999996</v>
      </c>
      <c r="Z873">
        <f t="shared" si="311"/>
        <v>0.77435897435897438</v>
      </c>
      <c r="AA873" t="str">
        <f t="shared" si="312"/>
        <v>Tier 1 - Priority Fleet</v>
      </c>
      <c r="AB873" s="3">
        <f t="shared" si="313"/>
        <v>132000</v>
      </c>
      <c r="AC873" s="3">
        <f t="shared" si="314"/>
        <v>1650000.0000000002</v>
      </c>
      <c r="AD873" s="3">
        <f t="shared" si="315"/>
        <v>585000</v>
      </c>
      <c r="AE873" s="5">
        <f t="shared" si="316"/>
        <v>3.6423841059602653</v>
      </c>
      <c r="AF873" s="10">
        <f t="shared" si="317"/>
        <v>654720</v>
      </c>
      <c r="AG873" s="10">
        <f t="shared" si="318"/>
        <v>211200</v>
      </c>
      <c r="AH873" s="10">
        <f t="shared" si="319"/>
        <v>105600</v>
      </c>
      <c r="AI873" s="10">
        <f t="shared" si="320"/>
        <v>52800</v>
      </c>
      <c r="AJ873" s="10">
        <f t="shared" si="321"/>
        <v>31680</v>
      </c>
    </row>
    <row r="874" spans="1:36" x14ac:dyDescent="0.3">
      <c r="A874" t="s">
        <v>3421</v>
      </c>
      <c r="B874" t="s">
        <v>3422</v>
      </c>
      <c r="C874" t="s">
        <v>3423</v>
      </c>
      <c r="D874" t="s">
        <v>913</v>
      </c>
      <c r="E874">
        <v>21284</v>
      </c>
      <c r="F874" t="s">
        <v>15</v>
      </c>
      <c r="G874">
        <v>8</v>
      </c>
      <c r="H874">
        <v>250</v>
      </c>
      <c r="I874" t="str" cm="1">
        <f t="array" ref="I874">_xlfn.IFS(H874&lt;=120,"V1",H874&lt;=150,"V2",H874&lt;=250,"V3", H874&lt;=350, "V4")</f>
        <v>V3</v>
      </c>
      <c r="J874" t="s">
        <v>3424</v>
      </c>
      <c r="K874" t="str">
        <f t="shared" si="299"/>
        <v>39.396234</v>
      </c>
      <c r="L874" t="str">
        <f t="shared" si="300"/>
        <v>-76.575626</v>
      </c>
      <c r="M874">
        <v>147</v>
      </c>
      <c r="N874" s="1">
        <v>44309</v>
      </c>
      <c r="O874" s="1">
        <v>46099</v>
      </c>
      <c r="P874" s="2">
        <f t="shared" si="301"/>
        <v>4.900752908966461</v>
      </c>
      <c r="Q874" s="2" t="str">
        <f t="shared" si="302"/>
        <v>Mid</v>
      </c>
      <c r="R874">
        <f t="shared" si="303"/>
        <v>2000</v>
      </c>
      <c r="S874" t="str">
        <f t="shared" si="304"/>
        <v>Small</v>
      </c>
      <c r="T874" t="str">
        <f t="shared" si="305"/>
        <v>Lower EV Adoption Corridor</v>
      </c>
      <c r="U874" s="3">
        <f t="shared" si="306"/>
        <v>3600000</v>
      </c>
      <c r="V874" s="4">
        <f t="shared" si="307"/>
        <v>880000.00000000012</v>
      </c>
      <c r="W874" s="3">
        <f t="shared" si="308"/>
        <v>12000000</v>
      </c>
      <c r="X874" s="3">
        <f t="shared" si="309"/>
        <v>6600000.0000000009</v>
      </c>
      <c r="Y874">
        <f t="shared" si="310"/>
        <v>0.31515151515151513</v>
      </c>
      <c r="Z874">
        <f t="shared" si="311"/>
        <v>0.75555555555555554</v>
      </c>
      <c r="AA874" t="str">
        <f t="shared" si="312"/>
        <v>Tier 2 - Growth Markets</v>
      </c>
      <c r="AB874" s="3">
        <f t="shared" si="313"/>
        <v>110000.00000000001</v>
      </c>
      <c r="AC874" s="3">
        <f t="shared" si="314"/>
        <v>1500000</v>
      </c>
      <c r="AD874" s="3">
        <f t="shared" si="315"/>
        <v>450000</v>
      </c>
      <c r="AE874" s="5">
        <f t="shared" si="316"/>
        <v>4.4117647058823533</v>
      </c>
      <c r="AF874" s="10">
        <f t="shared" si="317"/>
        <v>545600.00000000012</v>
      </c>
      <c r="AG874" s="10">
        <f t="shared" si="318"/>
        <v>176000.00000000003</v>
      </c>
      <c r="AH874" s="10">
        <f t="shared" si="319"/>
        <v>88000.000000000015</v>
      </c>
      <c r="AI874" s="10">
        <f t="shared" si="320"/>
        <v>44000.000000000007</v>
      </c>
      <c r="AJ874" s="10">
        <f t="shared" si="321"/>
        <v>26400.000000000004</v>
      </c>
    </row>
    <row r="875" spans="1:36" x14ac:dyDescent="0.3">
      <c r="A875" t="s">
        <v>3425</v>
      </c>
      <c r="B875" t="s">
        <v>3426</v>
      </c>
      <c r="C875" t="s">
        <v>3427</v>
      </c>
      <c r="D875" t="s">
        <v>14</v>
      </c>
      <c r="E875">
        <v>91340</v>
      </c>
      <c r="F875" t="s">
        <v>15</v>
      </c>
      <c r="G875">
        <v>12</v>
      </c>
      <c r="H875">
        <v>250</v>
      </c>
      <c r="I875" t="str" cm="1">
        <f t="array" ref="I875">_xlfn.IFS(H875&lt;=120,"V1",H875&lt;=150,"V2",H875&lt;=250,"V3", H875&lt;=350, "V4")</f>
        <v>V3</v>
      </c>
      <c r="J875" t="s">
        <v>3428</v>
      </c>
      <c r="K875" t="str">
        <f t="shared" si="299"/>
        <v>34.281483</v>
      </c>
      <c r="L875" t="str">
        <f t="shared" si="300"/>
        <v>-118.44167</v>
      </c>
      <c r="M875">
        <v>323</v>
      </c>
      <c r="N875" s="1">
        <v>44331</v>
      </c>
      <c r="O875" s="1">
        <v>46099</v>
      </c>
      <c r="P875" s="2">
        <f t="shared" si="301"/>
        <v>4.8405201916495555</v>
      </c>
      <c r="Q875" s="2" t="str">
        <f t="shared" si="302"/>
        <v>Mid</v>
      </c>
      <c r="R875">
        <f t="shared" si="303"/>
        <v>3000</v>
      </c>
      <c r="S875" t="str">
        <f t="shared" si="304"/>
        <v>Small</v>
      </c>
      <c r="T875" t="str">
        <f t="shared" si="305"/>
        <v>High EV Adoption Corridor</v>
      </c>
      <c r="U875" s="3">
        <f t="shared" si="306"/>
        <v>7020000</v>
      </c>
      <c r="V875" s="4">
        <f t="shared" si="307"/>
        <v>1584000</v>
      </c>
      <c r="W875" s="3">
        <f t="shared" si="308"/>
        <v>19800000</v>
      </c>
      <c r="X875" s="3">
        <f t="shared" si="309"/>
        <v>14850000</v>
      </c>
      <c r="Y875">
        <f t="shared" si="310"/>
        <v>0.24</v>
      </c>
      <c r="Z875">
        <f t="shared" si="311"/>
        <v>0.77435897435897438</v>
      </c>
      <c r="AA875" t="str">
        <f t="shared" si="312"/>
        <v>Tier 1 - Priority Fleet</v>
      </c>
      <c r="AB875" s="3">
        <f t="shared" si="313"/>
        <v>132000</v>
      </c>
      <c r="AC875" s="3">
        <f t="shared" si="314"/>
        <v>1650000</v>
      </c>
      <c r="AD875" s="3">
        <f t="shared" si="315"/>
        <v>585000</v>
      </c>
      <c r="AE875" s="5">
        <f t="shared" si="316"/>
        <v>3.6423841059602649</v>
      </c>
      <c r="AF875" s="10">
        <f t="shared" si="317"/>
        <v>982080</v>
      </c>
      <c r="AG875" s="10">
        <f t="shared" si="318"/>
        <v>316800</v>
      </c>
      <c r="AH875" s="10">
        <f t="shared" si="319"/>
        <v>158400</v>
      </c>
      <c r="AI875" s="10">
        <f t="shared" si="320"/>
        <v>79200</v>
      </c>
      <c r="AJ875" s="10">
        <f t="shared" si="321"/>
        <v>47520</v>
      </c>
    </row>
    <row r="876" spans="1:36" x14ac:dyDescent="0.3">
      <c r="A876" t="s">
        <v>3429</v>
      </c>
      <c r="B876" t="s">
        <v>3430</v>
      </c>
      <c r="C876" t="s">
        <v>1958</v>
      </c>
      <c r="D876" t="s">
        <v>14</v>
      </c>
      <c r="E876">
        <v>91106</v>
      </c>
      <c r="F876" t="s">
        <v>15</v>
      </c>
      <c r="G876">
        <v>20</v>
      </c>
      <c r="H876">
        <v>250</v>
      </c>
      <c r="I876" t="str" cm="1">
        <f t="array" ref="I876">_xlfn.IFS(H876&lt;=120,"V1",H876&lt;=150,"V2",H876&lt;=250,"V3", H876&lt;=350, "V4")</f>
        <v>V3</v>
      </c>
      <c r="J876" t="s">
        <v>3431</v>
      </c>
      <c r="K876" t="str">
        <f t="shared" si="299"/>
        <v>34.12699</v>
      </c>
      <c r="L876" t="str">
        <f t="shared" si="300"/>
        <v>-118.147727</v>
      </c>
      <c r="M876">
        <v>230</v>
      </c>
      <c r="N876" s="1">
        <v>44490</v>
      </c>
      <c r="O876" s="1">
        <v>46099</v>
      </c>
      <c r="P876" s="2">
        <f t="shared" si="301"/>
        <v>4.4052019164955514</v>
      </c>
      <c r="Q876" s="2" t="str">
        <f t="shared" si="302"/>
        <v>Mid</v>
      </c>
      <c r="R876">
        <f t="shared" si="303"/>
        <v>5000</v>
      </c>
      <c r="S876" t="str">
        <f t="shared" si="304"/>
        <v>Small</v>
      </c>
      <c r="T876" t="str">
        <f t="shared" si="305"/>
        <v>High EV Adoption Corridor</v>
      </c>
      <c r="U876" s="3">
        <f t="shared" si="306"/>
        <v>11700000</v>
      </c>
      <c r="V876" s="4">
        <f t="shared" si="307"/>
        <v>2640000</v>
      </c>
      <c r="W876" s="3">
        <f t="shared" si="308"/>
        <v>33000000.000000004</v>
      </c>
      <c r="X876" s="3">
        <f t="shared" si="309"/>
        <v>24750000.000000004</v>
      </c>
      <c r="Y876">
        <f t="shared" si="310"/>
        <v>0.23999999999999996</v>
      </c>
      <c r="Z876">
        <f t="shared" si="311"/>
        <v>0.77435897435897438</v>
      </c>
      <c r="AA876" t="str">
        <f t="shared" si="312"/>
        <v>Tier 1 - Priority Fleet</v>
      </c>
      <c r="AB876" s="3">
        <f t="shared" si="313"/>
        <v>132000</v>
      </c>
      <c r="AC876" s="3">
        <f t="shared" si="314"/>
        <v>1650000.0000000002</v>
      </c>
      <c r="AD876" s="3">
        <f t="shared" si="315"/>
        <v>585000</v>
      </c>
      <c r="AE876" s="5">
        <f t="shared" si="316"/>
        <v>3.6423841059602653</v>
      </c>
      <c r="AF876" s="10">
        <f t="shared" si="317"/>
        <v>1636800</v>
      </c>
      <c r="AG876" s="10">
        <f t="shared" si="318"/>
        <v>528000</v>
      </c>
      <c r="AH876" s="10">
        <f t="shared" si="319"/>
        <v>264000</v>
      </c>
      <c r="AI876" s="10">
        <f t="shared" si="320"/>
        <v>132000</v>
      </c>
      <c r="AJ876" s="10">
        <f t="shared" si="321"/>
        <v>79200</v>
      </c>
    </row>
    <row r="877" spans="1:36" x14ac:dyDescent="0.3">
      <c r="A877" t="s">
        <v>3432</v>
      </c>
      <c r="B877" t="s">
        <v>3433</v>
      </c>
      <c r="C877" t="s">
        <v>3434</v>
      </c>
      <c r="D877" t="s">
        <v>14</v>
      </c>
      <c r="E877">
        <v>92173</v>
      </c>
      <c r="F877" t="s">
        <v>15</v>
      </c>
      <c r="G877">
        <v>8</v>
      </c>
      <c r="H877">
        <v>250</v>
      </c>
      <c r="I877" t="str" cm="1">
        <f t="array" ref="I877">_xlfn.IFS(H877&lt;=120,"V1",H877&lt;=150,"V2",H877&lt;=250,"V3", H877&lt;=350, "V4")</f>
        <v>V3</v>
      </c>
      <c r="J877" t="s">
        <v>3435</v>
      </c>
      <c r="K877" t="str">
        <f t="shared" si="299"/>
        <v>32.54462</v>
      </c>
      <c r="L877" t="str">
        <f t="shared" si="300"/>
        <v>-117.042305</v>
      </c>
      <c r="M877">
        <v>16</v>
      </c>
      <c r="N877" s="1">
        <v>44769</v>
      </c>
      <c r="O877" s="1">
        <v>46099</v>
      </c>
      <c r="P877" s="2">
        <f t="shared" si="301"/>
        <v>3.6413415468856947</v>
      </c>
      <c r="Q877" s="2" t="str">
        <f t="shared" si="302"/>
        <v>Mid</v>
      </c>
      <c r="R877">
        <f t="shared" si="303"/>
        <v>2000</v>
      </c>
      <c r="S877" t="str">
        <f t="shared" si="304"/>
        <v>Small</v>
      </c>
      <c r="T877" t="str">
        <f t="shared" si="305"/>
        <v>High EV Adoption Corridor</v>
      </c>
      <c r="U877" s="3">
        <f t="shared" si="306"/>
        <v>4680000</v>
      </c>
      <c r="V877" s="4">
        <f t="shared" si="307"/>
        <v>1056000</v>
      </c>
      <c r="W877" s="3">
        <f t="shared" si="308"/>
        <v>13200000.000000002</v>
      </c>
      <c r="X877" s="3">
        <f t="shared" si="309"/>
        <v>9900000.0000000019</v>
      </c>
      <c r="Y877">
        <f t="shared" si="310"/>
        <v>0.23999999999999996</v>
      </c>
      <c r="Z877">
        <f t="shared" si="311"/>
        <v>0.77435897435897438</v>
      </c>
      <c r="AA877" t="str">
        <f t="shared" si="312"/>
        <v>Tier 1 - Priority Fleet</v>
      </c>
      <c r="AB877" s="3">
        <f t="shared" si="313"/>
        <v>132000</v>
      </c>
      <c r="AC877" s="3">
        <f t="shared" si="314"/>
        <v>1650000.0000000002</v>
      </c>
      <c r="AD877" s="3">
        <f t="shared" si="315"/>
        <v>585000</v>
      </c>
      <c r="AE877" s="5">
        <f t="shared" si="316"/>
        <v>3.6423841059602653</v>
      </c>
      <c r="AF877" s="10">
        <f t="shared" si="317"/>
        <v>654720</v>
      </c>
      <c r="AG877" s="10">
        <f t="shared" si="318"/>
        <v>211200</v>
      </c>
      <c r="AH877" s="10">
        <f t="shared" si="319"/>
        <v>105600</v>
      </c>
      <c r="AI877" s="10">
        <f t="shared" si="320"/>
        <v>52800</v>
      </c>
      <c r="AJ877" s="10">
        <f t="shared" si="321"/>
        <v>31680</v>
      </c>
    </row>
    <row r="878" spans="1:36" x14ac:dyDescent="0.3">
      <c r="A878" t="s">
        <v>3436</v>
      </c>
      <c r="B878" t="s">
        <v>3437</v>
      </c>
      <c r="C878" t="s">
        <v>3438</v>
      </c>
      <c r="D878" t="s">
        <v>41</v>
      </c>
      <c r="E878">
        <v>34749</v>
      </c>
      <c r="F878" t="s">
        <v>15</v>
      </c>
      <c r="G878">
        <v>8</v>
      </c>
      <c r="H878">
        <v>250</v>
      </c>
      <c r="I878" t="str" cm="1">
        <f t="array" ref="I878">_xlfn.IFS(H878&lt;=120,"V1",H878&lt;=150,"V2",H878&lt;=250,"V3", H878&lt;=350, "V4")</f>
        <v>V3</v>
      </c>
      <c r="J878" t="s">
        <v>3439</v>
      </c>
      <c r="K878" t="str">
        <f t="shared" si="299"/>
        <v>27.416538</v>
      </c>
      <c r="L878" t="str">
        <f t="shared" si="300"/>
        <v>-80.381845</v>
      </c>
      <c r="M878">
        <v>5</v>
      </c>
      <c r="N878" s="1">
        <v>44106</v>
      </c>
      <c r="O878" s="1">
        <v>46099</v>
      </c>
      <c r="P878" s="2">
        <f t="shared" si="301"/>
        <v>5.4565366187542779</v>
      </c>
      <c r="Q878" s="2" t="str">
        <f t="shared" si="302"/>
        <v>Mid</v>
      </c>
      <c r="R878">
        <f t="shared" si="303"/>
        <v>2000</v>
      </c>
      <c r="S878" t="str">
        <f t="shared" si="304"/>
        <v>Small</v>
      </c>
      <c r="T878" t="str">
        <f t="shared" si="305"/>
        <v>High EV Adoption Corridor</v>
      </c>
      <c r="U878" s="3">
        <f t="shared" si="306"/>
        <v>4680000</v>
      </c>
      <c r="V878" s="4">
        <f t="shared" si="307"/>
        <v>1056000</v>
      </c>
      <c r="W878" s="3">
        <f t="shared" si="308"/>
        <v>13200000.000000002</v>
      </c>
      <c r="X878" s="3">
        <f t="shared" si="309"/>
        <v>9900000.0000000019</v>
      </c>
      <c r="Y878">
        <f t="shared" si="310"/>
        <v>0.23999999999999996</v>
      </c>
      <c r="Z878">
        <f t="shared" si="311"/>
        <v>0.77435897435897438</v>
      </c>
      <c r="AA878" t="str">
        <f t="shared" si="312"/>
        <v>Tier 1 - Priority Fleet</v>
      </c>
      <c r="AB878" s="3">
        <f t="shared" si="313"/>
        <v>132000</v>
      </c>
      <c r="AC878" s="3">
        <f t="shared" si="314"/>
        <v>1650000.0000000002</v>
      </c>
      <c r="AD878" s="3">
        <f t="shared" si="315"/>
        <v>585000</v>
      </c>
      <c r="AE878" s="5">
        <f t="shared" si="316"/>
        <v>3.6423841059602653</v>
      </c>
      <c r="AF878" s="10">
        <f t="shared" si="317"/>
        <v>654720</v>
      </c>
      <c r="AG878" s="10">
        <f t="shared" si="318"/>
        <v>211200</v>
      </c>
      <c r="AH878" s="10">
        <f t="shared" si="319"/>
        <v>105600</v>
      </c>
      <c r="AI878" s="10">
        <f t="shared" si="320"/>
        <v>52800</v>
      </c>
      <c r="AJ878" s="10">
        <f t="shared" si="321"/>
        <v>31680</v>
      </c>
    </row>
    <row r="879" spans="1:36" x14ac:dyDescent="0.3">
      <c r="A879" t="s">
        <v>3440</v>
      </c>
      <c r="B879" t="s">
        <v>3441</v>
      </c>
      <c r="C879" t="s">
        <v>970</v>
      </c>
      <c r="D879" t="s">
        <v>120</v>
      </c>
      <c r="E879">
        <v>57201</v>
      </c>
      <c r="F879" t="s">
        <v>15</v>
      </c>
      <c r="G879">
        <v>8</v>
      </c>
      <c r="H879">
        <v>250</v>
      </c>
      <c r="I879" t="str" cm="1">
        <f t="array" ref="I879">_xlfn.IFS(H879&lt;=120,"V1",H879&lt;=150,"V2",H879&lt;=250,"V3", H879&lt;=350, "V4")</f>
        <v>V3</v>
      </c>
      <c r="J879" t="s">
        <v>3442</v>
      </c>
      <c r="K879" t="str">
        <f t="shared" si="299"/>
        <v>44.889</v>
      </c>
      <c r="L879" t="str">
        <f t="shared" si="300"/>
        <v>-97.093</v>
      </c>
      <c r="M879">
        <v>524</v>
      </c>
      <c r="N879" s="1">
        <v>44431</v>
      </c>
      <c r="O879" s="1">
        <v>46099</v>
      </c>
      <c r="P879" s="2">
        <f t="shared" si="301"/>
        <v>4.5667351129363452</v>
      </c>
      <c r="Q879" s="2" t="str">
        <f t="shared" si="302"/>
        <v>Mid</v>
      </c>
      <c r="R879">
        <f t="shared" si="303"/>
        <v>2000</v>
      </c>
      <c r="S879" t="str">
        <f t="shared" si="304"/>
        <v>Small</v>
      </c>
      <c r="T879" t="str">
        <f t="shared" si="305"/>
        <v>Lower EV Adoption Corridor</v>
      </c>
      <c r="U879" s="3">
        <f t="shared" si="306"/>
        <v>3600000</v>
      </c>
      <c r="V879" s="4">
        <f t="shared" si="307"/>
        <v>880000.00000000012</v>
      </c>
      <c r="W879" s="3">
        <f t="shared" si="308"/>
        <v>12000000</v>
      </c>
      <c r="X879" s="3">
        <f t="shared" si="309"/>
        <v>6600000.0000000009</v>
      </c>
      <c r="Y879">
        <f t="shared" si="310"/>
        <v>0.31515151515151513</v>
      </c>
      <c r="Z879">
        <f t="shared" si="311"/>
        <v>0.75555555555555554</v>
      </c>
      <c r="AA879" t="str">
        <f t="shared" si="312"/>
        <v>Tier 2 - Growth Markets</v>
      </c>
      <c r="AB879" s="3">
        <f t="shared" si="313"/>
        <v>110000.00000000001</v>
      </c>
      <c r="AC879" s="3">
        <f t="shared" si="314"/>
        <v>1500000</v>
      </c>
      <c r="AD879" s="3">
        <f t="shared" si="315"/>
        <v>450000</v>
      </c>
      <c r="AE879" s="5">
        <f t="shared" si="316"/>
        <v>4.4117647058823533</v>
      </c>
      <c r="AF879" s="10">
        <f t="shared" si="317"/>
        <v>545600.00000000012</v>
      </c>
      <c r="AG879" s="10">
        <f t="shared" si="318"/>
        <v>176000.00000000003</v>
      </c>
      <c r="AH879" s="10">
        <f t="shared" si="319"/>
        <v>88000.000000000015</v>
      </c>
      <c r="AI879" s="10">
        <f t="shared" si="320"/>
        <v>44000.000000000007</v>
      </c>
      <c r="AJ879" s="10">
        <f t="shared" si="321"/>
        <v>26400.000000000004</v>
      </c>
    </row>
    <row r="880" spans="1:36" x14ac:dyDescent="0.3">
      <c r="A880" t="s">
        <v>3443</v>
      </c>
      <c r="B880" t="s">
        <v>3444</v>
      </c>
      <c r="C880" t="s">
        <v>3445</v>
      </c>
      <c r="D880" t="s">
        <v>153</v>
      </c>
      <c r="E880">
        <v>19526</v>
      </c>
      <c r="F880" t="s">
        <v>15</v>
      </c>
      <c r="G880">
        <v>8</v>
      </c>
      <c r="H880">
        <v>250</v>
      </c>
      <c r="I880" t="str" cm="1">
        <f t="array" ref="I880">_xlfn.IFS(H880&lt;=120,"V1",H880&lt;=150,"V2",H880&lt;=250,"V3", H880&lt;=350, "V4")</f>
        <v>V3</v>
      </c>
      <c r="J880" t="s">
        <v>3446</v>
      </c>
      <c r="K880" t="str">
        <f t="shared" si="299"/>
        <v>40.564621</v>
      </c>
      <c r="L880" t="str">
        <f t="shared" si="300"/>
        <v>-76.007412</v>
      </c>
      <c r="M880">
        <v>153</v>
      </c>
      <c r="N880" s="1">
        <v>44576</v>
      </c>
      <c r="O880" s="1">
        <v>46099</v>
      </c>
      <c r="P880" s="2">
        <f t="shared" si="301"/>
        <v>4.16974674880219</v>
      </c>
      <c r="Q880" s="2" t="str">
        <f t="shared" si="302"/>
        <v>Mid</v>
      </c>
      <c r="R880">
        <f t="shared" si="303"/>
        <v>2000</v>
      </c>
      <c r="S880" t="str">
        <f t="shared" si="304"/>
        <v>Small</v>
      </c>
      <c r="T880" t="str">
        <f t="shared" si="305"/>
        <v>Lower EV Adoption Corridor</v>
      </c>
      <c r="U880" s="3">
        <f t="shared" si="306"/>
        <v>3600000</v>
      </c>
      <c r="V880" s="4">
        <f t="shared" si="307"/>
        <v>880000.00000000012</v>
      </c>
      <c r="W880" s="3">
        <f t="shared" si="308"/>
        <v>12000000</v>
      </c>
      <c r="X880" s="3">
        <f t="shared" si="309"/>
        <v>6600000.0000000009</v>
      </c>
      <c r="Y880">
        <f t="shared" si="310"/>
        <v>0.31515151515151513</v>
      </c>
      <c r="Z880">
        <f t="shared" si="311"/>
        <v>0.75555555555555554</v>
      </c>
      <c r="AA880" t="str">
        <f t="shared" si="312"/>
        <v>Tier 2 - Growth Markets</v>
      </c>
      <c r="AB880" s="3">
        <f t="shared" si="313"/>
        <v>110000.00000000001</v>
      </c>
      <c r="AC880" s="3">
        <f t="shared" si="314"/>
        <v>1500000</v>
      </c>
      <c r="AD880" s="3">
        <f t="shared" si="315"/>
        <v>450000</v>
      </c>
      <c r="AE880" s="5">
        <f t="shared" si="316"/>
        <v>4.4117647058823533</v>
      </c>
      <c r="AF880" s="10">
        <f t="shared" si="317"/>
        <v>545600.00000000012</v>
      </c>
      <c r="AG880" s="10">
        <f t="shared" si="318"/>
        <v>176000.00000000003</v>
      </c>
      <c r="AH880" s="10">
        <f t="shared" si="319"/>
        <v>88000.000000000015</v>
      </c>
      <c r="AI880" s="10">
        <f t="shared" si="320"/>
        <v>44000.000000000007</v>
      </c>
      <c r="AJ880" s="10">
        <f t="shared" si="321"/>
        <v>26400.000000000004</v>
      </c>
    </row>
    <row r="881" spans="1:36" x14ac:dyDescent="0.3">
      <c r="A881" t="s">
        <v>3447</v>
      </c>
      <c r="B881" t="s">
        <v>3448</v>
      </c>
      <c r="C881" t="s">
        <v>3449</v>
      </c>
      <c r="D881" t="s">
        <v>153</v>
      </c>
      <c r="E881">
        <v>18507</v>
      </c>
      <c r="F881" t="s">
        <v>15</v>
      </c>
      <c r="G881">
        <v>8</v>
      </c>
      <c r="H881">
        <v>150</v>
      </c>
      <c r="I881" t="str" cm="1">
        <f t="array" ref="I881">_xlfn.IFS(H881&lt;=120,"V1",H881&lt;=150,"V2",H881&lt;=250,"V3", H881&lt;=350, "V4")</f>
        <v>V2</v>
      </c>
      <c r="J881" t="s">
        <v>3450</v>
      </c>
      <c r="K881" t="str">
        <f t="shared" si="299"/>
        <v>41.361979</v>
      </c>
      <c r="L881" t="str">
        <f t="shared" si="300"/>
        <v>-75.676596</v>
      </c>
      <c r="M881">
        <v>320</v>
      </c>
      <c r="N881" s="1">
        <v>42740</v>
      </c>
      <c r="O881" s="1">
        <v>46099</v>
      </c>
      <c r="P881" s="2">
        <f t="shared" si="301"/>
        <v>9.1964407939767288</v>
      </c>
      <c r="Q881" s="2" t="str">
        <f t="shared" si="302"/>
        <v>Old</v>
      </c>
      <c r="R881">
        <f t="shared" si="303"/>
        <v>1200</v>
      </c>
      <c r="S881" t="str">
        <f t="shared" si="304"/>
        <v>Small</v>
      </c>
      <c r="T881" t="str">
        <f t="shared" si="305"/>
        <v>Lower EV Adoption Corridor</v>
      </c>
      <c r="U881" s="3">
        <f t="shared" si="306"/>
        <v>1980000.0000000002</v>
      </c>
      <c r="V881" s="4">
        <f t="shared" si="307"/>
        <v>480000</v>
      </c>
      <c r="W881" s="3">
        <f t="shared" si="308"/>
        <v>6000000</v>
      </c>
      <c r="X881" s="3">
        <f t="shared" si="309"/>
        <v>3600000</v>
      </c>
      <c r="Y881">
        <f t="shared" si="310"/>
        <v>0.3</v>
      </c>
      <c r="Z881">
        <f t="shared" si="311"/>
        <v>0.75757575757575757</v>
      </c>
      <c r="AA881" t="str">
        <f t="shared" si="312"/>
        <v>Tier 4 - Stable Network</v>
      </c>
      <c r="AB881" s="3">
        <f t="shared" si="313"/>
        <v>60000</v>
      </c>
      <c r="AC881" s="3">
        <f t="shared" si="314"/>
        <v>750000</v>
      </c>
      <c r="AD881" s="3">
        <f t="shared" si="315"/>
        <v>247500.00000000003</v>
      </c>
      <c r="AE881" s="5">
        <f t="shared" si="316"/>
        <v>3.9999999999999996</v>
      </c>
      <c r="AF881" s="10">
        <f t="shared" si="317"/>
        <v>297600</v>
      </c>
      <c r="AG881" s="10">
        <f t="shared" si="318"/>
        <v>96000</v>
      </c>
      <c r="AH881" s="10">
        <f t="shared" si="319"/>
        <v>48000</v>
      </c>
      <c r="AI881" s="10">
        <f t="shared" si="320"/>
        <v>24000</v>
      </c>
      <c r="AJ881" s="10">
        <f t="shared" si="321"/>
        <v>14400</v>
      </c>
    </row>
    <row r="882" spans="1:36" x14ac:dyDescent="0.3">
      <c r="A882" t="s">
        <v>3451</v>
      </c>
      <c r="B882" t="s">
        <v>3452</v>
      </c>
      <c r="C882" t="s">
        <v>1700</v>
      </c>
      <c r="D882" t="s">
        <v>41</v>
      </c>
      <c r="E882">
        <v>32819</v>
      </c>
      <c r="F882" t="s">
        <v>15</v>
      </c>
      <c r="G882">
        <v>8</v>
      </c>
      <c r="H882">
        <v>150</v>
      </c>
      <c r="I882" t="str" cm="1">
        <f t="array" ref="I882">_xlfn.IFS(H882&lt;=120,"V1",H882&lt;=150,"V2",H882&lt;=250,"V3", H882&lt;=350, "V4")</f>
        <v>V2</v>
      </c>
      <c r="J882" t="s">
        <v>3453</v>
      </c>
      <c r="K882" t="str">
        <f t="shared" si="299"/>
        <v>28.449767</v>
      </c>
      <c r="L882" t="str">
        <f t="shared" si="300"/>
        <v>-81.466734</v>
      </c>
      <c r="M882">
        <v>33</v>
      </c>
      <c r="N882" s="1">
        <v>43169</v>
      </c>
      <c r="O882" s="1">
        <v>46099</v>
      </c>
      <c r="P882" s="2">
        <f t="shared" si="301"/>
        <v>8.0219028062970565</v>
      </c>
      <c r="Q882" s="2" t="str">
        <f t="shared" si="302"/>
        <v>Old</v>
      </c>
      <c r="R882">
        <f t="shared" si="303"/>
        <v>1200</v>
      </c>
      <c r="S882" t="str">
        <f t="shared" si="304"/>
        <v>Small</v>
      </c>
      <c r="T882" t="str">
        <f t="shared" si="305"/>
        <v>High EV Adoption Corridor</v>
      </c>
      <c r="U882" s="3">
        <f t="shared" si="306"/>
        <v>2574000.0000000005</v>
      </c>
      <c r="V882" s="4">
        <f t="shared" si="307"/>
        <v>576000</v>
      </c>
      <c r="W882" s="3">
        <f t="shared" si="308"/>
        <v>6600000.0000000009</v>
      </c>
      <c r="X882" s="3">
        <f t="shared" si="309"/>
        <v>5400000</v>
      </c>
      <c r="Y882">
        <f t="shared" si="310"/>
        <v>0.22888888888888889</v>
      </c>
      <c r="Z882">
        <f t="shared" si="311"/>
        <v>0.77622377622377625</v>
      </c>
      <c r="AA882" t="str">
        <f t="shared" si="312"/>
        <v>Tier 3 - Upgrade Pipeline</v>
      </c>
      <c r="AB882" s="3">
        <f t="shared" si="313"/>
        <v>72000</v>
      </c>
      <c r="AC882" s="3">
        <f t="shared" si="314"/>
        <v>825000.00000000012</v>
      </c>
      <c r="AD882" s="3">
        <f t="shared" si="315"/>
        <v>321750.00000000006</v>
      </c>
      <c r="AE882" s="5">
        <f t="shared" si="316"/>
        <v>3.303303303303303</v>
      </c>
      <c r="AF882" s="10">
        <f t="shared" si="317"/>
        <v>357120</v>
      </c>
      <c r="AG882" s="10">
        <f t="shared" si="318"/>
        <v>115200</v>
      </c>
      <c r="AH882" s="10">
        <f t="shared" si="319"/>
        <v>57600</v>
      </c>
      <c r="AI882" s="10">
        <f t="shared" si="320"/>
        <v>28800</v>
      </c>
      <c r="AJ882" s="10">
        <f t="shared" si="321"/>
        <v>17280</v>
      </c>
    </row>
    <row r="883" spans="1:36" x14ac:dyDescent="0.3">
      <c r="A883" t="s">
        <v>3454</v>
      </c>
      <c r="B883" t="s">
        <v>3455</v>
      </c>
      <c r="C883" t="s">
        <v>3456</v>
      </c>
      <c r="D883" t="s">
        <v>1412</v>
      </c>
      <c r="E883">
        <v>19701</v>
      </c>
      <c r="F883" t="s">
        <v>15</v>
      </c>
      <c r="G883">
        <v>8</v>
      </c>
      <c r="H883">
        <v>250</v>
      </c>
      <c r="I883" t="str" cm="1">
        <f t="array" ref="I883">_xlfn.IFS(H883&lt;=120,"V1",H883&lt;=150,"V2",H883&lt;=250,"V3", H883&lt;=350, "V4")</f>
        <v>V3</v>
      </c>
      <c r="J883" t="s">
        <v>3457</v>
      </c>
      <c r="K883" t="str">
        <f t="shared" si="299"/>
        <v>39.632175</v>
      </c>
      <c r="L883" t="str">
        <f t="shared" si="300"/>
        <v>-75.660374</v>
      </c>
      <c r="M883">
        <v>22</v>
      </c>
      <c r="N883" s="1">
        <v>44888</v>
      </c>
      <c r="O883" s="1">
        <v>46099</v>
      </c>
      <c r="P883" s="2">
        <f t="shared" si="301"/>
        <v>3.3155373032169746</v>
      </c>
      <c r="Q883" s="2" t="str">
        <f t="shared" si="302"/>
        <v>Mid</v>
      </c>
      <c r="R883">
        <f t="shared" si="303"/>
        <v>2000</v>
      </c>
      <c r="S883" t="str">
        <f t="shared" si="304"/>
        <v>Small</v>
      </c>
      <c r="T883" t="str">
        <f t="shared" si="305"/>
        <v>Lower EV Adoption Corridor</v>
      </c>
      <c r="U883" s="3">
        <f t="shared" si="306"/>
        <v>3600000</v>
      </c>
      <c r="V883" s="4">
        <f t="shared" si="307"/>
        <v>880000.00000000012</v>
      </c>
      <c r="W883" s="3">
        <f t="shared" si="308"/>
        <v>12000000</v>
      </c>
      <c r="X883" s="3">
        <f t="shared" si="309"/>
        <v>6600000.0000000009</v>
      </c>
      <c r="Y883">
        <f t="shared" si="310"/>
        <v>0.31515151515151513</v>
      </c>
      <c r="Z883">
        <f t="shared" si="311"/>
        <v>0.75555555555555554</v>
      </c>
      <c r="AA883" t="str">
        <f t="shared" si="312"/>
        <v>Tier 2 - Growth Markets</v>
      </c>
      <c r="AB883" s="3">
        <f t="shared" si="313"/>
        <v>110000.00000000001</v>
      </c>
      <c r="AC883" s="3">
        <f t="shared" si="314"/>
        <v>1500000</v>
      </c>
      <c r="AD883" s="3">
        <f t="shared" si="315"/>
        <v>450000</v>
      </c>
      <c r="AE883" s="5">
        <f t="shared" si="316"/>
        <v>4.4117647058823533</v>
      </c>
      <c r="AF883" s="10">
        <f t="shared" si="317"/>
        <v>545600.00000000012</v>
      </c>
      <c r="AG883" s="10">
        <f t="shared" si="318"/>
        <v>176000.00000000003</v>
      </c>
      <c r="AH883" s="10">
        <f t="shared" si="319"/>
        <v>88000.000000000015</v>
      </c>
      <c r="AI883" s="10">
        <f t="shared" si="320"/>
        <v>44000.000000000007</v>
      </c>
      <c r="AJ883" s="10">
        <f t="shared" si="321"/>
        <v>26400.000000000004</v>
      </c>
    </row>
    <row r="884" spans="1:36" x14ac:dyDescent="0.3">
      <c r="A884" t="s">
        <v>3458</v>
      </c>
      <c r="B884" t="s">
        <v>3459</v>
      </c>
      <c r="C884" t="s">
        <v>3460</v>
      </c>
      <c r="D884" t="s">
        <v>268</v>
      </c>
      <c r="E884">
        <v>80603</v>
      </c>
      <c r="F884" t="s">
        <v>15</v>
      </c>
      <c r="G884">
        <v>8</v>
      </c>
      <c r="H884">
        <v>250</v>
      </c>
      <c r="I884" t="str" cm="1">
        <f t="array" ref="I884">_xlfn.IFS(H884&lt;=120,"V1",H884&lt;=150,"V2",H884&lt;=250,"V3", H884&lt;=350, "V4")</f>
        <v>V3</v>
      </c>
      <c r="J884" t="s">
        <v>3461</v>
      </c>
      <c r="K884" t="str">
        <f t="shared" si="299"/>
        <v>39.971722</v>
      </c>
      <c r="L884" t="str">
        <f t="shared" si="300"/>
        <v>-104.748972</v>
      </c>
      <c r="M884">
        <v>1550</v>
      </c>
      <c r="N884" s="1">
        <v>44112</v>
      </c>
      <c r="O884" s="1">
        <v>46099</v>
      </c>
      <c r="P884" s="2">
        <f t="shared" si="301"/>
        <v>5.4401095140314855</v>
      </c>
      <c r="Q884" s="2" t="str">
        <f t="shared" si="302"/>
        <v>Mid</v>
      </c>
      <c r="R884">
        <f t="shared" si="303"/>
        <v>2000</v>
      </c>
      <c r="S884" t="str">
        <f t="shared" si="304"/>
        <v>Small</v>
      </c>
      <c r="T884" t="str">
        <f t="shared" si="305"/>
        <v>High EV Adoption Corridor</v>
      </c>
      <c r="U884" s="3">
        <f t="shared" si="306"/>
        <v>4680000</v>
      </c>
      <c r="V884" s="4">
        <f t="shared" si="307"/>
        <v>1056000</v>
      </c>
      <c r="W884" s="3">
        <f t="shared" si="308"/>
        <v>13200000.000000002</v>
      </c>
      <c r="X884" s="3">
        <f t="shared" si="309"/>
        <v>9900000.0000000019</v>
      </c>
      <c r="Y884">
        <f t="shared" si="310"/>
        <v>0.23999999999999996</v>
      </c>
      <c r="Z884">
        <f t="shared" si="311"/>
        <v>0.77435897435897438</v>
      </c>
      <c r="AA884" t="str">
        <f t="shared" si="312"/>
        <v>Tier 1 - Priority Fleet</v>
      </c>
      <c r="AB884" s="3">
        <f t="shared" si="313"/>
        <v>132000</v>
      </c>
      <c r="AC884" s="3">
        <f t="shared" si="314"/>
        <v>1650000.0000000002</v>
      </c>
      <c r="AD884" s="3">
        <f t="shared" si="315"/>
        <v>585000</v>
      </c>
      <c r="AE884" s="5">
        <f t="shared" si="316"/>
        <v>3.6423841059602653</v>
      </c>
      <c r="AF884" s="10">
        <f t="shared" si="317"/>
        <v>654720</v>
      </c>
      <c r="AG884" s="10">
        <f t="shared" si="318"/>
        <v>211200</v>
      </c>
      <c r="AH884" s="10">
        <f t="shared" si="319"/>
        <v>105600</v>
      </c>
      <c r="AI884" s="10">
        <f t="shared" si="320"/>
        <v>52800</v>
      </c>
      <c r="AJ884" s="10">
        <f t="shared" si="321"/>
        <v>31680</v>
      </c>
    </row>
    <row r="885" spans="1:36" x14ac:dyDescent="0.3">
      <c r="A885" t="s">
        <v>3462</v>
      </c>
      <c r="B885" t="s">
        <v>3463</v>
      </c>
      <c r="C885" t="s">
        <v>3464</v>
      </c>
      <c r="D885" t="s">
        <v>41</v>
      </c>
      <c r="E885">
        <v>32780</v>
      </c>
      <c r="F885" t="s">
        <v>15</v>
      </c>
      <c r="G885">
        <v>16</v>
      </c>
      <c r="H885">
        <v>250</v>
      </c>
      <c r="I885" t="str" cm="1">
        <f t="array" ref="I885">_xlfn.IFS(H885&lt;=120,"V1",H885&lt;=150,"V2",H885&lt;=250,"V3", H885&lt;=350, "V4")</f>
        <v>V3</v>
      </c>
      <c r="J885" t="s">
        <v>3465</v>
      </c>
      <c r="K885" t="str">
        <f t="shared" si="299"/>
        <v>28.552782</v>
      </c>
      <c r="L885" t="str">
        <f t="shared" si="300"/>
        <v>-80.840594</v>
      </c>
      <c r="M885">
        <v>6</v>
      </c>
      <c r="N885" s="1">
        <v>44122</v>
      </c>
      <c r="O885" s="1">
        <v>46099</v>
      </c>
      <c r="P885" s="2">
        <f t="shared" si="301"/>
        <v>5.4127310061601639</v>
      </c>
      <c r="Q885" s="2" t="str">
        <f t="shared" si="302"/>
        <v>Mid</v>
      </c>
      <c r="R885">
        <f t="shared" si="303"/>
        <v>4000</v>
      </c>
      <c r="S885" t="str">
        <f t="shared" si="304"/>
        <v>Small</v>
      </c>
      <c r="T885" t="str">
        <f t="shared" si="305"/>
        <v>High EV Adoption Corridor</v>
      </c>
      <c r="U885" s="3">
        <f t="shared" si="306"/>
        <v>9360000</v>
      </c>
      <c r="V885" s="4">
        <f t="shared" si="307"/>
        <v>2112000</v>
      </c>
      <c r="W885" s="3">
        <f t="shared" si="308"/>
        <v>26400000.000000004</v>
      </c>
      <c r="X885" s="3">
        <f t="shared" si="309"/>
        <v>19800000.000000004</v>
      </c>
      <c r="Y885">
        <f t="shared" si="310"/>
        <v>0.23999999999999996</v>
      </c>
      <c r="Z885">
        <f t="shared" si="311"/>
        <v>0.77435897435897438</v>
      </c>
      <c r="AA885" t="str">
        <f t="shared" si="312"/>
        <v>Tier 1 - Priority Fleet</v>
      </c>
      <c r="AB885" s="3">
        <f t="shared" si="313"/>
        <v>132000</v>
      </c>
      <c r="AC885" s="3">
        <f t="shared" si="314"/>
        <v>1650000.0000000002</v>
      </c>
      <c r="AD885" s="3">
        <f t="shared" si="315"/>
        <v>585000</v>
      </c>
      <c r="AE885" s="5">
        <f t="shared" si="316"/>
        <v>3.6423841059602653</v>
      </c>
      <c r="AF885" s="10">
        <f t="shared" si="317"/>
        <v>1309440</v>
      </c>
      <c r="AG885" s="10">
        <f t="shared" si="318"/>
        <v>422400</v>
      </c>
      <c r="AH885" s="10">
        <f t="shared" si="319"/>
        <v>211200</v>
      </c>
      <c r="AI885" s="10">
        <f t="shared" si="320"/>
        <v>105600</v>
      </c>
      <c r="AJ885" s="10">
        <f t="shared" si="321"/>
        <v>63360</v>
      </c>
    </row>
    <row r="886" spans="1:36" x14ac:dyDescent="0.3">
      <c r="A886" t="s">
        <v>3466</v>
      </c>
      <c r="B886" t="s">
        <v>3467</v>
      </c>
      <c r="C886" t="s">
        <v>3468</v>
      </c>
      <c r="D886" t="s">
        <v>14</v>
      </c>
      <c r="E886">
        <v>93612</v>
      </c>
      <c r="F886" t="s">
        <v>15</v>
      </c>
      <c r="G886">
        <v>12</v>
      </c>
      <c r="H886">
        <v>250</v>
      </c>
      <c r="I886" t="str" cm="1">
        <f t="array" ref="I886">_xlfn.IFS(H886&lt;=120,"V1",H886&lt;=150,"V2",H886&lt;=250,"V3", H886&lt;=350, "V4")</f>
        <v>V3</v>
      </c>
      <c r="J886" t="s">
        <v>3469</v>
      </c>
      <c r="K886" t="str">
        <f t="shared" si="299"/>
        <v>36.836939</v>
      </c>
      <c r="L886" t="str">
        <f t="shared" si="300"/>
        <v>-119.6982</v>
      </c>
      <c r="M886">
        <v>112</v>
      </c>
      <c r="N886" s="1">
        <v>44274</v>
      </c>
      <c r="O886" s="1">
        <v>46099</v>
      </c>
      <c r="P886" s="2">
        <f t="shared" si="301"/>
        <v>4.9965776865160851</v>
      </c>
      <c r="Q886" s="2" t="str">
        <f t="shared" si="302"/>
        <v>Mid</v>
      </c>
      <c r="R886">
        <f t="shared" si="303"/>
        <v>3000</v>
      </c>
      <c r="S886" t="str">
        <f t="shared" si="304"/>
        <v>Small</v>
      </c>
      <c r="T886" t="str">
        <f t="shared" si="305"/>
        <v>High EV Adoption Corridor</v>
      </c>
      <c r="U886" s="3">
        <f t="shared" si="306"/>
        <v>7020000</v>
      </c>
      <c r="V886" s="4">
        <f t="shared" si="307"/>
        <v>1584000</v>
      </c>
      <c r="W886" s="3">
        <f t="shared" si="308"/>
        <v>19800000</v>
      </c>
      <c r="X886" s="3">
        <f t="shared" si="309"/>
        <v>14850000</v>
      </c>
      <c r="Y886">
        <f t="shared" si="310"/>
        <v>0.24</v>
      </c>
      <c r="Z886">
        <f t="shared" si="311"/>
        <v>0.77435897435897438</v>
      </c>
      <c r="AA886" t="str">
        <f t="shared" si="312"/>
        <v>Tier 1 - Priority Fleet</v>
      </c>
      <c r="AB886" s="3">
        <f t="shared" si="313"/>
        <v>132000</v>
      </c>
      <c r="AC886" s="3">
        <f t="shared" si="314"/>
        <v>1650000</v>
      </c>
      <c r="AD886" s="3">
        <f t="shared" si="315"/>
        <v>585000</v>
      </c>
      <c r="AE886" s="5">
        <f t="shared" si="316"/>
        <v>3.6423841059602649</v>
      </c>
      <c r="AF886" s="10">
        <f t="shared" si="317"/>
        <v>982080</v>
      </c>
      <c r="AG886" s="10">
        <f t="shared" si="318"/>
        <v>316800</v>
      </c>
      <c r="AH886" s="10">
        <f t="shared" si="319"/>
        <v>158400</v>
      </c>
      <c r="AI886" s="10">
        <f t="shared" si="320"/>
        <v>79200</v>
      </c>
      <c r="AJ886" s="10">
        <f t="shared" si="321"/>
        <v>47520</v>
      </c>
    </row>
    <row r="887" spans="1:36" x14ac:dyDescent="0.3">
      <c r="A887" t="s">
        <v>3470</v>
      </c>
      <c r="B887" t="s">
        <v>3471</v>
      </c>
      <c r="C887" t="s">
        <v>3472</v>
      </c>
      <c r="D887" t="s">
        <v>41</v>
      </c>
      <c r="E887">
        <v>32097</v>
      </c>
      <c r="F887" t="s">
        <v>15</v>
      </c>
      <c r="G887">
        <v>8</v>
      </c>
      <c r="H887">
        <v>250</v>
      </c>
      <c r="I887" t="str" cm="1">
        <f t="array" ref="I887">_xlfn.IFS(H887&lt;=120,"V1",H887&lt;=150,"V2",H887&lt;=250,"V3", H887&lt;=350, "V4")</f>
        <v>V3</v>
      </c>
      <c r="J887" t="s">
        <v>3473</v>
      </c>
      <c r="K887" t="str">
        <f t="shared" si="299"/>
        <v>30.623736</v>
      </c>
      <c r="L887" t="str">
        <f t="shared" si="300"/>
        <v>-81.638238</v>
      </c>
      <c r="M887">
        <v>6</v>
      </c>
      <c r="N887" s="1">
        <v>44288</v>
      </c>
      <c r="O887" s="1">
        <v>46099</v>
      </c>
      <c r="P887" s="2">
        <f t="shared" si="301"/>
        <v>4.9582477754962353</v>
      </c>
      <c r="Q887" s="2" t="str">
        <f t="shared" si="302"/>
        <v>Mid</v>
      </c>
      <c r="R887">
        <f t="shared" si="303"/>
        <v>2000</v>
      </c>
      <c r="S887" t="str">
        <f t="shared" si="304"/>
        <v>Small</v>
      </c>
      <c r="T887" t="str">
        <f t="shared" si="305"/>
        <v>High EV Adoption Corridor</v>
      </c>
      <c r="U887" s="3">
        <f t="shared" si="306"/>
        <v>4680000</v>
      </c>
      <c r="V887" s="4">
        <f t="shared" si="307"/>
        <v>1056000</v>
      </c>
      <c r="W887" s="3">
        <f t="shared" si="308"/>
        <v>13200000.000000002</v>
      </c>
      <c r="X887" s="3">
        <f t="shared" si="309"/>
        <v>9900000.0000000019</v>
      </c>
      <c r="Y887">
        <f t="shared" si="310"/>
        <v>0.23999999999999996</v>
      </c>
      <c r="Z887">
        <f t="shared" si="311"/>
        <v>0.77435897435897438</v>
      </c>
      <c r="AA887" t="str">
        <f t="shared" si="312"/>
        <v>Tier 1 - Priority Fleet</v>
      </c>
      <c r="AB887" s="3">
        <f t="shared" si="313"/>
        <v>132000</v>
      </c>
      <c r="AC887" s="3">
        <f t="shared" si="314"/>
        <v>1650000.0000000002</v>
      </c>
      <c r="AD887" s="3">
        <f t="shared" si="315"/>
        <v>585000</v>
      </c>
      <c r="AE887" s="5">
        <f t="shared" si="316"/>
        <v>3.6423841059602653</v>
      </c>
      <c r="AF887" s="10">
        <f t="shared" si="317"/>
        <v>654720</v>
      </c>
      <c r="AG887" s="10">
        <f t="shared" si="318"/>
        <v>211200</v>
      </c>
      <c r="AH887" s="10">
        <f t="shared" si="319"/>
        <v>105600</v>
      </c>
      <c r="AI887" s="10">
        <f t="shared" si="320"/>
        <v>52800</v>
      </c>
      <c r="AJ887" s="10">
        <f t="shared" si="321"/>
        <v>31680</v>
      </c>
    </row>
    <row r="888" spans="1:36" x14ac:dyDescent="0.3">
      <c r="A888" t="s">
        <v>3474</v>
      </c>
      <c r="B888" t="s">
        <v>3475</v>
      </c>
      <c r="C888" t="s">
        <v>216</v>
      </c>
      <c r="D888" t="s">
        <v>189</v>
      </c>
      <c r="E888">
        <v>53719</v>
      </c>
      <c r="F888" t="s">
        <v>15</v>
      </c>
      <c r="G888">
        <v>8</v>
      </c>
      <c r="H888">
        <v>250</v>
      </c>
      <c r="I888" t="str" cm="1">
        <f t="array" ref="I888">_xlfn.IFS(H888&lt;=120,"V1",H888&lt;=150,"V2",H888&lt;=250,"V3", H888&lt;=350, "V4")</f>
        <v>V3</v>
      </c>
      <c r="J888" t="s">
        <v>3476</v>
      </c>
      <c r="K888" t="str">
        <f t="shared" si="299"/>
        <v>43.050266</v>
      </c>
      <c r="L888" t="str">
        <f t="shared" si="300"/>
        <v>-89.472382</v>
      </c>
      <c r="M888">
        <v>307</v>
      </c>
      <c r="N888" s="1">
        <v>44461</v>
      </c>
      <c r="O888" s="1">
        <v>46099</v>
      </c>
      <c r="P888" s="2">
        <f t="shared" si="301"/>
        <v>4.4845995893223822</v>
      </c>
      <c r="Q888" s="2" t="str">
        <f t="shared" si="302"/>
        <v>Mid</v>
      </c>
      <c r="R888">
        <f t="shared" si="303"/>
        <v>2000</v>
      </c>
      <c r="S888" t="str">
        <f t="shared" si="304"/>
        <v>Small</v>
      </c>
      <c r="T888" t="str">
        <f t="shared" si="305"/>
        <v>Lower EV Adoption Corridor</v>
      </c>
      <c r="U888" s="3">
        <f t="shared" si="306"/>
        <v>3600000</v>
      </c>
      <c r="V888" s="4">
        <f t="shared" si="307"/>
        <v>880000.00000000012</v>
      </c>
      <c r="W888" s="3">
        <f t="shared" si="308"/>
        <v>12000000</v>
      </c>
      <c r="X888" s="3">
        <f t="shared" si="309"/>
        <v>6600000.0000000009</v>
      </c>
      <c r="Y888">
        <f t="shared" si="310"/>
        <v>0.31515151515151513</v>
      </c>
      <c r="Z888">
        <f t="shared" si="311"/>
        <v>0.75555555555555554</v>
      </c>
      <c r="AA888" t="str">
        <f t="shared" si="312"/>
        <v>Tier 2 - Growth Markets</v>
      </c>
      <c r="AB888" s="3">
        <f t="shared" si="313"/>
        <v>110000.00000000001</v>
      </c>
      <c r="AC888" s="3">
        <f t="shared" si="314"/>
        <v>1500000</v>
      </c>
      <c r="AD888" s="3">
        <f t="shared" si="315"/>
        <v>450000</v>
      </c>
      <c r="AE888" s="5">
        <f t="shared" si="316"/>
        <v>4.4117647058823533</v>
      </c>
      <c r="AF888" s="10">
        <f t="shared" si="317"/>
        <v>545600.00000000012</v>
      </c>
      <c r="AG888" s="10">
        <f t="shared" si="318"/>
        <v>176000.00000000003</v>
      </c>
      <c r="AH888" s="10">
        <f t="shared" si="319"/>
        <v>88000.000000000015</v>
      </c>
      <c r="AI888" s="10">
        <f t="shared" si="320"/>
        <v>44000.000000000007</v>
      </c>
      <c r="AJ888" s="10">
        <f t="shared" si="321"/>
        <v>26400.000000000004</v>
      </c>
    </row>
    <row r="889" spans="1:36" x14ac:dyDescent="0.3">
      <c r="A889" t="s">
        <v>3477</v>
      </c>
      <c r="B889" t="s">
        <v>3478</v>
      </c>
      <c r="C889" t="s">
        <v>3479</v>
      </c>
      <c r="D889" t="s">
        <v>321</v>
      </c>
      <c r="E889">
        <v>2072</v>
      </c>
      <c r="F889" t="s">
        <v>15</v>
      </c>
      <c r="G889">
        <v>12</v>
      </c>
      <c r="H889">
        <v>250</v>
      </c>
      <c r="I889" t="str" cm="1">
        <f t="array" ref="I889">_xlfn.IFS(H889&lt;=120,"V1",H889&lt;=150,"V2",H889&lt;=250,"V3", H889&lt;=350, "V4")</f>
        <v>V3</v>
      </c>
      <c r="J889" t="s">
        <v>3480</v>
      </c>
      <c r="K889" t="str">
        <f t="shared" si="299"/>
        <v>42.152917</v>
      </c>
      <c r="L889" t="str">
        <f t="shared" si="300"/>
        <v>-71.073528</v>
      </c>
      <c r="M889">
        <v>71</v>
      </c>
      <c r="N889" s="1">
        <v>44469</v>
      </c>
      <c r="O889" s="1">
        <v>46099</v>
      </c>
      <c r="P889" s="2">
        <f t="shared" si="301"/>
        <v>4.4626967830253248</v>
      </c>
      <c r="Q889" s="2" t="str">
        <f t="shared" si="302"/>
        <v>Mid</v>
      </c>
      <c r="R889">
        <f t="shared" si="303"/>
        <v>3000</v>
      </c>
      <c r="S889" t="str">
        <f t="shared" si="304"/>
        <v>Small</v>
      </c>
      <c r="T889" t="str">
        <f t="shared" si="305"/>
        <v>Lower EV Adoption Corridor</v>
      </c>
      <c r="U889" s="3">
        <f t="shared" si="306"/>
        <v>5400000</v>
      </c>
      <c r="V889" s="4">
        <f t="shared" si="307"/>
        <v>1320000</v>
      </c>
      <c r="W889" s="3">
        <f t="shared" si="308"/>
        <v>18000000</v>
      </c>
      <c r="X889" s="3">
        <f t="shared" si="309"/>
        <v>9900000</v>
      </c>
      <c r="Y889">
        <f t="shared" si="310"/>
        <v>0.31515151515151513</v>
      </c>
      <c r="Z889">
        <f t="shared" si="311"/>
        <v>0.75555555555555554</v>
      </c>
      <c r="AA889" t="str">
        <f t="shared" si="312"/>
        <v>Tier 2 - Growth Markets</v>
      </c>
      <c r="AB889" s="3">
        <f t="shared" si="313"/>
        <v>110000</v>
      </c>
      <c r="AC889" s="3">
        <f t="shared" si="314"/>
        <v>1500000</v>
      </c>
      <c r="AD889" s="3">
        <f t="shared" si="315"/>
        <v>450000</v>
      </c>
      <c r="AE889" s="5">
        <f t="shared" si="316"/>
        <v>4.4117647058823533</v>
      </c>
      <c r="AF889" s="10">
        <f t="shared" si="317"/>
        <v>818400</v>
      </c>
      <c r="AG889" s="10">
        <f t="shared" si="318"/>
        <v>264000</v>
      </c>
      <c r="AH889" s="10">
        <f t="shared" si="319"/>
        <v>132000</v>
      </c>
      <c r="AI889" s="10">
        <f t="shared" si="320"/>
        <v>66000</v>
      </c>
      <c r="AJ889" s="10">
        <f t="shared" si="321"/>
        <v>39600</v>
      </c>
    </row>
    <row r="890" spans="1:36" x14ac:dyDescent="0.3">
      <c r="A890" t="s">
        <v>3481</v>
      </c>
      <c r="B890" t="s">
        <v>3482</v>
      </c>
      <c r="C890" t="s">
        <v>757</v>
      </c>
      <c r="D890" t="s">
        <v>546</v>
      </c>
      <c r="E890">
        <v>40229</v>
      </c>
      <c r="F890" t="s">
        <v>15</v>
      </c>
      <c r="G890">
        <v>12</v>
      </c>
      <c r="H890">
        <v>250</v>
      </c>
      <c r="I890" t="str" cm="1">
        <f t="array" ref="I890">_xlfn.IFS(H890&lt;=120,"V1",H890&lt;=150,"V2",H890&lt;=250,"V3", H890&lt;=350, "V4")</f>
        <v>V3</v>
      </c>
      <c r="J890" t="s">
        <v>3483</v>
      </c>
      <c r="K890" t="str">
        <f t="shared" si="299"/>
        <v>38.111814</v>
      </c>
      <c r="L890" t="str">
        <f t="shared" si="300"/>
        <v>-85.677355</v>
      </c>
      <c r="M890">
        <v>158</v>
      </c>
      <c r="N890" s="1">
        <v>44469</v>
      </c>
      <c r="O890" s="1">
        <v>46099</v>
      </c>
      <c r="P890" s="2">
        <f t="shared" si="301"/>
        <v>4.4626967830253248</v>
      </c>
      <c r="Q890" s="2" t="str">
        <f t="shared" si="302"/>
        <v>Mid</v>
      </c>
      <c r="R890">
        <f t="shared" si="303"/>
        <v>3000</v>
      </c>
      <c r="S890" t="str">
        <f t="shared" si="304"/>
        <v>Small</v>
      </c>
      <c r="T890" t="str">
        <f t="shared" si="305"/>
        <v>Lower EV Adoption Corridor</v>
      </c>
      <c r="U890" s="3">
        <f t="shared" si="306"/>
        <v>5400000</v>
      </c>
      <c r="V890" s="4">
        <f t="shared" si="307"/>
        <v>1320000</v>
      </c>
      <c r="W890" s="3">
        <f t="shared" si="308"/>
        <v>18000000</v>
      </c>
      <c r="X890" s="3">
        <f t="shared" si="309"/>
        <v>9900000</v>
      </c>
      <c r="Y890">
        <f t="shared" si="310"/>
        <v>0.31515151515151513</v>
      </c>
      <c r="Z890">
        <f t="shared" si="311"/>
        <v>0.75555555555555554</v>
      </c>
      <c r="AA890" t="str">
        <f t="shared" si="312"/>
        <v>Tier 2 - Growth Markets</v>
      </c>
      <c r="AB890" s="3">
        <f t="shared" si="313"/>
        <v>110000</v>
      </c>
      <c r="AC890" s="3">
        <f t="shared" si="314"/>
        <v>1500000</v>
      </c>
      <c r="AD890" s="3">
        <f t="shared" si="315"/>
        <v>450000</v>
      </c>
      <c r="AE890" s="5">
        <f t="shared" si="316"/>
        <v>4.4117647058823533</v>
      </c>
      <c r="AF890" s="10">
        <f t="shared" si="317"/>
        <v>818400</v>
      </c>
      <c r="AG890" s="10">
        <f t="shared" si="318"/>
        <v>264000</v>
      </c>
      <c r="AH890" s="10">
        <f t="shared" si="319"/>
        <v>132000</v>
      </c>
      <c r="AI890" s="10">
        <f t="shared" si="320"/>
        <v>66000</v>
      </c>
      <c r="AJ890" s="10">
        <f t="shared" si="321"/>
        <v>39600</v>
      </c>
    </row>
    <row r="891" spans="1:36" x14ac:dyDescent="0.3">
      <c r="A891" t="s">
        <v>3484</v>
      </c>
      <c r="B891" t="s">
        <v>3485</v>
      </c>
      <c r="C891" t="s">
        <v>45</v>
      </c>
      <c r="D891" t="s">
        <v>41</v>
      </c>
      <c r="E891">
        <v>34984</v>
      </c>
      <c r="F891" t="s">
        <v>15</v>
      </c>
      <c r="G891">
        <v>16</v>
      </c>
      <c r="H891">
        <v>250</v>
      </c>
      <c r="I891" t="str" cm="1">
        <f t="array" ref="I891">_xlfn.IFS(H891&lt;=120,"V1",H891&lt;=150,"V2",H891&lt;=250,"V3", H891&lt;=350, "V4")</f>
        <v>V3</v>
      </c>
      <c r="J891" t="s">
        <v>3486</v>
      </c>
      <c r="K891" t="str">
        <f t="shared" si="299"/>
        <v>27.300086</v>
      </c>
      <c r="L891" t="str">
        <f t="shared" si="300"/>
        <v>-80.372074</v>
      </c>
      <c r="M891">
        <v>7</v>
      </c>
      <c r="N891" s="1">
        <v>44447</v>
      </c>
      <c r="O891" s="1">
        <v>46099</v>
      </c>
      <c r="P891" s="2">
        <f t="shared" si="301"/>
        <v>4.5229295003422312</v>
      </c>
      <c r="Q891" s="2" t="str">
        <f t="shared" si="302"/>
        <v>Mid</v>
      </c>
      <c r="R891">
        <f t="shared" si="303"/>
        <v>4000</v>
      </c>
      <c r="S891" t="str">
        <f t="shared" si="304"/>
        <v>Small</v>
      </c>
      <c r="T891" t="str">
        <f t="shared" si="305"/>
        <v>High EV Adoption Corridor</v>
      </c>
      <c r="U891" s="3">
        <f t="shared" si="306"/>
        <v>9360000</v>
      </c>
      <c r="V891" s="4">
        <f t="shared" si="307"/>
        <v>2112000</v>
      </c>
      <c r="W891" s="3">
        <f t="shared" si="308"/>
        <v>26400000.000000004</v>
      </c>
      <c r="X891" s="3">
        <f t="shared" si="309"/>
        <v>19800000.000000004</v>
      </c>
      <c r="Y891">
        <f t="shared" si="310"/>
        <v>0.23999999999999996</v>
      </c>
      <c r="Z891">
        <f t="shared" si="311"/>
        <v>0.77435897435897438</v>
      </c>
      <c r="AA891" t="str">
        <f t="shared" si="312"/>
        <v>Tier 1 - Priority Fleet</v>
      </c>
      <c r="AB891" s="3">
        <f t="shared" si="313"/>
        <v>132000</v>
      </c>
      <c r="AC891" s="3">
        <f t="shared" si="314"/>
        <v>1650000.0000000002</v>
      </c>
      <c r="AD891" s="3">
        <f t="shared" si="315"/>
        <v>585000</v>
      </c>
      <c r="AE891" s="5">
        <f t="shared" si="316"/>
        <v>3.6423841059602653</v>
      </c>
      <c r="AF891" s="10">
        <f t="shared" si="317"/>
        <v>1309440</v>
      </c>
      <c r="AG891" s="10">
        <f t="shared" si="318"/>
        <v>422400</v>
      </c>
      <c r="AH891" s="10">
        <f t="shared" si="319"/>
        <v>211200</v>
      </c>
      <c r="AI891" s="10">
        <f t="shared" si="320"/>
        <v>105600</v>
      </c>
      <c r="AJ891" s="10">
        <f t="shared" si="321"/>
        <v>63360</v>
      </c>
    </row>
    <row r="892" spans="1:36" x14ac:dyDescent="0.3">
      <c r="A892" t="s">
        <v>3487</v>
      </c>
      <c r="B892" t="s">
        <v>3488</v>
      </c>
      <c r="C892" t="s">
        <v>3489</v>
      </c>
      <c r="D892" t="s">
        <v>153</v>
      </c>
      <c r="E892">
        <v>19342</v>
      </c>
      <c r="F892" t="s">
        <v>15</v>
      </c>
      <c r="G892">
        <v>8</v>
      </c>
      <c r="H892">
        <v>250</v>
      </c>
      <c r="I892" t="str" cm="1">
        <f t="array" ref="I892">_xlfn.IFS(H892&lt;=120,"V1",H892&lt;=150,"V2",H892&lt;=250,"V3", H892&lt;=350, "V4")</f>
        <v>V3</v>
      </c>
      <c r="J892" t="s">
        <v>3490</v>
      </c>
      <c r="K892" t="str">
        <f t="shared" si="299"/>
        <v>39.883186</v>
      </c>
      <c r="L892" t="str">
        <f t="shared" si="300"/>
        <v>-75.534198</v>
      </c>
      <c r="M892">
        <v>130</v>
      </c>
      <c r="N892" s="1">
        <v>44179</v>
      </c>
      <c r="O892" s="1">
        <v>46099</v>
      </c>
      <c r="P892" s="2">
        <f t="shared" si="301"/>
        <v>5.2566735112936342</v>
      </c>
      <c r="Q892" s="2" t="str">
        <f t="shared" si="302"/>
        <v>Mid</v>
      </c>
      <c r="R892">
        <f t="shared" si="303"/>
        <v>2000</v>
      </c>
      <c r="S892" t="str">
        <f t="shared" si="304"/>
        <v>Small</v>
      </c>
      <c r="T892" t="str">
        <f t="shared" si="305"/>
        <v>Lower EV Adoption Corridor</v>
      </c>
      <c r="U892" s="3">
        <f t="shared" si="306"/>
        <v>3600000</v>
      </c>
      <c r="V892" s="4">
        <f t="shared" si="307"/>
        <v>880000.00000000012</v>
      </c>
      <c r="W892" s="3">
        <f t="shared" si="308"/>
        <v>12000000</v>
      </c>
      <c r="X892" s="3">
        <f t="shared" si="309"/>
        <v>6600000.0000000009</v>
      </c>
      <c r="Y892">
        <f t="shared" si="310"/>
        <v>0.31515151515151513</v>
      </c>
      <c r="Z892">
        <f t="shared" si="311"/>
        <v>0.75555555555555554</v>
      </c>
      <c r="AA892" t="str">
        <f t="shared" si="312"/>
        <v>Tier 2 - Growth Markets</v>
      </c>
      <c r="AB892" s="3">
        <f t="shared" si="313"/>
        <v>110000.00000000001</v>
      </c>
      <c r="AC892" s="3">
        <f t="shared" si="314"/>
        <v>1500000</v>
      </c>
      <c r="AD892" s="3">
        <f t="shared" si="315"/>
        <v>450000</v>
      </c>
      <c r="AE892" s="5">
        <f t="shared" si="316"/>
        <v>4.4117647058823533</v>
      </c>
      <c r="AF892" s="10">
        <f t="shared" si="317"/>
        <v>545600.00000000012</v>
      </c>
      <c r="AG892" s="10">
        <f t="shared" si="318"/>
        <v>176000.00000000003</v>
      </c>
      <c r="AH892" s="10">
        <f t="shared" si="319"/>
        <v>88000.000000000015</v>
      </c>
      <c r="AI892" s="10">
        <f t="shared" si="320"/>
        <v>44000.000000000007</v>
      </c>
      <c r="AJ892" s="10">
        <f t="shared" si="321"/>
        <v>26400.000000000004</v>
      </c>
    </row>
    <row r="893" spans="1:36" x14ac:dyDescent="0.3">
      <c r="A893" t="s">
        <v>3491</v>
      </c>
      <c r="B893" t="s">
        <v>620</v>
      </c>
      <c r="C893" t="s">
        <v>621</v>
      </c>
      <c r="D893" t="s">
        <v>77</v>
      </c>
      <c r="E893">
        <v>28805</v>
      </c>
      <c r="F893" t="s">
        <v>15</v>
      </c>
      <c r="G893">
        <v>8</v>
      </c>
      <c r="H893">
        <v>250</v>
      </c>
      <c r="I893" t="str" cm="1">
        <f t="array" ref="I893">_xlfn.IFS(H893&lt;=120,"V1",H893&lt;=150,"V2",H893&lt;=250,"V3", H893&lt;=350, "V4")</f>
        <v>V3</v>
      </c>
      <c r="J893" t="s">
        <v>3492</v>
      </c>
      <c r="K893" t="str">
        <f t="shared" si="299"/>
        <v>35.584234</v>
      </c>
      <c r="L893" t="str">
        <f t="shared" si="300"/>
        <v>-82.523932</v>
      </c>
      <c r="M893">
        <v>636</v>
      </c>
      <c r="N893" s="1">
        <v>44328</v>
      </c>
      <c r="O893" s="1">
        <v>46099</v>
      </c>
      <c r="P893" s="2">
        <f t="shared" si="301"/>
        <v>4.8487337440109517</v>
      </c>
      <c r="Q893" s="2" t="str">
        <f t="shared" si="302"/>
        <v>Mid</v>
      </c>
      <c r="R893">
        <f t="shared" si="303"/>
        <v>2000</v>
      </c>
      <c r="S893" t="str">
        <f t="shared" si="304"/>
        <v>Small</v>
      </c>
      <c r="T893" t="str">
        <f t="shared" si="305"/>
        <v>Lower EV Adoption Corridor</v>
      </c>
      <c r="U893" s="3">
        <f t="shared" si="306"/>
        <v>3600000</v>
      </c>
      <c r="V893" s="4">
        <f t="shared" si="307"/>
        <v>880000.00000000012</v>
      </c>
      <c r="W893" s="3">
        <f t="shared" si="308"/>
        <v>12000000</v>
      </c>
      <c r="X893" s="3">
        <f t="shared" si="309"/>
        <v>6600000.0000000009</v>
      </c>
      <c r="Y893">
        <f t="shared" si="310"/>
        <v>0.31515151515151513</v>
      </c>
      <c r="Z893">
        <f t="shared" si="311"/>
        <v>0.75555555555555554</v>
      </c>
      <c r="AA893" t="str">
        <f t="shared" si="312"/>
        <v>Tier 2 - Growth Markets</v>
      </c>
      <c r="AB893" s="3">
        <f t="shared" si="313"/>
        <v>110000.00000000001</v>
      </c>
      <c r="AC893" s="3">
        <f t="shared" si="314"/>
        <v>1500000</v>
      </c>
      <c r="AD893" s="3">
        <f t="shared" si="315"/>
        <v>450000</v>
      </c>
      <c r="AE893" s="5">
        <f t="shared" si="316"/>
        <v>4.4117647058823533</v>
      </c>
      <c r="AF893" s="10">
        <f t="shared" si="317"/>
        <v>545600.00000000012</v>
      </c>
      <c r="AG893" s="10">
        <f t="shared" si="318"/>
        <v>176000.00000000003</v>
      </c>
      <c r="AH893" s="10">
        <f t="shared" si="319"/>
        <v>88000.000000000015</v>
      </c>
      <c r="AI893" s="10">
        <f t="shared" si="320"/>
        <v>44000.000000000007</v>
      </c>
      <c r="AJ893" s="10">
        <f t="shared" si="321"/>
        <v>26400.000000000004</v>
      </c>
    </row>
    <row r="894" spans="1:36" x14ac:dyDescent="0.3">
      <c r="A894" t="s">
        <v>3493</v>
      </c>
      <c r="B894" t="s">
        <v>3494</v>
      </c>
      <c r="C894" t="s">
        <v>3495</v>
      </c>
      <c r="D894" t="s">
        <v>643</v>
      </c>
      <c r="E894">
        <v>5495</v>
      </c>
      <c r="F894" t="s">
        <v>15</v>
      </c>
      <c r="G894">
        <v>8</v>
      </c>
      <c r="H894">
        <v>250</v>
      </c>
      <c r="I894" t="str" cm="1">
        <f t="array" ref="I894">_xlfn.IFS(H894&lt;=120,"V1",H894&lt;=150,"V2",H894&lt;=250,"V3", H894&lt;=350, "V4")</f>
        <v>V3</v>
      </c>
      <c r="J894" t="s">
        <v>3496</v>
      </c>
      <c r="K894" t="str">
        <f t="shared" si="299"/>
        <v>44.449659</v>
      </c>
      <c r="L894" t="str">
        <f t="shared" si="300"/>
        <v>-73.108963</v>
      </c>
      <c r="M894">
        <v>121</v>
      </c>
      <c r="N894" s="1">
        <v>44309</v>
      </c>
      <c r="O894" s="1">
        <v>46099</v>
      </c>
      <c r="P894" s="2">
        <f t="shared" si="301"/>
        <v>4.900752908966461</v>
      </c>
      <c r="Q894" s="2" t="str">
        <f t="shared" si="302"/>
        <v>Mid</v>
      </c>
      <c r="R894">
        <f t="shared" si="303"/>
        <v>2000</v>
      </c>
      <c r="S894" t="str">
        <f t="shared" si="304"/>
        <v>Small</v>
      </c>
      <c r="T894" t="str">
        <f t="shared" si="305"/>
        <v>Lower EV Adoption Corridor</v>
      </c>
      <c r="U894" s="3">
        <f t="shared" si="306"/>
        <v>3600000</v>
      </c>
      <c r="V894" s="4">
        <f t="shared" si="307"/>
        <v>880000.00000000012</v>
      </c>
      <c r="W894" s="3">
        <f t="shared" si="308"/>
        <v>12000000</v>
      </c>
      <c r="X894" s="3">
        <f t="shared" si="309"/>
        <v>6600000.0000000009</v>
      </c>
      <c r="Y894">
        <f t="shared" si="310"/>
        <v>0.31515151515151513</v>
      </c>
      <c r="Z894">
        <f t="shared" si="311"/>
        <v>0.75555555555555554</v>
      </c>
      <c r="AA894" t="str">
        <f t="shared" si="312"/>
        <v>Tier 2 - Growth Markets</v>
      </c>
      <c r="AB894" s="3">
        <f t="shared" si="313"/>
        <v>110000.00000000001</v>
      </c>
      <c r="AC894" s="3">
        <f t="shared" si="314"/>
        <v>1500000</v>
      </c>
      <c r="AD894" s="3">
        <f t="shared" si="315"/>
        <v>450000</v>
      </c>
      <c r="AE894" s="5">
        <f t="shared" si="316"/>
        <v>4.4117647058823533</v>
      </c>
      <c r="AF894" s="10">
        <f t="shared" si="317"/>
        <v>545600.00000000012</v>
      </c>
      <c r="AG894" s="10">
        <f t="shared" si="318"/>
        <v>176000.00000000003</v>
      </c>
      <c r="AH894" s="10">
        <f t="shared" si="319"/>
        <v>88000.000000000015</v>
      </c>
      <c r="AI894" s="10">
        <f t="shared" si="320"/>
        <v>44000.000000000007</v>
      </c>
      <c r="AJ894" s="10">
        <f t="shared" si="321"/>
        <v>26400.000000000004</v>
      </c>
    </row>
    <row r="895" spans="1:36" x14ac:dyDescent="0.3">
      <c r="A895" t="s">
        <v>3497</v>
      </c>
      <c r="B895" t="s">
        <v>3498</v>
      </c>
      <c r="C895" t="s">
        <v>1440</v>
      </c>
      <c r="D895" t="s">
        <v>14</v>
      </c>
      <c r="E895">
        <v>94520</v>
      </c>
      <c r="F895" t="s">
        <v>15</v>
      </c>
      <c r="G895">
        <v>16</v>
      </c>
      <c r="H895">
        <v>250</v>
      </c>
      <c r="I895" t="str" cm="1">
        <f t="array" ref="I895">_xlfn.IFS(H895&lt;=120,"V1",H895&lt;=150,"V2",H895&lt;=250,"V3", H895&lt;=350, "V4")</f>
        <v>V3</v>
      </c>
      <c r="J895" t="s">
        <v>3499</v>
      </c>
      <c r="K895" t="str">
        <f t="shared" si="299"/>
        <v>37.969947</v>
      </c>
      <c r="L895" t="str">
        <f t="shared" si="300"/>
        <v>-122.058491</v>
      </c>
      <c r="M895">
        <v>11</v>
      </c>
      <c r="N895" s="1">
        <v>44211</v>
      </c>
      <c r="O895" s="1">
        <v>46099</v>
      </c>
      <c r="P895" s="2">
        <f t="shared" si="301"/>
        <v>5.1690622861054072</v>
      </c>
      <c r="Q895" s="2" t="str">
        <f t="shared" si="302"/>
        <v>Mid</v>
      </c>
      <c r="R895">
        <f t="shared" si="303"/>
        <v>4000</v>
      </c>
      <c r="S895" t="str">
        <f t="shared" si="304"/>
        <v>Small</v>
      </c>
      <c r="T895" t="str">
        <f t="shared" si="305"/>
        <v>High EV Adoption Corridor</v>
      </c>
      <c r="U895" s="3">
        <f t="shared" si="306"/>
        <v>9360000</v>
      </c>
      <c r="V895" s="4">
        <f t="shared" si="307"/>
        <v>2112000</v>
      </c>
      <c r="W895" s="3">
        <f t="shared" si="308"/>
        <v>26400000.000000004</v>
      </c>
      <c r="X895" s="3">
        <f t="shared" si="309"/>
        <v>19800000.000000004</v>
      </c>
      <c r="Y895">
        <f t="shared" si="310"/>
        <v>0.23999999999999996</v>
      </c>
      <c r="Z895">
        <f t="shared" si="311"/>
        <v>0.77435897435897438</v>
      </c>
      <c r="AA895" t="str">
        <f t="shared" si="312"/>
        <v>Tier 1 - Priority Fleet</v>
      </c>
      <c r="AB895" s="3">
        <f t="shared" si="313"/>
        <v>132000</v>
      </c>
      <c r="AC895" s="3">
        <f t="shared" si="314"/>
        <v>1650000.0000000002</v>
      </c>
      <c r="AD895" s="3">
        <f t="shared" si="315"/>
        <v>585000</v>
      </c>
      <c r="AE895" s="5">
        <f t="shared" si="316"/>
        <v>3.6423841059602653</v>
      </c>
      <c r="AF895" s="10">
        <f t="shared" si="317"/>
        <v>1309440</v>
      </c>
      <c r="AG895" s="10">
        <f t="shared" si="318"/>
        <v>422400</v>
      </c>
      <c r="AH895" s="10">
        <f t="shared" si="319"/>
        <v>211200</v>
      </c>
      <c r="AI895" s="10">
        <f t="shared" si="320"/>
        <v>105600</v>
      </c>
      <c r="AJ895" s="10">
        <f t="shared" si="321"/>
        <v>63360</v>
      </c>
    </row>
    <row r="896" spans="1:36" x14ac:dyDescent="0.3">
      <c r="A896" t="s">
        <v>3500</v>
      </c>
      <c r="B896" t="s">
        <v>3501</v>
      </c>
      <c r="C896" t="s">
        <v>3502</v>
      </c>
      <c r="D896" t="s">
        <v>522</v>
      </c>
      <c r="E896">
        <v>64804</v>
      </c>
      <c r="F896" t="s">
        <v>15</v>
      </c>
      <c r="G896">
        <v>8</v>
      </c>
      <c r="H896">
        <v>250</v>
      </c>
      <c r="I896" t="str" cm="1">
        <f t="array" ref="I896">_xlfn.IFS(H896&lt;=120,"V1",H896&lt;=150,"V2",H896&lt;=250,"V3", H896&lt;=350, "V4")</f>
        <v>V3</v>
      </c>
      <c r="J896" t="s">
        <v>3503</v>
      </c>
      <c r="K896" t="str">
        <f t="shared" si="299"/>
        <v>37.033192</v>
      </c>
      <c r="L896" t="str">
        <f t="shared" si="300"/>
        <v>-94.515724</v>
      </c>
      <c r="M896">
        <v>296</v>
      </c>
      <c r="N896" s="1">
        <v>44317</v>
      </c>
      <c r="O896" s="1">
        <v>46099</v>
      </c>
      <c r="P896" s="2">
        <f t="shared" si="301"/>
        <v>4.8788501026694044</v>
      </c>
      <c r="Q896" s="2" t="str">
        <f t="shared" si="302"/>
        <v>Mid</v>
      </c>
      <c r="R896">
        <f t="shared" si="303"/>
        <v>2000</v>
      </c>
      <c r="S896" t="str">
        <f t="shared" si="304"/>
        <v>Small</v>
      </c>
      <c r="T896" t="str">
        <f t="shared" si="305"/>
        <v>Lower EV Adoption Corridor</v>
      </c>
      <c r="U896" s="3">
        <f t="shared" si="306"/>
        <v>3600000</v>
      </c>
      <c r="V896" s="4">
        <f t="shared" si="307"/>
        <v>880000.00000000012</v>
      </c>
      <c r="W896" s="3">
        <f t="shared" si="308"/>
        <v>12000000</v>
      </c>
      <c r="X896" s="3">
        <f t="shared" si="309"/>
        <v>6600000.0000000009</v>
      </c>
      <c r="Y896">
        <f t="shared" si="310"/>
        <v>0.31515151515151513</v>
      </c>
      <c r="Z896">
        <f t="shared" si="311"/>
        <v>0.75555555555555554</v>
      </c>
      <c r="AA896" t="str">
        <f t="shared" si="312"/>
        <v>Tier 2 - Growth Markets</v>
      </c>
      <c r="AB896" s="3">
        <f t="shared" si="313"/>
        <v>110000.00000000001</v>
      </c>
      <c r="AC896" s="3">
        <f t="shared" si="314"/>
        <v>1500000</v>
      </c>
      <c r="AD896" s="3">
        <f t="shared" si="315"/>
        <v>450000</v>
      </c>
      <c r="AE896" s="5">
        <f t="shared" si="316"/>
        <v>4.4117647058823533</v>
      </c>
      <c r="AF896" s="10">
        <f t="shared" si="317"/>
        <v>545600.00000000012</v>
      </c>
      <c r="AG896" s="10">
        <f t="shared" si="318"/>
        <v>176000.00000000003</v>
      </c>
      <c r="AH896" s="10">
        <f t="shared" si="319"/>
        <v>88000.000000000015</v>
      </c>
      <c r="AI896" s="10">
        <f t="shared" si="320"/>
        <v>44000.000000000007</v>
      </c>
      <c r="AJ896" s="10">
        <f t="shared" si="321"/>
        <v>26400.000000000004</v>
      </c>
    </row>
    <row r="897" spans="1:36" x14ac:dyDescent="0.3">
      <c r="A897" t="s">
        <v>3504</v>
      </c>
      <c r="B897" t="s">
        <v>3505</v>
      </c>
      <c r="C897" t="s">
        <v>3506</v>
      </c>
      <c r="D897" t="s">
        <v>268</v>
      </c>
      <c r="E897">
        <v>80498</v>
      </c>
      <c r="F897" t="s">
        <v>15</v>
      </c>
      <c r="G897">
        <v>12</v>
      </c>
      <c r="H897">
        <v>150</v>
      </c>
      <c r="I897" t="str" cm="1">
        <f t="array" ref="I897">_xlfn.IFS(H897&lt;=120,"V1",H897&lt;=150,"V2",H897&lt;=250,"V3", H897&lt;=350, "V4")</f>
        <v>V2</v>
      </c>
      <c r="J897" t="s">
        <v>3507</v>
      </c>
      <c r="K897" t="str">
        <f t="shared" si="299"/>
        <v>39.631457</v>
      </c>
      <c r="L897" t="str">
        <f t="shared" si="300"/>
        <v>-106.070816</v>
      </c>
      <c r="M897">
        <v>2670</v>
      </c>
      <c r="N897" s="1">
        <v>41550</v>
      </c>
      <c r="O897" s="1">
        <v>46099</v>
      </c>
      <c r="P897" s="2">
        <f t="shared" si="301"/>
        <v>12.454483230663929</v>
      </c>
      <c r="Q897" s="2" t="str">
        <f t="shared" si="302"/>
        <v>Old</v>
      </c>
      <c r="R897">
        <f t="shared" si="303"/>
        <v>1800</v>
      </c>
      <c r="S897" t="str">
        <f t="shared" si="304"/>
        <v>Small</v>
      </c>
      <c r="T897" t="str">
        <f t="shared" si="305"/>
        <v>High EV Adoption Corridor</v>
      </c>
      <c r="U897" s="3">
        <f t="shared" si="306"/>
        <v>3861000.0000000009</v>
      </c>
      <c r="V897" s="4">
        <f t="shared" si="307"/>
        <v>864000</v>
      </c>
      <c r="W897" s="3">
        <f t="shared" si="308"/>
        <v>9900000</v>
      </c>
      <c r="X897" s="3">
        <f t="shared" si="309"/>
        <v>8100000</v>
      </c>
      <c r="Y897">
        <f t="shared" si="310"/>
        <v>0.22888888888888889</v>
      </c>
      <c r="Z897">
        <f t="shared" si="311"/>
        <v>0.77622377622377625</v>
      </c>
      <c r="AA897" t="str">
        <f t="shared" si="312"/>
        <v>Tier 3 - Upgrade Pipeline</v>
      </c>
      <c r="AB897" s="3">
        <f t="shared" si="313"/>
        <v>72000</v>
      </c>
      <c r="AC897" s="3">
        <f t="shared" si="314"/>
        <v>825000</v>
      </c>
      <c r="AD897" s="3">
        <f t="shared" si="315"/>
        <v>321750.00000000006</v>
      </c>
      <c r="AE897" s="5">
        <f t="shared" si="316"/>
        <v>3.3033033033033021</v>
      </c>
      <c r="AF897" s="10">
        <f t="shared" si="317"/>
        <v>535680</v>
      </c>
      <c r="AG897" s="10">
        <f t="shared" si="318"/>
        <v>172800</v>
      </c>
      <c r="AH897" s="10">
        <f t="shared" si="319"/>
        <v>86400</v>
      </c>
      <c r="AI897" s="10">
        <f t="shared" si="320"/>
        <v>43200</v>
      </c>
      <c r="AJ897" s="10">
        <f t="shared" si="321"/>
        <v>25920</v>
      </c>
    </row>
    <row r="898" spans="1:36" x14ac:dyDescent="0.3">
      <c r="A898" t="s">
        <v>3508</v>
      </c>
      <c r="B898" t="s">
        <v>3509</v>
      </c>
      <c r="C898" t="s">
        <v>3510</v>
      </c>
      <c r="D898" t="s">
        <v>184</v>
      </c>
      <c r="E898">
        <v>45324</v>
      </c>
      <c r="F898" t="s">
        <v>15</v>
      </c>
      <c r="G898">
        <v>12</v>
      </c>
      <c r="H898">
        <v>250</v>
      </c>
      <c r="I898" t="str" cm="1">
        <f t="array" ref="I898">_xlfn.IFS(H898&lt;=120,"V1",H898&lt;=150,"V2",H898&lt;=250,"V3", H898&lt;=350, "V4")</f>
        <v>V3</v>
      </c>
      <c r="J898" t="s">
        <v>3511</v>
      </c>
      <c r="K898" t="str">
        <f t="shared" si="299"/>
        <v>39.776163</v>
      </c>
      <c r="L898" t="str">
        <f t="shared" si="300"/>
        <v>-84.074435</v>
      </c>
      <c r="M898">
        <v>301</v>
      </c>
      <c r="N898" s="1">
        <v>44945</v>
      </c>
      <c r="O898" s="1">
        <v>46099</v>
      </c>
      <c r="P898" s="2">
        <f t="shared" si="301"/>
        <v>3.159479808350445</v>
      </c>
      <c r="Q898" s="2" t="str">
        <f t="shared" si="302"/>
        <v>Mid</v>
      </c>
      <c r="R898">
        <f t="shared" si="303"/>
        <v>3000</v>
      </c>
      <c r="S898" t="str">
        <f t="shared" si="304"/>
        <v>Small</v>
      </c>
      <c r="T898" t="str">
        <f t="shared" si="305"/>
        <v>Lower EV Adoption Corridor</v>
      </c>
      <c r="U898" s="3">
        <f t="shared" si="306"/>
        <v>5400000</v>
      </c>
      <c r="V898" s="4">
        <f t="shared" si="307"/>
        <v>1320000</v>
      </c>
      <c r="W898" s="3">
        <f t="shared" si="308"/>
        <v>18000000</v>
      </c>
      <c r="X898" s="3">
        <f t="shared" si="309"/>
        <v>9900000</v>
      </c>
      <c r="Y898">
        <f t="shared" si="310"/>
        <v>0.31515151515151513</v>
      </c>
      <c r="Z898">
        <f t="shared" si="311"/>
        <v>0.75555555555555554</v>
      </c>
      <c r="AA898" t="str">
        <f t="shared" si="312"/>
        <v>Tier 2 - Growth Markets</v>
      </c>
      <c r="AB898" s="3">
        <f t="shared" si="313"/>
        <v>110000</v>
      </c>
      <c r="AC898" s="3">
        <f t="shared" si="314"/>
        <v>1500000</v>
      </c>
      <c r="AD898" s="3">
        <f t="shared" si="315"/>
        <v>450000</v>
      </c>
      <c r="AE898" s="5">
        <f t="shared" si="316"/>
        <v>4.4117647058823533</v>
      </c>
      <c r="AF898" s="10">
        <f t="shared" si="317"/>
        <v>818400</v>
      </c>
      <c r="AG898" s="10">
        <f t="shared" si="318"/>
        <v>264000</v>
      </c>
      <c r="AH898" s="10">
        <f t="shared" si="319"/>
        <v>132000</v>
      </c>
      <c r="AI898" s="10">
        <f t="shared" si="320"/>
        <v>66000</v>
      </c>
      <c r="AJ898" s="10">
        <f t="shared" si="321"/>
        <v>39600</v>
      </c>
    </row>
    <row r="899" spans="1:36" x14ac:dyDescent="0.3">
      <c r="A899" t="s">
        <v>3512</v>
      </c>
      <c r="B899" t="s">
        <v>3513</v>
      </c>
      <c r="C899" t="s">
        <v>3514</v>
      </c>
      <c r="D899" t="s">
        <v>852</v>
      </c>
      <c r="E899">
        <v>8037</v>
      </c>
      <c r="F899" t="s">
        <v>15</v>
      </c>
      <c r="G899">
        <v>8</v>
      </c>
      <c r="H899">
        <v>250</v>
      </c>
      <c r="I899" t="str" cm="1">
        <f t="array" ref="I899">_xlfn.IFS(H899&lt;=120,"V1",H899&lt;=150,"V2",H899&lt;=250,"V3", H899&lt;=350, "V4")</f>
        <v>V3</v>
      </c>
      <c r="J899" t="s">
        <v>3515</v>
      </c>
      <c r="K899" t="str">
        <f t="shared" ref="K899:K962" si="322">TRIM(LEFT(J899, FIND(",", J899) - 1))</f>
        <v>39.550487</v>
      </c>
      <c r="L899" t="str">
        <f t="shared" ref="L899:L962" si="323">TRIM(MID(J899, FIND(",", J899) + 1, LEN(J899)))</f>
        <v>-74.735734</v>
      </c>
      <c r="M899">
        <v>25</v>
      </c>
      <c r="N899" s="1">
        <v>44710</v>
      </c>
      <c r="O899" s="1">
        <v>46099</v>
      </c>
      <c r="P899" s="2">
        <f t="shared" ref="P899:P962" si="324">(O899-N899)/365.25</f>
        <v>3.8028747433264889</v>
      </c>
      <c r="Q899" s="2" t="str">
        <f t="shared" ref="Q899:Q962" si="325">IF(P899&lt;3,"New",IF(P899&lt;=8,"Mid","Old"))</f>
        <v>Mid</v>
      </c>
      <c r="R899">
        <f t="shared" ref="R899:R962" si="326">G899*H899</f>
        <v>2000</v>
      </c>
      <c r="S899" t="str">
        <f t="shared" ref="S899:S962" si="327">IF(G899&lt;=30,"Small",IF(G899&lt;=60,"Medium","Large"))</f>
        <v>Small</v>
      </c>
      <c r="T899" t="str">
        <f t="shared" ref="T899:T962" si="328">IF(OR(D899="CA",D899="FL",D899="WA",D899="CO",D899="TX",D899="NJ"),"High EV Adoption Corridor","Lower EV Adoption Corridor")</f>
        <v>High EV Adoption Corridor</v>
      </c>
      <c r="U899" s="3">
        <f t="shared" ref="U899:U962" si="329" xml:space="preserve"> R899 * 1500 *
  IF(I899="V1",1,
     IF(I899="V2",1.1,1.2)) *
  IF(T899="High EV Adoption Corridor",1.3,1)</f>
        <v>4680000</v>
      </c>
      <c r="V899" s="4">
        <f t="shared" ref="V899:V962" si="330" xml:space="preserve"> R899 * 400 *
  IF(I899="V1",0.9,
     IF(I899="V2",1,1.1)) *
  IF(T899="High EV Adoption Corridor",1.2,1)</f>
        <v>1056000</v>
      </c>
      <c r="W899" s="3">
        <f t="shared" ref="W899:W962" si="331" xml:space="preserve"> R899 * 5000 *
  IF(I899="V1",0.8,
     IF(I899="V2",1,1.2)) *
  IF(T899="High EV Adoption Corridor",1.1,1)</f>
        <v>13200000.000000002</v>
      </c>
      <c r="X899" s="3">
        <f t="shared" ref="X899:X962" si="332" xml:space="preserve"> R899 * 3000 *
  IF(I899="V1",0.9,
     IF(I899="V2",1,1.1)) *
  IF(T899="High EV Adoption Corridor",1.5,1)</f>
        <v>9900000.0000000019</v>
      </c>
      <c r="Y899">
        <f t="shared" ref="Y899:Y962" si="333" xml:space="preserve"> ((W899/10) + V899) / X899</f>
        <v>0.23999999999999996</v>
      </c>
      <c r="Z899">
        <f t="shared" ref="Z899:Z962" si="334">(U899-V899)/U899</f>
        <v>0.77435897435897438</v>
      </c>
      <c r="AA899" t="str">
        <f t="shared" ref="AA899:AA962" si="335">IF(AND(I899="V3",T899="High EV Adoption Corridor"),
"Tier 1 - Priority Fleet",
IF(AND(I899="V3",T899="Lower EV Adoption Corridor"),
"Tier 2 - Growth Markets",
IF(AND(OR(I899="V1",I899="V2"),T899="High EV Adoption Corridor"),
"Tier 3 - Upgrade Pipeline",
IF(AND(I899="V2",T899="Lower EV Adoption Corridor"),
"Tier 4 - Stable Network",
"Tier 5 - Retirement Pipeline"))))</f>
        <v>Tier 1 - Priority Fleet</v>
      </c>
      <c r="AB899" s="3">
        <f t="shared" ref="AB899:AB962" si="336">V899/G899</f>
        <v>132000</v>
      </c>
      <c r="AC899" s="3">
        <f t="shared" ref="AC899:AC962" si="337">W899/G899</f>
        <v>1650000.0000000002</v>
      </c>
      <c r="AD899" s="3">
        <f t="shared" ref="AD899:AD962" si="338">U899/G899</f>
        <v>585000</v>
      </c>
      <c r="AE899" s="5">
        <f t="shared" ref="AE899:AE962" si="339">W899/(U899-V899)</f>
        <v>3.6423841059602653</v>
      </c>
      <c r="AF899" s="10">
        <f t="shared" ref="AF899:AF962" si="340">V899*0.62</f>
        <v>654720</v>
      </c>
      <c r="AG899" s="10">
        <f t="shared" ref="AG899:AG962" si="341">V899*0.2</f>
        <v>211200</v>
      </c>
      <c r="AH899" s="10">
        <f t="shared" ref="AH899:AH962" si="342">V899*0.1</f>
        <v>105600</v>
      </c>
      <c r="AI899" s="10">
        <f t="shared" ref="AI899:AI962" si="343">V899*0.05</f>
        <v>52800</v>
      </c>
      <c r="AJ899" s="10">
        <f t="shared" ref="AJ899:AJ962" si="344">V899*0.03</f>
        <v>31680</v>
      </c>
    </row>
    <row r="900" spans="1:36" x14ac:dyDescent="0.3">
      <c r="A900" t="s">
        <v>3516</v>
      </c>
      <c r="B900" t="s">
        <v>3517</v>
      </c>
      <c r="C900" t="s">
        <v>2226</v>
      </c>
      <c r="D900" t="s">
        <v>153</v>
      </c>
      <c r="E900">
        <v>16509</v>
      </c>
      <c r="F900" t="s">
        <v>15</v>
      </c>
      <c r="G900">
        <v>8</v>
      </c>
      <c r="H900">
        <v>150</v>
      </c>
      <c r="I900" t="str" cm="1">
        <f t="array" ref="I900">_xlfn.IFS(H900&lt;=120,"V1",H900&lt;=150,"V2",H900&lt;=250,"V3", H900&lt;=350, "V4")</f>
        <v>V2</v>
      </c>
      <c r="J900" t="s">
        <v>3518</v>
      </c>
      <c r="K900" t="str">
        <f t="shared" si="322"/>
        <v>42.049602</v>
      </c>
      <c r="L900" t="str">
        <f t="shared" si="323"/>
        <v>-80.086345</v>
      </c>
      <c r="M900">
        <v>358</v>
      </c>
      <c r="N900" s="1">
        <v>42524</v>
      </c>
      <c r="O900" s="1">
        <v>46099</v>
      </c>
      <c r="P900" s="2">
        <f t="shared" si="324"/>
        <v>9.7878165639972625</v>
      </c>
      <c r="Q900" s="2" t="str">
        <f t="shared" si="325"/>
        <v>Old</v>
      </c>
      <c r="R900">
        <f t="shared" si="326"/>
        <v>1200</v>
      </c>
      <c r="S900" t="str">
        <f t="shared" si="327"/>
        <v>Small</v>
      </c>
      <c r="T900" t="str">
        <f t="shared" si="328"/>
        <v>Lower EV Adoption Corridor</v>
      </c>
      <c r="U900" s="3">
        <f t="shared" si="329"/>
        <v>1980000.0000000002</v>
      </c>
      <c r="V900" s="4">
        <f t="shared" si="330"/>
        <v>480000</v>
      </c>
      <c r="W900" s="3">
        <f t="shared" si="331"/>
        <v>6000000</v>
      </c>
      <c r="X900" s="3">
        <f t="shared" si="332"/>
        <v>3600000</v>
      </c>
      <c r="Y900">
        <f t="shared" si="333"/>
        <v>0.3</v>
      </c>
      <c r="Z900">
        <f t="shared" si="334"/>
        <v>0.75757575757575757</v>
      </c>
      <c r="AA900" t="str">
        <f t="shared" si="335"/>
        <v>Tier 4 - Stable Network</v>
      </c>
      <c r="AB900" s="3">
        <f t="shared" si="336"/>
        <v>60000</v>
      </c>
      <c r="AC900" s="3">
        <f t="shared" si="337"/>
        <v>750000</v>
      </c>
      <c r="AD900" s="3">
        <f t="shared" si="338"/>
        <v>247500.00000000003</v>
      </c>
      <c r="AE900" s="5">
        <f t="shared" si="339"/>
        <v>3.9999999999999996</v>
      </c>
      <c r="AF900" s="10">
        <f t="shared" si="340"/>
        <v>297600</v>
      </c>
      <c r="AG900" s="10">
        <f t="shared" si="341"/>
        <v>96000</v>
      </c>
      <c r="AH900" s="10">
        <f t="shared" si="342"/>
        <v>48000</v>
      </c>
      <c r="AI900" s="10">
        <f t="shared" si="343"/>
        <v>24000</v>
      </c>
      <c r="AJ900" s="10">
        <f t="shared" si="344"/>
        <v>14400</v>
      </c>
    </row>
    <row r="901" spans="1:36" x14ac:dyDescent="0.3">
      <c r="A901" t="s">
        <v>3519</v>
      </c>
      <c r="B901" t="s">
        <v>3520</v>
      </c>
      <c r="C901" t="s">
        <v>1657</v>
      </c>
      <c r="D901" t="s">
        <v>14</v>
      </c>
      <c r="E901">
        <v>94583</v>
      </c>
      <c r="F901" t="s">
        <v>15</v>
      </c>
      <c r="G901">
        <v>16</v>
      </c>
      <c r="H901">
        <v>250</v>
      </c>
      <c r="I901" t="str" cm="1">
        <f t="array" ref="I901">_xlfn.IFS(H901&lt;=120,"V1",H901&lt;=150,"V2",H901&lt;=250,"V3", H901&lt;=350, "V4")</f>
        <v>V3</v>
      </c>
      <c r="J901" t="s">
        <v>3521</v>
      </c>
      <c r="K901" t="str">
        <f t="shared" si="322"/>
        <v>37.723081</v>
      </c>
      <c r="L901" t="str">
        <f t="shared" si="323"/>
        <v>-121.944252</v>
      </c>
      <c r="M901">
        <v>135</v>
      </c>
      <c r="N901" s="1">
        <v>44540</v>
      </c>
      <c r="O901" s="1">
        <v>46099</v>
      </c>
      <c r="P901" s="2">
        <f t="shared" si="324"/>
        <v>4.2683093771389462</v>
      </c>
      <c r="Q901" s="2" t="str">
        <f t="shared" si="325"/>
        <v>Mid</v>
      </c>
      <c r="R901">
        <f t="shared" si="326"/>
        <v>4000</v>
      </c>
      <c r="S901" t="str">
        <f t="shared" si="327"/>
        <v>Small</v>
      </c>
      <c r="T901" t="str">
        <f t="shared" si="328"/>
        <v>High EV Adoption Corridor</v>
      </c>
      <c r="U901" s="3">
        <f t="shared" si="329"/>
        <v>9360000</v>
      </c>
      <c r="V901" s="4">
        <f t="shared" si="330"/>
        <v>2112000</v>
      </c>
      <c r="W901" s="3">
        <f t="shared" si="331"/>
        <v>26400000.000000004</v>
      </c>
      <c r="X901" s="3">
        <f t="shared" si="332"/>
        <v>19800000.000000004</v>
      </c>
      <c r="Y901">
        <f t="shared" si="333"/>
        <v>0.23999999999999996</v>
      </c>
      <c r="Z901">
        <f t="shared" si="334"/>
        <v>0.77435897435897438</v>
      </c>
      <c r="AA901" t="str">
        <f t="shared" si="335"/>
        <v>Tier 1 - Priority Fleet</v>
      </c>
      <c r="AB901" s="3">
        <f t="shared" si="336"/>
        <v>132000</v>
      </c>
      <c r="AC901" s="3">
        <f t="shared" si="337"/>
        <v>1650000.0000000002</v>
      </c>
      <c r="AD901" s="3">
        <f t="shared" si="338"/>
        <v>585000</v>
      </c>
      <c r="AE901" s="5">
        <f t="shared" si="339"/>
        <v>3.6423841059602653</v>
      </c>
      <c r="AF901" s="10">
        <f t="shared" si="340"/>
        <v>1309440</v>
      </c>
      <c r="AG901" s="10">
        <f t="shared" si="341"/>
        <v>422400</v>
      </c>
      <c r="AH901" s="10">
        <f t="shared" si="342"/>
        <v>211200</v>
      </c>
      <c r="AI901" s="10">
        <f t="shared" si="343"/>
        <v>105600</v>
      </c>
      <c r="AJ901" s="10">
        <f t="shared" si="344"/>
        <v>63360</v>
      </c>
    </row>
    <row r="902" spans="1:36" x14ac:dyDescent="0.3">
      <c r="A902" t="s">
        <v>3522</v>
      </c>
      <c r="B902" t="s">
        <v>3523</v>
      </c>
      <c r="C902" t="s">
        <v>3524</v>
      </c>
      <c r="D902" t="s">
        <v>913</v>
      </c>
      <c r="E902">
        <v>20619</v>
      </c>
      <c r="F902" t="s">
        <v>15</v>
      </c>
      <c r="G902">
        <v>8</v>
      </c>
      <c r="H902">
        <v>250</v>
      </c>
      <c r="I902" t="str" cm="1">
        <f t="array" ref="I902">_xlfn.IFS(H902&lt;=120,"V1",H902&lt;=150,"V2",H902&lt;=250,"V3", H902&lt;=350, "V4")</f>
        <v>V3</v>
      </c>
      <c r="J902" t="s">
        <v>3525</v>
      </c>
      <c r="K902" t="str">
        <f t="shared" si="322"/>
        <v>38.302946</v>
      </c>
      <c r="L902" t="str">
        <f t="shared" si="323"/>
        <v>-76.522367</v>
      </c>
      <c r="M902">
        <v>37</v>
      </c>
      <c r="N902" s="1">
        <v>44329</v>
      </c>
      <c r="O902" s="1">
        <v>46099</v>
      </c>
      <c r="P902" s="2">
        <f t="shared" si="324"/>
        <v>4.8459958932238196</v>
      </c>
      <c r="Q902" s="2" t="str">
        <f t="shared" si="325"/>
        <v>Mid</v>
      </c>
      <c r="R902">
        <f t="shared" si="326"/>
        <v>2000</v>
      </c>
      <c r="S902" t="str">
        <f t="shared" si="327"/>
        <v>Small</v>
      </c>
      <c r="T902" t="str">
        <f t="shared" si="328"/>
        <v>Lower EV Adoption Corridor</v>
      </c>
      <c r="U902" s="3">
        <f t="shared" si="329"/>
        <v>3600000</v>
      </c>
      <c r="V902" s="4">
        <f t="shared" si="330"/>
        <v>880000.00000000012</v>
      </c>
      <c r="W902" s="3">
        <f t="shared" si="331"/>
        <v>12000000</v>
      </c>
      <c r="X902" s="3">
        <f t="shared" si="332"/>
        <v>6600000.0000000009</v>
      </c>
      <c r="Y902">
        <f t="shared" si="333"/>
        <v>0.31515151515151513</v>
      </c>
      <c r="Z902">
        <f t="shared" si="334"/>
        <v>0.75555555555555554</v>
      </c>
      <c r="AA902" t="str">
        <f t="shared" si="335"/>
        <v>Tier 2 - Growth Markets</v>
      </c>
      <c r="AB902" s="3">
        <f t="shared" si="336"/>
        <v>110000.00000000001</v>
      </c>
      <c r="AC902" s="3">
        <f t="shared" si="337"/>
        <v>1500000</v>
      </c>
      <c r="AD902" s="3">
        <f t="shared" si="338"/>
        <v>450000</v>
      </c>
      <c r="AE902" s="5">
        <f t="shared" si="339"/>
        <v>4.4117647058823533</v>
      </c>
      <c r="AF902" s="10">
        <f t="shared" si="340"/>
        <v>545600.00000000012</v>
      </c>
      <c r="AG902" s="10">
        <f t="shared" si="341"/>
        <v>176000.00000000003</v>
      </c>
      <c r="AH902" s="10">
        <f t="shared" si="342"/>
        <v>88000.000000000015</v>
      </c>
      <c r="AI902" s="10">
        <f t="shared" si="343"/>
        <v>44000.000000000007</v>
      </c>
      <c r="AJ902" s="10">
        <f t="shared" si="344"/>
        <v>26400.000000000004</v>
      </c>
    </row>
    <row r="903" spans="1:36" x14ac:dyDescent="0.3">
      <c r="A903" t="s">
        <v>3526</v>
      </c>
      <c r="B903" t="s">
        <v>3527</v>
      </c>
      <c r="C903" t="s">
        <v>3528</v>
      </c>
      <c r="D903" t="s">
        <v>28</v>
      </c>
      <c r="E903">
        <v>30265</v>
      </c>
      <c r="F903" t="s">
        <v>15</v>
      </c>
      <c r="G903">
        <v>12</v>
      </c>
      <c r="H903">
        <v>250</v>
      </c>
      <c r="I903" t="str" cm="1">
        <f t="array" ref="I903">_xlfn.IFS(H903&lt;=120,"V1",H903&lt;=150,"V2",H903&lt;=250,"V3", H903&lt;=350, "V4")</f>
        <v>V3</v>
      </c>
      <c r="J903" t="s">
        <v>3529</v>
      </c>
      <c r="K903" t="str">
        <f t="shared" si="322"/>
        <v>33.393341</v>
      </c>
      <c r="L903" t="str">
        <f t="shared" si="323"/>
        <v>-84.759097</v>
      </c>
      <c r="M903">
        <v>285</v>
      </c>
      <c r="N903" s="1">
        <v>44272</v>
      </c>
      <c r="O903" s="1">
        <v>46099</v>
      </c>
      <c r="P903" s="2">
        <f t="shared" si="324"/>
        <v>5.0020533880903493</v>
      </c>
      <c r="Q903" s="2" t="str">
        <f t="shared" si="325"/>
        <v>Mid</v>
      </c>
      <c r="R903">
        <f t="shared" si="326"/>
        <v>3000</v>
      </c>
      <c r="S903" t="str">
        <f t="shared" si="327"/>
        <v>Small</v>
      </c>
      <c r="T903" t="str">
        <f t="shared" si="328"/>
        <v>Lower EV Adoption Corridor</v>
      </c>
      <c r="U903" s="3">
        <f t="shared" si="329"/>
        <v>5400000</v>
      </c>
      <c r="V903" s="4">
        <f t="shared" si="330"/>
        <v>1320000</v>
      </c>
      <c r="W903" s="3">
        <f t="shared" si="331"/>
        <v>18000000</v>
      </c>
      <c r="X903" s="3">
        <f t="shared" si="332"/>
        <v>9900000</v>
      </c>
      <c r="Y903">
        <f t="shared" si="333"/>
        <v>0.31515151515151513</v>
      </c>
      <c r="Z903">
        <f t="shared" si="334"/>
        <v>0.75555555555555554</v>
      </c>
      <c r="AA903" t="str">
        <f t="shared" si="335"/>
        <v>Tier 2 - Growth Markets</v>
      </c>
      <c r="AB903" s="3">
        <f t="shared" si="336"/>
        <v>110000</v>
      </c>
      <c r="AC903" s="3">
        <f t="shared" si="337"/>
        <v>1500000</v>
      </c>
      <c r="AD903" s="3">
        <f t="shared" si="338"/>
        <v>450000</v>
      </c>
      <c r="AE903" s="5">
        <f t="shared" si="339"/>
        <v>4.4117647058823533</v>
      </c>
      <c r="AF903" s="10">
        <f t="shared" si="340"/>
        <v>818400</v>
      </c>
      <c r="AG903" s="10">
        <f t="shared" si="341"/>
        <v>264000</v>
      </c>
      <c r="AH903" s="10">
        <f t="shared" si="342"/>
        <v>132000</v>
      </c>
      <c r="AI903" s="10">
        <f t="shared" si="343"/>
        <v>66000</v>
      </c>
      <c r="AJ903" s="10">
        <f t="shared" si="344"/>
        <v>39600</v>
      </c>
    </row>
    <row r="904" spans="1:36" x14ac:dyDescent="0.3">
      <c r="A904" t="s">
        <v>3530</v>
      </c>
      <c r="B904" t="s">
        <v>3531</v>
      </c>
      <c r="C904" t="s">
        <v>3532</v>
      </c>
      <c r="D904" t="s">
        <v>1110</v>
      </c>
      <c r="E904">
        <v>72021</v>
      </c>
      <c r="F904" t="s">
        <v>15</v>
      </c>
      <c r="G904">
        <v>8</v>
      </c>
      <c r="H904">
        <v>250</v>
      </c>
      <c r="I904" t="str" cm="1">
        <f t="array" ref="I904">_xlfn.IFS(H904&lt;=120,"V1",H904&lt;=150,"V2",H904&lt;=250,"V3", H904&lt;=350, "V4")</f>
        <v>V3</v>
      </c>
      <c r="J904" t="s">
        <v>3533</v>
      </c>
      <c r="K904" t="str">
        <f t="shared" si="322"/>
        <v>34.904944</v>
      </c>
      <c r="L904" t="str">
        <f t="shared" si="323"/>
        <v>-91.200056</v>
      </c>
      <c r="M904">
        <v>66</v>
      </c>
      <c r="N904" s="1">
        <v>44273</v>
      </c>
      <c r="O904" s="1">
        <v>46099</v>
      </c>
      <c r="P904" s="2">
        <f t="shared" si="324"/>
        <v>4.9993155373032172</v>
      </c>
      <c r="Q904" s="2" t="str">
        <f t="shared" si="325"/>
        <v>Mid</v>
      </c>
      <c r="R904">
        <f t="shared" si="326"/>
        <v>2000</v>
      </c>
      <c r="S904" t="str">
        <f t="shared" si="327"/>
        <v>Small</v>
      </c>
      <c r="T904" t="str">
        <f t="shared" si="328"/>
        <v>Lower EV Adoption Corridor</v>
      </c>
      <c r="U904" s="3">
        <f t="shared" si="329"/>
        <v>3600000</v>
      </c>
      <c r="V904" s="4">
        <f t="shared" si="330"/>
        <v>880000.00000000012</v>
      </c>
      <c r="W904" s="3">
        <f t="shared" si="331"/>
        <v>12000000</v>
      </c>
      <c r="X904" s="3">
        <f t="shared" si="332"/>
        <v>6600000.0000000009</v>
      </c>
      <c r="Y904">
        <f t="shared" si="333"/>
        <v>0.31515151515151513</v>
      </c>
      <c r="Z904">
        <f t="shared" si="334"/>
        <v>0.75555555555555554</v>
      </c>
      <c r="AA904" t="str">
        <f t="shared" si="335"/>
        <v>Tier 2 - Growth Markets</v>
      </c>
      <c r="AB904" s="3">
        <f t="shared" si="336"/>
        <v>110000.00000000001</v>
      </c>
      <c r="AC904" s="3">
        <f t="shared" si="337"/>
        <v>1500000</v>
      </c>
      <c r="AD904" s="3">
        <f t="shared" si="338"/>
        <v>450000</v>
      </c>
      <c r="AE904" s="5">
        <f t="shared" si="339"/>
        <v>4.4117647058823533</v>
      </c>
      <c r="AF904" s="10">
        <f t="shared" si="340"/>
        <v>545600.00000000012</v>
      </c>
      <c r="AG904" s="10">
        <f t="shared" si="341"/>
        <v>176000.00000000003</v>
      </c>
      <c r="AH904" s="10">
        <f t="shared" si="342"/>
        <v>88000.000000000015</v>
      </c>
      <c r="AI904" s="10">
        <f t="shared" si="343"/>
        <v>44000.000000000007</v>
      </c>
      <c r="AJ904" s="10">
        <f t="shared" si="344"/>
        <v>26400.000000000004</v>
      </c>
    </row>
    <row r="905" spans="1:36" x14ac:dyDescent="0.3">
      <c r="A905" t="s">
        <v>3534</v>
      </c>
      <c r="B905" t="s">
        <v>3535</v>
      </c>
      <c r="C905" t="s">
        <v>569</v>
      </c>
      <c r="D905" t="s">
        <v>299</v>
      </c>
      <c r="E905">
        <v>23518</v>
      </c>
      <c r="F905" t="s">
        <v>15</v>
      </c>
      <c r="G905">
        <v>8</v>
      </c>
      <c r="H905">
        <v>250</v>
      </c>
      <c r="I905" t="str" cm="1">
        <f t="array" ref="I905">_xlfn.IFS(H905&lt;=120,"V1",H905&lt;=150,"V2",H905&lt;=250,"V3", H905&lt;=350, "V4")</f>
        <v>V3</v>
      </c>
      <c r="J905" t="s">
        <v>3536</v>
      </c>
      <c r="K905" t="str">
        <f t="shared" si="322"/>
        <v>36.897383</v>
      </c>
      <c r="L905" t="str">
        <f t="shared" si="323"/>
        <v>-76.226511</v>
      </c>
      <c r="M905">
        <v>5</v>
      </c>
      <c r="N905" s="1">
        <v>44390</v>
      </c>
      <c r="O905" s="1">
        <v>46099</v>
      </c>
      <c r="P905" s="2">
        <f t="shared" si="324"/>
        <v>4.6789869952087608</v>
      </c>
      <c r="Q905" s="2" t="str">
        <f t="shared" si="325"/>
        <v>Mid</v>
      </c>
      <c r="R905">
        <f t="shared" si="326"/>
        <v>2000</v>
      </c>
      <c r="S905" t="str">
        <f t="shared" si="327"/>
        <v>Small</v>
      </c>
      <c r="T905" t="str">
        <f t="shared" si="328"/>
        <v>Lower EV Adoption Corridor</v>
      </c>
      <c r="U905" s="3">
        <f t="shared" si="329"/>
        <v>3600000</v>
      </c>
      <c r="V905" s="4">
        <f t="shared" si="330"/>
        <v>880000.00000000012</v>
      </c>
      <c r="W905" s="3">
        <f t="shared" si="331"/>
        <v>12000000</v>
      </c>
      <c r="X905" s="3">
        <f t="shared" si="332"/>
        <v>6600000.0000000009</v>
      </c>
      <c r="Y905">
        <f t="shared" si="333"/>
        <v>0.31515151515151513</v>
      </c>
      <c r="Z905">
        <f t="shared" si="334"/>
        <v>0.75555555555555554</v>
      </c>
      <c r="AA905" t="str">
        <f t="shared" si="335"/>
        <v>Tier 2 - Growth Markets</v>
      </c>
      <c r="AB905" s="3">
        <f t="shared" si="336"/>
        <v>110000.00000000001</v>
      </c>
      <c r="AC905" s="3">
        <f t="shared" si="337"/>
        <v>1500000</v>
      </c>
      <c r="AD905" s="3">
        <f t="shared" si="338"/>
        <v>450000</v>
      </c>
      <c r="AE905" s="5">
        <f t="shared" si="339"/>
        <v>4.4117647058823533</v>
      </c>
      <c r="AF905" s="10">
        <f t="shared" si="340"/>
        <v>545600.00000000012</v>
      </c>
      <c r="AG905" s="10">
        <f t="shared" si="341"/>
        <v>176000.00000000003</v>
      </c>
      <c r="AH905" s="10">
        <f t="shared" si="342"/>
        <v>88000.000000000015</v>
      </c>
      <c r="AI905" s="10">
        <f t="shared" si="343"/>
        <v>44000.000000000007</v>
      </c>
      <c r="AJ905" s="10">
        <f t="shared" si="344"/>
        <v>26400.000000000004</v>
      </c>
    </row>
    <row r="906" spans="1:36" x14ac:dyDescent="0.3">
      <c r="A906" t="s">
        <v>3537</v>
      </c>
      <c r="B906" t="s">
        <v>3538</v>
      </c>
      <c r="C906" t="s">
        <v>3539</v>
      </c>
      <c r="D906" t="s">
        <v>41</v>
      </c>
      <c r="E906">
        <v>33410</v>
      </c>
      <c r="F906" t="s">
        <v>15</v>
      </c>
      <c r="G906">
        <v>16</v>
      </c>
      <c r="H906">
        <v>250</v>
      </c>
      <c r="I906" t="str" cm="1">
        <f t="array" ref="I906">_xlfn.IFS(H906&lt;=120,"V1",H906&lt;=150,"V2",H906&lt;=250,"V3", H906&lt;=350, "V4")</f>
        <v>V3</v>
      </c>
      <c r="J906" t="s">
        <v>3540</v>
      </c>
      <c r="K906" t="str">
        <f t="shared" si="322"/>
        <v>26.840149</v>
      </c>
      <c r="L906" t="str">
        <f t="shared" si="323"/>
        <v>-80.103969</v>
      </c>
      <c r="M906">
        <v>4</v>
      </c>
      <c r="N906" s="1">
        <v>45027</v>
      </c>
      <c r="O906" s="1">
        <v>46099</v>
      </c>
      <c r="P906" s="2">
        <f t="shared" si="324"/>
        <v>2.9349760438056127</v>
      </c>
      <c r="Q906" s="2" t="str">
        <f t="shared" si="325"/>
        <v>New</v>
      </c>
      <c r="R906">
        <f t="shared" si="326"/>
        <v>4000</v>
      </c>
      <c r="S906" t="str">
        <f t="shared" si="327"/>
        <v>Small</v>
      </c>
      <c r="T906" t="str">
        <f t="shared" si="328"/>
        <v>High EV Adoption Corridor</v>
      </c>
      <c r="U906" s="3">
        <f t="shared" si="329"/>
        <v>9360000</v>
      </c>
      <c r="V906" s="4">
        <f t="shared" si="330"/>
        <v>2112000</v>
      </c>
      <c r="W906" s="3">
        <f t="shared" si="331"/>
        <v>26400000.000000004</v>
      </c>
      <c r="X906" s="3">
        <f t="shared" si="332"/>
        <v>19800000.000000004</v>
      </c>
      <c r="Y906">
        <f t="shared" si="333"/>
        <v>0.23999999999999996</v>
      </c>
      <c r="Z906">
        <f t="shared" si="334"/>
        <v>0.77435897435897438</v>
      </c>
      <c r="AA906" t="str">
        <f t="shared" si="335"/>
        <v>Tier 1 - Priority Fleet</v>
      </c>
      <c r="AB906" s="3">
        <f t="shared" si="336"/>
        <v>132000</v>
      </c>
      <c r="AC906" s="3">
        <f t="shared" si="337"/>
        <v>1650000.0000000002</v>
      </c>
      <c r="AD906" s="3">
        <f t="shared" si="338"/>
        <v>585000</v>
      </c>
      <c r="AE906" s="5">
        <f t="shared" si="339"/>
        <v>3.6423841059602653</v>
      </c>
      <c r="AF906" s="10">
        <f t="shared" si="340"/>
        <v>1309440</v>
      </c>
      <c r="AG906" s="10">
        <f t="shared" si="341"/>
        <v>422400</v>
      </c>
      <c r="AH906" s="10">
        <f t="shared" si="342"/>
        <v>211200</v>
      </c>
      <c r="AI906" s="10">
        <f t="shared" si="343"/>
        <v>105600</v>
      </c>
      <c r="AJ906" s="10">
        <f t="shared" si="344"/>
        <v>63360</v>
      </c>
    </row>
    <row r="907" spans="1:36" x14ac:dyDescent="0.3">
      <c r="A907" t="s">
        <v>3541</v>
      </c>
      <c r="B907" t="s">
        <v>3542</v>
      </c>
      <c r="C907" t="s">
        <v>2969</v>
      </c>
      <c r="D907" t="s">
        <v>125</v>
      </c>
      <c r="E907">
        <v>29506</v>
      </c>
      <c r="F907" t="s">
        <v>15</v>
      </c>
      <c r="G907">
        <v>16</v>
      </c>
      <c r="H907">
        <v>250</v>
      </c>
      <c r="I907" t="str" cm="1">
        <f t="array" ref="I907">_xlfn.IFS(H907&lt;=120,"V1",H907&lt;=150,"V2",H907&lt;=250,"V3", H907&lt;=350, "V4")</f>
        <v>V3</v>
      </c>
      <c r="J907" t="s">
        <v>3543</v>
      </c>
      <c r="K907" t="str">
        <f t="shared" si="322"/>
        <v>34.272134</v>
      </c>
      <c r="L907" t="str">
        <f t="shared" si="323"/>
        <v>-79.703346</v>
      </c>
      <c r="M907">
        <v>34</v>
      </c>
      <c r="N907" s="1">
        <v>44697</v>
      </c>
      <c r="O907" s="1">
        <v>46099</v>
      </c>
      <c r="P907" s="2">
        <f t="shared" si="324"/>
        <v>3.8384668035592062</v>
      </c>
      <c r="Q907" s="2" t="str">
        <f t="shared" si="325"/>
        <v>Mid</v>
      </c>
      <c r="R907">
        <f t="shared" si="326"/>
        <v>4000</v>
      </c>
      <c r="S907" t="str">
        <f t="shared" si="327"/>
        <v>Small</v>
      </c>
      <c r="T907" t="str">
        <f t="shared" si="328"/>
        <v>Lower EV Adoption Corridor</v>
      </c>
      <c r="U907" s="3">
        <f t="shared" si="329"/>
        <v>7200000</v>
      </c>
      <c r="V907" s="4">
        <f t="shared" si="330"/>
        <v>1760000.0000000002</v>
      </c>
      <c r="W907" s="3">
        <f t="shared" si="331"/>
        <v>24000000</v>
      </c>
      <c r="X907" s="3">
        <f t="shared" si="332"/>
        <v>13200000.000000002</v>
      </c>
      <c r="Y907">
        <f t="shared" si="333"/>
        <v>0.31515151515151513</v>
      </c>
      <c r="Z907">
        <f t="shared" si="334"/>
        <v>0.75555555555555554</v>
      </c>
      <c r="AA907" t="str">
        <f t="shared" si="335"/>
        <v>Tier 2 - Growth Markets</v>
      </c>
      <c r="AB907" s="3">
        <f t="shared" si="336"/>
        <v>110000.00000000001</v>
      </c>
      <c r="AC907" s="3">
        <f t="shared" si="337"/>
        <v>1500000</v>
      </c>
      <c r="AD907" s="3">
        <f t="shared" si="338"/>
        <v>450000</v>
      </c>
      <c r="AE907" s="5">
        <f t="shared" si="339"/>
        <v>4.4117647058823533</v>
      </c>
      <c r="AF907" s="10">
        <f t="shared" si="340"/>
        <v>1091200.0000000002</v>
      </c>
      <c r="AG907" s="10">
        <f t="shared" si="341"/>
        <v>352000.00000000006</v>
      </c>
      <c r="AH907" s="10">
        <f t="shared" si="342"/>
        <v>176000.00000000003</v>
      </c>
      <c r="AI907" s="10">
        <f t="shared" si="343"/>
        <v>88000.000000000015</v>
      </c>
      <c r="AJ907" s="10">
        <f t="shared" si="344"/>
        <v>52800.000000000007</v>
      </c>
    </row>
    <row r="908" spans="1:36" x14ac:dyDescent="0.3">
      <c r="A908" t="s">
        <v>3544</v>
      </c>
      <c r="B908" t="s">
        <v>3545</v>
      </c>
      <c r="C908" t="s">
        <v>3546</v>
      </c>
      <c r="D908" t="s">
        <v>14</v>
      </c>
      <c r="E908">
        <v>96097</v>
      </c>
      <c r="F908" t="s">
        <v>15</v>
      </c>
      <c r="G908">
        <v>12</v>
      </c>
      <c r="H908">
        <v>250</v>
      </c>
      <c r="I908" t="str" cm="1">
        <f t="array" ref="I908">_xlfn.IFS(H908&lt;=120,"V1",H908&lt;=150,"V2",H908&lt;=250,"V3", H908&lt;=350, "V4")</f>
        <v>V3</v>
      </c>
      <c r="J908" t="s">
        <v>3547</v>
      </c>
      <c r="K908" t="str">
        <f t="shared" si="322"/>
        <v>41.701506</v>
      </c>
      <c r="L908" t="str">
        <f t="shared" si="323"/>
        <v>-122.645108</v>
      </c>
      <c r="M908">
        <v>833</v>
      </c>
      <c r="N908" s="1">
        <v>44342</v>
      </c>
      <c r="O908" s="1">
        <v>46099</v>
      </c>
      <c r="P908" s="2">
        <f t="shared" si="324"/>
        <v>4.8104038329911019</v>
      </c>
      <c r="Q908" s="2" t="str">
        <f t="shared" si="325"/>
        <v>Mid</v>
      </c>
      <c r="R908">
        <f t="shared" si="326"/>
        <v>3000</v>
      </c>
      <c r="S908" t="str">
        <f t="shared" si="327"/>
        <v>Small</v>
      </c>
      <c r="T908" t="str">
        <f t="shared" si="328"/>
        <v>High EV Adoption Corridor</v>
      </c>
      <c r="U908" s="3">
        <f t="shared" si="329"/>
        <v>7020000</v>
      </c>
      <c r="V908" s="4">
        <f t="shared" si="330"/>
        <v>1584000</v>
      </c>
      <c r="W908" s="3">
        <f t="shared" si="331"/>
        <v>19800000</v>
      </c>
      <c r="X908" s="3">
        <f t="shared" si="332"/>
        <v>14850000</v>
      </c>
      <c r="Y908">
        <f t="shared" si="333"/>
        <v>0.24</v>
      </c>
      <c r="Z908">
        <f t="shared" si="334"/>
        <v>0.77435897435897438</v>
      </c>
      <c r="AA908" t="str">
        <f t="shared" si="335"/>
        <v>Tier 1 - Priority Fleet</v>
      </c>
      <c r="AB908" s="3">
        <f t="shared" si="336"/>
        <v>132000</v>
      </c>
      <c r="AC908" s="3">
        <f t="shared" si="337"/>
        <v>1650000</v>
      </c>
      <c r="AD908" s="3">
        <f t="shared" si="338"/>
        <v>585000</v>
      </c>
      <c r="AE908" s="5">
        <f t="shared" si="339"/>
        <v>3.6423841059602649</v>
      </c>
      <c r="AF908" s="10">
        <f t="shared" si="340"/>
        <v>982080</v>
      </c>
      <c r="AG908" s="10">
        <f t="shared" si="341"/>
        <v>316800</v>
      </c>
      <c r="AH908" s="10">
        <f t="shared" si="342"/>
        <v>158400</v>
      </c>
      <c r="AI908" s="10">
        <f t="shared" si="343"/>
        <v>79200</v>
      </c>
      <c r="AJ908" s="10">
        <f t="shared" si="344"/>
        <v>47520</v>
      </c>
    </row>
    <row r="909" spans="1:36" x14ac:dyDescent="0.3">
      <c r="A909" t="s">
        <v>3548</v>
      </c>
      <c r="B909" t="s">
        <v>3549</v>
      </c>
      <c r="C909" t="s">
        <v>3550</v>
      </c>
      <c r="D909" t="s">
        <v>14</v>
      </c>
      <c r="E909">
        <v>95437</v>
      </c>
      <c r="F909" t="s">
        <v>15</v>
      </c>
      <c r="G909">
        <v>12</v>
      </c>
      <c r="H909">
        <v>250</v>
      </c>
      <c r="I909" t="str" cm="1">
        <f t="array" ref="I909">_xlfn.IFS(H909&lt;=120,"V1",H909&lt;=150,"V2",H909&lt;=250,"V3", H909&lt;=350, "V4")</f>
        <v>V3</v>
      </c>
      <c r="J909" t="s">
        <v>3551</v>
      </c>
      <c r="K909" t="str">
        <f t="shared" si="322"/>
        <v>39.421063</v>
      </c>
      <c r="L909" t="str">
        <f t="shared" si="323"/>
        <v>-123.807299</v>
      </c>
      <c r="M909">
        <v>32</v>
      </c>
      <c r="N909" s="1">
        <v>44338</v>
      </c>
      <c r="O909" s="1">
        <v>46099</v>
      </c>
      <c r="P909" s="2">
        <f t="shared" si="324"/>
        <v>4.8213552361396301</v>
      </c>
      <c r="Q909" s="2" t="str">
        <f t="shared" si="325"/>
        <v>Mid</v>
      </c>
      <c r="R909">
        <f t="shared" si="326"/>
        <v>3000</v>
      </c>
      <c r="S909" t="str">
        <f t="shared" si="327"/>
        <v>Small</v>
      </c>
      <c r="T909" t="str">
        <f t="shared" si="328"/>
        <v>High EV Adoption Corridor</v>
      </c>
      <c r="U909" s="3">
        <f t="shared" si="329"/>
        <v>7020000</v>
      </c>
      <c r="V909" s="4">
        <f t="shared" si="330"/>
        <v>1584000</v>
      </c>
      <c r="W909" s="3">
        <f t="shared" si="331"/>
        <v>19800000</v>
      </c>
      <c r="X909" s="3">
        <f t="shared" si="332"/>
        <v>14850000</v>
      </c>
      <c r="Y909">
        <f t="shared" si="333"/>
        <v>0.24</v>
      </c>
      <c r="Z909">
        <f t="shared" si="334"/>
        <v>0.77435897435897438</v>
      </c>
      <c r="AA909" t="str">
        <f t="shared" si="335"/>
        <v>Tier 1 - Priority Fleet</v>
      </c>
      <c r="AB909" s="3">
        <f t="shared" si="336"/>
        <v>132000</v>
      </c>
      <c r="AC909" s="3">
        <f t="shared" si="337"/>
        <v>1650000</v>
      </c>
      <c r="AD909" s="3">
        <f t="shared" si="338"/>
        <v>585000</v>
      </c>
      <c r="AE909" s="5">
        <f t="shared" si="339"/>
        <v>3.6423841059602649</v>
      </c>
      <c r="AF909" s="10">
        <f t="shared" si="340"/>
        <v>982080</v>
      </c>
      <c r="AG909" s="10">
        <f t="shared" si="341"/>
        <v>316800</v>
      </c>
      <c r="AH909" s="10">
        <f t="shared" si="342"/>
        <v>158400</v>
      </c>
      <c r="AI909" s="10">
        <f t="shared" si="343"/>
        <v>79200</v>
      </c>
      <c r="AJ909" s="10">
        <f t="shared" si="344"/>
        <v>47520</v>
      </c>
    </row>
    <row r="910" spans="1:36" x14ac:dyDescent="0.3">
      <c r="A910" t="s">
        <v>3552</v>
      </c>
      <c r="B910" t="s">
        <v>3553</v>
      </c>
      <c r="C910" t="s">
        <v>1093</v>
      </c>
      <c r="D910" t="s">
        <v>59</v>
      </c>
      <c r="E910">
        <v>60201</v>
      </c>
      <c r="F910" t="s">
        <v>15</v>
      </c>
      <c r="G910">
        <v>12</v>
      </c>
      <c r="H910">
        <v>250</v>
      </c>
      <c r="I910" t="str" cm="1">
        <f t="array" ref="I910">_xlfn.IFS(H910&lt;=120,"V1",H910&lt;=150,"V2",H910&lt;=250,"V3", H910&lt;=350, "V4")</f>
        <v>V3</v>
      </c>
      <c r="J910" t="s">
        <v>3554</v>
      </c>
      <c r="K910" t="str">
        <f t="shared" si="322"/>
        <v>42.050353</v>
      </c>
      <c r="L910" t="str">
        <f t="shared" si="323"/>
        <v>-87.685491</v>
      </c>
      <c r="M910">
        <v>184</v>
      </c>
      <c r="N910" s="1">
        <v>44582</v>
      </c>
      <c r="O910" s="1">
        <v>46099</v>
      </c>
      <c r="P910" s="2">
        <f t="shared" si="324"/>
        <v>4.1533196440793976</v>
      </c>
      <c r="Q910" s="2" t="str">
        <f t="shared" si="325"/>
        <v>Mid</v>
      </c>
      <c r="R910">
        <f t="shared" si="326"/>
        <v>3000</v>
      </c>
      <c r="S910" t="str">
        <f t="shared" si="327"/>
        <v>Small</v>
      </c>
      <c r="T910" t="str">
        <f t="shared" si="328"/>
        <v>Lower EV Adoption Corridor</v>
      </c>
      <c r="U910" s="3">
        <f t="shared" si="329"/>
        <v>5400000</v>
      </c>
      <c r="V910" s="4">
        <f t="shared" si="330"/>
        <v>1320000</v>
      </c>
      <c r="W910" s="3">
        <f t="shared" si="331"/>
        <v>18000000</v>
      </c>
      <c r="X910" s="3">
        <f t="shared" si="332"/>
        <v>9900000</v>
      </c>
      <c r="Y910">
        <f t="shared" si="333"/>
        <v>0.31515151515151513</v>
      </c>
      <c r="Z910">
        <f t="shared" si="334"/>
        <v>0.75555555555555554</v>
      </c>
      <c r="AA910" t="str">
        <f t="shared" si="335"/>
        <v>Tier 2 - Growth Markets</v>
      </c>
      <c r="AB910" s="3">
        <f t="shared" si="336"/>
        <v>110000</v>
      </c>
      <c r="AC910" s="3">
        <f t="shared" si="337"/>
        <v>1500000</v>
      </c>
      <c r="AD910" s="3">
        <f t="shared" si="338"/>
        <v>450000</v>
      </c>
      <c r="AE910" s="5">
        <f t="shared" si="339"/>
        <v>4.4117647058823533</v>
      </c>
      <c r="AF910" s="10">
        <f t="shared" si="340"/>
        <v>818400</v>
      </c>
      <c r="AG910" s="10">
        <f t="shared" si="341"/>
        <v>264000</v>
      </c>
      <c r="AH910" s="10">
        <f t="shared" si="342"/>
        <v>132000</v>
      </c>
      <c r="AI910" s="10">
        <f t="shared" si="343"/>
        <v>66000</v>
      </c>
      <c r="AJ910" s="10">
        <f t="shared" si="344"/>
        <v>39600</v>
      </c>
    </row>
    <row r="911" spans="1:36" x14ac:dyDescent="0.3">
      <c r="A911" t="s">
        <v>3555</v>
      </c>
      <c r="B911" t="s">
        <v>3556</v>
      </c>
      <c r="C911" t="s">
        <v>472</v>
      </c>
      <c r="D911" t="s">
        <v>14</v>
      </c>
      <c r="E911">
        <v>93527</v>
      </c>
      <c r="F911" t="s">
        <v>15</v>
      </c>
      <c r="G911">
        <v>12</v>
      </c>
      <c r="H911">
        <v>250</v>
      </c>
      <c r="I911" t="str" cm="1">
        <f t="array" ref="I911">_xlfn.IFS(H911&lt;=120,"V1",H911&lt;=150,"V2",H911&lt;=250,"V3", H911&lt;=350, "V4")</f>
        <v>V3</v>
      </c>
      <c r="J911" t="s">
        <v>3557</v>
      </c>
      <c r="K911" t="str">
        <f t="shared" si="322"/>
        <v>35.646509</v>
      </c>
      <c r="L911" t="str">
        <f t="shared" si="323"/>
        <v>-117.81326</v>
      </c>
      <c r="M911">
        <v>744</v>
      </c>
      <c r="N911" s="1">
        <v>44445</v>
      </c>
      <c r="O911" s="1">
        <v>46099</v>
      </c>
      <c r="P911" s="2">
        <f t="shared" si="324"/>
        <v>4.5284052019164953</v>
      </c>
      <c r="Q911" s="2" t="str">
        <f t="shared" si="325"/>
        <v>Mid</v>
      </c>
      <c r="R911">
        <f t="shared" si="326"/>
        <v>3000</v>
      </c>
      <c r="S911" t="str">
        <f t="shared" si="327"/>
        <v>Small</v>
      </c>
      <c r="T911" t="str">
        <f t="shared" si="328"/>
        <v>High EV Adoption Corridor</v>
      </c>
      <c r="U911" s="3">
        <f t="shared" si="329"/>
        <v>7020000</v>
      </c>
      <c r="V911" s="4">
        <f t="shared" si="330"/>
        <v>1584000</v>
      </c>
      <c r="W911" s="3">
        <f t="shared" si="331"/>
        <v>19800000</v>
      </c>
      <c r="X911" s="3">
        <f t="shared" si="332"/>
        <v>14850000</v>
      </c>
      <c r="Y911">
        <f t="shared" si="333"/>
        <v>0.24</v>
      </c>
      <c r="Z911">
        <f t="shared" si="334"/>
        <v>0.77435897435897438</v>
      </c>
      <c r="AA911" t="str">
        <f t="shared" si="335"/>
        <v>Tier 1 - Priority Fleet</v>
      </c>
      <c r="AB911" s="3">
        <f t="shared" si="336"/>
        <v>132000</v>
      </c>
      <c r="AC911" s="3">
        <f t="shared" si="337"/>
        <v>1650000</v>
      </c>
      <c r="AD911" s="3">
        <f t="shared" si="338"/>
        <v>585000</v>
      </c>
      <c r="AE911" s="5">
        <f t="shared" si="339"/>
        <v>3.6423841059602649</v>
      </c>
      <c r="AF911" s="10">
        <f t="shared" si="340"/>
        <v>982080</v>
      </c>
      <c r="AG911" s="10">
        <f t="shared" si="341"/>
        <v>316800</v>
      </c>
      <c r="AH911" s="10">
        <f t="shared" si="342"/>
        <v>158400</v>
      </c>
      <c r="AI911" s="10">
        <f t="shared" si="343"/>
        <v>79200</v>
      </c>
      <c r="AJ911" s="10">
        <f t="shared" si="344"/>
        <v>47520</v>
      </c>
    </row>
    <row r="912" spans="1:36" x14ac:dyDescent="0.3">
      <c r="A912" t="s">
        <v>3558</v>
      </c>
      <c r="B912" t="s">
        <v>3559</v>
      </c>
      <c r="C912" t="s">
        <v>3560</v>
      </c>
      <c r="D912" t="s">
        <v>59</v>
      </c>
      <c r="E912">
        <v>60504</v>
      </c>
      <c r="F912" t="s">
        <v>15</v>
      </c>
      <c r="G912">
        <v>12</v>
      </c>
      <c r="H912">
        <v>250</v>
      </c>
      <c r="I912" t="str" cm="1">
        <f t="array" ref="I912">_xlfn.IFS(H912&lt;=120,"V1",H912&lt;=150,"V2",H912&lt;=250,"V3", H912&lt;=350, "V4")</f>
        <v>V3</v>
      </c>
      <c r="J912" t="s">
        <v>3561</v>
      </c>
      <c r="K912" t="str">
        <f t="shared" si="322"/>
        <v>41.769119</v>
      </c>
      <c r="L912" t="str">
        <f t="shared" si="323"/>
        <v>-88.208105</v>
      </c>
      <c r="M912">
        <v>216</v>
      </c>
      <c r="N912" s="1">
        <v>44134</v>
      </c>
      <c r="O912" s="1">
        <v>46099</v>
      </c>
      <c r="P912" s="2">
        <f t="shared" si="324"/>
        <v>5.3798767967145791</v>
      </c>
      <c r="Q912" s="2" t="str">
        <f t="shared" si="325"/>
        <v>Mid</v>
      </c>
      <c r="R912">
        <f t="shared" si="326"/>
        <v>3000</v>
      </c>
      <c r="S912" t="str">
        <f t="shared" si="327"/>
        <v>Small</v>
      </c>
      <c r="T912" t="str">
        <f t="shared" si="328"/>
        <v>Lower EV Adoption Corridor</v>
      </c>
      <c r="U912" s="3">
        <f t="shared" si="329"/>
        <v>5400000</v>
      </c>
      <c r="V912" s="4">
        <f t="shared" si="330"/>
        <v>1320000</v>
      </c>
      <c r="W912" s="3">
        <f t="shared" si="331"/>
        <v>18000000</v>
      </c>
      <c r="X912" s="3">
        <f t="shared" si="332"/>
        <v>9900000</v>
      </c>
      <c r="Y912">
        <f t="shared" si="333"/>
        <v>0.31515151515151513</v>
      </c>
      <c r="Z912">
        <f t="shared" si="334"/>
        <v>0.75555555555555554</v>
      </c>
      <c r="AA912" t="str">
        <f t="shared" si="335"/>
        <v>Tier 2 - Growth Markets</v>
      </c>
      <c r="AB912" s="3">
        <f t="shared" si="336"/>
        <v>110000</v>
      </c>
      <c r="AC912" s="3">
        <f t="shared" si="337"/>
        <v>1500000</v>
      </c>
      <c r="AD912" s="3">
        <f t="shared" si="338"/>
        <v>450000</v>
      </c>
      <c r="AE912" s="5">
        <f t="shared" si="339"/>
        <v>4.4117647058823533</v>
      </c>
      <c r="AF912" s="10">
        <f t="shared" si="340"/>
        <v>818400</v>
      </c>
      <c r="AG912" s="10">
        <f t="shared" si="341"/>
        <v>264000</v>
      </c>
      <c r="AH912" s="10">
        <f t="shared" si="342"/>
        <v>132000</v>
      </c>
      <c r="AI912" s="10">
        <f t="shared" si="343"/>
        <v>66000</v>
      </c>
      <c r="AJ912" s="10">
        <f t="shared" si="344"/>
        <v>39600</v>
      </c>
    </row>
    <row r="913" spans="1:36" x14ac:dyDescent="0.3">
      <c r="A913" t="s">
        <v>3562</v>
      </c>
      <c r="B913" t="s">
        <v>3563</v>
      </c>
      <c r="C913" t="s">
        <v>3564</v>
      </c>
      <c r="D913" t="s">
        <v>125</v>
      </c>
      <c r="E913">
        <v>29418</v>
      </c>
      <c r="F913" t="s">
        <v>15</v>
      </c>
      <c r="G913">
        <v>8</v>
      </c>
      <c r="H913">
        <v>250</v>
      </c>
      <c r="I913" t="str" cm="1">
        <f t="array" ref="I913">_xlfn.IFS(H913&lt;=120,"V1",H913&lt;=150,"V2",H913&lt;=250,"V3", H913&lt;=350, "V4")</f>
        <v>V3</v>
      </c>
      <c r="J913" t="s">
        <v>3565</v>
      </c>
      <c r="K913" t="str">
        <f t="shared" si="322"/>
        <v>32.872626</v>
      </c>
      <c r="L913" t="str">
        <f t="shared" si="323"/>
        <v>-80.015535</v>
      </c>
      <c r="M913">
        <v>6</v>
      </c>
      <c r="N913" s="1">
        <v>44133</v>
      </c>
      <c r="O913" s="1">
        <v>46099</v>
      </c>
      <c r="P913" s="2">
        <f t="shared" si="324"/>
        <v>5.3826146475017111</v>
      </c>
      <c r="Q913" s="2" t="str">
        <f t="shared" si="325"/>
        <v>Mid</v>
      </c>
      <c r="R913">
        <f t="shared" si="326"/>
        <v>2000</v>
      </c>
      <c r="S913" t="str">
        <f t="shared" si="327"/>
        <v>Small</v>
      </c>
      <c r="T913" t="str">
        <f t="shared" si="328"/>
        <v>Lower EV Adoption Corridor</v>
      </c>
      <c r="U913" s="3">
        <f t="shared" si="329"/>
        <v>3600000</v>
      </c>
      <c r="V913" s="4">
        <f t="shared" si="330"/>
        <v>880000.00000000012</v>
      </c>
      <c r="W913" s="3">
        <f t="shared" si="331"/>
        <v>12000000</v>
      </c>
      <c r="X913" s="3">
        <f t="shared" si="332"/>
        <v>6600000.0000000009</v>
      </c>
      <c r="Y913">
        <f t="shared" si="333"/>
        <v>0.31515151515151513</v>
      </c>
      <c r="Z913">
        <f t="shared" si="334"/>
        <v>0.75555555555555554</v>
      </c>
      <c r="AA913" t="str">
        <f t="shared" si="335"/>
        <v>Tier 2 - Growth Markets</v>
      </c>
      <c r="AB913" s="3">
        <f t="shared" si="336"/>
        <v>110000.00000000001</v>
      </c>
      <c r="AC913" s="3">
        <f t="shared" si="337"/>
        <v>1500000</v>
      </c>
      <c r="AD913" s="3">
        <f t="shared" si="338"/>
        <v>450000</v>
      </c>
      <c r="AE913" s="5">
        <f t="shared" si="339"/>
        <v>4.4117647058823533</v>
      </c>
      <c r="AF913" s="10">
        <f t="shared" si="340"/>
        <v>545600.00000000012</v>
      </c>
      <c r="AG913" s="10">
        <f t="shared" si="341"/>
        <v>176000.00000000003</v>
      </c>
      <c r="AH913" s="10">
        <f t="shared" si="342"/>
        <v>88000.000000000015</v>
      </c>
      <c r="AI913" s="10">
        <f t="shared" si="343"/>
        <v>44000.000000000007</v>
      </c>
      <c r="AJ913" s="10">
        <f t="shared" si="344"/>
        <v>26400.000000000004</v>
      </c>
    </row>
    <row r="914" spans="1:36" x14ac:dyDescent="0.3">
      <c r="A914" t="s">
        <v>3566</v>
      </c>
      <c r="B914" t="s">
        <v>3567</v>
      </c>
      <c r="C914" t="s">
        <v>3568</v>
      </c>
      <c r="D914" t="s">
        <v>230</v>
      </c>
      <c r="E914">
        <v>98822</v>
      </c>
      <c r="F914" t="s">
        <v>15</v>
      </c>
      <c r="G914">
        <v>8</v>
      </c>
      <c r="H914">
        <v>250</v>
      </c>
      <c r="I914" t="str" cm="1">
        <f t="array" ref="I914">_xlfn.IFS(H914&lt;=120,"V1",H914&lt;=150,"V2",H914&lt;=250,"V3", H914&lt;=350, "V4")</f>
        <v>V3</v>
      </c>
      <c r="J914" t="s">
        <v>3569</v>
      </c>
      <c r="K914" t="str">
        <f t="shared" si="322"/>
        <v>47.684662</v>
      </c>
      <c r="L914" t="str">
        <f t="shared" si="323"/>
        <v>-120.206959</v>
      </c>
      <c r="M914">
        <v>237</v>
      </c>
      <c r="N914" s="1">
        <v>44188</v>
      </c>
      <c r="O914" s="1">
        <v>46099</v>
      </c>
      <c r="P914" s="2">
        <f t="shared" si="324"/>
        <v>5.2320328542094456</v>
      </c>
      <c r="Q914" s="2" t="str">
        <f t="shared" si="325"/>
        <v>Mid</v>
      </c>
      <c r="R914">
        <f t="shared" si="326"/>
        <v>2000</v>
      </c>
      <c r="S914" t="str">
        <f t="shared" si="327"/>
        <v>Small</v>
      </c>
      <c r="T914" t="str">
        <f t="shared" si="328"/>
        <v>High EV Adoption Corridor</v>
      </c>
      <c r="U914" s="3">
        <f t="shared" si="329"/>
        <v>4680000</v>
      </c>
      <c r="V914" s="4">
        <f t="shared" si="330"/>
        <v>1056000</v>
      </c>
      <c r="W914" s="3">
        <f t="shared" si="331"/>
        <v>13200000.000000002</v>
      </c>
      <c r="X914" s="3">
        <f t="shared" si="332"/>
        <v>9900000.0000000019</v>
      </c>
      <c r="Y914">
        <f t="shared" si="333"/>
        <v>0.23999999999999996</v>
      </c>
      <c r="Z914">
        <f t="shared" si="334"/>
        <v>0.77435897435897438</v>
      </c>
      <c r="AA914" t="str">
        <f t="shared" si="335"/>
        <v>Tier 1 - Priority Fleet</v>
      </c>
      <c r="AB914" s="3">
        <f t="shared" si="336"/>
        <v>132000</v>
      </c>
      <c r="AC914" s="3">
        <f t="shared" si="337"/>
        <v>1650000.0000000002</v>
      </c>
      <c r="AD914" s="3">
        <f t="shared" si="338"/>
        <v>585000</v>
      </c>
      <c r="AE914" s="5">
        <f t="shared" si="339"/>
        <v>3.6423841059602653</v>
      </c>
      <c r="AF914" s="10">
        <f t="shared" si="340"/>
        <v>654720</v>
      </c>
      <c r="AG914" s="10">
        <f t="shared" si="341"/>
        <v>211200</v>
      </c>
      <c r="AH914" s="10">
        <f t="shared" si="342"/>
        <v>105600</v>
      </c>
      <c r="AI914" s="10">
        <f t="shared" si="343"/>
        <v>52800</v>
      </c>
      <c r="AJ914" s="10">
        <f t="shared" si="344"/>
        <v>31680</v>
      </c>
    </row>
    <row r="915" spans="1:36" x14ac:dyDescent="0.3">
      <c r="A915" t="s">
        <v>3570</v>
      </c>
      <c r="B915" t="s">
        <v>3571</v>
      </c>
      <c r="C915" t="s">
        <v>40</v>
      </c>
      <c r="D915" t="s">
        <v>41</v>
      </c>
      <c r="E915">
        <v>32114</v>
      </c>
      <c r="F915" t="s">
        <v>15</v>
      </c>
      <c r="G915">
        <v>12</v>
      </c>
      <c r="H915">
        <v>250</v>
      </c>
      <c r="I915" t="str" cm="1">
        <f t="array" ref="I915">_xlfn.IFS(H915&lt;=120,"V1",H915&lt;=150,"V2",H915&lt;=250,"V3", H915&lt;=350, "V4")</f>
        <v>V3</v>
      </c>
      <c r="J915" t="s">
        <v>3572</v>
      </c>
      <c r="K915" t="str">
        <f t="shared" si="322"/>
        <v>29.183314</v>
      </c>
      <c r="L915" t="str">
        <f t="shared" si="323"/>
        <v>-81.07889</v>
      </c>
      <c r="M915">
        <v>8</v>
      </c>
      <c r="N915" s="1">
        <v>44130</v>
      </c>
      <c r="O915" s="1">
        <v>46099</v>
      </c>
      <c r="P915" s="2">
        <f t="shared" si="324"/>
        <v>5.3908281998631074</v>
      </c>
      <c r="Q915" s="2" t="str">
        <f t="shared" si="325"/>
        <v>Mid</v>
      </c>
      <c r="R915">
        <f t="shared" si="326"/>
        <v>3000</v>
      </c>
      <c r="S915" t="str">
        <f t="shared" si="327"/>
        <v>Small</v>
      </c>
      <c r="T915" t="str">
        <f t="shared" si="328"/>
        <v>High EV Adoption Corridor</v>
      </c>
      <c r="U915" s="3">
        <f t="shared" si="329"/>
        <v>7020000</v>
      </c>
      <c r="V915" s="4">
        <f t="shared" si="330"/>
        <v>1584000</v>
      </c>
      <c r="W915" s="3">
        <f t="shared" si="331"/>
        <v>19800000</v>
      </c>
      <c r="X915" s="3">
        <f t="shared" si="332"/>
        <v>14850000</v>
      </c>
      <c r="Y915">
        <f t="shared" si="333"/>
        <v>0.24</v>
      </c>
      <c r="Z915">
        <f t="shared" si="334"/>
        <v>0.77435897435897438</v>
      </c>
      <c r="AA915" t="str">
        <f t="shared" si="335"/>
        <v>Tier 1 - Priority Fleet</v>
      </c>
      <c r="AB915" s="3">
        <f t="shared" si="336"/>
        <v>132000</v>
      </c>
      <c r="AC915" s="3">
        <f t="shared" si="337"/>
        <v>1650000</v>
      </c>
      <c r="AD915" s="3">
        <f t="shared" si="338"/>
        <v>585000</v>
      </c>
      <c r="AE915" s="5">
        <f t="shared" si="339"/>
        <v>3.6423841059602649</v>
      </c>
      <c r="AF915" s="10">
        <f t="shared" si="340"/>
        <v>982080</v>
      </c>
      <c r="AG915" s="10">
        <f t="shared" si="341"/>
        <v>316800</v>
      </c>
      <c r="AH915" s="10">
        <f t="shared" si="342"/>
        <v>158400</v>
      </c>
      <c r="AI915" s="10">
        <f t="shared" si="343"/>
        <v>79200</v>
      </c>
      <c r="AJ915" s="10">
        <f t="shared" si="344"/>
        <v>47520</v>
      </c>
    </row>
    <row r="916" spans="1:36" x14ac:dyDescent="0.3">
      <c r="A916" t="s">
        <v>3573</v>
      </c>
      <c r="B916" t="s">
        <v>3574</v>
      </c>
      <c r="C916" t="s">
        <v>3575</v>
      </c>
      <c r="D916" t="s">
        <v>316</v>
      </c>
      <c r="E916">
        <v>97504</v>
      </c>
      <c r="F916" t="s">
        <v>15</v>
      </c>
      <c r="G916">
        <v>12</v>
      </c>
      <c r="H916">
        <v>250</v>
      </c>
      <c r="I916" t="str" cm="1">
        <f t="array" ref="I916">_xlfn.IFS(H916&lt;=120,"V1",H916&lt;=150,"V2",H916&lt;=250,"V3", H916&lt;=350, "V4")</f>
        <v>V3</v>
      </c>
      <c r="J916" t="s">
        <v>3576</v>
      </c>
      <c r="K916" t="str">
        <f t="shared" si="322"/>
        <v>42.347992</v>
      </c>
      <c r="L916" t="str">
        <f t="shared" si="323"/>
        <v>-122.878882</v>
      </c>
      <c r="M916">
        <v>402</v>
      </c>
      <c r="N916" s="1">
        <v>44139</v>
      </c>
      <c r="O916" s="1">
        <v>46099</v>
      </c>
      <c r="P916" s="2">
        <f t="shared" si="324"/>
        <v>5.3661875427789187</v>
      </c>
      <c r="Q916" s="2" t="str">
        <f t="shared" si="325"/>
        <v>Mid</v>
      </c>
      <c r="R916">
        <f t="shared" si="326"/>
        <v>3000</v>
      </c>
      <c r="S916" t="str">
        <f t="shared" si="327"/>
        <v>Small</v>
      </c>
      <c r="T916" t="str">
        <f t="shared" si="328"/>
        <v>Lower EV Adoption Corridor</v>
      </c>
      <c r="U916" s="3">
        <f t="shared" si="329"/>
        <v>5400000</v>
      </c>
      <c r="V916" s="4">
        <f t="shared" si="330"/>
        <v>1320000</v>
      </c>
      <c r="W916" s="3">
        <f t="shared" si="331"/>
        <v>18000000</v>
      </c>
      <c r="X916" s="3">
        <f t="shared" si="332"/>
        <v>9900000</v>
      </c>
      <c r="Y916">
        <f t="shared" si="333"/>
        <v>0.31515151515151513</v>
      </c>
      <c r="Z916">
        <f t="shared" si="334"/>
        <v>0.75555555555555554</v>
      </c>
      <c r="AA916" t="str">
        <f t="shared" si="335"/>
        <v>Tier 2 - Growth Markets</v>
      </c>
      <c r="AB916" s="3">
        <f t="shared" si="336"/>
        <v>110000</v>
      </c>
      <c r="AC916" s="3">
        <f t="shared" si="337"/>
        <v>1500000</v>
      </c>
      <c r="AD916" s="3">
        <f t="shared" si="338"/>
        <v>450000</v>
      </c>
      <c r="AE916" s="5">
        <f t="shared" si="339"/>
        <v>4.4117647058823533</v>
      </c>
      <c r="AF916" s="10">
        <f t="shared" si="340"/>
        <v>818400</v>
      </c>
      <c r="AG916" s="10">
        <f t="shared" si="341"/>
        <v>264000</v>
      </c>
      <c r="AH916" s="10">
        <f t="shared" si="342"/>
        <v>132000</v>
      </c>
      <c r="AI916" s="10">
        <f t="shared" si="343"/>
        <v>66000</v>
      </c>
      <c r="AJ916" s="10">
        <f t="shared" si="344"/>
        <v>39600</v>
      </c>
    </row>
    <row r="917" spans="1:36" x14ac:dyDescent="0.3">
      <c r="A917" t="s">
        <v>3577</v>
      </c>
      <c r="B917" t="s">
        <v>3578</v>
      </c>
      <c r="C917" t="s">
        <v>3579</v>
      </c>
      <c r="D917" t="s">
        <v>59</v>
      </c>
      <c r="E917">
        <v>60089</v>
      </c>
      <c r="F917" t="s">
        <v>15</v>
      </c>
      <c r="G917">
        <v>12</v>
      </c>
      <c r="H917">
        <v>250</v>
      </c>
      <c r="I917" t="str" cm="1">
        <f t="array" ref="I917">_xlfn.IFS(H917&lt;=120,"V1",H917&lt;=150,"V2",H917&lt;=250,"V3", H917&lt;=350, "V4")</f>
        <v>V3</v>
      </c>
      <c r="J917" t="s">
        <v>3580</v>
      </c>
      <c r="K917" t="str">
        <f t="shared" si="322"/>
        <v>42.168699</v>
      </c>
      <c r="L917" t="str">
        <f t="shared" si="323"/>
        <v>-87.923841</v>
      </c>
      <c r="M917">
        <v>197</v>
      </c>
      <c r="N917" s="1">
        <v>44142</v>
      </c>
      <c r="O917" s="1">
        <v>46099</v>
      </c>
      <c r="P917" s="2">
        <f t="shared" si="324"/>
        <v>5.3579739904175225</v>
      </c>
      <c r="Q917" s="2" t="str">
        <f t="shared" si="325"/>
        <v>Mid</v>
      </c>
      <c r="R917">
        <f t="shared" si="326"/>
        <v>3000</v>
      </c>
      <c r="S917" t="str">
        <f t="shared" si="327"/>
        <v>Small</v>
      </c>
      <c r="T917" t="str">
        <f t="shared" si="328"/>
        <v>Lower EV Adoption Corridor</v>
      </c>
      <c r="U917" s="3">
        <f t="shared" si="329"/>
        <v>5400000</v>
      </c>
      <c r="V917" s="4">
        <f t="shared" si="330"/>
        <v>1320000</v>
      </c>
      <c r="W917" s="3">
        <f t="shared" si="331"/>
        <v>18000000</v>
      </c>
      <c r="X917" s="3">
        <f t="shared" si="332"/>
        <v>9900000</v>
      </c>
      <c r="Y917">
        <f t="shared" si="333"/>
        <v>0.31515151515151513</v>
      </c>
      <c r="Z917">
        <f t="shared" si="334"/>
        <v>0.75555555555555554</v>
      </c>
      <c r="AA917" t="str">
        <f t="shared" si="335"/>
        <v>Tier 2 - Growth Markets</v>
      </c>
      <c r="AB917" s="3">
        <f t="shared" si="336"/>
        <v>110000</v>
      </c>
      <c r="AC917" s="3">
        <f t="shared" si="337"/>
        <v>1500000</v>
      </c>
      <c r="AD917" s="3">
        <f t="shared" si="338"/>
        <v>450000</v>
      </c>
      <c r="AE917" s="5">
        <f t="shared" si="339"/>
        <v>4.4117647058823533</v>
      </c>
      <c r="AF917" s="10">
        <f t="shared" si="340"/>
        <v>818400</v>
      </c>
      <c r="AG917" s="10">
        <f t="shared" si="341"/>
        <v>264000</v>
      </c>
      <c r="AH917" s="10">
        <f t="shared" si="342"/>
        <v>132000</v>
      </c>
      <c r="AI917" s="10">
        <f t="shared" si="343"/>
        <v>66000</v>
      </c>
      <c r="AJ917" s="10">
        <f t="shared" si="344"/>
        <v>39600</v>
      </c>
    </row>
    <row r="918" spans="1:36" x14ac:dyDescent="0.3">
      <c r="A918" t="s">
        <v>3581</v>
      </c>
      <c r="B918" t="s">
        <v>3582</v>
      </c>
      <c r="C918" t="s">
        <v>3583</v>
      </c>
      <c r="D918" t="s">
        <v>98</v>
      </c>
      <c r="E918">
        <v>6120</v>
      </c>
      <c r="F918" t="s">
        <v>15</v>
      </c>
      <c r="G918">
        <v>12</v>
      </c>
      <c r="H918">
        <v>150</v>
      </c>
      <c r="I918" t="str" cm="1">
        <f t="array" ref="I918">_xlfn.IFS(H918&lt;=120,"V1",H918&lt;=150,"V2",H918&lt;=250,"V3", H918&lt;=350, "V4")</f>
        <v>V2</v>
      </c>
      <c r="J918" t="s">
        <v>3584</v>
      </c>
      <c r="K918" t="str">
        <f t="shared" si="322"/>
        <v>41.788236</v>
      </c>
      <c r="L918" t="str">
        <f t="shared" si="323"/>
        <v>-72.65582</v>
      </c>
      <c r="M918">
        <v>7</v>
      </c>
      <c r="N918" s="1">
        <v>44134</v>
      </c>
      <c r="O918" s="1">
        <v>46099</v>
      </c>
      <c r="P918" s="2">
        <f t="shared" si="324"/>
        <v>5.3798767967145791</v>
      </c>
      <c r="Q918" s="2" t="str">
        <f t="shared" si="325"/>
        <v>Mid</v>
      </c>
      <c r="R918">
        <f t="shared" si="326"/>
        <v>1800</v>
      </c>
      <c r="S918" t="str">
        <f t="shared" si="327"/>
        <v>Small</v>
      </c>
      <c r="T918" t="str">
        <f t="shared" si="328"/>
        <v>Lower EV Adoption Corridor</v>
      </c>
      <c r="U918" s="3">
        <f t="shared" si="329"/>
        <v>2970000.0000000005</v>
      </c>
      <c r="V918" s="4">
        <f t="shared" si="330"/>
        <v>720000</v>
      </c>
      <c r="W918" s="3">
        <f t="shared" si="331"/>
        <v>9000000</v>
      </c>
      <c r="X918" s="3">
        <f t="shared" si="332"/>
        <v>5400000</v>
      </c>
      <c r="Y918">
        <f t="shared" si="333"/>
        <v>0.3</v>
      </c>
      <c r="Z918">
        <f t="shared" si="334"/>
        <v>0.75757575757575757</v>
      </c>
      <c r="AA918" t="str">
        <f t="shared" si="335"/>
        <v>Tier 4 - Stable Network</v>
      </c>
      <c r="AB918" s="3">
        <f t="shared" si="336"/>
        <v>60000</v>
      </c>
      <c r="AC918" s="3">
        <f t="shared" si="337"/>
        <v>750000</v>
      </c>
      <c r="AD918" s="3">
        <f t="shared" si="338"/>
        <v>247500.00000000003</v>
      </c>
      <c r="AE918" s="5">
        <f t="shared" si="339"/>
        <v>3.9999999999999991</v>
      </c>
      <c r="AF918" s="10">
        <f t="shared" si="340"/>
        <v>446400</v>
      </c>
      <c r="AG918" s="10">
        <f t="shared" si="341"/>
        <v>144000</v>
      </c>
      <c r="AH918" s="10">
        <f t="shared" si="342"/>
        <v>72000</v>
      </c>
      <c r="AI918" s="10">
        <f t="shared" si="343"/>
        <v>36000</v>
      </c>
      <c r="AJ918" s="10">
        <f t="shared" si="344"/>
        <v>21600</v>
      </c>
    </row>
    <row r="919" spans="1:36" x14ac:dyDescent="0.3">
      <c r="A919" t="s">
        <v>3585</v>
      </c>
      <c r="B919" t="s">
        <v>3586</v>
      </c>
      <c r="C919" t="s">
        <v>349</v>
      </c>
      <c r="D919" t="s">
        <v>350</v>
      </c>
      <c r="E919">
        <v>70810</v>
      </c>
      <c r="F919" t="s">
        <v>15</v>
      </c>
      <c r="G919">
        <v>8</v>
      </c>
      <c r="H919">
        <v>250</v>
      </c>
      <c r="I919" t="str" cm="1">
        <f t="array" ref="I919">_xlfn.IFS(H919&lt;=120,"V1",H919&lt;=150,"V2",H919&lt;=250,"V3", H919&lt;=350, "V4")</f>
        <v>V3</v>
      </c>
      <c r="J919" t="s">
        <v>3587</v>
      </c>
      <c r="K919" t="str">
        <f t="shared" si="322"/>
        <v>30.348888</v>
      </c>
      <c r="L919" t="str">
        <f t="shared" si="323"/>
        <v>-91.028019</v>
      </c>
      <c r="M919">
        <v>6</v>
      </c>
      <c r="N919" s="1">
        <v>45015</v>
      </c>
      <c r="O919" s="1">
        <v>46099</v>
      </c>
      <c r="P919" s="2">
        <f t="shared" si="324"/>
        <v>2.967830253251198</v>
      </c>
      <c r="Q919" s="2" t="str">
        <f t="shared" si="325"/>
        <v>New</v>
      </c>
      <c r="R919">
        <f t="shared" si="326"/>
        <v>2000</v>
      </c>
      <c r="S919" t="str">
        <f t="shared" si="327"/>
        <v>Small</v>
      </c>
      <c r="T919" t="str">
        <f t="shared" si="328"/>
        <v>Lower EV Adoption Corridor</v>
      </c>
      <c r="U919" s="3">
        <f t="shared" si="329"/>
        <v>3600000</v>
      </c>
      <c r="V919" s="4">
        <f t="shared" si="330"/>
        <v>880000.00000000012</v>
      </c>
      <c r="W919" s="3">
        <f t="shared" si="331"/>
        <v>12000000</v>
      </c>
      <c r="X919" s="3">
        <f t="shared" si="332"/>
        <v>6600000.0000000009</v>
      </c>
      <c r="Y919">
        <f t="shared" si="333"/>
        <v>0.31515151515151513</v>
      </c>
      <c r="Z919">
        <f t="shared" si="334"/>
        <v>0.75555555555555554</v>
      </c>
      <c r="AA919" t="str">
        <f t="shared" si="335"/>
        <v>Tier 2 - Growth Markets</v>
      </c>
      <c r="AB919" s="3">
        <f t="shared" si="336"/>
        <v>110000.00000000001</v>
      </c>
      <c r="AC919" s="3">
        <f t="shared" si="337"/>
        <v>1500000</v>
      </c>
      <c r="AD919" s="3">
        <f t="shared" si="338"/>
        <v>450000</v>
      </c>
      <c r="AE919" s="5">
        <f t="shared" si="339"/>
        <v>4.4117647058823533</v>
      </c>
      <c r="AF919" s="10">
        <f t="shared" si="340"/>
        <v>545600.00000000012</v>
      </c>
      <c r="AG919" s="10">
        <f t="shared" si="341"/>
        <v>176000.00000000003</v>
      </c>
      <c r="AH919" s="10">
        <f t="shared" si="342"/>
        <v>88000.000000000015</v>
      </c>
      <c r="AI919" s="10">
        <f t="shared" si="343"/>
        <v>44000.000000000007</v>
      </c>
      <c r="AJ919" s="10">
        <f t="shared" si="344"/>
        <v>26400.000000000004</v>
      </c>
    </row>
    <row r="920" spans="1:36" x14ac:dyDescent="0.3">
      <c r="A920" t="s">
        <v>3588</v>
      </c>
      <c r="B920" t="s">
        <v>3589</v>
      </c>
      <c r="C920" t="s">
        <v>3590</v>
      </c>
      <c r="D920" t="s">
        <v>1412</v>
      </c>
      <c r="E920">
        <v>19703</v>
      </c>
      <c r="F920" t="s">
        <v>15</v>
      </c>
      <c r="G920">
        <v>8</v>
      </c>
      <c r="H920">
        <v>250</v>
      </c>
      <c r="I920" t="str" cm="1">
        <f t="array" ref="I920">_xlfn.IFS(H920&lt;=120,"V1",H920&lt;=150,"V2",H920&lt;=250,"V3", H920&lt;=350, "V4")</f>
        <v>V3</v>
      </c>
      <c r="J920" t="s">
        <v>3591</v>
      </c>
      <c r="K920" t="str">
        <f t="shared" si="322"/>
        <v>39.794717</v>
      </c>
      <c r="L920" t="str">
        <f t="shared" si="323"/>
        <v>-75.469534</v>
      </c>
      <c r="M920">
        <v>29</v>
      </c>
      <c r="N920" s="1">
        <v>44132</v>
      </c>
      <c r="O920" s="1">
        <v>46099</v>
      </c>
      <c r="P920" s="2">
        <f t="shared" si="324"/>
        <v>5.3853524982888432</v>
      </c>
      <c r="Q920" s="2" t="str">
        <f t="shared" si="325"/>
        <v>Mid</v>
      </c>
      <c r="R920">
        <f t="shared" si="326"/>
        <v>2000</v>
      </c>
      <c r="S920" t="str">
        <f t="shared" si="327"/>
        <v>Small</v>
      </c>
      <c r="T920" t="str">
        <f t="shared" si="328"/>
        <v>Lower EV Adoption Corridor</v>
      </c>
      <c r="U920" s="3">
        <f t="shared" si="329"/>
        <v>3600000</v>
      </c>
      <c r="V920" s="4">
        <f t="shared" si="330"/>
        <v>880000.00000000012</v>
      </c>
      <c r="W920" s="3">
        <f t="shared" si="331"/>
        <v>12000000</v>
      </c>
      <c r="X920" s="3">
        <f t="shared" si="332"/>
        <v>6600000.0000000009</v>
      </c>
      <c r="Y920">
        <f t="shared" si="333"/>
        <v>0.31515151515151513</v>
      </c>
      <c r="Z920">
        <f t="shared" si="334"/>
        <v>0.75555555555555554</v>
      </c>
      <c r="AA920" t="str">
        <f t="shared" si="335"/>
        <v>Tier 2 - Growth Markets</v>
      </c>
      <c r="AB920" s="3">
        <f t="shared" si="336"/>
        <v>110000.00000000001</v>
      </c>
      <c r="AC920" s="3">
        <f t="shared" si="337"/>
        <v>1500000</v>
      </c>
      <c r="AD920" s="3">
        <f t="shared" si="338"/>
        <v>450000</v>
      </c>
      <c r="AE920" s="5">
        <f t="shared" si="339"/>
        <v>4.4117647058823533</v>
      </c>
      <c r="AF920" s="10">
        <f t="shared" si="340"/>
        <v>545600.00000000012</v>
      </c>
      <c r="AG920" s="10">
        <f t="shared" si="341"/>
        <v>176000.00000000003</v>
      </c>
      <c r="AH920" s="10">
        <f t="shared" si="342"/>
        <v>88000.000000000015</v>
      </c>
      <c r="AI920" s="10">
        <f t="shared" si="343"/>
        <v>44000.000000000007</v>
      </c>
      <c r="AJ920" s="10">
        <f t="shared" si="344"/>
        <v>26400.000000000004</v>
      </c>
    </row>
    <row r="921" spans="1:36" x14ac:dyDescent="0.3">
      <c r="A921" t="s">
        <v>3592</v>
      </c>
      <c r="B921" t="s">
        <v>3593</v>
      </c>
      <c r="C921" t="s">
        <v>1034</v>
      </c>
      <c r="D921" t="s">
        <v>14</v>
      </c>
      <c r="E921">
        <v>95642</v>
      </c>
      <c r="F921" t="s">
        <v>15</v>
      </c>
      <c r="G921">
        <v>8</v>
      </c>
      <c r="H921">
        <v>250</v>
      </c>
      <c r="I921" t="str" cm="1">
        <f t="array" ref="I921">_xlfn.IFS(H921&lt;=120,"V1",H921&lt;=150,"V2",H921&lt;=250,"V3", H921&lt;=350, "V4")</f>
        <v>V3</v>
      </c>
      <c r="J921" t="s">
        <v>3594</v>
      </c>
      <c r="K921" t="str">
        <f t="shared" si="322"/>
        <v>38.347998</v>
      </c>
      <c r="L921" t="str">
        <f t="shared" si="323"/>
        <v>-120.7766</v>
      </c>
      <c r="M921">
        <v>374</v>
      </c>
      <c r="N921" s="1">
        <v>44140</v>
      </c>
      <c r="O921" s="1">
        <v>46099</v>
      </c>
      <c r="P921" s="2">
        <f t="shared" si="324"/>
        <v>5.3634496919917867</v>
      </c>
      <c r="Q921" s="2" t="str">
        <f t="shared" si="325"/>
        <v>Mid</v>
      </c>
      <c r="R921">
        <f t="shared" si="326"/>
        <v>2000</v>
      </c>
      <c r="S921" t="str">
        <f t="shared" si="327"/>
        <v>Small</v>
      </c>
      <c r="T921" t="str">
        <f t="shared" si="328"/>
        <v>High EV Adoption Corridor</v>
      </c>
      <c r="U921" s="3">
        <f t="shared" si="329"/>
        <v>4680000</v>
      </c>
      <c r="V921" s="4">
        <f t="shared" si="330"/>
        <v>1056000</v>
      </c>
      <c r="W921" s="3">
        <f t="shared" si="331"/>
        <v>13200000.000000002</v>
      </c>
      <c r="X921" s="3">
        <f t="shared" si="332"/>
        <v>9900000.0000000019</v>
      </c>
      <c r="Y921">
        <f t="shared" si="333"/>
        <v>0.23999999999999996</v>
      </c>
      <c r="Z921">
        <f t="shared" si="334"/>
        <v>0.77435897435897438</v>
      </c>
      <c r="AA921" t="str">
        <f t="shared" si="335"/>
        <v>Tier 1 - Priority Fleet</v>
      </c>
      <c r="AB921" s="3">
        <f t="shared" si="336"/>
        <v>132000</v>
      </c>
      <c r="AC921" s="3">
        <f t="shared" si="337"/>
        <v>1650000.0000000002</v>
      </c>
      <c r="AD921" s="3">
        <f t="shared" si="338"/>
        <v>585000</v>
      </c>
      <c r="AE921" s="5">
        <f t="shared" si="339"/>
        <v>3.6423841059602653</v>
      </c>
      <c r="AF921" s="10">
        <f t="shared" si="340"/>
        <v>654720</v>
      </c>
      <c r="AG921" s="10">
        <f t="shared" si="341"/>
        <v>211200</v>
      </c>
      <c r="AH921" s="10">
        <f t="shared" si="342"/>
        <v>105600</v>
      </c>
      <c r="AI921" s="10">
        <f t="shared" si="343"/>
        <v>52800</v>
      </c>
      <c r="AJ921" s="10">
        <f t="shared" si="344"/>
        <v>31680</v>
      </c>
    </row>
    <row r="922" spans="1:36" x14ac:dyDescent="0.3">
      <c r="A922" t="s">
        <v>3595</v>
      </c>
      <c r="B922" t="s">
        <v>3596</v>
      </c>
      <c r="C922" t="s">
        <v>3597</v>
      </c>
      <c r="D922" t="s">
        <v>14</v>
      </c>
      <c r="E922">
        <v>95207</v>
      </c>
      <c r="F922" t="s">
        <v>15</v>
      </c>
      <c r="G922">
        <v>12</v>
      </c>
      <c r="H922">
        <v>250</v>
      </c>
      <c r="I922" t="str" cm="1">
        <f t="array" ref="I922">_xlfn.IFS(H922&lt;=120,"V1",H922&lt;=150,"V2",H922&lt;=250,"V3", H922&lt;=350, "V4")</f>
        <v>V3</v>
      </c>
      <c r="J922" t="s">
        <v>3598</v>
      </c>
      <c r="K922" t="str">
        <f t="shared" si="322"/>
        <v>37.984978</v>
      </c>
      <c r="L922" t="str">
        <f t="shared" si="323"/>
        <v>-121.335924</v>
      </c>
      <c r="M922">
        <v>3</v>
      </c>
      <c r="N922" s="1">
        <v>44148</v>
      </c>
      <c r="O922" s="1">
        <v>46099</v>
      </c>
      <c r="P922" s="2">
        <f t="shared" si="324"/>
        <v>5.3415468856947292</v>
      </c>
      <c r="Q922" s="2" t="str">
        <f t="shared" si="325"/>
        <v>Mid</v>
      </c>
      <c r="R922">
        <f t="shared" si="326"/>
        <v>3000</v>
      </c>
      <c r="S922" t="str">
        <f t="shared" si="327"/>
        <v>Small</v>
      </c>
      <c r="T922" t="str">
        <f t="shared" si="328"/>
        <v>High EV Adoption Corridor</v>
      </c>
      <c r="U922" s="3">
        <f t="shared" si="329"/>
        <v>7020000</v>
      </c>
      <c r="V922" s="4">
        <f t="shared" si="330"/>
        <v>1584000</v>
      </c>
      <c r="W922" s="3">
        <f t="shared" si="331"/>
        <v>19800000</v>
      </c>
      <c r="X922" s="3">
        <f t="shared" si="332"/>
        <v>14850000</v>
      </c>
      <c r="Y922">
        <f t="shared" si="333"/>
        <v>0.24</v>
      </c>
      <c r="Z922">
        <f t="shared" si="334"/>
        <v>0.77435897435897438</v>
      </c>
      <c r="AA922" t="str">
        <f t="shared" si="335"/>
        <v>Tier 1 - Priority Fleet</v>
      </c>
      <c r="AB922" s="3">
        <f t="shared" si="336"/>
        <v>132000</v>
      </c>
      <c r="AC922" s="3">
        <f t="shared" si="337"/>
        <v>1650000</v>
      </c>
      <c r="AD922" s="3">
        <f t="shared" si="338"/>
        <v>585000</v>
      </c>
      <c r="AE922" s="5">
        <f t="shared" si="339"/>
        <v>3.6423841059602649</v>
      </c>
      <c r="AF922" s="10">
        <f t="shared" si="340"/>
        <v>982080</v>
      </c>
      <c r="AG922" s="10">
        <f t="shared" si="341"/>
        <v>316800</v>
      </c>
      <c r="AH922" s="10">
        <f t="shared" si="342"/>
        <v>158400</v>
      </c>
      <c r="AI922" s="10">
        <f t="shared" si="343"/>
        <v>79200</v>
      </c>
      <c r="AJ922" s="10">
        <f t="shared" si="344"/>
        <v>47520</v>
      </c>
    </row>
    <row r="923" spans="1:36" x14ac:dyDescent="0.3">
      <c r="A923" t="s">
        <v>3599</v>
      </c>
      <c r="B923" t="s">
        <v>3600</v>
      </c>
      <c r="C923" t="s">
        <v>3601</v>
      </c>
      <c r="D923" t="s">
        <v>14</v>
      </c>
      <c r="E923">
        <v>93622</v>
      </c>
      <c r="F923" t="s">
        <v>15</v>
      </c>
      <c r="G923">
        <v>56</v>
      </c>
      <c r="H923">
        <v>250</v>
      </c>
      <c r="I923" t="str" cm="1">
        <f t="array" ref="I923">_xlfn.IFS(H923&lt;=120,"V1",H923&lt;=150,"V2",H923&lt;=250,"V3", H923&lt;=350, "V4")</f>
        <v>V3</v>
      </c>
      <c r="J923" t="s">
        <v>3602</v>
      </c>
      <c r="K923" t="str">
        <f t="shared" si="322"/>
        <v>36.639287</v>
      </c>
      <c r="L923" t="str">
        <f t="shared" si="323"/>
        <v>-120.625451</v>
      </c>
      <c r="M923">
        <v>146</v>
      </c>
      <c r="N923" s="1">
        <v>44148</v>
      </c>
      <c r="O923" s="1">
        <v>46099</v>
      </c>
      <c r="P923" s="2">
        <f t="shared" si="324"/>
        <v>5.3415468856947292</v>
      </c>
      <c r="Q923" s="2" t="str">
        <f t="shared" si="325"/>
        <v>Mid</v>
      </c>
      <c r="R923">
        <f t="shared" si="326"/>
        <v>14000</v>
      </c>
      <c r="S923" t="str">
        <f t="shared" si="327"/>
        <v>Medium</v>
      </c>
      <c r="T923" t="str">
        <f t="shared" si="328"/>
        <v>High EV Adoption Corridor</v>
      </c>
      <c r="U923" s="3">
        <f t="shared" si="329"/>
        <v>32760000</v>
      </c>
      <c r="V923" s="4">
        <f t="shared" si="330"/>
        <v>7392000.0000000009</v>
      </c>
      <c r="W923" s="3">
        <f t="shared" si="331"/>
        <v>92400000.000000015</v>
      </c>
      <c r="X923" s="3">
        <f t="shared" si="332"/>
        <v>69300000.000000015</v>
      </c>
      <c r="Y923">
        <f t="shared" si="333"/>
        <v>0.24</v>
      </c>
      <c r="Z923">
        <f t="shared" si="334"/>
        <v>0.77435897435897438</v>
      </c>
      <c r="AA923" t="str">
        <f t="shared" si="335"/>
        <v>Tier 1 - Priority Fleet</v>
      </c>
      <c r="AB923" s="3">
        <f t="shared" si="336"/>
        <v>132000.00000000003</v>
      </c>
      <c r="AC923" s="3">
        <f t="shared" si="337"/>
        <v>1650000.0000000002</v>
      </c>
      <c r="AD923" s="3">
        <f t="shared" si="338"/>
        <v>585000</v>
      </c>
      <c r="AE923" s="5">
        <f t="shared" si="339"/>
        <v>3.6423841059602653</v>
      </c>
      <c r="AF923" s="10">
        <f t="shared" si="340"/>
        <v>4583040.0000000009</v>
      </c>
      <c r="AG923" s="10">
        <f t="shared" si="341"/>
        <v>1478400.0000000002</v>
      </c>
      <c r="AH923" s="10">
        <f t="shared" si="342"/>
        <v>739200.00000000012</v>
      </c>
      <c r="AI923" s="10">
        <f t="shared" si="343"/>
        <v>369600.00000000006</v>
      </c>
      <c r="AJ923" s="10">
        <f t="shared" si="344"/>
        <v>221760.00000000003</v>
      </c>
    </row>
    <row r="924" spans="1:36" x14ac:dyDescent="0.3">
      <c r="A924" t="s">
        <v>3603</v>
      </c>
      <c r="B924" t="s">
        <v>3604</v>
      </c>
      <c r="C924" t="s">
        <v>3605</v>
      </c>
      <c r="D924" t="s">
        <v>41</v>
      </c>
      <c r="E924">
        <v>32164</v>
      </c>
      <c r="F924" t="s">
        <v>15</v>
      </c>
      <c r="G924">
        <v>8</v>
      </c>
      <c r="H924">
        <v>250</v>
      </c>
      <c r="I924" t="str" cm="1">
        <f t="array" ref="I924">_xlfn.IFS(H924&lt;=120,"V1",H924&lt;=150,"V2",H924&lt;=250,"V3", H924&lt;=350, "V4")</f>
        <v>V3</v>
      </c>
      <c r="J924" t="s">
        <v>3606</v>
      </c>
      <c r="K924" t="str">
        <f t="shared" si="322"/>
        <v>29.475857</v>
      </c>
      <c r="L924" t="str">
        <f t="shared" si="323"/>
        <v>-81.206442</v>
      </c>
      <c r="M924">
        <v>9</v>
      </c>
      <c r="N924" s="1">
        <v>44148</v>
      </c>
      <c r="O924" s="1">
        <v>46099</v>
      </c>
      <c r="P924" s="2">
        <f t="shared" si="324"/>
        <v>5.3415468856947292</v>
      </c>
      <c r="Q924" s="2" t="str">
        <f t="shared" si="325"/>
        <v>Mid</v>
      </c>
      <c r="R924">
        <f t="shared" si="326"/>
        <v>2000</v>
      </c>
      <c r="S924" t="str">
        <f t="shared" si="327"/>
        <v>Small</v>
      </c>
      <c r="T924" t="str">
        <f t="shared" si="328"/>
        <v>High EV Adoption Corridor</v>
      </c>
      <c r="U924" s="3">
        <f t="shared" si="329"/>
        <v>4680000</v>
      </c>
      <c r="V924" s="4">
        <f t="shared" si="330"/>
        <v>1056000</v>
      </c>
      <c r="W924" s="3">
        <f t="shared" si="331"/>
        <v>13200000.000000002</v>
      </c>
      <c r="X924" s="3">
        <f t="shared" si="332"/>
        <v>9900000.0000000019</v>
      </c>
      <c r="Y924">
        <f t="shared" si="333"/>
        <v>0.23999999999999996</v>
      </c>
      <c r="Z924">
        <f t="shared" si="334"/>
        <v>0.77435897435897438</v>
      </c>
      <c r="AA924" t="str">
        <f t="shared" si="335"/>
        <v>Tier 1 - Priority Fleet</v>
      </c>
      <c r="AB924" s="3">
        <f t="shared" si="336"/>
        <v>132000</v>
      </c>
      <c r="AC924" s="3">
        <f t="shared" si="337"/>
        <v>1650000.0000000002</v>
      </c>
      <c r="AD924" s="3">
        <f t="shared" si="338"/>
        <v>585000</v>
      </c>
      <c r="AE924" s="5">
        <f t="shared" si="339"/>
        <v>3.6423841059602653</v>
      </c>
      <c r="AF924" s="10">
        <f t="shared" si="340"/>
        <v>654720</v>
      </c>
      <c r="AG924" s="10">
        <f t="shared" si="341"/>
        <v>211200</v>
      </c>
      <c r="AH924" s="10">
        <f t="shared" si="342"/>
        <v>105600</v>
      </c>
      <c r="AI924" s="10">
        <f t="shared" si="343"/>
        <v>52800</v>
      </c>
      <c r="AJ924" s="10">
        <f t="shared" si="344"/>
        <v>31680</v>
      </c>
    </row>
    <row r="925" spans="1:36" x14ac:dyDescent="0.3">
      <c r="A925" t="s">
        <v>3607</v>
      </c>
      <c r="B925" t="s">
        <v>3608</v>
      </c>
      <c r="C925" t="s">
        <v>3609</v>
      </c>
      <c r="D925" t="s">
        <v>14</v>
      </c>
      <c r="E925">
        <v>93514</v>
      </c>
      <c r="F925" t="s">
        <v>15</v>
      </c>
      <c r="G925">
        <v>12</v>
      </c>
      <c r="H925">
        <v>250</v>
      </c>
      <c r="I925" t="str" cm="1">
        <f t="array" ref="I925">_xlfn.IFS(H925&lt;=120,"V1",H925&lt;=150,"V2",H925&lt;=250,"V3", H925&lt;=350, "V4")</f>
        <v>V3</v>
      </c>
      <c r="J925" t="s">
        <v>3610</v>
      </c>
      <c r="K925" t="str">
        <f t="shared" si="322"/>
        <v>37.360397</v>
      </c>
      <c r="L925" t="str">
        <f t="shared" si="323"/>
        <v>-118.396963</v>
      </c>
      <c r="M925">
        <v>1263</v>
      </c>
      <c r="N925" s="1">
        <v>44153</v>
      </c>
      <c r="O925" s="1">
        <v>46099</v>
      </c>
      <c r="P925" s="2">
        <f t="shared" si="324"/>
        <v>5.3278576317590689</v>
      </c>
      <c r="Q925" s="2" t="str">
        <f t="shared" si="325"/>
        <v>Mid</v>
      </c>
      <c r="R925">
        <f t="shared" si="326"/>
        <v>3000</v>
      </c>
      <c r="S925" t="str">
        <f t="shared" si="327"/>
        <v>Small</v>
      </c>
      <c r="T925" t="str">
        <f t="shared" si="328"/>
        <v>High EV Adoption Corridor</v>
      </c>
      <c r="U925" s="3">
        <f t="shared" si="329"/>
        <v>7020000</v>
      </c>
      <c r="V925" s="4">
        <f t="shared" si="330"/>
        <v>1584000</v>
      </c>
      <c r="W925" s="3">
        <f t="shared" si="331"/>
        <v>19800000</v>
      </c>
      <c r="X925" s="3">
        <f t="shared" si="332"/>
        <v>14850000</v>
      </c>
      <c r="Y925">
        <f t="shared" si="333"/>
        <v>0.24</v>
      </c>
      <c r="Z925">
        <f t="shared" si="334"/>
        <v>0.77435897435897438</v>
      </c>
      <c r="AA925" t="str">
        <f t="shared" si="335"/>
        <v>Tier 1 - Priority Fleet</v>
      </c>
      <c r="AB925" s="3">
        <f t="shared" si="336"/>
        <v>132000</v>
      </c>
      <c r="AC925" s="3">
        <f t="shared" si="337"/>
        <v>1650000</v>
      </c>
      <c r="AD925" s="3">
        <f t="shared" si="338"/>
        <v>585000</v>
      </c>
      <c r="AE925" s="5">
        <f t="shared" si="339"/>
        <v>3.6423841059602649</v>
      </c>
      <c r="AF925" s="10">
        <f t="shared" si="340"/>
        <v>982080</v>
      </c>
      <c r="AG925" s="10">
        <f t="shared" si="341"/>
        <v>316800</v>
      </c>
      <c r="AH925" s="10">
        <f t="shared" si="342"/>
        <v>158400</v>
      </c>
      <c r="AI925" s="10">
        <f t="shared" si="343"/>
        <v>79200</v>
      </c>
      <c r="AJ925" s="10">
        <f t="shared" si="344"/>
        <v>47520</v>
      </c>
    </row>
    <row r="926" spans="1:36" x14ac:dyDescent="0.3">
      <c r="A926" t="s">
        <v>3611</v>
      </c>
      <c r="B926" t="s">
        <v>3612</v>
      </c>
      <c r="C926" t="s">
        <v>3613</v>
      </c>
      <c r="D926" t="s">
        <v>158</v>
      </c>
      <c r="E926">
        <v>11976</v>
      </c>
      <c r="F926" t="s">
        <v>15</v>
      </c>
      <c r="G926">
        <v>8</v>
      </c>
      <c r="H926">
        <v>250</v>
      </c>
      <c r="I926" t="str" cm="1">
        <f t="array" ref="I926">_xlfn.IFS(H926&lt;=120,"V1",H926&lt;=150,"V2",H926&lt;=250,"V3", H926&lt;=350, "V4")</f>
        <v>V3</v>
      </c>
      <c r="J926" t="s">
        <v>3614</v>
      </c>
      <c r="K926" t="str">
        <f t="shared" si="322"/>
        <v>40.912008</v>
      </c>
      <c r="L926" t="str">
        <f t="shared" si="323"/>
        <v>-72.352969</v>
      </c>
      <c r="M926">
        <v>6</v>
      </c>
      <c r="N926" s="1">
        <v>44143</v>
      </c>
      <c r="O926" s="1">
        <v>46099</v>
      </c>
      <c r="P926" s="2">
        <f t="shared" si="324"/>
        <v>5.3552361396303905</v>
      </c>
      <c r="Q926" s="2" t="str">
        <f t="shared" si="325"/>
        <v>Mid</v>
      </c>
      <c r="R926">
        <f t="shared" si="326"/>
        <v>2000</v>
      </c>
      <c r="S926" t="str">
        <f t="shared" si="327"/>
        <v>Small</v>
      </c>
      <c r="T926" t="str">
        <f t="shared" si="328"/>
        <v>Lower EV Adoption Corridor</v>
      </c>
      <c r="U926" s="3">
        <f t="shared" si="329"/>
        <v>3600000</v>
      </c>
      <c r="V926" s="4">
        <f t="shared" si="330"/>
        <v>880000.00000000012</v>
      </c>
      <c r="W926" s="3">
        <f t="shared" si="331"/>
        <v>12000000</v>
      </c>
      <c r="X926" s="3">
        <f t="shared" si="332"/>
        <v>6600000.0000000009</v>
      </c>
      <c r="Y926">
        <f t="shared" si="333"/>
        <v>0.31515151515151513</v>
      </c>
      <c r="Z926">
        <f t="shared" si="334"/>
        <v>0.75555555555555554</v>
      </c>
      <c r="AA926" t="str">
        <f t="shared" si="335"/>
        <v>Tier 2 - Growth Markets</v>
      </c>
      <c r="AB926" s="3">
        <f t="shared" si="336"/>
        <v>110000.00000000001</v>
      </c>
      <c r="AC926" s="3">
        <f t="shared" si="337"/>
        <v>1500000</v>
      </c>
      <c r="AD926" s="3">
        <f t="shared" si="338"/>
        <v>450000</v>
      </c>
      <c r="AE926" s="5">
        <f t="shared" si="339"/>
        <v>4.4117647058823533</v>
      </c>
      <c r="AF926" s="10">
        <f t="shared" si="340"/>
        <v>545600.00000000012</v>
      </c>
      <c r="AG926" s="10">
        <f t="shared" si="341"/>
        <v>176000.00000000003</v>
      </c>
      <c r="AH926" s="10">
        <f t="shared" si="342"/>
        <v>88000.000000000015</v>
      </c>
      <c r="AI926" s="10">
        <f t="shared" si="343"/>
        <v>44000.000000000007</v>
      </c>
      <c r="AJ926" s="10">
        <f t="shared" si="344"/>
        <v>26400.000000000004</v>
      </c>
    </row>
    <row r="927" spans="1:36" x14ac:dyDescent="0.3">
      <c r="A927" t="s">
        <v>3615</v>
      </c>
      <c r="B927" t="s">
        <v>3616</v>
      </c>
      <c r="C927" t="s">
        <v>3617</v>
      </c>
      <c r="D927" t="s">
        <v>316</v>
      </c>
      <c r="E927">
        <v>97006</v>
      </c>
      <c r="F927" t="s">
        <v>15</v>
      </c>
      <c r="G927">
        <v>12</v>
      </c>
      <c r="H927">
        <v>250</v>
      </c>
      <c r="I927" t="str" cm="1">
        <f t="array" ref="I927">_xlfn.IFS(H927&lt;=120,"V1",H927&lt;=150,"V2",H927&lt;=250,"V3", H927&lt;=350, "V4")</f>
        <v>V3</v>
      </c>
      <c r="J927" t="s">
        <v>3618</v>
      </c>
      <c r="K927" t="str">
        <f t="shared" si="322"/>
        <v>45.538579</v>
      </c>
      <c r="L927" t="str">
        <f t="shared" si="323"/>
        <v>-122.866166</v>
      </c>
      <c r="M927">
        <v>70</v>
      </c>
      <c r="N927" s="1">
        <v>44140</v>
      </c>
      <c r="O927" s="1">
        <v>46099</v>
      </c>
      <c r="P927" s="2">
        <f t="shared" si="324"/>
        <v>5.3634496919917867</v>
      </c>
      <c r="Q927" s="2" t="str">
        <f t="shared" si="325"/>
        <v>Mid</v>
      </c>
      <c r="R927">
        <f t="shared" si="326"/>
        <v>3000</v>
      </c>
      <c r="S927" t="str">
        <f t="shared" si="327"/>
        <v>Small</v>
      </c>
      <c r="T927" t="str">
        <f t="shared" si="328"/>
        <v>Lower EV Adoption Corridor</v>
      </c>
      <c r="U927" s="3">
        <f t="shared" si="329"/>
        <v>5400000</v>
      </c>
      <c r="V927" s="4">
        <f t="shared" si="330"/>
        <v>1320000</v>
      </c>
      <c r="W927" s="3">
        <f t="shared" si="331"/>
        <v>18000000</v>
      </c>
      <c r="X927" s="3">
        <f t="shared" si="332"/>
        <v>9900000</v>
      </c>
      <c r="Y927">
        <f t="shared" si="333"/>
        <v>0.31515151515151513</v>
      </c>
      <c r="Z927">
        <f t="shared" si="334"/>
        <v>0.75555555555555554</v>
      </c>
      <c r="AA927" t="str">
        <f t="shared" si="335"/>
        <v>Tier 2 - Growth Markets</v>
      </c>
      <c r="AB927" s="3">
        <f t="shared" si="336"/>
        <v>110000</v>
      </c>
      <c r="AC927" s="3">
        <f t="shared" si="337"/>
        <v>1500000</v>
      </c>
      <c r="AD927" s="3">
        <f t="shared" si="338"/>
        <v>450000</v>
      </c>
      <c r="AE927" s="5">
        <f t="shared" si="339"/>
        <v>4.4117647058823533</v>
      </c>
      <c r="AF927" s="10">
        <f t="shared" si="340"/>
        <v>818400</v>
      </c>
      <c r="AG927" s="10">
        <f t="shared" si="341"/>
        <v>264000</v>
      </c>
      <c r="AH927" s="10">
        <f t="shared" si="342"/>
        <v>132000</v>
      </c>
      <c r="AI927" s="10">
        <f t="shared" si="343"/>
        <v>66000</v>
      </c>
      <c r="AJ927" s="10">
        <f t="shared" si="344"/>
        <v>39600</v>
      </c>
    </row>
    <row r="928" spans="1:36" x14ac:dyDescent="0.3">
      <c r="A928" t="s">
        <v>3619</v>
      </c>
      <c r="B928" t="s">
        <v>3620</v>
      </c>
      <c r="C928" t="s">
        <v>3621</v>
      </c>
      <c r="D928" t="s">
        <v>14</v>
      </c>
      <c r="E928">
        <v>91748</v>
      </c>
      <c r="F928" t="s">
        <v>15</v>
      </c>
      <c r="G928">
        <v>8</v>
      </c>
      <c r="H928">
        <v>72</v>
      </c>
      <c r="I928" t="str" cm="1">
        <f t="array" ref="I928">_xlfn.IFS(H928&lt;=120,"V1",H928&lt;=150,"V2",H928&lt;=250,"V3", H928&lt;=350, "V4")</f>
        <v>V1</v>
      </c>
      <c r="J928" t="s">
        <v>3622</v>
      </c>
      <c r="K928" t="str">
        <f t="shared" si="322"/>
        <v>33.991811</v>
      </c>
      <c r="L928" t="str">
        <f t="shared" si="323"/>
        <v>-117.92803</v>
      </c>
      <c r="M928">
        <v>135</v>
      </c>
      <c r="N928" s="1">
        <v>44142</v>
      </c>
      <c r="O928" s="1">
        <v>46099</v>
      </c>
      <c r="P928" s="2">
        <f t="shared" si="324"/>
        <v>5.3579739904175225</v>
      </c>
      <c r="Q928" s="2" t="str">
        <f t="shared" si="325"/>
        <v>Mid</v>
      </c>
      <c r="R928">
        <f t="shared" si="326"/>
        <v>576</v>
      </c>
      <c r="S928" t="str">
        <f t="shared" si="327"/>
        <v>Small</v>
      </c>
      <c r="T928" t="str">
        <f t="shared" si="328"/>
        <v>High EV Adoption Corridor</v>
      </c>
      <c r="U928" s="3">
        <f t="shared" si="329"/>
        <v>1123200</v>
      </c>
      <c r="V928" s="4">
        <f t="shared" si="330"/>
        <v>248832</v>
      </c>
      <c r="W928" s="3">
        <f t="shared" si="331"/>
        <v>2534400</v>
      </c>
      <c r="X928" s="3">
        <f t="shared" si="332"/>
        <v>2332800</v>
      </c>
      <c r="Y928">
        <f t="shared" si="333"/>
        <v>0.21530864197530863</v>
      </c>
      <c r="Z928">
        <f t="shared" si="334"/>
        <v>0.77846153846153843</v>
      </c>
      <c r="AA928" t="str">
        <f t="shared" si="335"/>
        <v>Tier 3 - Upgrade Pipeline</v>
      </c>
      <c r="AB928" s="3">
        <f t="shared" si="336"/>
        <v>31104</v>
      </c>
      <c r="AC928" s="3">
        <f t="shared" si="337"/>
        <v>316800</v>
      </c>
      <c r="AD928" s="3">
        <f t="shared" si="338"/>
        <v>140400</v>
      </c>
      <c r="AE928" s="5">
        <f t="shared" si="339"/>
        <v>2.8985507246376812</v>
      </c>
      <c r="AF928" s="10">
        <f t="shared" si="340"/>
        <v>154275.84</v>
      </c>
      <c r="AG928" s="10">
        <f t="shared" si="341"/>
        <v>49766.400000000001</v>
      </c>
      <c r="AH928" s="10">
        <f t="shared" si="342"/>
        <v>24883.200000000001</v>
      </c>
      <c r="AI928" s="10">
        <f t="shared" si="343"/>
        <v>12441.6</v>
      </c>
      <c r="AJ928" s="10">
        <f t="shared" si="344"/>
        <v>7464.96</v>
      </c>
    </row>
    <row r="929" spans="1:36" x14ac:dyDescent="0.3">
      <c r="A929" t="s">
        <v>3623</v>
      </c>
      <c r="B929" t="s">
        <v>3624</v>
      </c>
      <c r="C929" t="s">
        <v>3625</v>
      </c>
      <c r="D929" t="s">
        <v>14</v>
      </c>
      <c r="E929">
        <v>90094</v>
      </c>
      <c r="F929" t="s">
        <v>15</v>
      </c>
      <c r="G929">
        <v>14</v>
      </c>
      <c r="H929">
        <v>72</v>
      </c>
      <c r="I929" t="str" cm="1">
        <f t="array" ref="I929">_xlfn.IFS(H929&lt;=120,"V1",H929&lt;=150,"V2",H929&lt;=250,"V3", H929&lt;=350, "V4")</f>
        <v>V1</v>
      </c>
      <c r="J929" t="s">
        <v>3626</v>
      </c>
      <c r="K929" t="str">
        <f t="shared" si="322"/>
        <v>33.977104</v>
      </c>
      <c r="L929" t="str">
        <f t="shared" si="323"/>
        <v>-118.417167</v>
      </c>
      <c r="M929">
        <v>11</v>
      </c>
      <c r="N929" s="1">
        <v>44141</v>
      </c>
      <c r="O929" s="1">
        <v>46099</v>
      </c>
      <c r="P929" s="2">
        <f t="shared" si="324"/>
        <v>5.3607118412046546</v>
      </c>
      <c r="Q929" s="2" t="str">
        <f t="shared" si="325"/>
        <v>Mid</v>
      </c>
      <c r="R929">
        <f t="shared" si="326"/>
        <v>1008</v>
      </c>
      <c r="S929" t="str">
        <f t="shared" si="327"/>
        <v>Small</v>
      </c>
      <c r="T929" t="str">
        <f t="shared" si="328"/>
        <v>High EV Adoption Corridor</v>
      </c>
      <c r="U929" s="3">
        <f t="shared" si="329"/>
        <v>1965600</v>
      </c>
      <c r="V929" s="4">
        <f t="shared" si="330"/>
        <v>435456</v>
      </c>
      <c r="W929" s="3">
        <f t="shared" si="331"/>
        <v>4435200</v>
      </c>
      <c r="X929" s="3">
        <f t="shared" si="332"/>
        <v>4082400</v>
      </c>
      <c r="Y929">
        <f t="shared" si="333"/>
        <v>0.21530864197530863</v>
      </c>
      <c r="Z929">
        <f t="shared" si="334"/>
        <v>0.77846153846153843</v>
      </c>
      <c r="AA929" t="str">
        <f t="shared" si="335"/>
        <v>Tier 3 - Upgrade Pipeline</v>
      </c>
      <c r="AB929" s="3">
        <f t="shared" si="336"/>
        <v>31104</v>
      </c>
      <c r="AC929" s="3">
        <f t="shared" si="337"/>
        <v>316800</v>
      </c>
      <c r="AD929" s="3">
        <f t="shared" si="338"/>
        <v>140400</v>
      </c>
      <c r="AE929" s="5">
        <f t="shared" si="339"/>
        <v>2.8985507246376812</v>
      </c>
      <c r="AF929" s="10">
        <f t="shared" si="340"/>
        <v>269982.71999999997</v>
      </c>
      <c r="AG929" s="10">
        <f t="shared" si="341"/>
        <v>87091.200000000012</v>
      </c>
      <c r="AH929" s="10">
        <f t="shared" si="342"/>
        <v>43545.600000000006</v>
      </c>
      <c r="AI929" s="10">
        <f t="shared" si="343"/>
        <v>21772.800000000003</v>
      </c>
      <c r="AJ929" s="10">
        <f t="shared" si="344"/>
        <v>13063.68</v>
      </c>
    </row>
    <row r="930" spans="1:36" x14ac:dyDescent="0.3">
      <c r="A930" t="s">
        <v>3627</v>
      </c>
      <c r="B930" t="s">
        <v>3628</v>
      </c>
      <c r="C930" t="s">
        <v>307</v>
      </c>
      <c r="D930" t="s">
        <v>14</v>
      </c>
      <c r="E930">
        <v>95134</v>
      </c>
      <c r="F930" t="s">
        <v>15</v>
      </c>
      <c r="G930">
        <v>14</v>
      </c>
      <c r="H930">
        <v>72</v>
      </c>
      <c r="I930" t="str" cm="1">
        <f t="array" ref="I930">_xlfn.IFS(H930&lt;=120,"V1",H930&lt;=150,"V2",H930&lt;=250,"V3", H930&lt;=350, "V4")</f>
        <v>V1</v>
      </c>
      <c r="J930" t="s">
        <v>3629</v>
      </c>
      <c r="K930" t="str">
        <f t="shared" si="322"/>
        <v>37.417281</v>
      </c>
      <c r="L930" t="str">
        <f t="shared" si="323"/>
        <v>-121.956897</v>
      </c>
      <c r="M930">
        <v>3</v>
      </c>
      <c r="N930" s="1">
        <v>44142</v>
      </c>
      <c r="O930" s="1">
        <v>46099</v>
      </c>
      <c r="P930" s="2">
        <f t="shared" si="324"/>
        <v>5.3579739904175225</v>
      </c>
      <c r="Q930" s="2" t="str">
        <f t="shared" si="325"/>
        <v>Mid</v>
      </c>
      <c r="R930">
        <f t="shared" si="326"/>
        <v>1008</v>
      </c>
      <c r="S930" t="str">
        <f t="shared" si="327"/>
        <v>Small</v>
      </c>
      <c r="T930" t="str">
        <f t="shared" si="328"/>
        <v>High EV Adoption Corridor</v>
      </c>
      <c r="U930" s="3">
        <f t="shared" si="329"/>
        <v>1965600</v>
      </c>
      <c r="V930" s="4">
        <f t="shared" si="330"/>
        <v>435456</v>
      </c>
      <c r="W930" s="3">
        <f t="shared" si="331"/>
        <v>4435200</v>
      </c>
      <c r="X930" s="3">
        <f t="shared" si="332"/>
        <v>4082400</v>
      </c>
      <c r="Y930">
        <f t="shared" si="333"/>
        <v>0.21530864197530863</v>
      </c>
      <c r="Z930">
        <f t="shared" si="334"/>
        <v>0.77846153846153843</v>
      </c>
      <c r="AA930" t="str">
        <f t="shared" si="335"/>
        <v>Tier 3 - Upgrade Pipeline</v>
      </c>
      <c r="AB930" s="3">
        <f t="shared" si="336"/>
        <v>31104</v>
      </c>
      <c r="AC930" s="3">
        <f t="shared" si="337"/>
        <v>316800</v>
      </c>
      <c r="AD930" s="3">
        <f t="shared" si="338"/>
        <v>140400</v>
      </c>
      <c r="AE930" s="5">
        <f t="shared" si="339"/>
        <v>2.8985507246376812</v>
      </c>
      <c r="AF930" s="10">
        <f t="shared" si="340"/>
        <v>269982.71999999997</v>
      </c>
      <c r="AG930" s="10">
        <f t="shared" si="341"/>
        <v>87091.200000000012</v>
      </c>
      <c r="AH930" s="10">
        <f t="shared" si="342"/>
        <v>43545.600000000006</v>
      </c>
      <c r="AI930" s="10">
        <f t="shared" si="343"/>
        <v>21772.800000000003</v>
      </c>
      <c r="AJ930" s="10">
        <f t="shared" si="344"/>
        <v>13063.68</v>
      </c>
    </row>
    <row r="931" spans="1:36" x14ac:dyDescent="0.3">
      <c r="A931" t="s">
        <v>3630</v>
      </c>
      <c r="B931" t="s">
        <v>3631</v>
      </c>
      <c r="C931" t="s">
        <v>1619</v>
      </c>
      <c r="D931" t="s">
        <v>50</v>
      </c>
      <c r="E931">
        <v>78758</v>
      </c>
      <c r="F931" t="s">
        <v>15</v>
      </c>
      <c r="G931">
        <v>16</v>
      </c>
      <c r="H931">
        <v>72</v>
      </c>
      <c r="I931" t="str" cm="1">
        <f t="array" ref="I931">_xlfn.IFS(H931&lt;=120,"V1",H931&lt;=150,"V2",H931&lt;=250,"V3", H931&lt;=350, "V4")</f>
        <v>V1</v>
      </c>
      <c r="J931" t="s">
        <v>3632</v>
      </c>
      <c r="K931" t="str">
        <f t="shared" si="322"/>
        <v>30.4023</v>
      </c>
      <c r="L931" t="str">
        <f t="shared" si="323"/>
        <v>-97.7247</v>
      </c>
      <c r="M931">
        <v>237</v>
      </c>
      <c r="N931" s="1">
        <v>44156</v>
      </c>
      <c r="O931" s="1">
        <v>46099</v>
      </c>
      <c r="P931" s="2">
        <f t="shared" si="324"/>
        <v>5.3196440793976727</v>
      </c>
      <c r="Q931" s="2" t="str">
        <f t="shared" si="325"/>
        <v>Mid</v>
      </c>
      <c r="R931">
        <f t="shared" si="326"/>
        <v>1152</v>
      </c>
      <c r="S931" t="str">
        <f t="shared" si="327"/>
        <v>Small</v>
      </c>
      <c r="T931" t="str">
        <f t="shared" si="328"/>
        <v>High EV Adoption Corridor</v>
      </c>
      <c r="U931" s="3">
        <f t="shared" si="329"/>
        <v>2246400</v>
      </c>
      <c r="V931" s="4">
        <f t="shared" si="330"/>
        <v>497664</v>
      </c>
      <c r="W931" s="3">
        <f t="shared" si="331"/>
        <v>5068800</v>
      </c>
      <c r="X931" s="3">
        <f t="shared" si="332"/>
        <v>4665600</v>
      </c>
      <c r="Y931">
        <f t="shared" si="333"/>
        <v>0.21530864197530863</v>
      </c>
      <c r="Z931">
        <f t="shared" si="334"/>
        <v>0.77846153846153843</v>
      </c>
      <c r="AA931" t="str">
        <f t="shared" si="335"/>
        <v>Tier 3 - Upgrade Pipeline</v>
      </c>
      <c r="AB931" s="3">
        <f t="shared" si="336"/>
        <v>31104</v>
      </c>
      <c r="AC931" s="3">
        <f t="shared" si="337"/>
        <v>316800</v>
      </c>
      <c r="AD931" s="3">
        <f t="shared" si="338"/>
        <v>140400</v>
      </c>
      <c r="AE931" s="5">
        <f t="shared" si="339"/>
        <v>2.8985507246376812</v>
      </c>
      <c r="AF931" s="10">
        <f t="shared" si="340"/>
        <v>308551.67999999999</v>
      </c>
      <c r="AG931" s="10">
        <f t="shared" si="341"/>
        <v>99532.800000000003</v>
      </c>
      <c r="AH931" s="10">
        <f t="shared" si="342"/>
        <v>49766.400000000001</v>
      </c>
      <c r="AI931" s="10">
        <f t="shared" si="343"/>
        <v>24883.200000000001</v>
      </c>
      <c r="AJ931" s="10">
        <f t="shared" si="344"/>
        <v>14929.92</v>
      </c>
    </row>
    <row r="932" spans="1:36" x14ac:dyDescent="0.3">
      <c r="A932" t="s">
        <v>3633</v>
      </c>
      <c r="B932" t="s">
        <v>3634</v>
      </c>
      <c r="C932" t="s">
        <v>3635</v>
      </c>
      <c r="D932" t="s">
        <v>14</v>
      </c>
      <c r="E932">
        <v>92345</v>
      </c>
      <c r="F932" t="s">
        <v>15</v>
      </c>
      <c r="G932">
        <v>20</v>
      </c>
      <c r="H932">
        <v>250</v>
      </c>
      <c r="I932" t="str" cm="1">
        <f t="array" ref="I932">_xlfn.IFS(H932&lt;=120,"V1",H932&lt;=150,"V2",H932&lt;=250,"V3", H932&lt;=350, "V4")</f>
        <v>V3</v>
      </c>
      <c r="J932" t="s">
        <v>3636</v>
      </c>
      <c r="K932" t="str">
        <f t="shared" si="322"/>
        <v>34.424864</v>
      </c>
      <c r="L932" t="str">
        <f t="shared" si="323"/>
        <v>-117.385861</v>
      </c>
      <c r="M932">
        <v>1077</v>
      </c>
      <c r="N932" s="1">
        <v>44152</v>
      </c>
      <c r="O932" s="1">
        <v>46099</v>
      </c>
      <c r="P932" s="2">
        <f t="shared" si="324"/>
        <v>5.330595482546201</v>
      </c>
      <c r="Q932" s="2" t="str">
        <f t="shared" si="325"/>
        <v>Mid</v>
      </c>
      <c r="R932">
        <f t="shared" si="326"/>
        <v>5000</v>
      </c>
      <c r="S932" t="str">
        <f t="shared" si="327"/>
        <v>Small</v>
      </c>
      <c r="T932" t="str">
        <f t="shared" si="328"/>
        <v>High EV Adoption Corridor</v>
      </c>
      <c r="U932" s="3">
        <f t="shared" si="329"/>
        <v>11700000</v>
      </c>
      <c r="V932" s="4">
        <f t="shared" si="330"/>
        <v>2640000</v>
      </c>
      <c r="W932" s="3">
        <f t="shared" si="331"/>
        <v>33000000.000000004</v>
      </c>
      <c r="X932" s="3">
        <f t="shared" si="332"/>
        <v>24750000.000000004</v>
      </c>
      <c r="Y932">
        <f t="shared" si="333"/>
        <v>0.23999999999999996</v>
      </c>
      <c r="Z932">
        <f t="shared" si="334"/>
        <v>0.77435897435897438</v>
      </c>
      <c r="AA932" t="str">
        <f t="shared" si="335"/>
        <v>Tier 1 - Priority Fleet</v>
      </c>
      <c r="AB932" s="3">
        <f t="shared" si="336"/>
        <v>132000</v>
      </c>
      <c r="AC932" s="3">
        <f t="shared" si="337"/>
        <v>1650000.0000000002</v>
      </c>
      <c r="AD932" s="3">
        <f t="shared" si="338"/>
        <v>585000</v>
      </c>
      <c r="AE932" s="5">
        <f t="shared" si="339"/>
        <v>3.6423841059602653</v>
      </c>
      <c r="AF932" s="10">
        <f t="shared" si="340"/>
        <v>1636800</v>
      </c>
      <c r="AG932" s="10">
        <f t="shared" si="341"/>
        <v>528000</v>
      </c>
      <c r="AH932" s="10">
        <f t="shared" si="342"/>
        <v>264000</v>
      </c>
      <c r="AI932" s="10">
        <f t="shared" si="343"/>
        <v>132000</v>
      </c>
      <c r="AJ932" s="10">
        <f t="shared" si="344"/>
        <v>79200</v>
      </c>
    </row>
    <row r="933" spans="1:36" x14ac:dyDescent="0.3">
      <c r="A933" t="s">
        <v>3637</v>
      </c>
      <c r="B933" t="s">
        <v>3638</v>
      </c>
      <c r="C933" t="s">
        <v>3639</v>
      </c>
      <c r="D933" t="s">
        <v>299</v>
      </c>
      <c r="E933">
        <v>22043</v>
      </c>
      <c r="F933" t="s">
        <v>15</v>
      </c>
      <c r="G933">
        <v>8</v>
      </c>
      <c r="H933">
        <v>250</v>
      </c>
      <c r="I933" t="str" cm="1">
        <f t="array" ref="I933">_xlfn.IFS(H933&lt;=120,"V1",H933&lt;=150,"V2",H933&lt;=250,"V3", H933&lt;=350, "V4")</f>
        <v>V3</v>
      </c>
      <c r="J933" t="s">
        <v>3640</v>
      </c>
      <c r="K933" t="str">
        <f t="shared" si="322"/>
        <v>38.902472</v>
      </c>
      <c r="L933" t="str">
        <f t="shared" si="323"/>
        <v>-77.203588</v>
      </c>
      <c r="M933">
        <v>111</v>
      </c>
      <c r="N933" s="1">
        <v>44155</v>
      </c>
      <c r="O933" s="1">
        <v>46099</v>
      </c>
      <c r="P933" s="2">
        <f t="shared" si="324"/>
        <v>5.3223819301848048</v>
      </c>
      <c r="Q933" s="2" t="str">
        <f t="shared" si="325"/>
        <v>Mid</v>
      </c>
      <c r="R933">
        <f t="shared" si="326"/>
        <v>2000</v>
      </c>
      <c r="S933" t="str">
        <f t="shared" si="327"/>
        <v>Small</v>
      </c>
      <c r="T933" t="str">
        <f t="shared" si="328"/>
        <v>Lower EV Adoption Corridor</v>
      </c>
      <c r="U933" s="3">
        <f t="shared" si="329"/>
        <v>3600000</v>
      </c>
      <c r="V933" s="4">
        <f t="shared" si="330"/>
        <v>880000.00000000012</v>
      </c>
      <c r="W933" s="3">
        <f t="shared" si="331"/>
        <v>12000000</v>
      </c>
      <c r="X933" s="3">
        <f t="shared" si="332"/>
        <v>6600000.0000000009</v>
      </c>
      <c r="Y933">
        <f t="shared" si="333"/>
        <v>0.31515151515151513</v>
      </c>
      <c r="Z933">
        <f t="shared" si="334"/>
        <v>0.75555555555555554</v>
      </c>
      <c r="AA933" t="str">
        <f t="shared" si="335"/>
        <v>Tier 2 - Growth Markets</v>
      </c>
      <c r="AB933" s="3">
        <f t="shared" si="336"/>
        <v>110000.00000000001</v>
      </c>
      <c r="AC933" s="3">
        <f t="shared" si="337"/>
        <v>1500000</v>
      </c>
      <c r="AD933" s="3">
        <f t="shared" si="338"/>
        <v>450000</v>
      </c>
      <c r="AE933" s="5">
        <f t="shared" si="339"/>
        <v>4.4117647058823533</v>
      </c>
      <c r="AF933" s="10">
        <f t="shared" si="340"/>
        <v>545600.00000000012</v>
      </c>
      <c r="AG933" s="10">
        <f t="shared" si="341"/>
        <v>176000.00000000003</v>
      </c>
      <c r="AH933" s="10">
        <f t="shared" si="342"/>
        <v>88000.000000000015</v>
      </c>
      <c r="AI933" s="10">
        <f t="shared" si="343"/>
        <v>44000.000000000007</v>
      </c>
      <c r="AJ933" s="10">
        <f t="shared" si="344"/>
        <v>26400.000000000004</v>
      </c>
    </row>
    <row r="934" spans="1:36" x14ac:dyDescent="0.3">
      <c r="A934" t="s">
        <v>3641</v>
      </c>
      <c r="B934" t="s">
        <v>3642</v>
      </c>
      <c r="C934" t="s">
        <v>3643</v>
      </c>
      <c r="D934" t="s">
        <v>14</v>
      </c>
      <c r="E934">
        <v>94608</v>
      </c>
      <c r="F934" t="s">
        <v>15</v>
      </c>
      <c r="G934">
        <v>12</v>
      </c>
      <c r="H934">
        <v>250</v>
      </c>
      <c r="I934" t="str" cm="1">
        <f t="array" ref="I934">_xlfn.IFS(H934&lt;=120,"V1",H934&lt;=150,"V2",H934&lt;=250,"V3", H934&lt;=350, "V4")</f>
        <v>V3</v>
      </c>
      <c r="J934" t="s">
        <v>3644</v>
      </c>
      <c r="K934" t="str">
        <f t="shared" si="322"/>
        <v>37.837506</v>
      </c>
      <c r="L934" t="str">
        <f t="shared" si="323"/>
        <v>-122.295407</v>
      </c>
      <c r="M934">
        <v>4</v>
      </c>
      <c r="N934" s="1">
        <v>43918</v>
      </c>
      <c r="O934" s="1">
        <v>46099</v>
      </c>
      <c r="P934" s="2">
        <f t="shared" si="324"/>
        <v>5.9712525667351128</v>
      </c>
      <c r="Q934" s="2" t="str">
        <f t="shared" si="325"/>
        <v>Mid</v>
      </c>
      <c r="R934">
        <f t="shared" si="326"/>
        <v>3000</v>
      </c>
      <c r="S934" t="str">
        <f t="shared" si="327"/>
        <v>Small</v>
      </c>
      <c r="T934" t="str">
        <f t="shared" si="328"/>
        <v>High EV Adoption Corridor</v>
      </c>
      <c r="U934" s="3">
        <f t="shared" si="329"/>
        <v>7020000</v>
      </c>
      <c r="V934" s="4">
        <f t="shared" si="330"/>
        <v>1584000</v>
      </c>
      <c r="W934" s="3">
        <f t="shared" si="331"/>
        <v>19800000</v>
      </c>
      <c r="X934" s="3">
        <f t="shared" si="332"/>
        <v>14850000</v>
      </c>
      <c r="Y934">
        <f t="shared" si="333"/>
        <v>0.24</v>
      </c>
      <c r="Z934">
        <f t="shared" si="334"/>
        <v>0.77435897435897438</v>
      </c>
      <c r="AA934" t="str">
        <f t="shared" si="335"/>
        <v>Tier 1 - Priority Fleet</v>
      </c>
      <c r="AB934" s="3">
        <f t="shared" si="336"/>
        <v>132000</v>
      </c>
      <c r="AC934" s="3">
        <f t="shared" si="337"/>
        <v>1650000</v>
      </c>
      <c r="AD934" s="3">
        <f t="shared" si="338"/>
        <v>585000</v>
      </c>
      <c r="AE934" s="5">
        <f t="shared" si="339"/>
        <v>3.6423841059602649</v>
      </c>
      <c r="AF934" s="10">
        <f t="shared" si="340"/>
        <v>982080</v>
      </c>
      <c r="AG934" s="10">
        <f t="shared" si="341"/>
        <v>316800</v>
      </c>
      <c r="AH934" s="10">
        <f t="shared" si="342"/>
        <v>158400</v>
      </c>
      <c r="AI934" s="10">
        <f t="shared" si="343"/>
        <v>79200</v>
      </c>
      <c r="AJ934" s="10">
        <f t="shared" si="344"/>
        <v>47520</v>
      </c>
    </row>
    <row r="935" spans="1:36" x14ac:dyDescent="0.3">
      <c r="A935" t="s">
        <v>3645</v>
      </c>
      <c r="B935" t="s">
        <v>3646</v>
      </c>
      <c r="C935" t="s">
        <v>609</v>
      </c>
      <c r="D935" t="s">
        <v>14</v>
      </c>
      <c r="E935">
        <v>92701</v>
      </c>
      <c r="F935" t="s">
        <v>15</v>
      </c>
      <c r="G935">
        <v>20</v>
      </c>
      <c r="H935">
        <v>72</v>
      </c>
      <c r="I935" t="str" cm="1">
        <f t="array" ref="I935">_xlfn.IFS(H935&lt;=120,"V1",H935&lt;=150,"V2",H935&lt;=250,"V3", H935&lt;=350, "V4")</f>
        <v>V1</v>
      </c>
      <c r="J935" t="s">
        <v>3647</v>
      </c>
      <c r="K935" t="str">
        <f t="shared" si="322"/>
        <v>33.748796</v>
      </c>
      <c r="L935" t="str">
        <f t="shared" si="323"/>
        <v>-117.866115</v>
      </c>
      <c r="M935">
        <v>37</v>
      </c>
      <c r="N935" s="1">
        <v>44155</v>
      </c>
      <c r="O935" s="1">
        <v>46099</v>
      </c>
      <c r="P935" s="2">
        <f t="shared" si="324"/>
        <v>5.3223819301848048</v>
      </c>
      <c r="Q935" s="2" t="str">
        <f t="shared" si="325"/>
        <v>Mid</v>
      </c>
      <c r="R935">
        <f t="shared" si="326"/>
        <v>1440</v>
      </c>
      <c r="S935" t="str">
        <f t="shared" si="327"/>
        <v>Small</v>
      </c>
      <c r="T935" t="str">
        <f t="shared" si="328"/>
        <v>High EV Adoption Corridor</v>
      </c>
      <c r="U935" s="3">
        <f t="shared" si="329"/>
        <v>2808000</v>
      </c>
      <c r="V935" s="4">
        <f t="shared" si="330"/>
        <v>622080</v>
      </c>
      <c r="W935" s="3">
        <f t="shared" si="331"/>
        <v>6336000.0000000009</v>
      </c>
      <c r="X935" s="3">
        <f t="shared" si="332"/>
        <v>5832000</v>
      </c>
      <c r="Y935">
        <f t="shared" si="333"/>
        <v>0.21530864197530863</v>
      </c>
      <c r="Z935">
        <f t="shared" si="334"/>
        <v>0.77846153846153843</v>
      </c>
      <c r="AA935" t="str">
        <f t="shared" si="335"/>
        <v>Tier 3 - Upgrade Pipeline</v>
      </c>
      <c r="AB935" s="3">
        <f t="shared" si="336"/>
        <v>31104</v>
      </c>
      <c r="AC935" s="3">
        <f t="shared" si="337"/>
        <v>316800.00000000006</v>
      </c>
      <c r="AD935" s="3">
        <f t="shared" si="338"/>
        <v>140400</v>
      </c>
      <c r="AE935" s="5">
        <f t="shared" si="339"/>
        <v>2.8985507246376816</v>
      </c>
      <c r="AF935" s="10">
        <f t="shared" si="340"/>
        <v>385689.59999999998</v>
      </c>
      <c r="AG935" s="10">
        <f t="shared" si="341"/>
        <v>124416</v>
      </c>
      <c r="AH935" s="10">
        <f t="shared" si="342"/>
        <v>62208</v>
      </c>
      <c r="AI935" s="10">
        <f t="shared" si="343"/>
        <v>31104</v>
      </c>
      <c r="AJ935" s="10">
        <f t="shared" si="344"/>
        <v>18662.399999999998</v>
      </c>
    </row>
    <row r="936" spans="1:36" x14ac:dyDescent="0.3">
      <c r="A936" t="s">
        <v>3648</v>
      </c>
      <c r="B936" t="s">
        <v>3649</v>
      </c>
      <c r="C936" t="s">
        <v>3650</v>
      </c>
      <c r="D936" t="s">
        <v>14</v>
      </c>
      <c r="E936">
        <v>95776</v>
      </c>
      <c r="F936" t="s">
        <v>15</v>
      </c>
      <c r="G936">
        <v>8</v>
      </c>
      <c r="H936">
        <v>250</v>
      </c>
      <c r="I936" t="str" cm="1">
        <f t="array" ref="I936">_xlfn.IFS(H936&lt;=120,"V1",H936&lt;=150,"V2",H936&lt;=250,"V3", H936&lt;=350, "V4")</f>
        <v>V3</v>
      </c>
      <c r="J936" t="s">
        <v>3651</v>
      </c>
      <c r="K936" t="str">
        <f t="shared" si="322"/>
        <v>38.671368</v>
      </c>
      <c r="L936" t="str">
        <f t="shared" si="323"/>
        <v>-121.723893</v>
      </c>
      <c r="M936">
        <v>11</v>
      </c>
      <c r="N936" s="1">
        <v>44154</v>
      </c>
      <c r="O936" s="1">
        <v>46099</v>
      </c>
      <c r="P936" s="2">
        <f t="shared" si="324"/>
        <v>5.3251197809719368</v>
      </c>
      <c r="Q936" s="2" t="str">
        <f t="shared" si="325"/>
        <v>Mid</v>
      </c>
      <c r="R936">
        <f t="shared" si="326"/>
        <v>2000</v>
      </c>
      <c r="S936" t="str">
        <f t="shared" si="327"/>
        <v>Small</v>
      </c>
      <c r="T936" t="str">
        <f t="shared" si="328"/>
        <v>High EV Adoption Corridor</v>
      </c>
      <c r="U936" s="3">
        <f t="shared" si="329"/>
        <v>4680000</v>
      </c>
      <c r="V936" s="4">
        <f t="shared" si="330"/>
        <v>1056000</v>
      </c>
      <c r="W936" s="3">
        <f t="shared" si="331"/>
        <v>13200000.000000002</v>
      </c>
      <c r="X936" s="3">
        <f t="shared" si="332"/>
        <v>9900000.0000000019</v>
      </c>
      <c r="Y936">
        <f t="shared" si="333"/>
        <v>0.23999999999999996</v>
      </c>
      <c r="Z936">
        <f t="shared" si="334"/>
        <v>0.77435897435897438</v>
      </c>
      <c r="AA936" t="str">
        <f t="shared" si="335"/>
        <v>Tier 1 - Priority Fleet</v>
      </c>
      <c r="AB936" s="3">
        <f t="shared" si="336"/>
        <v>132000</v>
      </c>
      <c r="AC936" s="3">
        <f t="shared" si="337"/>
        <v>1650000.0000000002</v>
      </c>
      <c r="AD936" s="3">
        <f t="shared" si="338"/>
        <v>585000</v>
      </c>
      <c r="AE936" s="5">
        <f t="shared" si="339"/>
        <v>3.6423841059602653</v>
      </c>
      <c r="AF936" s="10">
        <f t="shared" si="340"/>
        <v>654720</v>
      </c>
      <c r="AG936" s="10">
        <f t="shared" si="341"/>
        <v>211200</v>
      </c>
      <c r="AH936" s="10">
        <f t="shared" si="342"/>
        <v>105600</v>
      </c>
      <c r="AI936" s="10">
        <f t="shared" si="343"/>
        <v>52800</v>
      </c>
      <c r="AJ936" s="10">
        <f t="shared" si="344"/>
        <v>31680</v>
      </c>
    </row>
    <row r="937" spans="1:36" x14ac:dyDescent="0.3">
      <c r="A937" t="s">
        <v>3652</v>
      </c>
      <c r="B937" t="s">
        <v>3653</v>
      </c>
      <c r="C937" t="s">
        <v>3654</v>
      </c>
      <c r="D937" t="s">
        <v>41</v>
      </c>
      <c r="E937">
        <v>34639</v>
      </c>
      <c r="F937" t="s">
        <v>15</v>
      </c>
      <c r="G937">
        <v>8</v>
      </c>
      <c r="H937">
        <v>250</v>
      </c>
      <c r="I937" t="str" cm="1">
        <f t="array" ref="I937">_xlfn.IFS(H937&lt;=120,"V1",H937&lt;=150,"V2",H937&lt;=250,"V3", H937&lt;=350, "V4")</f>
        <v>V3</v>
      </c>
      <c r="J937" t="s">
        <v>3655</v>
      </c>
      <c r="K937" t="str">
        <f t="shared" si="322"/>
        <v>28.189347</v>
      </c>
      <c r="L937" t="str">
        <f t="shared" si="323"/>
        <v>-82.40032</v>
      </c>
      <c r="M937">
        <v>21</v>
      </c>
      <c r="N937" s="1">
        <v>44230</v>
      </c>
      <c r="O937" s="1">
        <v>46099</v>
      </c>
      <c r="P937" s="2">
        <f t="shared" si="324"/>
        <v>5.117043121149897</v>
      </c>
      <c r="Q937" s="2" t="str">
        <f t="shared" si="325"/>
        <v>Mid</v>
      </c>
      <c r="R937">
        <f t="shared" si="326"/>
        <v>2000</v>
      </c>
      <c r="S937" t="str">
        <f t="shared" si="327"/>
        <v>Small</v>
      </c>
      <c r="T937" t="str">
        <f t="shared" si="328"/>
        <v>High EV Adoption Corridor</v>
      </c>
      <c r="U937" s="3">
        <f t="shared" si="329"/>
        <v>4680000</v>
      </c>
      <c r="V937" s="4">
        <f t="shared" si="330"/>
        <v>1056000</v>
      </c>
      <c r="W937" s="3">
        <f t="shared" si="331"/>
        <v>13200000.000000002</v>
      </c>
      <c r="X937" s="3">
        <f t="shared" si="332"/>
        <v>9900000.0000000019</v>
      </c>
      <c r="Y937">
        <f t="shared" si="333"/>
        <v>0.23999999999999996</v>
      </c>
      <c r="Z937">
        <f t="shared" si="334"/>
        <v>0.77435897435897438</v>
      </c>
      <c r="AA937" t="str">
        <f t="shared" si="335"/>
        <v>Tier 1 - Priority Fleet</v>
      </c>
      <c r="AB937" s="3">
        <f t="shared" si="336"/>
        <v>132000</v>
      </c>
      <c r="AC937" s="3">
        <f t="shared" si="337"/>
        <v>1650000.0000000002</v>
      </c>
      <c r="AD937" s="3">
        <f t="shared" si="338"/>
        <v>585000</v>
      </c>
      <c r="AE937" s="5">
        <f t="shared" si="339"/>
        <v>3.6423841059602653</v>
      </c>
      <c r="AF937" s="10">
        <f t="shared" si="340"/>
        <v>654720</v>
      </c>
      <c r="AG937" s="10">
        <f t="shared" si="341"/>
        <v>211200</v>
      </c>
      <c r="AH937" s="10">
        <f t="shared" si="342"/>
        <v>105600</v>
      </c>
      <c r="AI937" s="10">
        <f t="shared" si="343"/>
        <v>52800</v>
      </c>
      <c r="AJ937" s="10">
        <f t="shared" si="344"/>
        <v>31680</v>
      </c>
    </row>
    <row r="938" spans="1:36" x14ac:dyDescent="0.3">
      <c r="A938" t="s">
        <v>3656</v>
      </c>
      <c r="B938" t="s">
        <v>3657</v>
      </c>
      <c r="C938" t="s">
        <v>1535</v>
      </c>
      <c r="D938" t="s">
        <v>14</v>
      </c>
      <c r="E938">
        <v>94087</v>
      </c>
      <c r="F938" t="s">
        <v>15</v>
      </c>
      <c r="G938">
        <v>16</v>
      </c>
      <c r="H938">
        <v>250</v>
      </c>
      <c r="I938" t="str" cm="1">
        <f t="array" ref="I938">_xlfn.IFS(H938&lt;=120,"V1",H938&lt;=150,"V2",H938&lt;=250,"V3", H938&lt;=350, "V4")</f>
        <v>V3</v>
      </c>
      <c r="J938" t="s">
        <v>3658</v>
      </c>
      <c r="K938" t="str">
        <f t="shared" si="322"/>
        <v>37.372668</v>
      </c>
      <c r="L938" t="str">
        <f t="shared" si="323"/>
        <v>-122.057332</v>
      </c>
      <c r="M938">
        <v>45</v>
      </c>
      <c r="N938" s="1">
        <v>44289</v>
      </c>
      <c r="O938" s="1">
        <v>46099</v>
      </c>
      <c r="P938" s="2">
        <f t="shared" si="324"/>
        <v>4.9555099247091032</v>
      </c>
      <c r="Q938" s="2" t="str">
        <f t="shared" si="325"/>
        <v>Mid</v>
      </c>
      <c r="R938">
        <f t="shared" si="326"/>
        <v>4000</v>
      </c>
      <c r="S938" t="str">
        <f t="shared" si="327"/>
        <v>Small</v>
      </c>
      <c r="T938" t="str">
        <f t="shared" si="328"/>
        <v>High EV Adoption Corridor</v>
      </c>
      <c r="U938" s="3">
        <f t="shared" si="329"/>
        <v>9360000</v>
      </c>
      <c r="V938" s="4">
        <f t="shared" si="330"/>
        <v>2112000</v>
      </c>
      <c r="W938" s="3">
        <f t="shared" si="331"/>
        <v>26400000.000000004</v>
      </c>
      <c r="X938" s="3">
        <f t="shared" si="332"/>
        <v>19800000.000000004</v>
      </c>
      <c r="Y938">
        <f t="shared" si="333"/>
        <v>0.23999999999999996</v>
      </c>
      <c r="Z938">
        <f t="shared" si="334"/>
        <v>0.77435897435897438</v>
      </c>
      <c r="AA938" t="str">
        <f t="shared" si="335"/>
        <v>Tier 1 - Priority Fleet</v>
      </c>
      <c r="AB938" s="3">
        <f t="shared" si="336"/>
        <v>132000</v>
      </c>
      <c r="AC938" s="3">
        <f t="shared" si="337"/>
        <v>1650000.0000000002</v>
      </c>
      <c r="AD938" s="3">
        <f t="shared" si="338"/>
        <v>585000</v>
      </c>
      <c r="AE938" s="5">
        <f t="shared" si="339"/>
        <v>3.6423841059602653</v>
      </c>
      <c r="AF938" s="10">
        <f t="shared" si="340"/>
        <v>1309440</v>
      </c>
      <c r="AG938" s="10">
        <f t="shared" si="341"/>
        <v>422400</v>
      </c>
      <c r="AH938" s="10">
        <f t="shared" si="342"/>
        <v>211200</v>
      </c>
      <c r="AI938" s="10">
        <f t="shared" si="343"/>
        <v>105600</v>
      </c>
      <c r="AJ938" s="10">
        <f t="shared" si="344"/>
        <v>63360</v>
      </c>
    </row>
    <row r="939" spans="1:36" x14ac:dyDescent="0.3">
      <c r="A939" t="s">
        <v>3659</v>
      </c>
      <c r="B939" t="s">
        <v>3660</v>
      </c>
      <c r="C939" t="s">
        <v>3661</v>
      </c>
      <c r="D939" t="s">
        <v>913</v>
      </c>
      <c r="E939">
        <v>20603</v>
      </c>
      <c r="F939" t="s">
        <v>15</v>
      </c>
      <c r="G939">
        <v>8</v>
      </c>
      <c r="H939">
        <v>250</v>
      </c>
      <c r="I939" t="str" cm="1">
        <f t="array" ref="I939">_xlfn.IFS(H939&lt;=120,"V1",H939&lt;=150,"V2",H939&lt;=250,"V3", H939&lt;=350, "V4")</f>
        <v>V3</v>
      </c>
      <c r="J939" t="s">
        <v>3662</v>
      </c>
      <c r="K939" t="str">
        <f t="shared" si="322"/>
        <v>38.630127</v>
      </c>
      <c r="L939" t="str">
        <f t="shared" si="323"/>
        <v>-76.919032</v>
      </c>
      <c r="M939">
        <v>67</v>
      </c>
      <c r="N939" s="1">
        <v>44306</v>
      </c>
      <c r="O939" s="1">
        <v>46099</v>
      </c>
      <c r="P939" s="2">
        <f t="shared" si="324"/>
        <v>4.9089664613278572</v>
      </c>
      <c r="Q939" s="2" t="str">
        <f t="shared" si="325"/>
        <v>Mid</v>
      </c>
      <c r="R939">
        <f t="shared" si="326"/>
        <v>2000</v>
      </c>
      <c r="S939" t="str">
        <f t="shared" si="327"/>
        <v>Small</v>
      </c>
      <c r="T939" t="str">
        <f t="shared" si="328"/>
        <v>Lower EV Adoption Corridor</v>
      </c>
      <c r="U939" s="3">
        <f t="shared" si="329"/>
        <v>3600000</v>
      </c>
      <c r="V939" s="4">
        <f t="shared" si="330"/>
        <v>880000.00000000012</v>
      </c>
      <c r="W939" s="3">
        <f t="shared" si="331"/>
        <v>12000000</v>
      </c>
      <c r="X939" s="3">
        <f t="shared" si="332"/>
        <v>6600000.0000000009</v>
      </c>
      <c r="Y939">
        <f t="shared" si="333"/>
        <v>0.31515151515151513</v>
      </c>
      <c r="Z939">
        <f t="shared" si="334"/>
        <v>0.75555555555555554</v>
      </c>
      <c r="AA939" t="str">
        <f t="shared" si="335"/>
        <v>Tier 2 - Growth Markets</v>
      </c>
      <c r="AB939" s="3">
        <f t="shared" si="336"/>
        <v>110000.00000000001</v>
      </c>
      <c r="AC939" s="3">
        <f t="shared" si="337"/>
        <v>1500000</v>
      </c>
      <c r="AD939" s="3">
        <f t="shared" si="338"/>
        <v>450000</v>
      </c>
      <c r="AE939" s="5">
        <f t="shared" si="339"/>
        <v>4.4117647058823533</v>
      </c>
      <c r="AF939" s="10">
        <f t="shared" si="340"/>
        <v>545600.00000000012</v>
      </c>
      <c r="AG939" s="10">
        <f t="shared" si="341"/>
        <v>176000.00000000003</v>
      </c>
      <c r="AH939" s="10">
        <f t="shared" si="342"/>
        <v>88000.000000000015</v>
      </c>
      <c r="AI939" s="10">
        <f t="shared" si="343"/>
        <v>44000.000000000007</v>
      </c>
      <c r="AJ939" s="10">
        <f t="shared" si="344"/>
        <v>26400.000000000004</v>
      </c>
    </row>
    <row r="940" spans="1:36" x14ac:dyDescent="0.3">
      <c r="A940" t="s">
        <v>3663</v>
      </c>
      <c r="B940" t="s">
        <v>3664</v>
      </c>
      <c r="C940" t="s">
        <v>3665</v>
      </c>
      <c r="D940" t="s">
        <v>125</v>
      </c>
      <c r="E940">
        <v>29928</v>
      </c>
      <c r="F940" t="s">
        <v>15</v>
      </c>
      <c r="G940">
        <v>8</v>
      </c>
      <c r="H940">
        <v>250</v>
      </c>
      <c r="I940" t="str" cm="1">
        <f t="array" ref="I940">_xlfn.IFS(H940&lt;=120,"V1",H940&lt;=150,"V2",H940&lt;=250,"V3", H940&lt;=350, "V4")</f>
        <v>V3</v>
      </c>
      <c r="J940" t="s">
        <v>3666</v>
      </c>
      <c r="K940" t="str">
        <f t="shared" si="322"/>
        <v>32.15369</v>
      </c>
      <c r="L940" t="str">
        <f t="shared" si="323"/>
        <v>-80.767933</v>
      </c>
      <c r="M940">
        <v>4</v>
      </c>
      <c r="N940" s="1">
        <v>44140</v>
      </c>
      <c r="O940" s="1">
        <v>46099</v>
      </c>
      <c r="P940" s="2">
        <f t="shared" si="324"/>
        <v>5.3634496919917867</v>
      </c>
      <c r="Q940" s="2" t="str">
        <f t="shared" si="325"/>
        <v>Mid</v>
      </c>
      <c r="R940">
        <f t="shared" si="326"/>
        <v>2000</v>
      </c>
      <c r="S940" t="str">
        <f t="shared" si="327"/>
        <v>Small</v>
      </c>
      <c r="T940" t="str">
        <f t="shared" si="328"/>
        <v>Lower EV Adoption Corridor</v>
      </c>
      <c r="U940" s="3">
        <f t="shared" si="329"/>
        <v>3600000</v>
      </c>
      <c r="V940" s="4">
        <f t="shared" si="330"/>
        <v>880000.00000000012</v>
      </c>
      <c r="W940" s="3">
        <f t="shared" si="331"/>
        <v>12000000</v>
      </c>
      <c r="X940" s="3">
        <f t="shared" si="332"/>
        <v>6600000.0000000009</v>
      </c>
      <c r="Y940">
        <f t="shared" si="333"/>
        <v>0.31515151515151513</v>
      </c>
      <c r="Z940">
        <f t="shared" si="334"/>
        <v>0.75555555555555554</v>
      </c>
      <c r="AA940" t="str">
        <f t="shared" si="335"/>
        <v>Tier 2 - Growth Markets</v>
      </c>
      <c r="AB940" s="3">
        <f t="shared" si="336"/>
        <v>110000.00000000001</v>
      </c>
      <c r="AC940" s="3">
        <f t="shared" si="337"/>
        <v>1500000</v>
      </c>
      <c r="AD940" s="3">
        <f t="shared" si="338"/>
        <v>450000</v>
      </c>
      <c r="AE940" s="5">
        <f t="shared" si="339"/>
        <v>4.4117647058823533</v>
      </c>
      <c r="AF940" s="10">
        <f t="shared" si="340"/>
        <v>545600.00000000012</v>
      </c>
      <c r="AG940" s="10">
        <f t="shared" si="341"/>
        <v>176000.00000000003</v>
      </c>
      <c r="AH940" s="10">
        <f t="shared" si="342"/>
        <v>88000.000000000015</v>
      </c>
      <c r="AI940" s="10">
        <f t="shared" si="343"/>
        <v>44000.000000000007</v>
      </c>
      <c r="AJ940" s="10">
        <f t="shared" si="344"/>
        <v>26400.000000000004</v>
      </c>
    </row>
    <row r="941" spans="1:36" x14ac:dyDescent="0.3">
      <c r="A941" t="s">
        <v>3667</v>
      </c>
      <c r="B941" t="s">
        <v>3668</v>
      </c>
      <c r="C941" t="s">
        <v>1238</v>
      </c>
      <c r="D941" t="s">
        <v>14</v>
      </c>
      <c r="E941">
        <v>95814</v>
      </c>
      <c r="F941" t="s">
        <v>15</v>
      </c>
      <c r="G941">
        <v>20</v>
      </c>
      <c r="H941">
        <v>250</v>
      </c>
      <c r="I941" t="str" cm="1">
        <f t="array" ref="I941">_xlfn.IFS(H941&lt;=120,"V1",H941&lt;=150,"V2",H941&lt;=250,"V3", H941&lt;=350, "V4")</f>
        <v>V3</v>
      </c>
      <c r="J941" t="s">
        <v>3669</v>
      </c>
      <c r="K941" t="str">
        <f t="shared" si="322"/>
        <v>38.580186</v>
      </c>
      <c r="L941" t="str">
        <f t="shared" si="323"/>
        <v>-121.499476</v>
      </c>
      <c r="M941">
        <v>9</v>
      </c>
      <c r="N941" s="1">
        <v>44457</v>
      </c>
      <c r="O941" s="1">
        <v>46099</v>
      </c>
      <c r="P941" s="2">
        <f t="shared" si="324"/>
        <v>4.4955509924709105</v>
      </c>
      <c r="Q941" s="2" t="str">
        <f t="shared" si="325"/>
        <v>Mid</v>
      </c>
      <c r="R941">
        <f t="shared" si="326"/>
        <v>5000</v>
      </c>
      <c r="S941" t="str">
        <f t="shared" si="327"/>
        <v>Small</v>
      </c>
      <c r="T941" t="str">
        <f t="shared" si="328"/>
        <v>High EV Adoption Corridor</v>
      </c>
      <c r="U941" s="3">
        <f t="shared" si="329"/>
        <v>11700000</v>
      </c>
      <c r="V941" s="4">
        <f t="shared" si="330"/>
        <v>2640000</v>
      </c>
      <c r="W941" s="3">
        <f t="shared" si="331"/>
        <v>33000000.000000004</v>
      </c>
      <c r="X941" s="3">
        <f t="shared" si="332"/>
        <v>24750000.000000004</v>
      </c>
      <c r="Y941">
        <f t="shared" si="333"/>
        <v>0.23999999999999996</v>
      </c>
      <c r="Z941">
        <f t="shared" si="334"/>
        <v>0.77435897435897438</v>
      </c>
      <c r="AA941" t="str">
        <f t="shared" si="335"/>
        <v>Tier 1 - Priority Fleet</v>
      </c>
      <c r="AB941" s="3">
        <f t="shared" si="336"/>
        <v>132000</v>
      </c>
      <c r="AC941" s="3">
        <f t="shared" si="337"/>
        <v>1650000.0000000002</v>
      </c>
      <c r="AD941" s="3">
        <f t="shared" si="338"/>
        <v>585000</v>
      </c>
      <c r="AE941" s="5">
        <f t="shared" si="339"/>
        <v>3.6423841059602653</v>
      </c>
      <c r="AF941" s="10">
        <f t="shared" si="340"/>
        <v>1636800</v>
      </c>
      <c r="AG941" s="10">
        <f t="shared" si="341"/>
        <v>528000</v>
      </c>
      <c r="AH941" s="10">
        <f t="shared" si="342"/>
        <v>264000</v>
      </c>
      <c r="AI941" s="10">
        <f t="shared" si="343"/>
        <v>132000</v>
      </c>
      <c r="AJ941" s="10">
        <f t="shared" si="344"/>
        <v>79200</v>
      </c>
    </row>
    <row r="942" spans="1:36" x14ac:dyDescent="0.3">
      <c r="A942" t="s">
        <v>3670</v>
      </c>
      <c r="B942" t="s">
        <v>3671</v>
      </c>
      <c r="C942" t="s">
        <v>1519</v>
      </c>
      <c r="D942" t="s">
        <v>14</v>
      </c>
      <c r="E942">
        <v>94538</v>
      </c>
      <c r="F942" t="s">
        <v>15</v>
      </c>
      <c r="G942">
        <v>16</v>
      </c>
      <c r="H942">
        <v>250</v>
      </c>
      <c r="I942" t="str" cm="1">
        <f t="array" ref="I942">_xlfn.IFS(H942&lt;=120,"V1",H942&lt;=150,"V2",H942&lt;=250,"V3", H942&lt;=350, "V4")</f>
        <v>V3</v>
      </c>
      <c r="J942" t="s">
        <v>3672</v>
      </c>
      <c r="K942" t="str">
        <f t="shared" si="322"/>
        <v>37.502482</v>
      </c>
      <c r="L942" t="str">
        <f t="shared" si="323"/>
        <v>-121.968927</v>
      </c>
      <c r="M942">
        <v>6</v>
      </c>
      <c r="N942" s="1">
        <v>44153</v>
      </c>
      <c r="O942" s="1">
        <v>46099</v>
      </c>
      <c r="P942" s="2">
        <f t="shared" si="324"/>
        <v>5.3278576317590689</v>
      </c>
      <c r="Q942" s="2" t="str">
        <f t="shared" si="325"/>
        <v>Mid</v>
      </c>
      <c r="R942">
        <f t="shared" si="326"/>
        <v>4000</v>
      </c>
      <c r="S942" t="str">
        <f t="shared" si="327"/>
        <v>Small</v>
      </c>
      <c r="T942" t="str">
        <f t="shared" si="328"/>
        <v>High EV Adoption Corridor</v>
      </c>
      <c r="U942" s="3">
        <f t="shared" si="329"/>
        <v>9360000</v>
      </c>
      <c r="V942" s="4">
        <f t="shared" si="330"/>
        <v>2112000</v>
      </c>
      <c r="W942" s="3">
        <f t="shared" si="331"/>
        <v>26400000.000000004</v>
      </c>
      <c r="X942" s="3">
        <f t="shared" si="332"/>
        <v>19800000.000000004</v>
      </c>
      <c r="Y942">
        <f t="shared" si="333"/>
        <v>0.23999999999999996</v>
      </c>
      <c r="Z942">
        <f t="shared" si="334"/>
        <v>0.77435897435897438</v>
      </c>
      <c r="AA942" t="str">
        <f t="shared" si="335"/>
        <v>Tier 1 - Priority Fleet</v>
      </c>
      <c r="AB942" s="3">
        <f t="shared" si="336"/>
        <v>132000</v>
      </c>
      <c r="AC942" s="3">
        <f t="shared" si="337"/>
        <v>1650000.0000000002</v>
      </c>
      <c r="AD942" s="3">
        <f t="shared" si="338"/>
        <v>585000</v>
      </c>
      <c r="AE942" s="5">
        <f t="shared" si="339"/>
        <v>3.6423841059602653</v>
      </c>
      <c r="AF942" s="10">
        <f t="shared" si="340"/>
        <v>1309440</v>
      </c>
      <c r="AG942" s="10">
        <f t="shared" si="341"/>
        <v>422400</v>
      </c>
      <c r="AH942" s="10">
        <f t="shared" si="342"/>
        <v>211200</v>
      </c>
      <c r="AI942" s="10">
        <f t="shared" si="343"/>
        <v>105600</v>
      </c>
      <c r="AJ942" s="10">
        <f t="shared" si="344"/>
        <v>63360</v>
      </c>
    </row>
    <row r="943" spans="1:36" x14ac:dyDescent="0.3">
      <c r="A943" t="s">
        <v>3673</v>
      </c>
      <c r="B943" t="s">
        <v>3674</v>
      </c>
      <c r="C943" t="s">
        <v>3675</v>
      </c>
      <c r="D943" t="s">
        <v>230</v>
      </c>
      <c r="E943">
        <v>99301</v>
      </c>
      <c r="F943" t="s">
        <v>15</v>
      </c>
      <c r="G943">
        <v>8</v>
      </c>
      <c r="H943">
        <v>250</v>
      </c>
      <c r="I943" t="str" cm="1">
        <f t="array" ref="I943">_xlfn.IFS(H943&lt;=120,"V1",H943&lt;=150,"V2",H943&lt;=250,"V3", H943&lt;=350, "V4")</f>
        <v>V3</v>
      </c>
      <c r="J943" t="s">
        <v>3676</v>
      </c>
      <c r="K943" t="str">
        <f t="shared" si="322"/>
        <v>46.272437</v>
      </c>
      <c r="L943" t="str">
        <f t="shared" si="323"/>
        <v>-119.182456</v>
      </c>
      <c r="M943">
        <v>154</v>
      </c>
      <c r="N943" s="1">
        <v>45036</v>
      </c>
      <c r="O943" s="1">
        <v>46099</v>
      </c>
      <c r="P943" s="2">
        <f t="shared" si="324"/>
        <v>2.9103353867214237</v>
      </c>
      <c r="Q943" s="2" t="str">
        <f t="shared" si="325"/>
        <v>New</v>
      </c>
      <c r="R943">
        <f t="shared" si="326"/>
        <v>2000</v>
      </c>
      <c r="S943" t="str">
        <f t="shared" si="327"/>
        <v>Small</v>
      </c>
      <c r="T943" t="str">
        <f t="shared" si="328"/>
        <v>High EV Adoption Corridor</v>
      </c>
      <c r="U943" s="3">
        <f t="shared" si="329"/>
        <v>4680000</v>
      </c>
      <c r="V943" s="4">
        <f t="shared" si="330"/>
        <v>1056000</v>
      </c>
      <c r="W943" s="3">
        <f t="shared" si="331"/>
        <v>13200000.000000002</v>
      </c>
      <c r="X943" s="3">
        <f t="shared" si="332"/>
        <v>9900000.0000000019</v>
      </c>
      <c r="Y943">
        <f t="shared" si="333"/>
        <v>0.23999999999999996</v>
      </c>
      <c r="Z943">
        <f t="shared" si="334"/>
        <v>0.77435897435897438</v>
      </c>
      <c r="AA943" t="str">
        <f t="shared" si="335"/>
        <v>Tier 1 - Priority Fleet</v>
      </c>
      <c r="AB943" s="3">
        <f t="shared" si="336"/>
        <v>132000</v>
      </c>
      <c r="AC943" s="3">
        <f t="shared" si="337"/>
        <v>1650000.0000000002</v>
      </c>
      <c r="AD943" s="3">
        <f t="shared" si="338"/>
        <v>585000</v>
      </c>
      <c r="AE943" s="5">
        <f t="shared" si="339"/>
        <v>3.6423841059602653</v>
      </c>
      <c r="AF943" s="10">
        <f t="shared" si="340"/>
        <v>654720</v>
      </c>
      <c r="AG943" s="10">
        <f t="shared" si="341"/>
        <v>211200</v>
      </c>
      <c r="AH943" s="10">
        <f t="shared" si="342"/>
        <v>105600</v>
      </c>
      <c r="AI943" s="10">
        <f t="shared" si="343"/>
        <v>52800</v>
      </c>
      <c r="AJ943" s="10">
        <f t="shared" si="344"/>
        <v>31680</v>
      </c>
    </row>
    <row r="944" spans="1:36" x14ac:dyDescent="0.3">
      <c r="A944" t="s">
        <v>3677</v>
      </c>
      <c r="B944" t="s">
        <v>3678</v>
      </c>
      <c r="C944" t="s">
        <v>3643</v>
      </c>
      <c r="D944" t="s">
        <v>14</v>
      </c>
      <c r="E944">
        <v>94608</v>
      </c>
      <c r="F944" t="s">
        <v>15</v>
      </c>
      <c r="G944">
        <v>12</v>
      </c>
      <c r="H944">
        <v>250</v>
      </c>
      <c r="I944" t="str" cm="1">
        <f t="array" ref="I944">_xlfn.IFS(H944&lt;=120,"V1",H944&lt;=150,"V2",H944&lt;=250,"V3", H944&lt;=350, "V4")</f>
        <v>V3</v>
      </c>
      <c r="J944" t="s">
        <v>3679</v>
      </c>
      <c r="K944" t="str">
        <f t="shared" si="322"/>
        <v>37.840449</v>
      </c>
      <c r="L944" t="str">
        <f t="shared" si="323"/>
        <v>-122.293936</v>
      </c>
      <c r="M944">
        <v>3</v>
      </c>
      <c r="N944" s="1">
        <v>44155</v>
      </c>
      <c r="O944" s="1">
        <v>46099</v>
      </c>
      <c r="P944" s="2">
        <f t="shared" si="324"/>
        <v>5.3223819301848048</v>
      </c>
      <c r="Q944" s="2" t="str">
        <f t="shared" si="325"/>
        <v>Mid</v>
      </c>
      <c r="R944">
        <f t="shared" si="326"/>
        <v>3000</v>
      </c>
      <c r="S944" t="str">
        <f t="shared" si="327"/>
        <v>Small</v>
      </c>
      <c r="T944" t="str">
        <f t="shared" si="328"/>
        <v>High EV Adoption Corridor</v>
      </c>
      <c r="U944" s="3">
        <f t="shared" si="329"/>
        <v>7020000</v>
      </c>
      <c r="V944" s="4">
        <f t="shared" si="330"/>
        <v>1584000</v>
      </c>
      <c r="W944" s="3">
        <f t="shared" si="331"/>
        <v>19800000</v>
      </c>
      <c r="X944" s="3">
        <f t="shared" si="332"/>
        <v>14850000</v>
      </c>
      <c r="Y944">
        <f t="shared" si="333"/>
        <v>0.24</v>
      </c>
      <c r="Z944">
        <f t="shared" si="334"/>
        <v>0.77435897435897438</v>
      </c>
      <c r="AA944" t="str">
        <f t="shared" si="335"/>
        <v>Tier 1 - Priority Fleet</v>
      </c>
      <c r="AB944" s="3">
        <f t="shared" si="336"/>
        <v>132000</v>
      </c>
      <c r="AC944" s="3">
        <f t="shared" si="337"/>
        <v>1650000</v>
      </c>
      <c r="AD944" s="3">
        <f t="shared" si="338"/>
        <v>585000</v>
      </c>
      <c r="AE944" s="5">
        <f t="shared" si="339"/>
        <v>3.6423841059602649</v>
      </c>
      <c r="AF944" s="10">
        <f t="shared" si="340"/>
        <v>982080</v>
      </c>
      <c r="AG944" s="10">
        <f t="shared" si="341"/>
        <v>316800</v>
      </c>
      <c r="AH944" s="10">
        <f t="shared" si="342"/>
        <v>158400</v>
      </c>
      <c r="AI944" s="10">
        <f t="shared" si="343"/>
        <v>79200</v>
      </c>
      <c r="AJ944" s="10">
        <f t="shared" si="344"/>
        <v>47520</v>
      </c>
    </row>
    <row r="945" spans="1:36" x14ac:dyDescent="0.3">
      <c r="A945" t="s">
        <v>3680</v>
      </c>
      <c r="B945" t="s">
        <v>3681</v>
      </c>
      <c r="C945" t="s">
        <v>3682</v>
      </c>
      <c r="D945" t="s">
        <v>14</v>
      </c>
      <c r="E945">
        <v>95618</v>
      </c>
      <c r="F945" t="s">
        <v>15</v>
      </c>
      <c r="G945">
        <v>16</v>
      </c>
      <c r="H945">
        <v>250</v>
      </c>
      <c r="I945" t="str" cm="1">
        <f t="array" ref="I945">_xlfn.IFS(H945&lt;=120,"V1",H945&lt;=150,"V2",H945&lt;=250,"V3", H945&lt;=350, "V4")</f>
        <v>V3</v>
      </c>
      <c r="J945" t="s">
        <v>3683</v>
      </c>
      <c r="K945" t="str">
        <f t="shared" si="322"/>
        <v>38.542553</v>
      </c>
      <c r="L945" t="str">
        <f t="shared" si="323"/>
        <v>-121.725827</v>
      </c>
      <c r="M945">
        <v>13</v>
      </c>
      <c r="N945" s="1">
        <v>44216</v>
      </c>
      <c r="O945" s="1">
        <v>46099</v>
      </c>
      <c r="P945" s="2">
        <f t="shared" si="324"/>
        <v>5.1553730321697468</v>
      </c>
      <c r="Q945" s="2" t="str">
        <f t="shared" si="325"/>
        <v>Mid</v>
      </c>
      <c r="R945">
        <f t="shared" si="326"/>
        <v>4000</v>
      </c>
      <c r="S945" t="str">
        <f t="shared" si="327"/>
        <v>Small</v>
      </c>
      <c r="T945" t="str">
        <f t="shared" si="328"/>
        <v>High EV Adoption Corridor</v>
      </c>
      <c r="U945" s="3">
        <f t="shared" si="329"/>
        <v>9360000</v>
      </c>
      <c r="V945" s="4">
        <f t="shared" si="330"/>
        <v>2112000</v>
      </c>
      <c r="W945" s="3">
        <f t="shared" si="331"/>
        <v>26400000.000000004</v>
      </c>
      <c r="X945" s="3">
        <f t="shared" si="332"/>
        <v>19800000.000000004</v>
      </c>
      <c r="Y945">
        <f t="shared" si="333"/>
        <v>0.23999999999999996</v>
      </c>
      <c r="Z945">
        <f t="shared" si="334"/>
        <v>0.77435897435897438</v>
      </c>
      <c r="AA945" t="str">
        <f t="shared" si="335"/>
        <v>Tier 1 - Priority Fleet</v>
      </c>
      <c r="AB945" s="3">
        <f t="shared" si="336"/>
        <v>132000</v>
      </c>
      <c r="AC945" s="3">
        <f t="shared" si="337"/>
        <v>1650000.0000000002</v>
      </c>
      <c r="AD945" s="3">
        <f t="shared" si="338"/>
        <v>585000</v>
      </c>
      <c r="AE945" s="5">
        <f t="shared" si="339"/>
        <v>3.6423841059602653</v>
      </c>
      <c r="AF945" s="10">
        <f t="shared" si="340"/>
        <v>1309440</v>
      </c>
      <c r="AG945" s="10">
        <f t="shared" si="341"/>
        <v>422400</v>
      </c>
      <c r="AH945" s="10">
        <f t="shared" si="342"/>
        <v>211200</v>
      </c>
      <c r="AI945" s="10">
        <f t="shared" si="343"/>
        <v>105600</v>
      </c>
      <c r="AJ945" s="10">
        <f t="shared" si="344"/>
        <v>63360</v>
      </c>
    </row>
    <row r="946" spans="1:36" x14ac:dyDescent="0.3">
      <c r="A946" t="s">
        <v>3684</v>
      </c>
      <c r="B946" t="s">
        <v>3685</v>
      </c>
      <c r="C946" t="s">
        <v>3686</v>
      </c>
      <c r="D946" t="s">
        <v>41</v>
      </c>
      <c r="E946">
        <v>32536</v>
      </c>
      <c r="F946" t="s">
        <v>15</v>
      </c>
      <c r="G946">
        <v>8</v>
      </c>
      <c r="H946">
        <v>250</v>
      </c>
      <c r="I946" t="str" cm="1">
        <f t="array" ref="I946">_xlfn.IFS(H946&lt;=120,"V1",H946&lt;=150,"V2",H946&lt;=250,"V3", H946&lt;=350, "V4")</f>
        <v>V3</v>
      </c>
      <c r="J946" t="s">
        <v>3687</v>
      </c>
      <c r="K946" t="str">
        <f t="shared" si="322"/>
        <v>30.733386</v>
      </c>
      <c r="L946" t="str">
        <f t="shared" si="323"/>
        <v>-86.566733</v>
      </c>
      <c r="M946">
        <v>69</v>
      </c>
      <c r="N946" s="1">
        <v>44244</v>
      </c>
      <c r="O946" s="1">
        <v>46099</v>
      </c>
      <c r="P946" s="2">
        <f t="shared" si="324"/>
        <v>5.0787132101300481</v>
      </c>
      <c r="Q946" s="2" t="str">
        <f t="shared" si="325"/>
        <v>Mid</v>
      </c>
      <c r="R946">
        <f t="shared" si="326"/>
        <v>2000</v>
      </c>
      <c r="S946" t="str">
        <f t="shared" si="327"/>
        <v>Small</v>
      </c>
      <c r="T946" t="str">
        <f t="shared" si="328"/>
        <v>High EV Adoption Corridor</v>
      </c>
      <c r="U946" s="3">
        <f t="shared" si="329"/>
        <v>4680000</v>
      </c>
      <c r="V946" s="4">
        <f t="shared" si="330"/>
        <v>1056000</v>
      </c>
      <c r="W946" s="3">
        <f t="shared" si="331"/>
        <v>13200000.000000002</v>
      </c>
      <c r="X946" s="3">
        <f t="shared" si="332"/>
        <v>9900000.0000000019</v>
      </c>
      <c r="Y946">
        <f t="shared" si="333"/>
        <v>0.23999999999999996</v>
      </c>
      <c r="Z946">
        <f t="shared" si="334"/>
        <v>0.77435897435897438</v>
      </c>
      <c r="AA946" t="str">
        <f t="shared" si="335"/>
        <v>Tier 1 - Priority Fleet</v>
      </c>
      <c r="AB946" s="3">
        <f t="shared" si="336"/>
        <v>132000</v>
      </c>
      <c r="AC946" s="3">
        <f t="shared" si="337"/>
        <v>1650000.0000000002</v>
      </c>
      <c r="AD946" s="3">
        <f t="shared" si="338"/>
        <v>585000</v>
      </c>
      <c r="AE946" s="5">
        <f t="shared" si="339"/>
        <v>3.6423841059602653</v>
      </c>
      <c r="AF946" s="10">
        <f t="shared" si="340"/>
        <v>654720</v>
      </c>
      <c r="AG946" s="10">
        <f t="shared" si="341"/>
        <v>211200</v>
      </c>
      <c r="AH946" s="10">
        <f t="shared" si="342"/>
        <v>105600</v>
      </c>
      <c r="AI946" s="10">
        <f t="shared" si="343"/>
        <v>52800</v>
      </c>
      <c r="AJ946" s="10">
        <f t="shared" si="344"/>
        <v>31680</v>
      </c>
    </row>
    <row r="947" spans="1:36" x14ac:dyDescent="0.3">
      <c r="A947" t="s">
        <v>3688</v>
      </c>
      <c r="B947" t="s">
        <v>3689</v>
      </c>
      <c r="C947" t="s">
        <v>3690</v>
      </c>
      <c r="D947" t="s">
        <v>50</v>
      </c>
      <c r="E947">
        <v>76705</v>
      </c>
      <c r="F947" t="s">
        <v>15</v>
      </c>
      <c r="G947">
        <v>22</v>
      </c>
      <c r="H947">
        <v>250</v>
      </c>
      <c r="I947" t="str" cm="1">
        <f t="array" ref="I947">_xlfn.IFS(H947&lt;=120,"V1",H947&lt;=150,"V2",H947&lt;=250,"V3", H947&lt;=350, "V4")</f>
        <v>V3</v>
      </c>
      <c r="J947" t="s">
        <v>3691</v>
      </c>
      <c r="K947" t="str">
        <f t="shared" si="322"/>
        <v>31.58224</v>
      </c>
      <c r="L947" t="str">
        <f t="shared" si="323"/>
        <v>-97.10915</v>
      </c>
      <c r="M947">
        <v>124</v>
      </c>
      <c r="N947" s="1">
        <v>41524</v>
      </c>
      <c r="O947" s="1">
        <v>46099</v>
      </c>
      <c r="P947" s="2">
        <f t="shared" si="324"/>
        <v>12.525667351129364</v>
      </c>
      <c r="Q947" s="2" t="str">
        <f t="shared" si="325"/>
        <v>Old</v>
      </c>
      <c r="R947">
        <f t="shared" si="326"/>
        <v>5500</v>
      </c>
      <c r="S947" t="str">
        <f t="shared" si="327"/>
        <v>Small</v>
      </c>
      <c r="T947" t="str">
        <f t="shared" si="328"/>
        <v>High EV Adoption Corridor</v>
      </c>
      <c r="U947" s="3">
        <f t="shared" si="329"/>
        <v>12870000</v>
      </c>
      <c r="V947" s="4">
        <f t="shared" si="330"/>
        <v>2904000</v>
      </c>
      <c r="W947" s="3">
        <f t="shared" si="331"/>
        <v>36300000</v>
      </c>
      <c r="X947" s="3">
        <f t="shared" si="332"/>
        <v>27225000</v>
      </c>
      <c r="Y947">
        <f t="shared" si="333"/>
        <v>0.24</v>
      </c>
      <c r="Z947">
        <f t="shared" si="334"/>
        <v>0.77435897435897438</v>
      </c>
      <c r="AA947" t="str">
        <f t="shared" si="335"/>
        <v>Tier 1 - Priority Fleet</v>
      </c>
      <c r="AB947" s="3">
        <f t="shared" si="336"/>
        <v>132000</v>
      </c>
      <c r="AC947" s="3">
        <f t="shared" si="337"/>
        <v>1650000</v>
      </c>
      <c r="AD947" s="3">
        <f t="shared" si="338"/>
        <v>585000</v>
      </c>
      <c r="AE947" s="5">
        <f t="shared" si="339"/>
        <v>3.6423841059602649</v>
      </c>
      <c r="AF947" s="10">
        <f t="shared" si="340"/>
        <v>1800480</v>
      </c>
      <c r="AG947" s="10">
        <f t="shared" si="341"/>
        <v>580800</v>
      </c>
      <c r="AH947" s="10">
        <f t="shared" si="342"/>
        <v>290400</v>
      </c>
      <c r="AI947" s="10">
        <f t="shared" si="343"/>
        <v>145200</v>
      </c>
      <c r="AJ947" s="10">
        <f t="shared" si="344"/>
        <v>87120</v>
      </c>
    </row>
    <row r="948" spans="1:36" x14ac:dyDescent="0.3">
      <c r="A948" t="s">
        <v>3692</v>
      </c>
      <c r="B948" t="s">
        <v>3693</v>
      </c>
      <c r="C948" t="s">
        <v>1871</v>
      </c>
      <c r="D948" t="s">
        <v>1872</v>
      </c>
      <c r="E948">
        <v>20018</v>
      </c>
      <c r="F948" t="s">
        <v>15</v>
      </c>
      <c r="G948">
        <v>12</v>
      </c>
      <c r="H948">
        <v>250</v>
      </c>
      <c r="I948" t="str" cm="1">
        <f t="array" ref="I948">_xlfn.IFS(H948&lt;=120,"V1",H948&lt;=150,"V2",H948&lt;=250,"V3", H948&lt;=350, "V4")</f>
        <v>V3</v>
      </c>
      <c r="J948" t="s">
        <v>3694</v>
      </c>
      <c r="K948" t="str">
        <f t="shared" si="322"/>
        <v>38.92225</v>
      </c>
      <c r="L948" t="str">
        <f t="shared" si="323"/>
        <v>-76.953333</v>
      </c>
      <c r="M948">
        <v>30</v>
      </c>
      <c r="N948" s="1">
        <v>44161</v>
      </c>
      <c r="O948" s="1">
        <v>46099</v>
      </c>
      <c r="P948" s="2">
        <f t="shared" si="324"/>
        <v>5.3059548254620124</v>
      </c>
      <c r="Q948" s="2" t="str">
        <f t="shared" si="325"/>
        <v>Mid</v>
      </c>
      <c r="R948">
        <f t="shared" si="326"/>
        <v>3000</v>
      </c>
      <c r="S948" t="str">
        <f t="shared" si="327"/>
        <v>Small</v>
      </c>
      <c r="T948" t="str">
        <f t="shared" si="328"/>
        <v>Lower EV Adoption Corridor</v>
      </c>
      <c r="U948" s="3">
        <f t="shared" si="329"/>
        <v>5400000</v>
      </c>
      <c r="V948" s="4">
        <f t="shared" si="330"/>
        <v>1320000</v>
      </c>
      <c r="W948" s="3">
        <f t="shared" si="331"/>
        <v>18000000</v>
      </c>
      <c r="X948" s="3">
        <f t="shared" si="332"/>
        <v>9900000</v>
      </c>
      <c r="Y948">
        <f t="shared" si="333"/>
        <v>0.31515151515151513</v>
      </c>
      <c r="Z948">
        <f t="shared" si="334"/>
        <v>0.75555555555555554</v>
      </c>
      <c r="AA948" t="str">
        <f t="shared" si="335"/>
        <v>Tier 2 - Growth Markets</v>
      </c>
      <c r="AB948" s="3">
        <f t="shared" si="336"/>
        <v>110000</v>
      </c>
      <c r="AC948" s="3">
        <f t="shared" si="337"/>
        <v>1500000</v>
      </c>
      <c r="AD948" s="3">
        <f t="shared" si="338"/>
        <v>450000</v>
      </c>
      <c r="AE948" s="5">
        <f t="shared" si="339"/>
        <v>4.4117647058823533</v>
      </c>
      <c r="AF948" s="10">
        <f t="shared" si="340"/>
        <v>818400</v>
      </c>
      <c r="AG948" s="10">
        <f t="shared" si="341"/>
        <v>264000</v>
      </c>
      <c r="AH948" s="10">
        <f t="shared" si="342"/>
        <v>132000</v>
      </c>
      <c r="AI948" s="10">
        <f t="shared" si="343"/>
        <v>66000</v>
      </c>
      <c r="AJ948" s="10">
        <f t="shared" si="344"/>
        <v>39600</v>
      </c>
    </row>
    <row r="949" spans="1:36" x14ac:dyDescent="0.3">
      <c r="A949" t="s">
        <v>3695</v>
      </c>
      <c r="B949" t="s">
        <v>3696</v>
      </c>
      <c r="C949" t="s">
        <v>406</v>
      </c>
      <c r="D949" t="s">
        <v>50</v>
      </c>
      <c r="E949">
        <v>76210</v>
      </c>
      <c r="F949" t="s">
        <v>15</v>
      </c>
      <c r="G949">
        <v>8</v>
      </c>
      <c r="H949">
        <v>250</v>
      </c>
      <c r="I949" t="str" cm="1">
        <f t="array" ref="I949">_xlfn.IFS(H949&lt;=120,"V1",H949&lt;=150,"V2",H949&lt;=250,"V3", H949&lt;=350, "V4")</f>
        <v>V3</v>
      </c>
      <c r="J949" t="s">
        <v>3697</v>
      </c>
      <c r="K949" t="str">
        <f t="shared" si="322"/>
        <v>33.178819</v>
      </c>
      <c r="L949" t="str">
        <f t="shared" si="323"/>
        <v>-97.101846</v>
      </c>
      <c r="M949">
        <v>196</v>
      </c>
      <c r="N949" s="1">
        <v>45068</v>
      </c>
      <c r="O949" s="1">
        <v>46099</v>
      </c>
      <c r="P949" s="2">
        <f t="shared" si="324"/>
        <v>2.8227241615331966</v>
      </c>
      <c r="Q949" s="2" t="str">
        <f t="shared" si="325"/>
        <v>New</v>
      </c>
      <c r="R949">
        <f t="shared" si="326"/>
        <v>2000</v>
      </c>
      <c r="S949" t="str">
        <f t="shared" si="327"/>
        <v>Small</v>
      </c>
      <c r="T949" t="str">
        <f t="shared" si="328"/>
        <v>High EV Adoption Corridor</v>
      </c>
      <c r="U949" s="3">
        <f t="shared" si="329"/>
        <v>4680000</v>
      </c>
      <c r="V949" s="4">
        <f t="shared" si="330"/>
        <v>1056000</v>
      </c>
      <c r="W949" s="3">
        <f t="shared" si="331"/>
        <v>13200000.000000002</v>
      </c>
      <c r="X949" s="3">
        <f t="shared" si="332"/>
        <v>9900000.0000000019</v>
      </c>
      <c r="Y949">
        <f t="shared" si="333"/>
        <v>0.23999999999999996</v>
      </c>
      <c r="Z949">
        <f t="shared" si="334"/>
        <v>0.77435897435897438</v>
      </c>
      <c r="AA949" t="str">
        <f t="shared" si="335"/>
        <v>Tier 1 - Priority Fleet</v>
      </c>
      <c r="AB949" s="3">
        <f t="shared" si="336"/>
        <v>132000</v>
      </c>
      <c r="AC949" s="3">
        <f t="shared" si="337"/>
        <v>1650000.0000000002</v>
      </c>
      <c r="AD949" s="3">
        <f t="shared" si="338"/>
        <v>585000</v>
      </c>
      <c r="AE949" s="5">
        <f t="shared" si="339"/>
        <v>3.6423841059602653</v>
      </c>
      <c r="AF949" s="10">
        <f t="shared" si="340"/>
        <v>654720</v>
      </c>
      <c r="AG949" s="10">
        <f t="shared" si="341"/>
        <v>211200</v>
      </c>
      <c r="AH949" s="10">
        <f t="shared" si="342"/>
        <v>105600</v>
      </c>
      <c r="AI949" s="10">
        <f t="shared" si="343"/>
        <v>52800</v>
      </c>
      <c r="AJ949" s="10">
        <f t="shared" si="344"/>
        <v>31680</v>
      </c>
    </row>
    <row r="950" spans="1:36" x14ac:dyDescent="0.3">
      <c r="A950" t="s">
        <v>3698</v>
      </c>
      <c r="B950" t="s">
        <v>3699</v>
      </c>
      <c r="C950" t="s">
        <v>1542</v>
      </c>
      <c r="D950" t="s">
        <v>14</v>
      </c>
      <c r="E950">
        <v>95020</v>
      </c>
      <c r="F950" t="s">
        <v>15</v>
      </c>
      <c r="G950">
        <v>12</v>
      </c>
      <c r="H950">
        <v>250</v>
      </c>
      <c r="I950" t="str" cm="1">
        <f t="array" ref="I950">_xlfn.IFS(H950&lt;=120,"V1",H950&lt;=150,"V2",H950&lt;=250,"V3", H950&lt;=350, "V4")</f>
        <v>V3</v>
      </c>
      <c r="J950" t="s">
        <v>3700</v>
      </c>
      <c r="K950" t="str">
        <f t="shared" si="322"/>
        <v>37.000817</v>
      </c>
      <c r="L950" t="str">
        <f t="shared" si="323"/>
        <v>-121.554338</v>
      </c>
      <c r="M950">
        <v>57</v>
      </c>
      <c r="N950" s="1">
        <v>44161</v>
      </c>
      <c r="O950" s="1">
        <v>46099</v>
      </c>
      <c r="P950" s="2">
        <f t="shared" si="324"/>
        <v>5.3059548254620124</v>
      </c>
      <c r="Q950" s="2" t="str">
        <f t="shared" si="325"/>
        <v>Mid</v>
      </c>
      <c r="R950">
        <f t="shared" si="326"/>
        <v>3000</v>
      </c>
      <c r="S950" t="str">
        <f t="shared" si="327"/>
        <v>Small</v>
      </c>
      <c r="T950" t="str">
        <f t="shared" si="328"/>
        <v>High EV Adoption Corridor</v>
      </c>
      <c r="U950" s="3">
        <f t="shared" si="329"/>
        <v>7020000</v>
      </c>
      <c r="V950" s="4">
        <f t="shared" si="330"/>
        <v>1584000</v>
      </c>
      <c r="W950" s="3">
        <f t="shared" si="331"/>
        <v>19800000</v>
      </c>
      <c r="X950" s="3">
        <f t="shared" si="332"/>
        <v>14850000</v>
      </c>
      <c r="Y950">
        <f t="shared" si="333"/>
        <v>0.24</v>
      </c>
      <c r="Z950">
        <f t="shared" si="334"/>
        <v>0.77435897435897438</v>
      </c>
      <c r="AA950" t="str">
        <f t="shared" si="335"/>
        <v>Tier 1 - Priority Fleet</v>
      </c>
      <c r="AB950" s="3">
        <f t="shared" si="336"/>
        <v>132000</v>
      </c>
      <c r="AC950" s="3">
        <f t="shared" si="337"/>
        <v>1650000</v>
      </c>
      <c r="AD950" s="3">
        <f t="shared" si="338"/>
        <v>585000</v>
      </c>
      <c r="AE950" s="5">
        <f t="shared" si="339"/>
        <v>3.6423841059602649</v>
      </c>
      <c r="AF950" s="10">
        <f t="shared" si="340"/>
        <v>982080</v>
      </c>
      <c r="AG950" s="10">
        <f t="shared" si="341"/>
        <v>316800</v>
      </c>
      <c r="AH950" s="10">
        <f t="shared" si="342"/>
        <v>158400</v>
      </c>
      <c r="AI950" s="10">
        <f t="shared" si="343"/>
        <v>79200</v>
      </c>
      <c r="AJ950" s="10">
        <f t="shared" si="344"/>
        <v>47520</v>
      </c>
    </row>
    <row r="951" spans="1:36" x14ac:dyDescent="0.3">
      <c r="A951" t="s">
        <v>3701</v>
      </c>
      <c r="B951" t="s">
        <v>3702</v>
      </c>
      <c r="C951" t="s">
        <v>3665</v>
      </c>
      <c r="D951" t="s">
        <v>125</v>
      </c>
      <c r="E951">
        <v>29926</v>
      </c>
      <c r="F951" t="s">
        <v>15</v>
      </c>
      <c r="G951">
        <v>8</v>
      </c>
      <c r="H951">
        <v>250</v>
      </c>
      <c r="I951" t="str" cm="1">
        <f t="array" ref="I951">_xlfn.IFS(H951&lt;=120,"V1",H951&lt;=150,"V2",H951&lt;=250,"V3", H951&lt;=350, "V4")</f>
        <v>V3</v>
      </c>
      <c r="J951" t="s">
        <v>3703</v>
      </c>
      <c r="K951" t="str">
        <f t="shared" si="322"/>
        <v>32.21475</v>
      </c>
      <c r="L951" t="str">
        <f t="shared" si="323"/>
        <v>-80.703411</v>
      </c>
      <c r="M951">
        <v>4</v>
      </c>
      <c r="N951" s="1">
        <v>44707</v>
      </c>
      <c r="O951" s="1">
        <v>46099</v>
      </c>
      <c r="P951" s="2">
        <f t="shared" si="324"/>
        <v>3.8110882956878851</v>
      </c>
      <c r="Q951" s="2" t="str">
        <f t="shared" si="325"/>
        <v>Mid</v>
      </c>
      <c r="R951">
        <f t="shared" si="326"/>
        <v>2000</v>
      </c>
      <c r="S951" t="str">
        <f t="shared" si="327"/>
        <v>Small</v>
      </c>
      <c r="T951" t="str">
        <f t="shared" si="328"/>
        <v>Lower EV Adoption Corridor</v>
      </c>
      <c r="U951" s="3">
        <f t="shared" si="329"/>
        <v>3600000</v>
      </c>
      <c r="V951" s="4">
        <f t="shared" si="330"/>
        <v>880000.00000000012</v>
      </c>
      <c r="W951" s="3">
        <f t="shared" si="331"/>
        <v>12000000</v>
      </c>
      <c r="X951" s="3">
        <f t="shared" si="332"/>
        <v>6600000.0000000009</v>
      </c>
      <c r="Y951">
        <f t="shared" si="333"/>
        <v>0.31515151515151513</v>
      </c>
      <c r="Z951">
        <f t="shared" si="334"/>
        <v>0.75555555555555554</v>
      </c>
      <c r="AA951" t="str">
        <f t="shared" si="335"/>
        <v>Tier 2 - Growth Markets</v>
      </c>
      <c r="AB951" s="3">
        <f t="shared" si="336"/>
        <v>110000.00000000001</v>
      </c>
      <c r="AC951" s="3">
        <f t="shared" si="337"/>
        <v>1500000</v>
      </c>
      <c r="AD951" s="3">
        <f t="shared" si="338"/>
        <v>450000</v>
      </c>
      <c r="AE951" s="5">
        <f t="shared" si="339"/>
        <v>4.4117647058823533</v>
      </c>
      <c r="AF951" s="10">
        <f t="shared" si="340"/>
        <v>545600.00000000012</v>
      </c>
      <c r="AG951" s="10">
        <f t="shared" si="341"/>
        <v>176000.00000000003</v>
      </c>
      <c r="AH951" s="10">
        <f t="shared" si="342"/>
        <v>88000.000000000015</v>
      </c>
      <c r="AI951" s="10">
        <f t="shared" si="343"/>
        <v>44000.000000000007</v>
      </c>
      <c r="AJ951" s="10">
        <f t="shared" si="344"/>
        <v>26400.000000000004</v>
      </c>
    </row>
    <row r="952" spans="1:36" x14ac:dyDescent="0.3">
      <c r="A952" t="s">
        <v>3704</v>
      </c>
      <c r="B952" t="s">
        <v>3705</v>
      </c>
      <c r="C952" t="s">
        <v>3706</v>
      </c>
      <c r="D952" t="s">
        <v>913</v>
      </c>
      <c r="E952">
        <v>20814</v>
      </c>
      <c r="F952" t="s">
        <v>15</v>
      </c>
      <c r="G952">
        <v>12</v>
      </c>
      <c r="H952">
        <v>250</v>
      </c>
      <c r="I952" t="str" cm="1">
        <f t="array" ref="I952">_xlfn.IFS(H952&lt;=120,"V1",H952&lt;=150,"V2",H952&lt;=250,"V3", H952&lt;=350, "V4")</f>
        <v>V3</v>
      </c>
      <c r="J952" t="s">
        <v>3707</v>
      </c>
      <c r="K952" t="str">
        <f t="shared" si="322"/>
        <v>38.981159</v>
      </c>
      <c r="L952" t="str">
        <f t="shared" si="323"/>
        <v>-77.097958</v>
      </c>
      <c r="M952">
        <v>96</v>
      </c>
      <c r="N952" s="1">
        <v>44913</v>
      </c>
      <c r="O952" s="1">
        <v>46099</v>
      </c>
      <c r="P952" s="2">
        <f t="shared" si="324"/>
        <v>3.247091033538672</v>
      </c>
      <c r="Q952" s="2" t="str">
        <f t="shared" si="325"/>
        <v>Mid</v>
      </c>
      <c r="R952">
        <f t="shared" si="326"/>
        <v>3000</v>
      </c>
      <c r="S952" t="str">
        <f t="shared" si="327"/>
        <v>Small</v>
      </c>
      <c r="T952" t="str">
        <f t="shared" si="328"/>
        <v>Lower EV Adoption Corridor</v>
      </c>
      <c r="U952" s="3">
        <f t="shared" si="329"/>
        <v>5400000</v>
      </c>
      <c r="V952" s="4">
        <f t="shared" si="330"/>
        <v>1320000</v>
      </c>
      <c r="W952" s="3">
        <f t="shared" si="331"/>
        <v>18000000</v>
      </c>
      <c r="X952" s="3">
        <f t="shared" si="332"/>
        <v>9900000</v>
      </c>
      <c r="Y952">
        <f t="shared" si="333"/>
        <v>0.31515151515151513</v>
      </c>
      <c r="Z952">
        <f t="shared" si="334"/>
        <v>0.75555555555555554</v>
      </c>
      <c r="AA952" t="str">
        <f t="shared" si="335"/>
        <v>Tier 2 - Growth Markets</v>
      </c>
      <c r="AB952" s="3">
        <f t="shared" si="336"/>
        <v>110000</v>
      </c>
      <c r="AC952" s="3">
        <f t="shared" si="337"/>
        <v>1500000</v>
      </c>
      <c r="AD952" s="3">
        <f t="shared" si="338"/>
        <v>450000</v>
      </c>
      <c r="AE952" s="5">
        <f t="shared" si="339"/>
        <v>4.4117647058823533</v>
      </c>
      <c r="AF952" s="10">
        <f t="shared" si="340"/>
        <v>818400</v>
      </c>
      <c r="AG952" s="10">
        <f t="shared" si="341"/>
        <v>264000</v>
      </c>
      <c r="AH952" s="10">
        <f t="shared" si="342"/>
        <v>132000</v>
      </c>
      <c r="AI952" s="10">
        <f t="shared" si="343"/>
        <v>66000</v>
      </c>
      <c r="AJ952" s="10">
        <f t="shared" si="344"/>
        <v>39600</v>
      </c>
    </row>
    <row r="953" spans="1:36" x14ac:dyDescent="0.3">
      <c r="A953" t="s">
        <v>3708</v>
      </c>
      <c r="B953" t="s">
        <v>3709</v>
      </c>
      <c r="C953" t="s">
        <v>3710</v>
      </c>
      <c r="D953" t="s">
        <v>14</v>
      </c>
      <c r="E953">
        <v>94607</v>
      </c>
      <c r="F953" t="s">
        <v>15</v>
      </c>
      <c r="G953">
        <v>12</v>
      </c>
      <c r="H953">
        <v>72</v>
      </c>
      <c r="I953" t="str" cm="1">
        <f t="array" ref="I953">_xlfn.IFS(H953&lt;=120,"V1",H953&lt;=150,"V2",H953&lt;=250,"V3", H953&lt;=350, "V4")</f>
        <v>V1</v>
      </c>
      <c r="J953" t="s">
        <v>3711</v>
      </c>
      <c r="K953" t="str">
        <f t="shared" si="322"/>
        <v>37.794153</v>
      </c>
      <c r="L953" t="str">
        <f t="shared" si="323"/>
        <v>-122.272578</v>
      </c>
      <c r="M953">
        <v>4</v>
      </c>
      <c r="N953" s="1">
        <v>44157</v>
      </c>
      <c r="O953" s="1">
        <v>46099</v>
      </c>
      <c r="P953" s="2">
        <f t="shared" si="324"/>
        <v>5.3169062286105406</v>
      </c>
      <c r="Q953" s="2" t="str">
        <f t="shared" si="325"/>
        <v>Mid</v>
      </c>
      <c r="R953">
        <f t="shared" si="326"/>
        <v>864</v>
      </c>
      <c r="S953" t="str">
        <f t="shared" si="327"/>
        <v>Small</v>
      </c>
      <c r="T953" t="str">
        <f t="shared" si="328"/>
        <v>High EV Adoption Corridor</v>
      </c>
      <c r="U953" s="3">
        <f t="shared" si="329"/>
        <v>1684800</v>
      </c>
      <c r="V953" s="4">
        <f t="shared" si="330"/>
        <v>373248</v>
      </c>
      <c r="W953" s="3">
        <f t="shared" si="331"/>
        <v>3801600.0000000005</v>
      </c>
      <c r="X953" s="3">
        <f t="shared" si="332"/>
        <v>3499200</v>
      </c>
      <c r="Y953">
        <f t="shared" si="333"/>
        <v>0.21530864197530863</v>
      </c>
      <c r="Z953">
        <f t="shared" si="334"/>
        <v>0.77846153846153843</v>
      </c>
      <c r="AA953" t="str">
        <f t="shared" si="335"/>
        <v>Tier 3 - Upgrade Pipeline</v>
      </c>
      <c r="AB953" s="3">
        <f t="shared" si="336"/>
        <v>31104</v>
      </c>
      <c r="AC953" s="3">
        <f t="shared" si="337"/>
        <v>316800.00000000006</v>
      </c>
      <c r="AD953" s="3">
        <f t="shared" si="338"/>
        <v>140400</v>
      </c>
      <c r="AE953" s="5">
        <f t="shared" si="339"/>
        <v>2.8985507246376816</v>
      </c>
      <c r="AF953" s="10">
        <f t="shared" si="340"/>
        <v>231413.76000000001</v>
      </c>
      <c r="AG953" s="10">
        <f t="shared" si="341"/>
        <v>74649.600000000006</v>
      </c>
      <c r="AH953" s="10">
        <f t="shared" si="342"/>
        <v>37324.800000000003</v>
      </c>
      <c r="AI953" s="10">
        <f t="shared" si="343"/>
        <v>18662.400000000001</v>
      </c>
      <c r="AJ953" s="10">
        <f t="shared" si="344"/>
        <v>11197.439999999999</v>
      </c>
    </row>
    <row r="954" spans="1:36" x14ac:dyDescent="0.3">
      <c r="A954" t="s">
        <v>3712</v>
      </c>
      <c r="B954" t="s">
        <v>3713</v>
      </c>
      <c r="C954" t="s">
        <v>3714</v>
      </c>
      <c r="D954" t="s">
        <v>913</v>
      </c>
      <c r="E954">
        <v>21740</v>
      </c>
      <c r="F954" t="s">
        <v>15</v>
      </c>
      <c r="G954">
        <v>8</v>
      </c>
      <c r="H954">
        <v>250</v>
      </c>
      <c r="I954" t="str" cm="1">
        <f t="array" ref="I954">_xlfn.IFS(H954&lt;=120,"V1",H954&lt;=150,"V2",H954&lt;=250,"V3", H954&lt;=350, "V4")</f>
        <v>V3</v>
      </c>
      <c r="J954" t="s">
        <v>3715</v>
      </c>
      <c r="K954" t="str">
        <f t="shared" si="322"/>
        <v>39.608895</v>
      </c>
      <c r="L954" t="str">
        <f t="shared" si="323"/>
        <v>-77.750802</v>
      </c>
      <c r="M954">
        <v>175</v>
      </c>
      <c r="N954" s="1">
        <v>44195</v>
      </c>
      <c r="O954" s="1">
        <v>46099</v>
      </c>
      <c r="P954" s="2">
        <f t="shared" si="324"/>
        <v>5.2128678986995212</v>
      </c>
      <c r="Q954" s="2" t="str">
        <f t="shared" si="325"/>
        <v>Mid</v>
      </c>
      <c r="R954">
        <f t="shared" si="326"/>
        <v>2000</v>
      </c>
      <c r="S954" t="str">
        <f t="shared" si="327"/>
        <v>Small</v>
      </c>
      <c r="T954" t="str">
        <f t="shared" si="328"/>
        <v>Lower EV Adoption Corridor</v>
      </c>
      <c r="U954" s="3">
        <f t="shared" si="329"/>
        <v>3600000</v>
      </c>
      <c r="V954" s="4">
        <f t="shared" si="330"/>
        <v>880000.00000000012</v>
      </c>
      <c r="W954" s="3">
        <f t="shared" si="331"/>
        <v>12000000</v>
      </c>
      <c r="X954" s="3">
        <f t="shared" si="332"/>
        <v>6600000.0000000009</v>
      </c>
      <c r="Y954">
        <f t="shared" si="333"/>
        <v>0.31515151515151513</v>
      </c>
      <c r="Z954">
        <f t="shared" si="334"/>
        <v>0.75555555555555554</v>
      </c>
      <c r="AA954" t="str">
        <f t="shared" si="335"/>
        <v>Tier 2 - Growth Markets</v>
      </c>
      <c r="AB954" s="3">
        <f t="shared" si="336"/>
        <v>110000.00000000001</v>
      </c>
      <c r="AC954" s="3">
        <f t="shared" si="337"/>
        <v>1500000</v>
      </c>
      <c r="AD954" s="3">
        <f t="shared" si="338"/>
        <v>450000</v>
      </c>
      <c r="AE954" s="5">
        <f t="shared" si="339"/>
        <v>4.4117647058823533</v>
      </c>
      <c r="AF954" s="10">
        <f t="shared" si="340"/>
        <v>545600.00000000012</v>
      </c>
      <c r="AG954" s="10">
        <f t="shared" si="341"/>
        <v>176000.00000000003</v>
      </c>
      <c r="AH954" s="10">
        <f t="shared" si="342"/>
        <v>88000.000000000015</v>
      </c>
      <c r="AI954" s="10">
        <f t="shared" si="343"/>
        <v>44000.000000000007</v>
      </c>
      <c r="AJ954" s="10">
        <f t="shared" si="344"/>
        <v>26400.000000000004</v>
      </c>
    </row>
    <row r="955" spans="1:36" x14ac:dyDescent="0.3">
      <c r="A955" t="s">
        <v>3716</v>
      </c>
      <c r="B955" t="s">
        <v>3717</v>
      </c>
      <c r="C955" t="s">
        <v>3718</v>
      </c>
      <c r="D955" t="s">
        <v>41</v>
      </c>
      <c r="E955">
        <v>32955</v>
      </c>
      <c r="F955" t="s">
        <v>15</v>
      </c>
      <c r="G955">
        <v>12</v>
      </c>
      <c r="H955">
        <v>250</v>
      </c>
      <c r="I955" t="str" cm="1">
        <f t="array" ref="I955">_xlfn.IFS(H955&lt;=120,"V1",H955&lt;=150,"V2",H955&lt;=250,"V3", H955&lt;=350, "V4")</f>
        <v>V3</v>
      </c>
      <c r="J955" t="s">
        <v>3719</v>
      </c>
      <c r="K955" t="str">
        <f t="shared" si="322"/>
        <v>28.26721</v>
      </c>
      <c r="L955" t="str">
        <f t="shared" si="323"/>
        <v>-80.71842</v>
      </c>
      <c r="M955">
        <v>9</v>
      </c>
      <c r="N955" s="1">
        <v>44259</v>
      </c>
      <c r="O955" s="1">
        <v>46099</v>
      </c>
      <c r="P955" s="2">
        <f t="shared" si="324"/>
        <v>5.0376454483230662</v>
      </c>
      <c r="Q955" s="2" t="str">
        <f t="shared" si="325"/>
        <v>Mid</v>
      </c>
      <c r="R955">
        <f t="shared" si="326"/>
        <v>3000</v>
      </c>
      <c r="S955" t="str">
        <f t="shared" si="327"/>
        <v>Small</v>
      </c>
      <c r="T955" t="str">
        <f t="shared" si="328"/>
        <v>High EV Adoption Corridor</v>
      </c>
      <c r="U955" s="3">
        <f t="shared" si="329"/>
        <v>7020000</v>
      </c>
      <c r="V955" s="4">
        <f t="shared" si="330"/>
        <v>1584000</v>
      </c>
      <c r="W955" s="3">
        <f t="shared" si="331"/>
        <v>19800000</v>
      </c>
      <c r="X955" s="3">
        <f t="shared" si="332"/>
        <v>14850000</v>
      </c>
      <c r="Y955">
        <f t="shared" si="333"/>
        <v>0.24</v>
      </c>
      <c r="Z955">
        <f t="shared" si="334"/>
        <v>0.77435897435897438</v>
      </c>
      <c r="AA955" t="str">
        <f t="shared" si="335"/>
        <v>Tier 1 - Priority Fleet</v>
      </c>
      <c r="AB955" s="3">
        <f t="shared" si="336"/>
        <v>132000</v>
      </c>
      <c r="AC955" s="3">
        <f t="shared" si="337"/>
        <v>1650000</v>
      </c>
      <c r="AD955" s="3">
        <f t="shared" si="338"/>
        <v>585000</v>
      </c>
      <c r="AE955" s="5">
        <f t="shared" si="339"/>
        <v>3.6423841059602649</v>
      </c>
      <c r="AF955" s="10">
        <f t="shared" si="340"/>
        <v>982080</v>
      </c>
      <c r="AG955" s="10">
        <f t="shared" si="341"/>
        <v>316800</v>
      </c>
      <c r="AH955" s="10">
        <f t="shared" si="342"/>
        <v>158400</v>
      </c>
      <c r="AI955" s="10">
        <f t="shared" si="343"/>
        <v>79200</v>
      </c>
      <c r="AJ955" s="10">
        <f t="shared" si="344"/>
        <v>47520</v>
      </c>
    </row>
    <row r="956" spans="1:36" x14ac:dyDescent="0.3">
      <c r="A956" t="s">
        <v>3720</v>
      </c>
      <c r="B956" t="s">
        <v>3721</v>
      </c>
      <c r="C956" t="s">
        <v>3722</v>
      </c>
      <c r="D956" t="s">
        <v>428</v>
      </c>
      <c r="E956">
        <v>3276</v>
      </c>
      <c r="F956" t="s">
        <v>15</v>
      </c>
      <c r="G956">
        <v>8</v>
      </c>
      <c r="H956">
        <v>250</v>
      </c>
      <c r="I956" t="str" cm="1">
        <f t="array" ref="I956">_xlfn.IFS(H956&lt;=120,"V1",H956&lt;=150,"V2",H956&lt;=250,"V3", H956&lt;=350, "V4")</f>
        <v>V3</v>
      </c>
      <c r="J956" t="s">
        <v>3723</v>
      </c>
      <c r="K956" t="str">
        <f t="shared" si="322"/>
        <v>43.455263</v>
      </c>
      <c r="L956" t="str">
        <f t="shared" si="323"/>
        <v>-71.564612</v>
      </c>
      <c r="M956">
        <v>142</v>
      </c>
      <c r="N956" s="1">
        <v>44252</v>
      </c>
      <c r="O956" s="1">
        <v>46099</v>
      </c>
      <c r="P956" s="2">
        <f t="shared" si="324"/>
        <v>5.0568104038329915</v>
      </c>
      <c r="Q956" s="2" t="str">
        <f t="shared" si="325"/>
        <v>Mid</v>
      </c>
      <c r="R956">
        <f t="shared" si="326"/>
        <v>2000</v>
      </c>
      <c r="S956" t="str">
        <f t="shared" si="327"/>
        <v>Small</v>
      </c>
      <c r="T956" t="str">
        <f t="shared" si="328"/>
        <v>Lower EV Adoption Corridor</v>
      </c>
      <c r="U956" s="3">
        <f t="shared" si="329"/>
        <v>3600000</v>
      </c>
      <c r="V956" s="4">
        <f t="shared" si="330"/>
        <v>880000.00000000012</v>
      </c>
      <c r="W956" s="3">
        <f t="shared" si="331"/>
        <v>12000000</v>
      </c>
      <c r="X956" s="3">
        <f t="shared" si="332"/>
        <v>6600000.0000000009</v>
      </c>
      <c r="Y956">
        <f t="shared" si="333"/>
        <v>0.31515151515151513</v>
      </c>
      <c r="Z956">
        <f t="shared" si="334"/>
        <v>0.75555555555555554</v>
      </c>
      <c r="AA956" t="str">
        <f t="shared" si="335"/>
        <v>Tier 2 - Growth Markets</v>
      </c>
      <c r="AB956" s="3">
        <f t="shared" si="336"/>
        <v>110000.00000000001</v>
      </c>
      <c r="AC956" s="3">
        <f t="shared" si="337"/>
        <v>1500000</v>
      </c>
      <c r="AD956" s="3">
        <f t="shared" si="338"/>
        <v>450000</v>
      </c>
      <c r="AE956" s="5">
        <f t="shared" si="339"/>
        <v>4.4117647058823533</v>
      </c>
      <c r="AF956" s="10">
        <f t="shared" si="340"/>
        <v>545600.00000000012</v>
      </c>
      <c r="AG956" s="10">
        <f t="shared" si="341"/>
        <v>176000.00000000003</v>
      </c>
      <c r="AH956" s="10">
        <f t="shared" si="342"/>
        <v>88000.000000000015</v>
      </c>
      <c r="AI956" s="10">
        <f t="shared" si="343"/>
        <v>44000.000000000007</v>
      </c>
      <c r="AJ956" s="10">
        <f t="shared" si="344"/>
        <v>26400.000000000004</v>
      </c>
    </row>
    <row r="957" spans="1:36" x14ac:dyDescent="0.3">
      <c r="A957" t="s">
        <v>3724</v>
      </c>
      <c r="B957" t="s">
        <v>3725</v>
      </c>
      <c r="C957" t="s">
        <v>3726</v>
      </c>
      <c r="D957" t="s">
        <v>350</v>
      </c>
      <c r="E957">
        <v>70005</v>
      </c>
      <c r="F957" t="s">
        <v>15</v>
      </c>
      <c r="G957">
        <v>12</v>
      </c>
      <c r="H957">
        <v>250</v>
      </c>
      <c r="I957" t="str" cm="1">
        <f t="array" ref="I957">_xlfn.IFS(H957&lt;=120,"V1",H957&lt;=150,"V2",H957&lt;=250,"V3", H957&lt;=350, "V4")</f>
        <v>V3</v>
      </c>
      <c r="J957" t="s">
        <v>3727</v>
      </c>
      <c r="K957" t="str">
        <f t="shared" si="322"/>
        <v>30.001862</v>
      </c>
      <c r="L957" t="str">
        <f t="shared" si="323"/>
        <v>-90.124675</v>
      </c>
      <c r="M957">
        <v>0</v>
      </c>
      <c r="N957" s="1">
        <v>44349</v>
      </c>
      <c r="O957" s="1">
        <v>46099</v>
      </c>
      <c r="P957" s="2">
        <f t="shared" si="324"/>
        <v>4.7912388774811774</v>
      </c>
      <c r="Q957" s="2" t="str">
        <f t="shared" si="325"/>
        <v>Mid</v>
      </c>
      <c r="R957">
        <f t="shared" si="326"/>
        <v>3000</v>
      </c>
      <c r="S957" t="str">
        <f t="shared" si="327"/>
        <v>Small</v>
      </c>
      <c r="T957" t="str">
        <f t="shared" si="328"/>
        <v>Lower EV Adoption Corridor</v>
      </c>
      <c r="U957" s="3">
        <f t="shared" si="329"/>
        <v>5400000</v>
      </c>
      <c r="V957" s="4">
        <f t="shared" si="330"/>
        <v>1320000</v>
      </c>
      <c r="W957" s="3">
        <f t="shared" si="331"/>
        <v>18000000</v>
      </c>
      <c r="X957" s="3">
        <f t="shared" si="332"/>
        <v>9900000</v>
      </c>
      <c r="Y957">
        <f t="shared" si="333"/>
        <v>0.31515151515151513</v>
      </c>
      <c r="Z957">
        <f t="shared" si="334"/>
        <v>0.75555555555555554</v>
      </c>
      <c r="AA957" t="str">
        <f t="shared" si="335"/>
        <v>Tier 2 - Growth Markets</v>
      </c>
      <c r="AB957" s="3">
        <f t="shared" si="336"/>
        <v>110000</v>
      </c>
      <c r="AC957" s="3">
        <f t="shared" si="337"/>
        <v>1500000</v>
      </c>
      <c r="AD957" s="3">
        <f t="shared" si="338"/>
        <v>450000</v>
      </c>
      <c r="AE957" s="5">
        <f t="shared" si="339"/>
        <v>4.4117647058823533</v>
      </c>
      <c r="AF957" s="10">
        <f t="shared" si="340"/>
        <v>818400</v>
      </c>
      <c r="AG957" s="10">
        <f t="shared" si="341"/>
        <v>264000</v>
      </c>
      <c r="AH957" s="10">
        <f t="shared" si="342"/>
        <v>132000</v>
      </c>
      <c r="AI957" s="10">
        <f t="shared" si="343"/>
        <v>66000</v>
      </c>
      <c r="AJ957" s="10">
        <f t="shared" si="344"/>
        <v>39600</v>
      </c>
    </row>
    <row r="958" spans="1:36" x14ac:dyDescent="0.3">
      <c r="A958" t="s">
        <v>3728</v>
      </c>
      <c r="B958" t="s">
        <v>3729</v>
      </c>
      <c r="C958" t="s">
        <v>3730</v>
      </c>
      <c r="D958" t="s">
        <v>77</v>
      </c>
      <c r="E958">
        <v>28216</v>
      </c>
      <c r="F958" t="s">
        <v>15</v>
      </c>
      <c r="G958">
        <v>12</v>
      </c>
      <c r="H958">
        <v>250</v>
      </c>
      <c r="I958" t="str" cm="1">
        <f t="array" ref="I958">_xlfn.IFS(H958&lt;=120,"V1",H958&lt;=150,"V2",H958&lt;=250,"V3", H958&lt;=350, "V4")</f>
        <v>V3</v>
      </c>
      <c r="J958" t="s">
        <v>3731</v>
      </c>
      <c r="K958" t="str">
        <f t="shared" si="322"/>
        <v>35.34726</v>
      </c>
      <c r="L958" t="str">
        <f t="shared" si="323"/>
        <v>-80.85921</v>
      </c>
      <c r="M958">
        <v>227</v>
      </c>
      <c r="N958" s="1">
        <v>44372</v>
      </c>
      <c r="O958" s="1">
        <v>46099</v>
      </c>
      <c r="P958" s="2">
        <f t="shared" si="324"/>
        <v>4.7282683093771389</v>
      </c>
      <c r="Q958" s="2" t="str">
        <f t="shared" si="325"/>
        <v>Mid</v>
      </c>
      <c r="R958">
        <f t="shared" si="326"/>
        <v>3000</v>
      </c>
      <c r="S958" t="str">
        <f t="shared" si="327"/>
        <v>Small</v>
      </c>
      <c r="T958" t="str">
        <f t="shared" si="328"/>
        <v>Lower EV Adoption Corridor</v>
      </c>
      <c r="U958" s="3">
        <f t="shared" si="329"/>
        <v>5400000</v>
      </c>
      <c r="V958" s="4">
        <f t="shared" si="330"/>
        <v>1320000</v>
      </c>
      <c r="W958" s="3">
        <f t="shared" si="331"/>
        <v>18000000</v>
      </c>
      <c r="X958" s="3">
        <f t="shared" si="332"/>
        <v>9900000</v>
      </c>
      <c r="Y958">
        <f t="shared" si="333"/>
        <v>0.31515151515151513</v>
      </c>
      <c r="Z958">
        <f t="shared" si="334"/>
        <v>0.75555555555555554</v>
      </c>
      <c r="AA958" t="str">
        <f t="shared" si="335"/>
        <v>Tier 2 - Growth Markets</v>
      </c>
      <c r="AB958" s="3">
        <f t="shared" si="336"/>
        <v>110000</v>
      </c>
      <c r="AC958" s="3">
        <f t="shared" si="337"/>
        <v>1500000</v>
      </c>
      <c r="AD958" s="3">
        <f t="shared" si="338"/>
        <v>450000</v>
      </c>
      <c r="AE958" s="5">
        <f t="shared" si="339"/>
        <v>4.4117647058823533</v>
      </c>
      <c r="AF958" s="10">
        <f t="shared" si="340"/>
        <v>818400</v>
      </c>
      <c r="AG958" s="10">
        <f t="shared" si="341"/>
        <v>264000</v>
      </c>
      <c r="AH958" s="10">
        <f t="shared" si="342"/>
        <v>132000</v>
      </c>
      <c r="AI958" s="10">
        <f t="shared" si="343"/>
        <v>66000</v>
      </c>
      <c r="AJ958" s="10">
        <f t="shared" si="344"/>
        <v>39600</v>
      </c>
    </row>
    <row r="959" spans="1:36" x14ac:dyDescent="0.3">
      <c r="A959" t="s">
        <v>3732</v>
      </c>
      <c r="B959" t="s">
        <v>3733</v>
      </c>
      <c r="C959" t="s">
        <v>3734</v>
      </c>
      <c r="D959" t="s">
        <v>158</v>
      </c>
      <c r="E959">
        <v>10522</v>
      </c>
      <c r="F959" t="s">
        <v>15</v>
      </c>
      <c r="G959">
        <v>12</v>
      </c>
      <c r="H959">
        <v>250</v>
      </c>
      <c r="I959" t="str" cm="1">
        <f t="array" ref="I959">_xlfn.IFS(H959&lt;=120,"V1",H959&lt;=150,"V2",H959&lt;=250,"V3", H959&lt;=350, "V4")</f>
        <v>V3</v>
      </c>
      <c r="J959" t="s">
        <v>3735</v>
      </c>
      <c r="K959" t="str">
        <f t="shared" si="322"/>
        <v>41.003783</v>
      </c>
      <c r="L959" t="str">
        <f t="shared" si="323"/>
        <v>-73.85642</v>
      </c>
      <c r="M959">
        <v>44</v>
      </c>
      <c r="N959" s="1">
        <v>44806</v>
      </c>
      <c r="O959" s="1">
        <v>46099</v>
      </c>
      <c r="P959" s="2">
        <f t="shared" si="324"/>
        <v>3.5400410677618068</v>
      </c>
      <c r="Q959" s="2" t="str">
        <f t="shared" si="325"/>
        <v>Mid</v>
      </c>
      <c r="R959">
        <f t="shared" si="326"/>
        <v>3000</v>
      </c>
      <c r="S959" t="str">
        <f t="shared" si="327"/>
        <v>Small</v>
      </c>
      <c r="T959" t="str">
        <f t="shared" si="328"/>
        <v>Lower EV Adoption Corridor</v>
      </c>
      <c r="U959" s="3">
        <f t="shared" si="329"/>
        <v>5400000</v>
      </c>
      <c r="V959" s="4">
        <f t="shared" si="330"/>
        <v>1320000</v>
      </c>
      <c r="W959" s="3">
        <f t="shared" si="331"/>
        <v>18000000</v>
      </c>
      <c r="X959" s="3">
        <f t="shared" si="332"/>
        <v>9900000</v>
      </c>
      <c r="Y959">
        <f t="shared" si="333"/>
        <v>0.31515151515151513</v>
      </c>
      <c r="Z959">
        <f t="shared" si="334"/>
        <v>0.75555555555555554</v>
      </c>
      <c r="AA959" t="str">
        <f t="shared" si="335"/>
        <v>Tier 2 - Growth Markets</v>
      </c>
      <c r="AB959" s="3">
        <f t="shared" si="336"/>
        <v>110000</v>
      </c>
      <c r="AC959" s="3">
        <f t="shared" si="337"/>
        <v>1500000</v>
      </c>
      <c r="AD959" s="3">
        <f t="shared" si="338"/>
        <v>450000</v>
      </c>
      <c r="AE959" s="5">
        <f t="shared" si="339"/>
        <v>4.4117647058823533</v>
      </c>
      <c r="AF959" s="10">
        <f t="shared" si="340"/>
        <v>818400</v>
      </c>
      <c r="AG959" s="10">
        <f t="shared" si="341"/>
        <v>264000</v>
      </c>
      <c r="AH959" s="10">
        <f t="shared" si="342"/>
        <v>132000</v>
      </c>
      <c r="AI959" s="10">
        <f t="shared" si="343"/>
        <v>66000</v>
      </c>
      <c r="AJ959" s="10">
        <f t="shared" si="344"/>
        <v>39600</v>
      </c>
    </row>
    <row r="960" spans="1:36" x14ac:dyDescent="0.3">
      <c r="A960" t="s">
        <v>3736</v>
      </c>
      <c r="B960" t="s">
        <v>3737</v>
      </c>
      <c r="C960" t="s">
        <v>3738</v>
      </c>
      <c r="D960" t="s">
        <v>299</v>
      </c>
      <c r="E960">
        <v>22031</v>
      </c>
      <c r="F960" t="s">
        <v>15</v>
      </c>
      <c r="G960">
        <v>12</v>
      </c>
      <c r="H960">
        <v>250</v>
      </c>
      <c r="I960" t="str" cm="1">
        <f t="array" ref="I960">_xlfn.IFS(H960&lt;=120,"V1",H960&lt;=150,"V2",H960&lt;=250,"V3", H960&lt;=350, "V4")</f>
        <v>V3</v>
      </c>
      <c r="J960" t="s">
        <v>3739</v>
      </c>
      <c r="K960" t="str">
        <f t="shared" si="322"/>
        <v>38.864685</v>
      </c>
      <c r="L960" t="str">
        <f t="shared" si="323"/>
        <v>-77.280101</v>
      </c>
      <c r="M960">
        <v>93</v>
      </c>
      <c r="N960" s="1">
        <v>44813</v>
      </c>
      <c r="O960" s="1">
        <v>46099</v>
      </c>
      <c r="P960" s="2">
        <f t="shared" si="324"/>
        <v>3.5208761122518824</v>
      </c>
      <c r="Q960" s="2" t="str">
        <f t="shared" si="325"/>
        <v>Mid</v>
      </c>
      <c r="R960">
        <f t="shared" si="326"/>
        <v>3000</v>
      </c>
      <c r="S960" t="str">
        <f t="shared" si="327"/>
        <v>Small</v>
      </c>
      <c r="T960" t="str">
        <f t="shared" si="328"/>
        <v>Lower EV Adoption Corridor</v>
      </c>
      <c r="U960" s="3">
        <f t="shared" si="329"/>
        <v>5400000</v>
      </c>
      <c r="V960" s="4">
        <f t="shared" si="330"/>
        <v>1320000</v>
      </c>
      <c r="W960" s="3">
        <f t="shared" si="331"/>
        <v>18000000</v>
      </c>
      <c r="X960" s="3">
        <f t="shared" si="332"/>
        <v>9900000</v>
      </c>
      <c r="Y960">
        <f t="shared" si="333"/>
        <v>0.31515151515151513</v>
      </c>
      <c r="Z960">
        <f t="shared" si="334"/>
        <v>0.75555555555555554</v>
      </c>
      <c r="AA960" t="str">
        <f t="shared" si="335"/>
        <v>Tier 2 - Growth Markets</v>
      </c>
      <c r="AB960" s="3">
        <f t="shared" si="336"/>
        <v>110000</v>
      </c>
      <c r="AC960" s="3">
        <f t="shared" si="337"/>
        <v>1500000</v>
      </c>
      <c r="AD960" s="3">
        <f t="shared" si="338"/>
        <v>450000</v>
      </c>
      <c r="AE960" s="5">
        <f t="shared" si="339"/>
        <v>4.4117647058823533</v>
      </c>
      <c r="AF960" s="10">
        <f t="shared" si="340"/>
        <v>818400</v>
      </c>
      <c r="AG960" s="10">
        <f t="shared" si="341"/>
        <v>264000</v>
      </c>
      <c r="AH960" s="10">
        <f t="shared" si="342"/>
        <v>132000</v>
      </c>
      <c r="AI960" s="10">
        <f t="shared" si="343"/>
        <v>66000</v>
      </c>
      <c r="AJ960" s="10">
        <f t="shared" si="344"/>
        <v>39600</v>
      </c>
    </row>
    <row r="961" spans="1:36" x14ac:dyDescent="0.3">
      <c r="A961" t="s">
        <v>3740</v>
      </c>
      <c r="B961" t="s">
        <v>3741</v>
      </c>
      <c r="C961" t="s">
        <v>174</v>
      </c>
      <c r="D961" t="s">
        <v>14</v>
      </c>
      <c r="E961">
        <v>93405</v>
      </c>
      <c r="F961" t="s">
        <v>15</v>
      </c>
      <c r="G961">
        <v>16</v>
      </c>
      <c r="H961">
        <v>250</v>
      </c>
      <c r="I961" t="str" cm="1">
        <f t="array" ref="I961">_xlfn.IFS(H961&lt;=120,"V1",H961&lt;=150,"V2",H961&lt;=250,"V3", H961&lt;=350, "V4")</f>
        <v>V3</v>
      </c>
      <c r="J961" t="s">
        <v>3742</v>
      </c>
      <c r="K961" t="str">
        <f t="shared" si="322"/>
        <v>35.253753</v>
      </c>
      <c r="L961" t="str">
        <f t="shared" si="323"/>
        <v>-120.684317</v>
      </c>
      <c r="M961">
        <v>38</v>
      </c>
      <c r="N961" s="1">
        <v>44331</v>
      </c>
      <c r="O961" s="1">
        <v>46099</v>
      </c>
      <c r="P961" s="2">
        <f t="shared" si="324"/>
        <v>4.8405201916495555</v>
      </c>
      <c r="Q961" s="2" t="str">
        <f t="shared" si="325"/>
        <v>Mid</v>
      </c>
      <c r="R961">
        <f t="shared" si="326"/>
        <v>4000</v>
      </c>
      <c r="S961" t="str">
        <f t="shared" si="327"/>
        <v>Small</v>
      </c>
      <c r="T961" t="str">
        <f t="shared" si="328"/>
        <v>High EV Adoption Corridor</v>
      </c>
      <c r="U961" s="3">
        <f t="shared" si="329"/>
        <v>9360000</v>
      </c>
      <c r="V961" s="4">
        <f t="shared" si="330"/>
        <v>2112000</v>
      </c>
      <c r="W961" s="3">
        <f t="shared" si="331"/>
        <v>26400000.000000004</v>
      </c>
      <c r="X961" s="3">
        <f t="shared" si="332"/>
        <v>19800000.000000004</v>
      </c>
      <c r="Y961">
        <f t="shared" si="333"/>
        <v>0.23999999999999996</v>
      </c>
      <c r="Z961">
        <f t="shared" si="334"/>
        <v>0.77435897435897438</v>
      </c>
      <c r="AA961" t="str">
        <f t="shared" si="335"/>
        <v>Tier 1 - Priority Fleet</v>
      </c>
      <c r="AB961" s="3">
        <f t="shared" si="336"/>
        <v>132000</v>
      </c>
      <c r="AC961" s="3">
        <f t="shared" si="337"/>
        <v>1650000.0000000002</v>
      </c>
      <c r="AD961" s="3">
        <f t="shared" si="338"/>
        <v>585000</v>
      </c>
      <c r="AE961" s="5">
        <f t="shared" si="339"/>
        <v>3.6423841059602653</v>
      </c>
      <c r="AF961" s="10">
        <f t="shared" si="340"/>
        <v>1309440</v>
      </c>
      <c r="AG961" s="10">
        <f t="shared" si="341"/>
        <v>422400</v>
      </c>
      <c r="AH961" s="10">
        <f t="shared" si="342"/>
        <v>211200</v>
      </c>
      <c r="AI961" s="10">
        <f t="shared" si="343"/>
        <v>105600</v>
      </c>
      <c r="AJ961" s="10">
        <f t="shared" si="344"/>
        <v>63360</v>
      </c>
    </row>
    <row r="962" spans="1:36" x14ac:dyDescent="0.3">
      <c r="A962" t="s">
        <v>3743</v>
      </c>
      <c r="B962" t="s">
        <v>3744</v>
      </c>
      <c r="C962" t="s">
        <v>3745</v>
      </c>
      <c r="D962" t="s">
        <v>98</v>
      </c>
      <c r="E962">
        <v>6351</v>
      </c>
      <c r="F962" t="s">
        <v>15</v>
      </c>
      <c r="G962">
        <v>8</v>
      </c>
      <c r="H962">
        <v>250</v>
      </c>
      <c r="I962" t="str" cm="1">
        <f t="array" ref="I962">_xlfn.IFS(H962&lt;=120,"V1",H962&lt;=150,"V2",H962&lt;=250,"V3", H962&lt;=350, "V4")</f>
        <v>V3</v>
      </c>
      <c r="J962" t="s">
        <v>3746</v>
      </c>
      <c r="K962" t="str">
        <f t="shared" si="322"/>
        <v>41.58569</v>
      </c>
      <c r="L962" t="str">
        <f t="shared" si="323"/>
        <v>-71.991059</v>
      </c>
      <c r="M962">
        <v>39</v>
      </c>
      <c r="N962" s="1">
        <v>44173</v>
      </c>
      <c r="O962" s="1">
        <v>46099</v>
      </c>
      <c r="P962" s="2">
        <f t="shared" si="324"/>
        <v>5.2731006160164275</v>
      </c>
      <c r="Q962" s="2" t="str">
        <f t="shared" si="325"/>
        <v>Mid</v>
      </c>
      <c r="R962">
        <f t="shared" si="326"/>
        <v>2000</v>
      </c>
      <c r="S962" t="str">
        <f t="shared" si="327"/>
        <v>Small</v>
      </c>
      <c r="T962" t="str">
        <f t="shared" si="328"/>
        <v>Lower EV Adoption Corridor</v>
      </c>
      <c r="U962" s="3">
        <f t="shared" si="329"/>
        <v>3600000</v>
      </c>
      <c r="V962" s="4">
        <f t="shared" si="330"/>
        <v>880000.00000000012</v>
      </c>
      <c r="W962" s="3">
        <f t="shared" si="331"/>
        <v>12000000</v>
      </c>
      <c r="X962" s="3">
        <f t="shared" si="332"/>
        <v>6600000.0000000009</v>
      </c>
      <c r="Y962">
        <f t="shared" si="333"/>
        <v>0.31515151515151513</v>
      </c>
      <c r="Z962">
        <f t="shared" si="334"/>
        <v>0.75555555555555554</v>
      </c>
      <c r="AA962" t="str">
        <f t="shared" si="335"/>
        <v>Tier 2 - Growth Markets</v>
      </c>
      <c r="AB962" s="3">
        <f t="shared" si="336"/>
        <v>110000.00000000001</v>
      </c>
      <c r="AC962" s="3">
        <f t="shared" si="337"/>
        <v>1500000</v>
      </c>
      <c r="AD962" s="3">
        <f t="shared" si="338"/>
        <v>450000</v>
      </c>
      <c r="AE962" s="5">
        <f t="shared" si="339"/>
        <v>4.4117647058823533</v>
      </c>
      <c r="AF962" s="10">
        <f t="shared" si="340"/>
        <v>545600.00000000012</v>
      </c>
      <c r="AG962" s="10">
        <f t="shared" si="341"/>
        <v>176000.00000000003</v>
      </c>
      <c r="AH962" s="10">
        <f t="shared" si="342"/>
        <v>88000.000000000015</v>
      </c>
      <c r="AI962" s="10">
        <f t="shared" si="343"/>
        <v>44000.000000000007</v>
      </c>
      <c r="AJ962" s="10">
        <f t="shared" si="344"/>
        <v>26400.000000000004</v>
      </c>
    </row>
    <row r="963" spans="1:36" x14ac:dyDescent="0.3">
      <c r="A963" t="s">
        <v>3747</v>
      </c>
      <c r="B963" t="s">
        <v>3748</v>
      </c>
      <c r="C963" t="s">
        <v>2279</v>
      </c>
      <c r="D963" t="s">
        <v>230</v>
      </c>
      <c r="E963">
        <v>98101</v>
      </c>
      <c r="F963" t="s">
        <v>15</v>
      </c>
      <c r="G963">
        <v>4</v>
      </c>
      <c r="H963">
        <v>72</v>
      </c>
      <c r="I963" t="str" cm="1">
        <f t="array" ref="I963">_xlfn.IFS(H963&lt;=120,"V1",H963&lt;=150,"V2",H963&lt;=250,"V3", H963&lt;=350, "V4")</f>
        <v>V1</v>
      </c>
      <c r="J963" t="s">
        <v>3749</v>
      </c>
      <c r="K963" t="str">
        <f t="shared" ref="K963:K1026" si="345">TRIM(LEFT(J963, FIND(",", J963) - 1))</f>
        <v>47.6066581</v>
      </c>
      <c r="L963" t="str">
        <f t="shared" ref="L963:L1026" si="346">TRIM(MID(J963, FIND(",", J963) + 1, LEN(J963)))</f>
        <v>-122.3371498</v>
      </c>
      <c r="M963">
        <v>24</v>
      </c>
      <c r="N963" s="1">
        <v>44172</v>
      </c>
      <c r="O963" s="1">
        <v>46099</v>
      </c>
      <c r="P963" s="2">
        <f t="shared" ref="P963:P1026" si="347">(O963-N963)/365.25</f>
        <v>5.2758384668035596</v>
      </c>
      <c r="Q963" s="2" t="str">
        <f t="shared" ref="Q963:Q1026" si="348">IF(P963&lt;3,"New",IF(P963&lt;=8,"Mid","Old"))</f>
        <v>Mid</v>
      </c>
      <c r="R963">
        <f t="shared" ref="R963:R1026" si="349">G963*H963</f>
        <v>288</v>
      </c>
      <c r="S963" t="str">
        <f t="shared" ref="S963:S1026" si="350">IF(G963&lt;=30,"Small",IF(G963&lt;=60,"Medium","Large"))</f>
        <v>Small</v>
      </c>
      <c r="T963" t="str">
        <f t="shared" ref="T963:T1026" si="351">IF(OR(D963="CA",D963="FL",D963="WA",D963="CO",D963="TX",D963="NJ"),"High EV Adoption Corridor","Lower EV Adoption Corridor")</f>
        <v>High EV Adoption Corridor</v>
      </c>
      <c r="U963" s="3">
        <f t="shared" ref="U963:U1026" si="352" xml:space="preserve"> R963 * 1500 *
  IF(I963="V1",1,
     IF(I963="V2",1.1,1.2)) *
  IF(T963="High EV Adoption Corridor",1.3,1)</f>
        <v>561600</v>
      </c>
      <c r="V963" s="4">
        <f t="shared" ref="V963:V1026" si="353" xml:space="preserve"> R963 * 400 *
  IF(I963="V1",0.9,
     IF(I963="V2",1,1.1)) *
  IF(T963="High EV Adoption Corridor",1.2,1)</f>
        <v>124416</v>
      </c>
      <c r="W963" s="3">
        <f t="shared" ref="W963:W1026" si="354" xml:space="preserve"> R963 * 5000 *
  IF(I963="V1",0.8,
     IF(I963="V2",1,1.2)) *
  IF(T963="High EV Adoption Corridor",1.1,1)</f>
        <v>1267200</v>
      </c>
      <c r="X963" s="3">
        <f t="shared" ref="X963:X1026" si="355" xml:space="preserve"> R963 * 3000 *
  IF(I963="V1",0.9,
     IF(I963="V2",1,1.1)) *
  IF(T963="High EV Adoption Corridor",1.5,1)</f>
        <v>1166400</v>
      </c>
      <c r="Y963">
        <f t="shared" ref="Y963:Y1026" si="356" xml:space="preserve"> ((W963/10) + V963) / X963</f>
        <v>0.21530864197530863</v>
      </c>
      <c r="Z963">
        <f t="shared" ref="Z963:Z1026" si="357">(U963-V963)/U963</f>
        <v>0.77846153846153843</v>
      </c>
      <c r="AA963" t="str">
        <f t="shared" ref="AA963:AA1026" si="358">IF(AND(I963="V3",T963="High EV Adoption Corridor"),
"Tier 1 - Priority Fleet",
IF(AND(I963="V3",T963="Lower EV Adoption Corridor"),
"Tier 2 - Growth Markets",
IF(AND(OR(I963="V1",I963="V2"),T963="High EV Adoption Corridor"),
"Tier 3 - Upgrade Pipeline",
IF(AND(I963="V2",T963="Lower EV Adoption Corridor"),
"Tier 4 - Stable Network",
"Tier 5 - Retirement Pipeline"))))</f>
        <v>Tier 3 - Upgrade Pipeline</v>
      </c>
      <c r="AB963" s="3">
        <f t="shared" ref="AB963:AB1026" si="359">V963/G963</f>
        <v>31104</v>
      </c>
      <c r="AC963" s="3">
        <f t="shared" ref="AC963:AC1026" si="360">W963/G963</f>
        <v>316800</v>
      </c>
      <c r="AD963" s="3">
        <f t="shared" ref="AD963:AD1026" si="361">U963/G963</f>
        <v>140400</v>
      </c>
      <c r="AE963" s="5">
        <f t="shared" ref="AE963:AE1026" si="362">W963/(U963-V963)</f>
        <v>2.8985507246376812</v>
      </c>
      <c r="AF963" s="10">
        <f t="shared" ref="AF963:AF1026" si="363">V963*0.62</f>
        <v>77137.919999999998</v>
      </c>
      <c r="AG963" s="10">
        <f t="shared" ref="AG963:AG1026" si="364">V963*0.2</f>
        <v>24883.200000000001</v>
      </c>
      <c r="AH963" s="10">
        <f t="shared" ref="AH963:AH1026" si="365">V963*0.1</f>
        <v>12441.6</v>
      </c>
      <c r="AI963" s="10">
        <f t="shared" ref="AI963:AI1026" si="366">V963*0.05</f>
        <v>6220.8</v>
      </c>
      <c r="AJ963" s="10">
        <f t="shared" ref="AJ963:AJ1026" si="367">V963*0.03</f>
        <v>3732.48</v>
      </c>
    </row>
    <row r="964" spans="1:36" x14ac:dyDescent="0.3">
      <c r="A964" t="s">
        <v>3750</v>
      </c>
      <c r="B964" t="s">
        <v>3751</v>
      </c>
      <c r="C964" t="s">
        <v>3752</v>
      </c>
      <c r="D964" t="s">
        <v>852</v>
      </c>
      <c r="E964">
        <v>8060</v>
      </c>
      <c r="F964" t="s">
        <v>15</v>
      </c>
      <c r="G964">
        <v>8</v>
      </c>
      <c r="H964">
        <v>250</v>
      </c>
      <c r="I964" t="str" cm="1">
        <f t="array" ref="I964">_xlfn.IFS(H964&lt;=120,"V1",H964&lt;=150,"V2",H964&lt;=250,"V3", H964&lt;=350, "V4")</f>
        <v>V3</v>
      </c>
      <c r="J964" t="s">
        <v>3753</v>
      </c>
      <c r="K964" t="str">
        <f t="shared" si="345"/>
        <v>40.006811</v>
      </c>
      <c r="L964" t="str">
        <f t="shared" si="346"/>
        <v>-74.860835</v>
      </c>
      <c r="M964">
        <v>20</v>
      </c>
      <c r="N964" s="1">
        <v>44525</v>
      </c>
      <c r="O964" s="1">
        <v>46099</v>
      </c>
      <c r="P964" s="2">
        <f t="shared" si="347"/>
        <v>4.3093771389459272</v>
      </c>
      <c r="Q964" s="2" t="str">
        <f t="shared" si="348"/>
        <v>Mid</v>
      </c>
      <c r="R964">
        <f t="shared" si="349"/>
        <v>2000</v>
      </c>
      <c r="S964" t="str">
        <f t="shared" si="350"/>
        <v>Small</v>
      </c>
      <c r="T964" t="str">
        <f t="shared" si="351"/>
        <v>High EV Adoption Corridor</v>
      </c>
      <c r="U964" s="3">
        <f t="shared" si="352"/>
        <v>4680000</v>
      </c>
      <c r="V964" s="4">
        <f t="shared" si="353"/>
        <v>1056000</v>
      </c>
      <c r="W964" s="3">
        <f t="shared" si="354"/>
        <v>13200000.000000002</v>
      </c>
      <c r="X964" s="3">
        <f t="shared" si="355"/>
        <v>9900000.0000000019</v>
      </c>
      <c r="Y964">
        <f t="shared" si="356"/>
        <v>0.23999999999999996</v>
      </c>
      <c r="Z964">
        <f t="shared" si="357"/>
        <v>0.77435897435897438</v>
      </c>
      <c r="AA964" t="str">
        <f t="shared" si="358"/>
        <v>Tier 1 - Priority Fleet</v>
      </c>
      <c r="AB964" s="3">
        <f t="shared" si="359"/>
        <v>132000</v>
      </c>
      <c r="AC964" s="3">
        <f t="shared" si="360"/>
        <v>1650000.0000000002</v>
      </c>
      <c r="AD964" s="3">
        <f t="shared" si="361"/>
        <v>585000</v>
      </c>
      <c r="AE964" s="5">
        <f t="shared" si="362"/>
        <v>3.6423841059602653</v>
      </c>
      <c r="AF964" s="10">
        <f t="shared" si="363"/>
        <v>654720</v>
      </c>
      <c r="AG964" s="10">
        <f t="shared" si="364"/>
        <v>211200</v>
      </c>
      <c r="AH964" s="10">
        <f t="shared" si="365"/>
        <v>105600</v>
      </c>
      <c r="AI964" s="10">
        <f t="shared" si="366"/>
        <v>52800</v>
      </c>
      <c r="AJ964" s="10">
        <f t="shared" si="367"/>
        <v>31680</v>
      </c>
    </row>
    <row r="965" spans="1:36" x14ac:dyDescent="0.3">
      <c r="A965" t="s">
        <v>3754</v>
      </c>
      <c r="B965" t="s">
        <v>3755</v>
      </c>
      <c r="C965" t="s">
        <v>115</v>
      </c>
      <c r="D965" t="s">
        <v>321</v>
      </c>
      <c r="E965">
        <v>1803</v>
      </c>
      <c r="F965" t="s">
        <v>15</v>
      </c>
      <c r="G965">
        <v>12</v>
      </c>
      <c r="H965">
        <v>250</v>
      </c>
      <c r="I965" t="str" cm="1">
        <f t="array" ref="I965">_xlfn.IFS(H965&lt;=120,"V1",H965&lt;=150,"V2",H965&lt;=250,"V3", H965&lt;=350, "V4")</f>
        <v>V3</v>
      </c>
      <c r="J965" t="s">
        <v>3756</v>
      </c>
      <c r="K965" t="str">
        <f t="shared" si="345"/>
        <v>42.4836</v>
      </c>
      <c r="L965" t="str">
        <f t="shared" si="346"/>
        <v>-71.2164</v>
      </c>
      <c r="M965">
        <v>42</v>
      </c>
      <c r="N965" s="1">
        <v>44770</v>
      </c>
      <c r="O965" s="1">
        <v>46099</v>
      </c>
      <c r="P965" s="2">
        <f t="shared" si="347"/>
        <v>3.6386036960985626</v>
      </c>
      <c r="Q965" s="2" t="str">
        <f t="shared" si="348"/>
        <v>Mid</v>
      </c>
      <c r="R965">
        <f t="shared" si="349"/>
        <v>3000</v>
      </c>
      <c r="S965" t="str">
        <f t="shared" si="350"/>
        <v>Small</v>
      </c>
      <c r="T965" t="str">
        <f t="shared" si="351"/>
        <v>Lower EV Adoption Corridor</v>
      </c>
      <c r="U965" s="3">
        <f t="shared" si="352"/>
        <v>5400000</v>
      </c>
      <c r="V965" s="4">
        <f t="shared" si="353"/>
        <v>1320000</v>
      </c>
      <c r="W965" s="3">
        <f t="shared" si="354"/>
        <v>18000000</v>
      </c>
      <c r="X965" s="3">
        <f t="shared" si="355"/>
        <v>9900000</v>
      </c>
      <c r="Y965">
        <f t="shared" si="356"/>
        <v>0.31515151515151513</v>
      </c>
      <c r="Z965">
        <f t="shared" si="357"/>
        <v>0.75555555555555554</v>
      </c>
      <c r="AA965" t="str">
        <f t="shared" si="358"/>
        <v>Tier 2 - Growth Markets</v>
      </c>
      <c r="AB965" s="3">
        <f t="shared" si="359"/>
        <v>110000</v>
      </c>
      <c r="AC965" s="3">
        <f t="shared" si="360"/>
        <v>1500000</v>
      </c>
      <c r="AD965" s="3">
        <f t="shared" si="361"/>
        <v>450000</v>
      </c>
      <c r="AE965" s="5">
        <f t="shared" si="362"/>
        <v>4.4117647058823533</v>
      </c>
      <c r="AF965" s="10">
        <f t="shared" si="363"/>
        <v>818400</v>
      </c>
      <c r="AG965" s="10">
        <f t="shared" si="364"/>
        <v>264000</v>
      </c>
      <c r="AH965" s="10">
        <f t="shared" si="365"/>
        <v>132000</v>
      </c>
      <c r="AI965" s="10">
        <f t="shared" si="366"/>
        <v>66000</v>
      </c>
      <c r="AJ965" s="10">
        <f t="shared" si="367"/>
        <v>39600</v>
      </c>
    </row>
    <row r="966" spans="1:36" x14ac:dyDescent="0.3">
      <c r="A966" t="s">
        <v>3757</v>
      </c>
      <c r="B966" t="s">
        <v>3758</v>
      </c>
      <c r="C966" t="s">
        <v>3759</v>
      </c>
      <c r="D966" t="s">
        <v>14</v>
      </c>
      <c r="E966">
        <v>91752</v>
      </c>
      <c r="F966" t="s">
        <v>15</v>
      </c>
      <c r="G966">
        <v>16</v>
      </c>
      <c r="H966">
        <v>250</v>
      </c>
      <c r="I966" t="str" cm="1">
        <f t="array" ref="I966">_xlfn.IFS(H966&lt;=120,"V1",H966&lt;=150,"V2",H966&lt;=250,"V3", H966&lt;=350, "V4")</f>
        <v>V3</v>
      </c>
      <c r="J966" t="s">
        <v>3760</v>
      </c>
      <c r="K966" t="str">
        <f t="shared" si="345"/>
        <v>33.976911</v>
      </c>
      <c r="L966" t="str">
        <f t="shared" si="346"/>
        <v>-117.55442</v>
      </c>
      <c r="M966">
        <v>203</v>
      </c>
      <c r="N966" s="1">
        <v>44376</v>
      </c>
      <c r="O966" s="1">
        <v>46099</v>
      </c>
      <c r="P966" s="2">
        <f t="shared" si="347"/>
        <v>4.7173169062286107</v>
      </c>
      <c r="Q966" s="2" t="str">
        <f t="shared" si="348"/>
        <v>Mid</v>
      </c>
      <c r="R966">
        <f t="shared" si="349"/>
        <v>4000</v>
      </c>
      <c r="S966" t="str">
        <f t="shared" si="350"/>
        <v>Small</v>
      </c>
      <c r="T966" t="str">
        <f t="shared" si="351"/>
        <v>High EV Adoption Corridor</v>
      </c>
      <c r="U966" s="3">
        <f t="shared" si="352"/>
        <v>9360000</v>
      </c>
      <c r="V966" s="4">
        <f t="shared" si="353"/>
        <v>2112000</v>
      </c>
      <c r="W966" s="3">
        <f t="shared" si="354"/>
        <v>26400000.000000004</v>
      </c>
      <c r="X966" s="3">
        <f t="shared" si="355"/>
        <v>19800000.000000004</v>
      </c>
      <c r="Y966">
        <f t="shared" si="356"/>
        <v>0.23999999999999996</v>
      </c>
      <c r="Z966">
        <f t="shared" si="357"/>
        <v>0.77435897435897438</v>
      </c>
      <c r="AA966" t="str">
        <f t="shared" si="358"/>
        <v>Tier 1 - Priority Fleet</v>
      </c>
      <c r="AB966" s="3">
        <f t="shared" si="359"/>
        <v>132000</v>
      </c>
      <c r="AC966" s="3">
        <f t="shared" si="360"/>
        <v>1650000.0000000002</v>
      </c>
      <c r="AD966" s="3">
        <f t="shared" si="361"/>
        <v>585000</v>
      </c>
      <c r="AE966" s="5">
        <f t="shared" si="362"/>
        <v>3.6423841059602653</v>
      </c>
      <c r="AF966" s="10">
        <f t="shared" si="363"/>
        <v>1309440</v>
      </c>
      <c r="AG966" s="10">
        <f t="shared" si="364"/>
        <v>422400</v>
      </c>
      <c r="AH966" s="10">
        <f t="shared" si="365"/>
        <v>211200</v>
      </c>
      <c r="AI966" s="10">
        <f t="shared" si="366"/>
        <v>105600</v>
      </c>
      <c r="AJ966" s="10">
        <f t="shared" si="367"/>
        <v>63360</v>
      </c>
    </row>
    <row r="967" spans="1:36" x14ac:dyDescent="0.3">
      <c r="A967" t="s">
        <v>3761</v>
      </c>
      <c r="B967" t="s">
        <v>3762</v>
      </c>
      <c r="C967" t="s">
        <v>3763</v>
      </c>
      <c r="D967" t="s">
        <v>321</v>
      </c>
      <c r="E967">
        <v>1460</v>
      </c>
      <c r="F967" t="s">
        <v>15</v>
      </c>
      <c r="G967">
        <v>12</v>
      </c>
      <c r="H967">
        <v>250</v>
      </c>
      <c r="I967" t="str" cm="1">
        <f t="array" ref="I967">_xlfn.IFS(H967&lt;=120,"V1",H967&lt;=150,"V2",H967&lt;=250,"V3", H967&lt;=350, "V4")</f>
        <v>V3</v>
      </c>
      <c r="J967" t="s">
        <v>3764</v>
      </c>
      <c r="K967" t="str">
        <f t="shared" si="345"/>
        <v>42.553135</v>
      </c>
      <c r="L967" t="str">
        <f t="shared" si="346"/>
        <v>-71.473819</v>
      </c>
      <c r="M967">
        <v>68</v>
      </c>
      <c r="N967" s="1">
        <v>44285</v>
      </c>
      <c r="O967" s="1">
        <v>46099</v>
      </c>
      <c r="P967" s="2">
        <f t="shared" si="347"/>
        <v>4.9664613278576315</v>
      </c>
      <c r="Q967" s="2" t="str">
        <f t="shared" si="348"/>
        <v>Mid</v>
      </c>
      <c r="R967">
        <f t="shared" si="349"/>
        <v>3000</v>
      </c>
      <c r="S967" t="str">
        <f t="shared" si="350"/>
        <v>Small</v>
      </c>
      <c r="T967" t="str">
        <f t="shared" si="351"/>
        <v>Lower EV Adoption Corridor</v>
      </c>
      <c r="U967" s="3">
        <f t="shared" si="352"/>
        <v>5400000</v>
      </c>
      <c r="V967" s="4">
        <f t="shared" si="353"/>
        <v>1320000</v>
      </c>
      <c r="W967" s="3">
        <f t="shared" si="354"/>
        <v>18000000</v>
      </c>
      <c r="X967" s="3">
        <f t="shared" si="355"/>
        <v>9900000</v>
      </c>
      <c r="Y967">
        <f t="shared" si="356"/>
        <v>0.31515151515151513</v>
      </c>
      <c r="Z967">
        <f t="shared" si="357"/>
        <v>0.75555555555555554</v>
      </c>
      <c r="AA967" t="str">
        <f t="shared" si="358"/>
        <v>Tier 2 - Growth Markets</v>
      </c>
      <c r="AB967" s="3">
        <f t="shared" si="359"/>
        <v>110000</v>
      </c>
      <c r="AC967" s="3">
        <f t="shared" si="360"/>
        <v>1500000</v>
      </c>
      <c r="AD967" s="3">
        <f t="shared" si="361"/>
        <v>450000</v>
      </c>
      <c r="AE967" s="5">
        <f t="shared" si="362"/>
        <v>4.4117647058823533</v>
      </c>
      <c r="AF967" s="10">
        <f t="shared" si="363"/>
        <v>818400</v>
      </c>
      <c r="AG967" s="10">
        <f t="shared" si="364"/>
        <v>264000</v>
      </c>
      <c r="AH967" s="10">
        <f t="shared" si="365"/>
        <v>132000</v>
      </c>
      <c r="AI967" s="10">
        <f t="shared" si="366"/>
        <v>66000</v>
      </c>
      <c r="AJ967" s="10">
        <f t="shared" si="367"/>
        <v>39600</v>
      </c>
    </row>
    <row r="968" spans="1:36" x14ac:dyDescent="0.3">
      <c r="A968" t="s">
        <v>3765</v>
      </c>
      <c r="B968" t="s">
        <v>3766</v>
      </c>
      <c r="C968" t="s">
        <v>3767</v>
      </c>
      <c r="D968" t="s">
        <v>14</v>
      </c>
      <c r="E968">
        <v>92070</v>
      </c>
      <c r="F968" t="s">
        <v>15</v>
      </c>
      <c r="G968">
        <v>8</v>
      </c>
      <c r="H968">
        <v>250</v>
      </c>
      <c r="I968" t="str" cm="1">
        <f t="array" ref="I968">_xlfn.IFS(H968&lt;=120,"V1",H968&lt;=150,"V2",H968&lt;=250,"V3", H968&lt;=350, "V4")</f>
        <v>V3</v>
      </c>
      <c r="J968" t="s">
        <v>3768</v>
      </c>
      <c r="K968" t="str">
        <f t="shared" si="345"/>
        <v>33.109253</v>
      </c>
      <c r="L968" t="str">
        <f t="shared" si="346"/>
        <v>-116.674419</v>
      </c>
      <c r="M968">
        <v>910</v>
      </c>
      <c r="N968" s="1">
        <v>44284</v>
      </c>
      <c r="O968" s="1">
        <v>46099</v>
      </c>
      <c r="P968" s="2">
        <f t="shared" si="347"/>
        <v>4.9691991786447636</v>
      </c>
      <c r="Q968" s="2" t="str">
        <f t="shared" si="348"/>
        <v>Mid</v>
      </c>
      <c r="R968">
        <f t="shared" si="349"/>
        <v>2000</v>
      </c>
      <c r="S968" t="str">
        <f t="shared" si="350"/>
        <v>Small</v>
      </c>
      <c r="T968" t="str">
        <f t="shared" si="351"/>
        <v>High EV Adoption Corridor</v>
      </c>
      <c r="U968" s="3">
        <f t="shared" si="352"/>
        <v>4680000</v>
      </c>
      <c r="V968" s="4">
        <f t="shared" si="353"/>
        <v>1056000</v>
      </c>
      <c r="W968" s="3">
        <f t="shared" si="354"/>
        <v>13200000.000000002</v>
      </c>
      <c r="X968" s="3">
        <f t="shared" si="355"/>
        <v>9900000.0000000019</v>
      </c>
      <c r="Y968">
        <f t="shared" si="356"/>
        <v>0.23999999999999996</v>
      </c>
      <c r="Z968">
        <f t="shared" si="357"/>
        <v>0.77435897435897438</v>
      </c>
      <c r="AA968" t="str">
        <f t="shared" si="358"/>
        <v>Tier 1 - Priority Fleet</v>
      </c>
      <c r="AB968" s="3">
        <f t="shared" si="359"/>
        <v>132000</v>
      </c>
      <c r="AC968" s="3">
        <f t="shared" si="360"/>
        <v>1650000.0000000002</v>
      </c>
      <c r="AD968" s="3">
        <f t="shared" si="361"/>
        <v>585000</v>
      </c>
      <c r="AE968" s="5">
        <f t="shared" si="362"/>
        <v>3.6423841059602653</v>
      </c>
      <c r="AF968" s="10">
        <f t="shared" si="363"/>
        <v>654720</v>
      </c>
      <c r="AG968" s="10">
        <f t="shared" si="364"/>
        <v>211200</v>
      </c>
      <c r="AH968" s="10">
        <f t="shared" si="365"/>
        <v>105600</v>
      </c>
      <c r="AI968" s="10">
        <f t="shared" si="366"/>
        <v>52800</v>
      </c>
      <c r="AJ968" s="10">
        <f t="shared" si="367"/>
        <v>31680</v>
      </c>
    </row>
    <row r="969" spans="1:36" x14ac:dyDescent="0.3">
      <c r="A969" t="s">
        <v>3769</v>
      </c>
      <c r="B969" t="s">
        <v>3770</v>
      </c>
      <c r="C969" t="s">
        <v>3771</v>
      </c>
      <c r="D969" t="s">
        <v>98</v>
      </c>
      <c r="E969">
        <v>6776</v>
      </c>
      <c r="F969" t="s">
        <v>15</v>
      </c>
      <c r="G969">
        <v>8</v>
      </c>
      <c r="H969">
        <v>250</v>
      </c>
      <c r="I969" t="str" cm="1">
        <f t="array" ref="I969">_xlfn.IFS(H969&lt;=120,"V1",H969&lt;=150,"V2",H969&lt;=250,"V3", H969&lt;=350, "V4")</f>
        <v>V3</v>
      </c>
      <c r="J969" t="s">
        <v>3772</v>
      </c>
      <c r="K969" t="str">
        <f t="shared" si="345"/>
        <v>41.538744</v>
      </c>
      <c r="L969" t="str">
        <f t="shared" si="346"/>
        <v>-73.421791</v>
      </c>
      <c r="M969">
        <v>77</v>
      </c>
      <c r="N969" s="1">
        <v>44284</v>
      </c>
      <c r="O969" s="1">
        <v>46099</v>
      </c>
      <c r="P969" s="2">
        <f t="shared" si="347"/>
        <v>4.9691991786447636</v>
      </c>
      <c r="Q969" s="2" t="str">
        <f t="shared" si="348"/>
        <v>Mid</v>
      </c>
      <c r="R969">
        <f t="shared" si="349"/>
        <v>2000</v>
      </c>
      <c r="S969" t="str">
        <f t="shared" si="350"/>
        <v>Small</v>
      </c>
      <c r="T969" t="str">
        <f t="shared" si="351"/>
        <v>Lower EV Adoption Corridor</v>
      </c>
      <c r="U969" s="3">
        <f t="shared" si="352"/>
        <v>3600000</v>
      </c>
      <c r="V969" s="4">
        <f t="shared" si="353"/>
        <v>880000.00000000012</v>
      </c>
      <c r="W969" s="3">
        <f t="shared" si="354"/>
        <v>12000000</v>
      </c>
      <c r="X969" s="3">
        <f t="shared" si="355"/>
        <v>6600000.0000000009</v>
      </c>
      <c r="Y969">
        <f t="shared" si="356"/>
        <v>0.31515151515151513</v>
      </c>
      <c r="Z969">
        <f t="shared" si="357"/>
        <v>0.75555555555555554</v>
      </c>
      <c r="AA969" t="str">
        <f t="shared" si="358"/>
        <v>Tier 2 - Growth Markets</v>
      </c>
      <c r="AB969" s="3">
        <f t="shared" si="359"/>
        <v>110000.00000000001</v>
      </c>
      <c r="AC969" s="3">
        <f t="shared" si="360"/>
        <v>1500000</v>
      </c>
      <c r="AD969" s="3">
        <f t="shared" si="361"/>
        <v>450000</v>
      </c>
      <c r="AE969" s="5">
        <f t="shared" si="362"/>
        <v>4.4117647058823533</v>
      </c>
      <c r="AF969" s="10">
        <f t="shared" si="363"/>
        <v>545600.00000000012</v>
      </c>
      <c r="AG969" s="10">
        <f t="shared" si="364"/>
        <v>176000.00000000003</v>
      </c>
      <c r="AH969" s="10">
        <f t="shared" si="365"/>
        <v>88000.000000000015</v>
      </c>
      <c r="AI969" s="10">
        <f t="shared" si="366"/>
        <v>44000.000000000007</v>
      </c>
      <c r="AJ969" s="10">
        <f t="shared" si="367"/>
        <v>26400.000000000004</v>
      </c>
    </row>
    <row r="970" spans="1:36" x14ac:dyDescent="0.3">
      <c r="A970" t="s">
        <v>3773</v>
      </c>
      <c r="B970" t="s">
        <v>3774</v>
      </c>
      <c r="C970" t="s">
        <v>3775</v>
      </c>
      <c r="D970" t="s">
        <v>77</v>
      </c>
      <c r="E970">
        <v>27263</v>
      </c>
      <c r="F970" t="s">
        <v>15</v>
      </c>
      <c r="G970">
        <v>8</v>
      </c>
      <c r="H970">
        <v>250</v>
      </c>
      <c r="I970" t="str" cm="1">
        <f t="array" ref="I970">_xlfn.IFS(H970&lt;=120,"V1",H970&lt;=150,"V2",H970&lt;=250,"V3", H970&lt;=350, "V4")</f>
        <v>V3</v>
      </c>
      <c r="J970" t="s">
        <v>3776</v>
      </c>
      <c r="K970" t="str">
        <f t="shared" si="345"/>
        <v>35.899472</v>
      </c>
      <c r="L970" t="str">
        <f t="shared" si="346"/>
        <v>-79.946472</v>
      </c>
      <c r="M970">
        <v>245</v>
      </c>
      <c r="N970" s="1">
        <v>44286</v>
      </c>
      <c r="O970" s="1">
        <v>46099</v>
      </c>
      <c r="P970" s="2">
        <f t="shared" si="347"/>
        <v>4.9637234770704994</v>
      </c>
      <c r="Q970" s="2" t="str">
        <f t="shared" si="348"/>
        <v>Mid</v>
      </c>
      <c r="R970">
        <f t="shared" si="349"/>
        <v>2000</v>
      </c>
      <c r="S970" t="str">
        <f t="shared" si="350"/>
        <v>Small</v>
      </c>
      <c r="T970" t="str">
        <f t="shared" si="351"/>
        <v>Lower EV Adoption Corridor</v>
      </c>
      <c r="U970" s="3">
        <f t="shared" si="352"/>
        <v>3600000</v>
      </c>
      <c r="V970" s="4">
        <f t="shared" si="353"/>
        <v>880000.00000000012</v>
      </c>
      <c r="W970" s="3">
        <f t="shared" si="354"/>
        <v>12000000</v>
      </c>
      <c r="X970" s="3">
        <f t="shared" si="355"/>
        <v>6600000.0000000009</v>
      </c>
      <c r="Y970">
        <f t="shared" si="356"/>
        <v>0.31515151515151513</v>
      </c>
      <c r="Z970">
        <f t="shared" si="357"/>
        <v>0.75555555555555554</v>
      </c>
      <c r="AA970" t="str">
        <f t="shared" si="358"/>
        <v>Tier 2 - Growth Markets</v>
      </c>
      <c r="AB970" s="3">
        <f t="shared" si="359"/>
        <v>110000.00000000001</v>
      </c>
      <c r="AC970" s="3">
        <f t="shared" si="360"/>
        <v>1500000</v>
      </c>
      <c r="AD970" s="3">
        <f t="shared" si="361"/>
        <v>450000</v>
      </c>
      <c r="AE970" s="5">
        <f t="shared" si="362"/>
        <v>4.4117647058823533</v>
      </c>
      <c r="AF970" s="10">
        <f t="shared" si="363"/>
        <v>545600.00000000012</v>
      </c>
      <c r="AG970" s="10">
        <f t="shared" si="364"/>
        <v>176000.00000000003</v>
      </c>
      <c r="AH970" s="10">
        <f t="shared" si="365"/>
        <v>88000.000000000015</v>
      </c>
      <c r="AI970" s="10">
        <f t="shared" si="366"/>
        <v>44000.000000000007</v>
      </c>
      <c r="AJ970" s="10">
        <f t="shared" si="367"/>
        <v>26400.000000000004</v>
      </c>
    </row>
    <row r="971" spans="1:36" x14ac:dyDescent="0.3">
      <c r="A971" t="s">
        <v>3777</v>
      </c>
      <c r="B971" t="s">
        <v>3778</v>
      </c>
      <c r="C971" t="s">
        <v>3779</v>
      </c>
      <c r="D971" t="s">
        <v>158</v>
      </c>
      <c r="E971">
        <v>10509</v>
      </c>
      <c r="F971" t="s">
        <v>15</v>
      </c>
      <c r="G971">
        <v>8</v>
      </c>
      <c r="H971">
        <v>250</v>
      </c>
      <c r="I971" t="str" cm="1">
        <f t="array" ref="I971">_xlfn.IFS(H971&lt;=120,"V1",H971&lt;=150,"V2",H971&lt;=250,"V3", H971&lt;=350, "V4")</f>
        <v>V3</v>
      </c>
      <c r="J971" t="s">
        <v>3780</v>
      </c>
      <c r="K971" t="str">
        <f t="shared" si="345"/>
        <v>41.39169</v>
      </c>
      <c r="L971" t="str">
        <f t="shared" si="346"/>
        <v>-73.595175</v>
      </c>
      <c r="M971">
        <v>141</v>
      </c>
      <c r="N971" s="1">
        <v>44888</v>
      </c>
      <c r="O971" s="1">
        <v>46099</v>
      </c>
      <c r="P971" s="2">
        <f t="shared" si="347"/>
        <v>3.3155373032169746</v>
      </c>
      <c r="Q971" s="2" t="str">
        <f t="shared" si="348"/>
        <v>Mid</v>
      </c>
      <c r="R971">
        <f t="shared" si="349"/>
        <v>2000</v>
      </c>
      <c r="S971" t="str">
        <f t="shared" si="350"/>
        <v>Small</v>
      </c>
      <c r="T971" t="str">
        <f t="shared" si="351"/>
        <v>Lower EV Adoption Corridor</v>
      </c>
      <c r="U971" s="3">
        <f t="shared" si="352"/>
        <v>3600000</v>
      </c>
      <c r="V971" s="4">
        <f t="shared" si="353"/>
        <v>880000.00000000012</v>
      </c>
      <c r="W971" s="3">
        <f t="shared" si="354"/>
        <v>12000000</v>
      </c>
      <c r="X971" s="3">
        <f t="shared" si="355"/>
        <v>6600000.0000000009</v>
      </c>
      <c r="Y971">
        <f t="shared" si="356"/>
        <v>0.31515151515151513</v>
      </c>
      <c r="Z971">
        <f t="shared" si="357"/>
        <v>0.75555555555555554</v>
      </c>
      <c r="AA971" t="str">
        <f t="shared" si="358"/>
        <v>Tier 2 - Growth Markets</v>
      </c>
      <c r="AB971" s="3">
        <f t="shared" si="359"/>
        <v>110000.00000000001</v>
      </c>
      <c r="AC971" s="3">
        <f t="shared" si="360"/>
        <v>1500000</v>
      </c>
      <c r="AD971" s="3">
        <f t="shared" si="361"/>
        <v>450000</v>
      </c>
      <c r="AE971" s="5">
        <f t="shared" si="362"/>
        <v>4.4117647058823533</v>
      </c>
      <c r="AF971" s="10">
        <f t="shared" si="363"/>
        <v>545600.00000000012</v>
      </c>
      <c r="AG971" s="10">
        <f t="shared" si="364"/>
        <v>176000.00000000003</v>
      </c>
      <c r="AH971" s="10">
        <f t="shared" si="365"/>
        <v>88000.000000000015</v>
      </c>
      <c r="AI971" s="10">
        <f t="shared" si="366"/>
        <v>44000.000000000007</v>
      </c>
      <c r="AJ971" s="10">
        <f t="shared" si="367"/>
        <v>26400.000000000004</v>
      </c>
    </row>
    <row r="972" spans="1:36" x14ac:dyDescent="0.3">
      <c r="A972" t="s">
        <v>3781</v>
      </c>
      <c r="B972" t="s">
        <v>3782</v>
      </c>
      <c r="C972" t="s">
        <v>1828</v>
      </c>
      <c r="D972" t="s">
        <v>14</v>
      </c>
      <c r="E972">
        <v>92604</v>
      </c>
      <c r="F972" t="s">
        <v>15</v>
      </c>
      <c r="G972">
        <v>8</v>
      </c>
      <c r="H972">
        <v>250</v>
      </c>
      <c r="I972" t="str" cm="1">
        <f t="array" ref="I972">_xlfn.IFS(H972&lt;=120,"V1",H972&lt;=150,"V2",H972&lt;=250,"V3", H972&lt;=350, "V4")</f>
        <v>V3</v>
      </c>
      <c r="J972" t="s">
        <v>3783</v>
      </c>
      <c r="K972" t="str">
        <f t="shared" si="345"/>
        <v>33.689853</v>
      </c>
      <c r="L972" t="str">
        <f t="shared" si="346"/>
        <v>-117.768924</v>
      </c>
      <c r="M972">
        <v>47</v>
      </c>
      <c r="N972" s="1">
        <v>44169</v>
      </c>
      <c r="O972" s="1">
        <v>46099</v>
      </c>
      <c r="P972" s="2">
        <f t="shared" si="347"/>
        <v>5.2840520191649558</v>
      </c>
      <c r="Q972" s="2" t="str">
        <f t="shared" si="348"/>
        <v>Mid</v>
      </c>
      <c r="R972">
        <f t="shared" si="349"/>
        <v>2000</v>
      </c>
      <c r="S972" t="str">
        <f t="shared" si="350"/>
        <v>Small</v>
      </c>
      <c r="T972" t="str">
        <f t="shared" si="351"/>
        <v>High EV Adoption Corridor</v>
      </c>
      <c r="U972" s="3">
        <f t="shared" si="352"/>
        <v>4680000</v>
      </c>
      <c r="V972" s="4">
        <f t="shared" si="353"/>
        <v>1056000</v>
      </c>
      <c r="W972" s="3">
        <f t="shared" si="354"/>
        <v>13200000.000000002</v>
      </c>
      <c r="X972" s="3">
        <f t="shared" si="355"/>
        <v>9900000.0000000019</v>
      </c>
      <c r="Y972">
        <f t="shared" si="356"/>
        <v>0.23999999999999996</v>
      </c>
      <c r="Z972">
        <f t="shared" si="357"/>
        <v>0.77435897435897438</v>
      </c>
      <c r="AA972" t="str">
        <f t="shared" si="358"/>
        <v>Tier 1 - Priority Fleet</v>
      </c>
      <c r="AB972" s="3">
        <f t="shared" si="359"/>
        <v>132000</v>
      </c>
      <c r="AC972" s="3">
        <f t="shared" si="360"/>
        <v>1650000.0000000002</v>
      </c>
      <c r="AD972" s="3">
        <f t="shared" si="361"/>
        <v>585000</v>
      </c>
      <c r="AE972" s="5">
        <f t="shared" si="362"/>
        <v>3.6423841059602653</v>
      </c>
      <c r="AF972" s="10">
        <f t="shared" si="363"/>
        <v>654720</v>
      </c>
      <c r="AG972" s="10">
        <f t="shared" si="364"/>
        <v>211200</v>
      </c>
      <c r="AH972" s="10">
        <f t="shared" si="365"/>
        <v>105600</v>
      </c>
      <c r="AI972" s="10">
        <f t="shared" si="366"/>
        <v>52800</v>
      </c>
      <c r="AJ972" s="10">
        <f t="shared" si="367"/>
        <v>31680</v>
      </c>
    </row>
    <row r="973" spans="1:36" x14ac:dyDescent="0.3">
      <c r="A973" t="s">
        <v>3784</v>
      </c>
      <c r="B973" t="s">
        <v>3785</v>
      </c>
      <c r="C973" t="s">
        <v>652</v>
      </c>
      <c r="D973" t="s">
        <v>14</v>
      </c>
      <c r="E973">
        <v>92708</v>
      </c>
      <c r="F973" t="s">
        <v>15</v>
      </c>
      <c r="G973">
        <v>12</v>
      </c>
      <c r="H973">
        <v>250</v>
      </c>
      <c r="I973" t="str" cm="1">
        <f t="array" ref="I973">_xlfn.IFS(H973&lt;=120,"V1",H973&lt;=150,"V2",H973&lt;=250,"V3", H973&lt;=350, "V4")</f>
        <v>V3</v>
      </c>
      <c r="J973" t="s">
        <v>3786</v>
      </c>
      <c r="K973" t="str">
        <f t="shared" si="345"/>
        <v>33.715666</v>
      </c>
      <c r="L973" t="str">
        <f t="shared" si="346"/>
        <v>-117.964945</v>
      </c>
      <c r="M973">
        <v>9</v>
      </c>
      <c r="N973" s="1">
        <v>44582</v>
      </c>
      <c r="O973" s="1">
        <v>46099</v>
      </c>
      <c r="P973" s="2">
        <f t="shared" si="347"/>
        <v>4.1533196440793976</v>
      </c>
      <c r="Q973" s="2" t="str">
        <f t="shared" si="348"/>
        <v>Mid</v>
      </c>
      <c r="R973">
        <f t="shared" si="349"/>
        <v>3000</v>
      </c>
      <c r="S973" t="str">
        <f t="shared" si="350"/>
        <v>Small</v>
      </c>
      <c r="T973" t="str">
        <f t="shared" si="351"/>
        <v>High EV Adoption Corridor</v>
      </c>
      <c r="U973" s="3">
        <f t="shared" si="352"/>
        <v>7020000</v>
      </c>
      <c r="V973" s="4">
        <f t="shared" si="353"/>
        <v>1584000</v>
      </c>
      <c r="W973" s="3">
        <f t="shared" si="354"/>
        <v>19800000</v>
      </c>
      <c r="X973" s="3">
        <f t="shared" si="355"/>
        <v>14850000</v>
      </c>
      <c r="Y973">
        <f t="shared" si="356"/>
        <v>0.24</v>
      </c>
      <c r="Z973">
        <f t="shared" si="357"/>
        <v>0.77435897435897438</v>
      </c>
      <c r="AA973" t="str">
        <f t="shared" si="358"/>
        <v>Tier 1 - Priority Fleet</v>
      </c>
      <c r="AB973" s="3">
        <f t="shared" si="359"/>
        <v>132000</v>
      </c>
      <c r="AC973" s="3">
        <f t="shared" si="360"/>
        <v>1650000</v>
      </c>
      <c r="AD973" s="3">
        <f t="shared" si="361"/>
        <v>585000</v>
      </c>
      <c r="AE973" s="5">
        <f t="shared" si="362"/>
        <v>3.6423841059602649</v>
      </c>
      <c r="AF973" s="10">
        <f t="shared" si="363"/>
        <v>982080</v>
      </c>
      <c r="AG973" s="10">
        <f t="shared" si="364"/>
        <v>316800</v>
      </c>
      <c r="AH973" s="10">
        <f t="shared" si="365"/>
        <v>158400</v>
      </c>
      <c r="AI973" s="10">
        <f t="shared" si="366"/>
        <v>79200</v>
      </c>
      <c r="AJ973" s="10">
        <f t="shared" si="367"/>
        <v>47520</v>
      </c>
    </row>
    <row r="974" spans="1:36" x14ac:dyDescent="0.3">
      <c r="A974" t="s">
        <v>3787</v>
      </c>
      <c r="B974" t="s">
        <v>3788</v>
      </c>
      <c r="C974" t="s">
        <v>3789</v>
      </c>
      <c r="D974" t="s">
        <v>299</v>
      </c>
      <c r="E974">
        <v>20166</v>
      </c>
      <c r="F974" t="s">
        <v>15</v>
      </c>
      <c r="G974">
        <v>8</v>
      </c>
      <c r="H974">
        <v>250</v>
      </c>
      <c r="I974" t="str" cm="1">
        <f t="array" ref="I974">_xlfn.IFS(H974&lt;=120,"V1",H974&lt;=150,"V2",H974&lt;=250,"V3", H974&lt;=350, "V4")</f>
        <v>V3</v>
      </c>
      <c r="J974" t="s">
        <v>3790</v>
      </c>
      <c r="K974" t="str">
        <f t="shared" si="345"/>
        <v>38.977853</v>
      </c>
      <c r="L974" t="str">
        <f t="shared" si="346"/>
        <v>-77.41201</v>
      </c>
      <c r="M974">
        <v>110</v>
      </c>
      <c r="N974" s="1">
        <v>44341</v>
      </c>
      <c r="O974" s="1">
        <v>46099</v>
      </c>
      <c r="P974" s="2">
        <f t="shared" si="347"/>
        <v>4.8131416837782339</v>
      </c>
      <c r="Q974" s="2" t="str">
        <f t="shared" si="348"/>
        <v>Mid</v>
      </c>
      <c r="R974">
        <f t="shared" si="349"/>
        <v>2000</v>
      </c>
      <c r="S974" t="str">
        <f t="shared" si="350"/>
        <v>Small</v>
      </c>
      <c r="T974" t="str">
        <f t="shared" si="351"/>
        <v>Lower EV Adoption Corridor</v>
      </c>
      <c r="U974" s="3">
        <f t="shared" si="352"/>
        <v>3600000</v>
      </c>
      <c r="V974" s="4">
        <f t="shared" si="353"/>
        <v>880000.00000000012</v>
      </c>
      <c r="W974" s="3">
        <f t="shared" si="354"/>
        <v>12000000</v>
      </c>
      <c r="X974" s="3">
        <f t="shared" si="355"/>
        <v>6600000.0000000009</v>
      </c>
      <c r="Y974">
        <f t="shared" si="356"/>
        <v>0.31515151515151513</v>
      </c>
      <c r="Z974">
        <f t="shared" si="357"/>
        <v>0.75555555555555554</v>
      </c>
      <c r="AA974" t="str">
        <f t="shared" si="358"/>
        <v>Tier 2 - Growth Markets</v>
      </c>
      <c r="AB974" s="3">
        <f t="shared" si="359"/>
        <v>110000.00000000001</v>
      </c>
      <c r="AC974" s="3">
        <f t="shared" si="360"/>
        <v>1500000</v>
      </c>
      <c r="AD974" s="3">
        <f t="shared" si="361"/>
        <v>450000</v>
      </c>
      <c r="AE974" s="5">
        <f t="shared" si="362"/>
        <v>4.4117647058823533</v>
      </c>
      <c r="AF974" s="10">
        <f t="shared" si="363"/>
        <v>545600.00000000012</v>
      </c>
      <c r="AG974" s="10">
        <f t="shared" si="364"/>
        <v>176000.00000000003</v>
      </c>
      <c r="AH974" s="10">
        <f t="shared" si="365"/>
        <v>88000.000000000015</v>
      </c>
      <c r="AI974" s="10">
        <f t="shared" si="366"/>
        <v>44000.000000000007</v>
      </c>
      <c r="AJ974" s="10">
        <f t="shared" si="367"/>
        <v>26400.000000000004</v>
      </c>
    </row>
    <row r="975" spans="1:36" x14ac:dyDescent="0.3">
      <c r="A975" t="s">
        <v>3791</v>
      </c>
      <c r="B975" t="s">
        <v>3792</v>
      </c>
      <c r="C975" t="s">
        <v>545</v>
      </c>
      <c r="D975" t="s">
        <v>321</v>
      </c>
      <c r="E975">
        <v>2421</v>
      </c>
      <c r="F975" t="s">
        <v>15</v>
      </c>
      <c r="G975">
        <v>8</v>
      </c>
      <c r="H975">
        <v>250</v>
      </c>
      <c r="I975" t="str" cm="1">
        <f t="array" ref="I975">_xlfn.IFS(H975&lt;=120,"V1",H975&lt;=150,"V2",H975&lt;=250,"V3", H975&lt;=350, "V4")</f>
        <v>V3</v>
      </c>
      <c r="J975" t="s">
        <v>3793</v>
      </c>
      <c r="K975" t="str">
        <f t="shared" si="345"/>
        <v>42.439697</v>
      </c>
      <c r="L975" t="str">
        <f t="shared" si="346"/>
        <v>-71.257982</v>
      </c>
      <c r="M975">
        <v>58</v>
      </c>
      <c r="N975" s="1">
        <v>44462</v>
      </c>
      <c r="O975" s="1">
        <v>46099</v>
      </c>
      <c r="P975" s="2">
        <f t="shared" si="347"/>
        <v>4.4818617385352502</v>
      </c>
      <c r="Q975" s="2" t="str">
        <f t="shared" si="348"/>
        <v>Mid</v>
      </c>
      <c r="R975">
        <f t="shared" si="349"/>
        <v>2000</v>
      </c>
      <c r="S975" t="str">
        <f t="shared" si="350"/>
        <v>Small</v>
      </c>
      <c r="T975" t="str">
        <f t="shared" si="351"/>
        <v>Lower EV Adoption Corridor</v>
      </c>
      <c r="U975" s="3">
        <f t="shared" si="352"/>
        <v>3600000</v>
      </c>
      <c r="V975" s="4">
        <f t="shared" si="353"/>
        <v>880000.00000000012</v>
      </c>
      <c r="W975" s="3">
        <f t="shared" si="354"/>
        <v>12000000</v>
      </c>
      <c r="X975" s="3">
        <f t="shared" si="355"/>
        <v>6600000.0000000009</v>
      </c>
      <c r="Y975">
        <f t="shared" si="356"/>
        <v>0.31515151515151513</v>
      </c>
      <c r="Z975">
        <f t="shared" si="357"/>
        <v>0.75555555555555554</v>
      </c>
      <c r="AA975" t="str">
        <f t="shared" si="358"/>
        <v>Tier 2 - Growth Markets</v>
      </c>
      <c r="AB975" s="3">
        <f t="shared" si="359"/>
        <v>110000.00000000001</v>
      </c>
      <c r="AC975" s="3">
        <f t="shared" si="360"/>
        <v>1500000</v>
      </c>
      <c r="AD975" s="3">
        <f t="shared" si="361"/>
        <v>450000</v>
      </c>
      <c r="AE975" s="5">
        <f t="shared" si="362"/>
        <v>4.4117647058823533</v>
      </c>
      <c r="AF975" s="10">
        <f t="shared" si="363"/>
        <v>545600.00000000012</v>
      </c>
      <c r="AG975" s="10">
        <f t="shared" si="364"/>
        <v>176000.00000000003</v>
      </c>
      <c r="AH975" s="10">
        <f t="shared" si="365"/>
        <v>88000.000000000015</v>
      </c>
      <c r="AI975" s="10">
        <f t="shared" si="366"/>
        <v>44000.000000000007</v>
      </c>
      <c r="AJ975" s="10">
        <f t="shared" si="367"/>
        <v>26400.000000000004</v>
      </c>
    </row>
    <row r="976" spans="1:36" x14ac:dyDescent="0.3">
      <c r="A976" t="s">
        <v>3794</v>
      </c>
      <c r="B976" t="s">
        <v>3795</v>
      </c>
      <c r="C976" t="s">
        <v>1855</v>
      </c>
      <c r="D976" t="s">
        <v>153</v>
      </c>
      <c r="E976">
        <v>19145</v>
      </c>
      <c r="F976" t="s">
        <v>15</v>
      </c>
      <c r="G976">
        <v>20</v>
      </c>
      <c r="H976">
        <v>250</v>
      </c>
      <c r="I976" t="str" cm="1">
        <f t="array" ref="I976">_xlfn.IFS(H976&lt;=120,"V1",H976&lt;=150,"V2",H976&lt;=250,"V3", H976&lt;=350, "V4")</f>
        <v>V3</v>
      </c>
      <c r="J976" t="s">
        <v>3796</v>
      </c>
      <c r="K976" t="str">
        <f t="shared" si="345"/>
        <v>39.905116</v>
      </c>
      <c r="L976" t="str">
        <f t="shared" si="346"/>
        <v>-75.19437</v>
      </c>
      <c r="M976">
        <v>3</v>
      </c>
      <c r="N976" s="1">
        <v>44364</v>
      </c>
      <c r="O976" s="1">
        <v>46099</v>
      </c>
      <c r="P976" s="2">
        <f t="shared" si="347"/>
        <v>4.7501711156741955</v>
      </c>
      <c r="Q976" s="2" t="str">
        <f t="shared" si="348"/>
        <v>Mid</v>
      </c>
      <c r="R976">
        <f t="shared" si="349"/>
        <v>5000</v>
      </c>
      <c r="S976" t="str">
        <f t="shared" si="350"/>
        <v>Small</v>
      </c>
      <c r="T976" t="str">
        <f t="shared" si="351"/>
        <v>Lower EV Adoption Corridor</v>
      </c>
      <c r="U976" s="3">
        <f t="shared" si="352"/>
        <v>9000000</v>
      </c>
      <c r="V976" s="4">
        <f t="shared" si="353"/>
        <v>2200000</v>
      </c>
      <c r="W976" s="3">
        <f t="shared" si="354"/>
        <v>30000000</v>
      </c>
      <c r="X976" s="3">
        <f t="shared" si="355"/>
        <v>16500000.000000002</v>
      </c>
      <c r="Y976">
        <f t="shared" si="356"/>
        <v>0.31515151515151513</v>
      </c>
      <c r="Z976">
        <f t="shared" si="357"/>
        <v>0.75555555555555554</v>
      </c>
      <c r="AA976" t="str">
        <f t="shared" si="358"/>
        <v>Tier 2 - Growth Markets</v>
      </c>
      <c r="AB976" s="3">
        <f t="shared" si="359"/>
        <v>110000</v>
      </c>
      <c r="AC976" s="3">
        <f t="shared" si="360"/>
        <v>1500000</v>
      </c>
      <c r="AD976" s="3">
        <f t="shared" si="361"/>
        <v>450000</v>
      </c>
      <c r="AE976" s="5">
        <f t="shared" si="362"/>
        <v>4.4117647058823533</v>
      </c>
      <c r="AF976" s="10">
        <f t="shared" si="363"/>
        <v>1364000</v>
      </c>
      <c r="AG976" s="10">
        <f t="shared" si="364"/>
        <v>440000</v>
      </c>
      <c r="AH976" s="10">
        <f t="shared" si="365"/>
        <v>220000</v>
      </c>
      <c r="AI976" s="10">
        <f t="shared" si="366"/>
        <v>110000</v>
      </c>
      <c r="AJ976" s="10">
        <f t="shared" si="367"/>
        <v>66000</v>
      </c>
    </row>
    <row r="977" spans="1:36" x14ac:dyDescent="0.3">
      <c r="A977" t="s">
        <v>3797</v>
      </c>
      <c r="B977" t="s">
        <v>3798</v>
      </c>
      <c r="C977" t="s">
        <v>3799</v>
      </c>
      <c r="D977" t="s">
        <v>321</v>
      </c>
      <c r="E977">
        <v>1507</v>
      </c>
      <c r="F977" t="s">
        <v>15</v>
      </c>
      <c r="G977">
        <v>8</v>
      </c>
      <c r="H977">
        <v>250</v>
      </c>
      <c r="I977" t="str" cm="1">
        <f t="array" ref="I977">_xlfn.IFS(H977&lt;=120,"V1",H977&lt;=150,"V2",H977&lt;=250,"V3", H977&lt;=350, "V4")</f>
        <v>V3</v>
      </c>
      <c r="J977" t="s">
        <v>3800</v>
      </c>
      <c r="K977" t="str">
        <f t="shared" si="345"/>
        <v>42.156788</v>
      </c>
      <c r="L977" t="str">
        <f t="shared" si="346"/>
        <v>-71.962909</v>
      </c>
      <c r="M977">
        <v>262</v>
      </c>
      <c r="N977" s="1">
        <v>44362</v>
      </c>
      <c r="O977" s="1">
        <v>46099</v>
      </c>
      <c r="P977" s="2">
        <f t="shared" si="347"/>
        <v>4.7556468172484596</v>
      </c>
      <c r="Q977" s="2" t="str">
        <f t="shared" si="348"/>
        <v>Mid</v>
      </c>
      <c r="R977">
        <f t="shared" si="349"/>
        <v>2000</v>
      </c>
      <c r="S977" t="str">
        <f t="shared" si="350"/>
        <v>Small</v>
      </c>
      <c r="T977" t="str">
        <f t="shared" si="351"/>
        <v>Lower EV Adoption Corridor</v>
      </c>
      <c r="U977" s="3">
        <f t="shared" si="352"/>
        <v>3600000</v>
      </c>
      <c r="V977" s="4">
        <f t="shared" si="353"/>
        <v>880000.00000000012</v>
      </c>
      <c r="W977" s="3">
        <f t="shared" si="354"/>
        <v>12000000</v>
      </c>
      <c r="X977" s="3">
        <f t="shared" si="355"/>
        <v>6600000.0000000009</v>
      </c>
      <c r="Y977">
        <f t="shared" si="356"/>
        <v>0.31515151515151513</v>
      </c>
      <c r="Z977">
        <f t="shared" si="357"/>
        <v>0.75555555555555554</v>
      </c>
      <c r="AA977" t="str">
        <f t="shared" si="358"/>
        <v>Tier 2 - Growth Markets</v>
      </c>
      <c r="AB977" s="3">
        <f t="shared" si="359"/>
        <v>110000.00000000001</v>
      </c>
      <c r="AC977" s="3">
        <f t="shared" si="360"/>
        <v>1500000</v>
      </c>
      <c r="AD977" s="3">
        <f t="shared" si="361"/>
        <v>450000</v>
      </c>
      <c r="AE977" s="5">
        <f t="shared" si="362"/>
        <v>4.4117647058823533</v>
      </c>
      <c r="AF977" s="10">
        <f t="shared" si="363"/>
        <v>545600.00000000012</v>
      </c>
      <c r="AG977" s="10">
        <f t="shared" si="364"/>
        <v>176000.00000000003</v>
      </c>
      <c r="AH977" s="10">
        <f t="shared" si="365"/>
        <v>88000.000000000015</v>
      </c>
      <c r="AI977" s="10">
        <f t="shared" si="366"/>
        <v>44000.000000000007</v>
      </c>
      <c r="AJ977" s="10">
        <f t="shared" si="367"/>
        <v>26400.000000000004</v>
      </c>
    </row>
    <row r="978" spans="1:36" x14ac:dyDescent="0.3">
      <c r="A978" t="s">
        <v>3801</v>
      </c>
      <c r="B978" t="s">
        <v>3802</v>
      </c>
      <c r="C978" t="s">
        <v>3803</v>
      </c>
      <c r="D978" t="s">
        <v>321</v>
      </c>
      <c r="E978">
        <v>2462</v>
      </c>
      <c r="F978" t="s">
        <v>15</v>
      </c>
      <c r="G978">
        <v>8</v>
      </c>
      <c r="H978">
        <v>250</v>
      </c>
      <c r="I978" t="str" cm="1">
        <f t="array" ref="I978">_xlfn.IFS(H978&lt;=120,"V1",H978&lt;=150,"V2",H978&lt;=250,"V3", H978&lt;=350, "V4")</f>
        <v>V3</v>
      </c>
      <c r="J978" t="s">
        <v>3804</v>
      </c>
      <c r="K978" t="str">
        <f t="shared" si="345"/>
        <v>42.330663</v>
      </c>
      <c r="L978" t="str">
        <f t="shared" si="346"/>
        <v>-71.255062</v>
      </c>
      <c r="M978">
        <v>24</v>
      </c>
      <c r="N978" s="1">
        <v>44951</v>
      </c>
      <c r="O978" s="1">
        <v>46099</v>
      </c>
      <c r="P978" s="2">
        <f t="shared" si="347"/>
        <v>3.1430527036276521</v>
      </c>
      <c r="Q978" s="2" t="str">
        <f t="shared" si="348"/>
        <v>Mid</v>
      </c>
      <c r="R978">
        <f t="shared" si="349"/>
        <v>2000</v>
      </c>
      <c r="S978" t="str">
        <f t="shared" si="350"/>
        <v>Small</v>
      </c>
      <c r="T978" t="str">
        <f t="shared" si="351"/>
        <v>Lower EV Adoption Corridor</v>
      </c>
      <c r="U978" s="3">
        <f t="shared" si="352"/>
        <v>3600000</v>
      </c>
      <c r="V978" s="4">
        <f t="shared" si="353"/>
        <v>880000.00000000012</v>
      </c>
      <c r="W978" s="3">
        <f t="shared" si="354"/>
        <v>12000000</v>
      </c>
      <c r="X978" s="3">
        <f t="shared" si="355"/>
        <v>6600000.0000000009</v>
      </c>
      <c r="Y978">
        <f t="shared" si="356"/>
        <v>0.31515151515151513</v>
      </c>
      <c r="Z978">
        <f t="shared" si="357"/>
        <v>0.75555555555555554</v>
      </c>
      <c r="AA978" t="str">
        <f t="shared" si="358"/>
        <v>Tier 2 - Growth Markets</v>
      </c>
      <c r="AB978" s="3">
        <f t="shared" si="359"/>
        <v>110000.00000000001</v>
      </c>
      <c r="AC978" s="3">
        <f t="shared" si="360"/>
        <v>1500000</v>
      </c>
      <c r="AD978" s="3">
        <f t="shared" si="361"/>
        <v>450000</v>
      </c>
      <c r="AE978" s="5">
        <f t="shared" si="362"/>
        <v>4.4117647058823533</v>
      </c>
      <c r="AF978" s="10">
        <f t="shared" si="363"/>
        <v>545600.00000000012</v>
      </c>
      <c r="AG978" s="10">
        <f t="shared" si="364"/>
        <v>176000.00000000003</v>
      </c>
      <c r="AH978" s="10">
        <f t="shared" si="365"/>
        <v>88000.000000000015</v>
      </c>
      <c r="AI978" s="10">
        <f t="shared" si="366"/>
        <v>44000.000000000007</v>
      </c>
      <c r="AJ978" s="10">
        <f t="shared" si="367"/>
        <v>26400.000000000004</v>
      </c>
    </row>
    <row r="979" spans="1:36" x14ac:dyDescent="0.3">
      <c r="A979" t="s">
        <v>3805</v>
      </c>
      <c r="B979" t="s">
        <v>3806</v>
      </c>
      <c r="C979" t="s">
        <v>3807</v>
      </c>
      <c r="D979" t="s">
        <v>41</v>
      </c>
      <c r="E979">
        <v>33025</v>
      </c>
      <c r="F979" t="s">
        <v>15</v>
      </c>
      <c r="G979">
        <v>8</v>
      </c>
      <c r="H979">
        <v>250</v>
      </c>
      <c r="I979" t="str" cm="1">
        <f t="array" ref="I979">_xlfn.IFS(H979&lt;=120,"V1",H979&lt;=150,"V2",H979&lt;=250,"V3", H979&lt;=350, "V4")</f>
        <v>V3</v>
      </c>
      <c r="J979" t="s">
        <v>3808</v>
      </c>
      <c r="K979" t="str">
        <f t="shared" si="345"/>
        <v>25.994288</v>
      </c>
      <c r="L979" t="str">
        <f t="shared" si="346"/>
        <v>-80.296384</v>
      </c>
      <c r="M979">
        <v>2</v>
      </c>
      <c r="N979" s="1">
        <v>44850</v>
      </c>
      <c r="O979" s="1">
        <v>46099</v>
      </c>
      <c r="P979" s="2">
        <f t="shared" si="347"/>
        <v>3.4195756331279945</v>
      </c>
      <c r="Q979" s="2" t="str">
        <f t="shared" si="348"/>
        <v>Mid</v>
      </c>
      <c r="R979">
        <f t="shared" si="349"/>
        <v>2000</v>
      </c>
      <c r="S979" t="str">
        <f t="shared" si="350"/>
        <v>Small</v>
      </c>
      <c r="T979" t="str">
        <f t="shared" si="351"/>
        <v>High EV Adoption Corridor</v>
      </c>
      <c r="U979" s="3">
        <f t="shared" si="352"/>
        <v>4680000</v>
      </c>
      <c r="V979" s="4">
        <f t="shared" si="353"/>
        <v>1056000</v>
      </c>
      <c r="W979" s="3">
        <f t="shared" si="354"/>
        <v>13200000.000000002</v>
      </c>
      <c r="X979" s="3">
        <f t="shared" si="355"/>
        <v>9900000.0000000019</v>
      </c>
      <c r="Y979">
        <f t="shared" si="356"/>
        <v>0.23999999999999996</v>
      </c>
      <c r="Z979">
        <f t="shared" si="357"/>
        <v>0.77435897435897438</v>
      </c>
      <c r="AA979" t="str">
        <f t="shared" si="358"/>
        <v>Tier 1 - Priority Fleet</v>
      </c>
      <c r="AB979" s="3">
        <f t="shared" si="359"/>
        <v>132000</v>
      </c>
      <c r="AC979" s="3">
        <f t="shared" si="360"/>
        <v>1650000.0000000002</v>
      </c>
      <c r="AD979" s="3">
        <f t="shared" si="361"/>
        <v>585000</v>
      </c>
      <c r="AE979" s="5">
        <f t="shared" si="362"/>
        <v>3.6423841059602653</v>
      </c>
      <c r="AF979" s="10">
        <f t="shared" si="363"/>
        <v>654720</v>
      </c>
      <c r="AG979" s="10">
        <f t="shared" si="364"/>
        <v>211200</v>
      </c>
      <c r="AH979" s="10">
        <f t="shared" si="365"/>
        <v>105600</v>
      </c>
      <c r="AI979" s="10">
        <f t="shared" si="366"/>
        <v>52800</v>
      </c>
      <c r="AJ979" s="10">
        <f t="shared" si="367"/>
        <v>31680</v>
      </c>
    </row>
    <row r="980" spans="1:36" x14ac:dyDescent="0.3">
      <c r="A980" t="s">
        <v>3809</v>
      </c>
      <c r="B980" t="s">
        <v>3810</v>
      </c>
      <c r="C980" t="s">
        <v>3811</v>
      </c>
      <c r="D980" t="s">
        <v>50</v>
      </c>
      <c r="E980">
        <v>75160</v>
      </c>
      <c r="F980" t="s">
        <v>15</v>
      </c>
      <c r="G980">
        <v>24</v>
      </c>
      <c r="H980">
        <v>250</v>
      </c>
      <c r="I980" t="str" cm="1">
        <f t="array" ref="I980">_xlfn.IFS(H980&lt;=120,"V1",H980&lt;=150,"V2",H980&lt;=250,"V3", H980&lt;=350, "V4")</f>
        <v>V3</v>
      </c>
      <c r="J980" t="s">
        <v>3812</v>
      </c>
      <c r="K980" t="str">
        <f t="shared" si="345"/>
        <v>32.717529</v>
      </c>
      <c r="L980" t="str">
        <f t="shared" si="346"/>
        <v>-96.323024</v>
      </c>
      <c r="M980">
        <v>151</v>
      </c>
      <c r="N980" s="1">
        <v>45007</v>
      </c>
      <c r="O980" s="1">
        <v>46099</v>
      </c>
      <c r="P980" s="2">
        <f t="shared" si="347"/>
        <v>2.9897330595482545</v>
      </c>
      <c r="Q980" s="2" t="str">
        <f t="shared" si="348"/>
        <v>New</v>
      </c>
      <c r="R980">
        <f t="shared" si="349"/>
        <v>6000</v>
      </c>
      <c r="S980" t="str">
        <f t="shared" si="350"/>
        <v>Small</v>
      </c>
      <c r="T980" t="str">
        <f t="shared" si="351"/>
        <v>High EV Adoption Corridor</v>
      </c>
      <c r="U980" s="3">
        <f t="shared" si="352"/>
        <v>14040000</v>
      </c>
      <c r="V980" s="4">
        <f t="shared" si="353"/>
        <v>3168000</v>
      </c>
      <c r="W980" s="3">
        <f t="shared" si="354"/>
        <v>39600000</v>
      </c>
      <c r="X980" s="3">
        <f t="shared" si="355"/>
        <v>29700000</v>
      </c>
      <c r="Y980">
        <f t="shared" si="356"/>
        <v>0.24</v>
      </c>
      <c r="Z980">
        <f t="shared" si="357"/>
        <v>0.77435897435897438</v>
      </c>
      <c r="AA980" t="str">
        <f t="shared" si="358"/>
        <v>Tier 1 - Priority Fleet</v>
      </c>
      <c r="AB980" s="3">
        <f t="shared" si="359"/>
        <v>132000</v>
      </c>
      <c r="AC980" s="3">
        <f t="shared" si="360"/>
        <v>1650000</v>
      </c>
      <c r="AD980" s="3">
        <f t="shared" si="361"/>
        <v>585000</v>
      </c>
      <c r="AE980" s="5">
        <f t="shared" si="362"/>
        <v>3.6423841059602649</v>
      </c>
      <c r="AF980" s="10">
        <f t="shared" si="363"/>
        <v>1964160</v>
      </c>
      <c r="AG980" s="10">
        <f t="shared" si="364"/>
        <v>633600</v>
      </c>
      <c r="AH980" s="10">
        <f t="shared" si="365"/>
        <v>316800</v>
      </c>
      <c r="AI980" s="10">
        <f t="shared" si="366"/>
        <v>158400</v>
      </c>
      <c r="AJ980" s="10">
        <f t="shared" si="367"/>
        <v>95040</v>
      </c>
    </row>
    <row r="981" spans="1:36" x14ac:dyDescent="0.3">
      <c r="A981" t="s">
        <v>3813</v>
      </c>
      <c r="B981" t="s">
        <v>3814</v>
      </c>
      <c r="C981" t="s">
        <v>3815</v>
      </c>
      <c r="D981" t="s">
        <v>299</v>
      </c>
      <c r="E981">
        <v>22554</v>
      </c>
      <c r="F981" t="s">
        <v>15</v>
      </c>
      <c r="G981">
        <v>8</v>
      </c>
      <c r="H981">
        <v>250</v>
      </c>
      <c r="I981" t="str" cm="1">
        <f t="array" ref="I981">_xlfn.IFS(H981&lt;=120,"V1",H981&lt;=150,"V2",H981&lt;=250,"V3", H981&lt;=350, "V4")</f>
        <v>V3</v>
      </c>
      <c r="J981" t="s">
        <v>3816</v>
      </c>
      <c r="K981" t="str">
        <f t="shared" si="345"/>
        <v>38.467411</v>
      </c>
      <c r="L981" t="str">
        <f t="shared" si="346"/>
        <v>-77.412069</v>
      </c>
      <c r="M981">
        <v>57</v>
      </c>
      <c r="N981" s="1">
        <v>44338</v>
      </c>
      <c r="O981" s="1">
        <v>46099</v>
      </c>
      <c r="P981" s="2">
        <f t="shared" si="347"/>
        <v>4.8213552361396301</v>
      </c>
      <c r="Q981" s="2" t="str">
        <f t="shared" si="348"/>
        <v>Mid</v>
      </c>
      <c r="R981">
        <f t="shared" si="349"/>
        <v>2000</v>
      </c>
      <c r="S981" t="str">
        <f t="shared" si="350"/>
        <v>Small</v>
      </c>
      <c r="T981" t="str">
        <f t="shared" si="351"/>
        <v>Lower EV Adoption Corridor</v>
      </c>
      <c r="U981" s="3">
        <f t="shared" si="352"/>
        <v>3600000</v>
      </c>
      <c r="V981" s="4">
        <f t="shared" si="353"/>
        <v>880000.00000000012</v>
      </c>
      <c r="W981" s="3">
        <f t="shared" si="354"/>
        <v>12000000</v>
      </c>
      <c r="X981" s="3">
        <f t="shared" si="355"/>
        <v>6600000.0000000009</v>
      </c>
      <c r="Y981">
        <f t="shared" si="356"/>
        <v>0.31515151515151513</v>
      </c>
      <c r="Z981">
        <f t="shared" si="357"/>
        <v>0.75555555555555554</v>
      </c>
      <c r="AA981" t="str">
        <f t="shared" si="358"/>
        <v>Tier 2 - Growth Markets</v>
      </c>
      <c r="AB981" s="3">
        <f t="shared" si="359"/>
        <v>110000.00000000001</v>
      </c>
      <c r="AC981" s="3">
        <f t="shared" si="360"/>
        <v>1500000</v>
      </c>
      <c r="AD981" s="3">
        <f t="shared" si="361"/>
        <v>450000</v>
      </c>
      <c r="AE981" s="5">
        <f t="shared" si="362"/>
        <v>4.4117647058823533</v>
      </c>
      <c r="AF981" s="10">
        <f t="shared" si="363"/>
        <v>545600.00000000012</v>
      </c>
      <c r="AG981" s="10">
        <f t="shared" si="364"/>
        <v>176000.00000000003</v>
      </c>
      <c r="AH981" s="10">
        <f t="shared" si="365"/>
        <v>88000.000000000015</v>
      </c>
      <c r="AI981" s="10">
        <f t="shared" si="366"/>
        <v>44000.000000000007</v>
      </c>
      <c r="AJ981" s="10">
        <f t="shared" si="367"/>
        <v>26400.000000000004</v>
      </c>
    </row>
    <row r="982" spans="1:36" x14ac:dyDescent="0.3">
      <c r="A982" t="s">
        <v>3817</v>
      </c>
      <c r="B982" t="s">
        <v>3818</v>
      </c>
      <c r="C982" t="s">
        <v>3819</v>
      </c>
      <c r="D982" t="s">
        <v>28</v>
      </c>
      <c r="E982">
        <v>30135</v>
      </c>
      <c r="F982" t="s">
        <v>15</v>
      </c>
      <c r="G982">
        <v>12</v>
      </c>
      <c r="H982">
        <v>250</v>
      </c>
      <c r="I982" t="str" cm="1">
        <f t="array" ref="I982">_xlfn.IFS(H982&lt;=120,"V1",H982&lt;=150,"V2",H982&lt;=250,"V3", H982&lt;=350, "V4")</f>
        <v>V3</v>
      </c>
      <c r="J982" t="s">
        <v>3820</v>
      </c>
      <c r="K982" t="str">
        <f t="shared" si="345"/>
        <v>33.726907</v>
      </c>
      <c r="L982" t="str">
        <f t="shared" si="346"/>
        <v>-84.735784</v>
      </c>
      <c r="M982">
        <v>340</v>
      </c>
      <c r="N982" s="1">
        <v>44332</v>
      </c>
      <c r="O982" s="1">
        <v>46099</v>
      </c>
      <c r="P982" s="2">
        <f t="shared" si="347"/>
        <v>4.8377823408624234</v>
      </c>
      <c r="Q982" s="2" t="str">
        <f t="shared" si="348"/>
        <v>Mid</v>
      </c>
      <c r="R982">
        <f t="shared" si="349"/>
        <v>3000</v>
      </c>
      <c r="S982" t="str">
        <f t="shared" si="350"/>
        <v>Small</v>
      </c>
      <c r="T982" t="str">
        <f t="shared" si="351"/>
        <v>Lower EV Adoption Corridor</v>
      </c>
      <c r="U982" s="3">
        <f t="shared" si="352"/>
        <v>5400000</v>
      </c>
      <c r="V982" s="4">
        <f t="shared" si="353"/>
        <v>1320000</v>
      </c>
      <c r="W982" s="3">
        <f t="shared" si="354"/>
        <v>18000000</v>
      </c>
      <c r="X982" s="3">
        <f t="shared" si="355"/>
        <v>9900000</v>
      </c>
      <c r="Y982">
        <f t="shared" si="356"/>
        <v>0.31515151515151513</v>
      </c>
      <c r="Z982">
        <f t="shared" si="357"/>
        <v>0.75555555555555554</v>
      </c>
      <c r="AA982" t="str">
        <f t="shared" si="358"/>
        <v>Tier 2 - Growth Markets</v>
      </c>
      <c r="AB982" s="3">
        <f t="shared" si="359"/>
        <v>110000</v>
      </c>
      <c r="AC982" s="3">
        <f t="shared" si="360"/>
        <v>1500000</v>
      </c>
      <c r="AD982" s="3">
        <f t="shared" si="361"/>
        <v>450000</v>
      </c>
      <c r="AE982" s="5">
        <f t="shared" si="362"/>
        <v>4.4117647058823533</v>
      </c>
      <c r="AF982" s="10">
        <f t="shared" si="363"/>
        <v>818400</v>
      </c>
      <c r="AG982" s="10">
        <f t="shared" si="364"/>
        <v>264000</v>
      </c>
      <c r="AH982" s="10">
        <f t="shared" si="365"/>
        <v>132000</v>
      </c>
      <c r="AI982" s="10">
        <f t="shared" si="366"/>
        <v>66000</v>
      </c>
      <c r="AJ982" s="10">
        <f t="shared" si="367"/>
        <v>39600</v>
      </c>
    </row>
    <row r="983" spans="1:36" x14ac:dyDescent="0.3">
      <c r="A983" t="s">
        <v>3821</v>
      </c>
      <c r="B983" t="s">
        <v>3822</v>
      </c>
      <c r="C983" t="s">
        <v>3823</v>
      </c>
      <c r="D983" t="s">
        <v>50</v>
      </c>
      <c r="E983">
        <v>77521</v>
      </c>
      <c r="F983" t="s">
        <v>15</v>
      </c>
      <c r="G983">
        <v>12</v>
      </c>
      <c r="H983">
        <v>250</v>
      </c>
      <c r="I983" t="str" cm="1">
        <f t="array" ref="I983">_xlfn.IFS(H983&lt;=120,"V1",H983&lt;=150,"V2",H983&lt;=250,"V3", H983&lt;=350, "V4")</f>
        <v>V3</v>
      </c>
      <c r="J983" t="s">
        <v>3824</v>
      </c>
      <c r="K983" t="str">
        <f t="shared" si="345"/>
        <v>29.801587</v>
      </c>
      <c r="L983" t="str">
        <f t="shared" si="346"/>
        <v>-94.997897</v>
      </c>
      <c r="M983">
        <v>8</v>
      </c>
      <c r="N983" s="1">
        <v>44710</v>
      </c>
      <c r="O983" s="1">
        <v>46099</v>
      </c>
      <c r="P983" s="2">
        <f t="shared" si="347"/>
        <v>3.8028747433264889</v>
      </c>
      <c r="Q983" s="2" t="str">
        <f t="shared" si="348"/>
        <v>Mid</v>
      </c>
      <c r="R983">
        <f t="shared" si="349"/>
        <v>3000</v>
      </c>
      <c r="S983" t="str">
        <f t="shared" si="350"/>
        <v>Small</v>
      </c>
      <c r="T983" t="str">
        <f t="shared" si="351"/>
        <v>High EV Adoption Corridor</v>
      </c>
      <c r="U983" s="3">
        <f t="shared" si="352"/>
        <v>7020000</v>
      </c>
      <c r="V983" s="4">
        <f t="shared" si="353"/>
        <v>1584000</v>
      </c>
      <c r="W983" s="3">
        <f t="shared" si="354"/>
        <v>19800000</v>
      </c>
      <c r="X983" s="3">
        <f t="shared" si="355"/>
        <v>14850000</v>
      </c>
      <c r="Y983">
        <f t="shared" si="356"/>
        <v>0.24</v>
      </c>
      <c r="Z983">
        <f t="shared" si="357"/>
        <v>0.77435897435897438</v>
      </c>
      <c r="AA983" t="str">
        <f t="shared" si="358"/>
        <v>Tier 1 - Priority Fleet</v>
      </c>
      <c r="AB983" s="3">
        <f t="shared" si="359"/>
        <v>132000</v>
      </c>
      <c r="AC983" s="3">
        <f t="shared" si="360"/>
        <v>1650000</v>
      </c>
      <c r="AD983" s="3">
        <f t="shared" si="361"/>
        <v>585000</v>
      </c>
      <c r="AE983" s="5">
        <f t="shared" si="362"/>
        <v>3.6423841059602649</v>
      </c>
      <c r="AF983" s="10">
        <f t="shared" si="363"/>
        <v>982080</v>
      </c>
      <c r="AG983" s="10">
        <f t="shared" si="364"/>
        <v>316800</v>
      </c>
      <c r="AH983" s="10">
        <f t="shared" si="365"/>
        <v>158400</v>
      </c>
      <c r="AI983" s="10">
        <f t="shared" si="366"/>
        <v>79200</v>
      </c>
      <c r="AJ983" s="10">
        <f t="shared" si="367"/>
        <v>47520</v>
      </c>
    </row>
    <row r="984" spans="1:36" x14ac:dyDescent="0.3">
      <c r="A984" t="s">
        <v>3825</v>
      </c>
      <c r="B984" t="s">
        <v>3826</v>
      </c>
      <c r="C984" t="s">
        <v>617</v>
      </c>
      <c r="D984" t="s">
        <v>125</v>
      </c>
      <c r="E984">
        <v>29203</v>
      </c>
      <c r="F984" t="s">
        <v>15</v>
      </c>
      <c r="G984">
        <v>8</v>
      </c>
      <c r="H984">
        <v>150</v>
      </c>
      <c r="I984" t="str" cm="1">
        <f t="array" ref="I984">_xlfn.IFS(H984&lt;=120,"V1",H984&lt;=150,"V2",H984&lt;=250,"V3", H984&lt;=350, "V4")</f>
        <v>V2</v>
      </c>
      <c r="J984" t="s">
        <v>3827</v>
      </c>
      <c r="K984" t="str">
        <f t="shared" si="345"/>
        <v>34.106319</v>
      </c>
      <c r="L984" t="str">
        <f t="shared" si="346"/>
        <v>-80.950723</v>
      </c>
      <c r="M984">
        <v>95</v>
      </c>
      <c r="N984" s="1">
        <v>42689</v>
      </c>
      <c r="O984" s="1">
        <v>46099</v>
      </c>
      <c r="P984" s="2">
        <f t="shared" si="347"/>
        <v>9.3360711841204651</v>
      </c>
      <c r="Q984" s="2" t="str">
        <f t="shared" si="348"/>
        <v>Old</v>
      </c>
      <c r="R984">
        <f t="shared" si="349"/>
        <v>1200</v>
      </c>
      <c r="S984" t="str">
        <f t="shared" si="350"/>
        <v>Small</v>
      </c>
      <c r="T984" t="str">
        <f t="shared" si="351"/>
        <v>Lower EV Adoption Corridor</v>
      </c>
      <c r="U984" s="3">
        <f t="shared" si="352"/>
        <v>1980000.0000000002</v>
      </c>
      <c r="V984" s="4">
        <f t="shared" si="353"/>
        <v>480000</v>
      </c>
      <c r="W984" s="3">
        <f t="shared" si="354"/>
        <v>6000000</v>
      </c>
      <c r="X984" s="3">
        <f t="shared" si="355"/>
        <v>3600000</v>
      </c>
      <c r="Y984">
        <f t="shared" si="356"/>
        <v>0.3</v>
      </c>
      <c r="Z984">
        <f t="shared" si="357"/>
        <v>0.75757575757575757</v>
      </c>
      <c r="AA984" t="str">
        <f t="shared" si="358"/>
        <v>Tier 4 - Stable Network</v>
      </c>
      <c r="AB984" s="3">
        <f t="shared" si="359"/>
        <v>60000</v>
      </c>
      <c r="AC984" s="3">
        <f t="shared" si="360"/>
        <v>750000</v>
      </c>
      <c r="AD984" s="3">
        <f t="shared" si="361"/>
        <v>247500.00000000003</v>
      </c>
      <c r="AE984" s="5">
        <f t="shared" si="362"/>
        <v>3.9999999999999996</v>
      </c>
      <c r="AF984" s="10">
        <f t="shared" si="363"/>
        <v>297600</v>
      </c>
      <c r="AG984" s="10">
        <f t="shared" si="364"/>
        <v>96000</v>
      </c>
      <c r="AH984" s="10">
        <f t="shared" si="365"/>
        <v>48000</v>
      </c>
      <c r="AI984" s="10">
        <f t="shared" si="366"/>
        <v>24000</v>
      </c>
      <c r="AJ984" s="10">
        <f t="shared" si="367"/>
        <v>14400</v>
      </c>
    </row>
    <row r="985" spans="1:36" x14ac:dyDescent="0.3">
      <c r="A985" t="s">
        <v>3828</v>
      </c>
      <c r="B985" t="s">
        <v>3829</v>
      </c>
      <c r="C985" t="s">
        <v>3830</v>
      </c>
      <c r="D985" t="s">
        <v>77</v>
      </c>
      <c r="E985">
        <v>27962</v>
      </c>
      <c r="F985" t="s">
        <v>15</v>
      </c>
      <c r="G985">
        <v>8</v>
      </c>
      <c r="H985">
        <v>150</v>
      </c>
      <c r="I985" t="str" cm="1">
        <f t="array" ref="I985">_xlfn.IFS(H985&lt;=120,"V1",H985&lt;=150,"V2",H985&lt;=250,"V3", H985&lt;=350, "V4")</f>
        <v>V2</v>
      </c>
      <c r="J985" t="s">
        <v>3831</v>
      </c>
      <c r="K985" t="str">
        <f t="shared" si="345"/>
        <v>35.850587</v>
      </c>
      <c r="L985" t="str">
        <f t="shared" si="346"/>
        <v>-76.756116</v>
      </c>
      <c r="M985">
        <v>5</v>
      </c>
      <c r="N985" s="1">
        <v>41710</v>
      </c>
      <c r="O985" s="1">
        <v>46099</v>
      </c>
      <c r="P985" s="2">
        <f t="shared" si="347"/>
        <v>12.016427104722792</v>
      </c>
      <c r="Q985" s="2" t="str">
        <f t="shared" si="348"/>
        <v>Old</v>
      </c>
      <c r="R985">
        <f t="shared" si="349"/>
        <v>1200</v>
      </c>
      <c r="S985" t="str">
        <f t="shared" si="350"/>
        <v>Small</v>
      </c>
      <c r="T985" t="str">
        <f t="shared" si="351"/>
        <v>Lower EV Adoption Corridor</v>
      </c>
      <c r="U985" s="3">
        <f t="shared" si="352"/>
        <v>1980000.0000000002</v>
      </c>
      <c r="V985" s="4">
        <f t="shared" si="353"/>
        <v>480000</v>
      </c>
      <c r="W985" s="3">
        <f t="shared" si="354"/>
        <v>6000000</v>
      </c>
      <c r="X985" s="3">
        <f t="shared" si="355"/>
        <v>3600000</v>
      </c>
      <c r="Y985">
        <f t="shared" si="356"/>
        <v>0.3</v>
      </c>
      <c r="Z985">
        <f t="shared" si="357"/>
        <v>0.75757575757575757</v>
      </c>
      <c r="AA985" t="str">
        <f t="shared" si="358"/>
        <v>Tier 4 - Stable Network</v>
      </c>
      <c r="AB985" s="3">
        <f t="shared" si="359"/>
        <v>60000</v>
      </c>
      <c r="AC985" s="3">
        <f t="shared" si="360"/>
        <v>750000</v>
      </c>
      <c r="AD985" s="3">
        <f t="shared" si="361"/>
        <v>247500.00000000003</v>
      </c>
      <c r="AE985" s="5">
        <f t="shared" si="362"/>
        <v>3.9999999999999996</v>
      </c>
      <c r="AF985" s="10">
        <f t="shared" si="363"/>
        <v>297600</v>
      </c>
      <c r="AG985" s="10">
        <f t="shared" si="364"/>
        <v>96000</v>
      </c>
      <c r="AH985" s="10">
        <f t="shared" si="365"/>
        <v>48000</v>
      </c>
      <c r="AI985" s="10">
        <f t="shared" si="366"/>
        <v>24000</v>
      </c>
      <c r="AJ985" s="10">
        <f t="shared" si="367"/>
        <v>14400</v>
      </c>
    </row>
    <row r="986" spans="1:36" x14ac:dyDescent="0.3">
      <c r="A986" t="s">
        <v>3832</v>
      </c>
      <c r="B986" t="s">
        <v>3833</v>
      </c>
      <c r="C986" t="s">
        <v>3834</v>
      </c>
      <c r="D986" t="s">
        <v>14</v>
      </c>
      <c r="E986">
        <v>95340</v>
      </c>
      <c r="F986" t="s">
        <v>15</v>
      </c>
      <c r="G986">
        <v>12</v>
      </c>
      <c r="H986">
        <v>250</v>
      </c>
      <c r="I986" t="str" cm="1">
        <f t="array" ref="I986">_xlfn.IFS(H986&lt;=120,"V1",H986&lt;=150,"V2",H986&lt;=250,"V3", H986&lt;=350, "V4")</f>
        <v>V3</v>
      </c>
      <c r="J986" t="s">
        <v>3835</v>
      </c>
      <c r="K986" t="str">
        <f t="shared" si="345"/>
        <v>37.297988</v>
      </c>
      <c r="L986" t="str">
        <f t="shared" si="346"/>
        <v>-120.483354</v>
      </c>
      <c r="M986">
        <v>52</v>
      </c>
      <c r="N986" s="1">
        <v>44265</v>
      </c>
      <c r="O986" s="1">
        <v>46099</v>
      </c>
      <c r="P986" s="2">
        <f t="shared" si="347"/>
        <v>5.0212183436002737</v>
      </c>
      <c r="Q986" s="2" t="str">
        <f t="shared" si="348"/>
        <v>Mid</v>
      </c>
      <c r="R986">
        <f t="shared" si="349"/>
        <v>3000</v>
      </c>
      <c r="S986" t="str">
        <f t="shared" si="350"/>
        <v>Small</v>
      </c>
      <c r="T986" t="str">
        <f t="shared" si="351"/>
        <v>High EV Adoption Corridor</v>
      </c>
      <c r="U986" s="3">
        <f t="shared" si="352"/>
        <v>7020000</v>
      </c>
      <c r="V986" s="4">
        <f t="shared" si="353"/>
        <v>1584000</v>
      </c>
      <c r="W986" s="3">
        <f t="shared" si="354"/>
        <v>19800000</v>
      </c>
      <c r="X986" s="3">
        <f t="shared" si="355"/>
        <v>14850000</v>
      </c>
      <c r="Y986">
        <f t="shared" si="356"/>
        <v>0.24</v>
      </c>
      <c r="Z986">
        <f t="shared" si="357"/>
        <v>0.77435897435897438</v>
      </c>
      <c r="AA986" t="str">
        <f t="shared" si="358"/>
        <v>Tier 1 - Priority Fleet</v>
      </c>
      <c r="AB986" s="3">
        <f t="shared" si="359"/>
        <v>132000</v>
      </c>
      <c r="AC986" s="3">
        <f t="shared" si="360"/>
        <v>1650000</v>
      </c>
      <c r="AD986" s="3">
        <f t="shared" si="361"/>
        <v>585000</v>
      </c>
      <c r="AE986" s="5">
        <f t="shared" si="362"/>
        <v>3.6423841059602649</v>
      </c>
      <c r="AF986" s="10">
        <f t="shared" si="363"/>
        <v>982080</v>
      </c>
      <c r="AG986" s="10">
        <f t="shared" si="364"/>
        <v>316800</v>
      </c>
      <c r="AH986" s="10">
        <f t="shared" si="365"/>
        <v>158400</v>
      </c>
      <c r="AI986" s="10">
        <f t="shared" si="366"/>
        <v>79200</v>
      </c>
      <c r="AJ986" s="10">
        <f t="shared" si="367"/>
        <v>47520</v>
      </c>
    </row>
    <row r="987" spans="1:36" x14ac:dyDescent="0.3">
      <c r="A987" t="s">
        <v>3836</v>
      </c>
      <c r="B987" t="s">
        <v>3837</v>
      </c>
      <c r="C987" t="s">
        <v>3838</v>
      </c>
      <c r="D987" t="s">
        <v>50</v>
      </c>
      <c r="E987">
        <v>78521</v>
      </c>
      <c r="F987" t="s">
        <v>15</v>
      </c>
      <c r="G987">
        <v>8</v>
      </c>
      <c r="H987">
        <v>250</v>
      </c>
      <c r="I987" t="str" cm="1">
        <f t="array" ref="I987">_xlfn.IFS(H987&lt;=120,"V1",H987&lt;=150,"V2",H987&lt;=250,"V3", H987&lt;=350, "V4")</f>
        <v>V3</v>
      </c>
      <c r="J987" t="s">
        <v>3839</v>
      </c>
      <c r="K987" t="str">
        <f t="shared" si="345"/>
        <v>25.950115</v>
      </c>
      <c r="L987" t="str">
        <f t="shared" si="346"/>
        <v>-97.488512</v>
      </c>
      <c r="M987">
        <v>8</v>
      </c>
      <c r="N987" s="1">
        <v>44258</v>
      </c>
      <c r="O987" s="1">
        <v>46099</v>
      </c>
      <c r="P987" s="2">
        <f t="shared" si="347"/>
        <v>5.0403832991101982</v>
      </c>
      <c r="Q987" s="2" t="str">
        <f t="shared" si="348"/>
        <v>Mid</v>
      </c>
      <c r="R987">
        <f t="shared" si="349"/>
        <v>2000</v>
      </c>
      <c r="S987" t="str">
        <f t="shared" si="350"/>
        <v>Small</v>
      </c>
      <c r="T987" t="str">
        <f t="shared" si="351"/>
        <v>High EV Adoption Corridor</v>
      </c>
      <c r="U987" s="3">
        <f t="shared" si="352"/>
        <v>4680000</v>
      </c>
      <c r="V987" s="4">
        <f t="shared" si="353"/>
        <v>1056000</v>
      </c>
      <c r="W987" s="3">
        <f t="shared" si="354"/>
        <v>13200000.000000002</v>
      </c>
      <c r="X987" s="3">
        <f t="shared" si="355"/>
        <v>9900000.0000000019</v>
      </c>
      <c r="Y987">
        <f t="shared" si="356"/>
        <v>0.23999999999999996</v>
      </c>
      <c r="Z987">
        <f t="shared" si="357"/>
        <v>0.77435897435897438</v>
      </c>
      <c r="AA987" t="str">
        <f t="shared" si="358"/>
        <v>Tier 1 - Priority Fleet</v>
      </c>
      <c r="AB987" s="3">
        <f t="shared" si="359"/>
        <v>132000</v>
      </c>
      <c r="AC987" s="3">
        <f t="shared" si="360"/>
        <v>1650000.0000000002</v>
      </c>
      <c r="AD987" s="3">
        <f t="shared" si="361"/>
        <v>585000</v>
      </c>
      <c r="AE987" s="5">
        <f t="shared" si="362"/>
        <v>3.6423841059602653</v>
      </c>
      <c r="AF987" s="10">
        <f t="shared" si="363"/>
        <v>654720</v>
      </c>
      <c r="AG987" s="10">
        <f t="shared" si="364"/>
        <v>211200</v>
      </c>
      <c r="AH987" s="10">
        <f t="shared" si="365"/>
        <v>105600</v>
      </c>
      <c r="AI987" s="10">
        <f t="shared" si="366"/>
        <v>52800</v>
      </c>
      <c r="AJ987" s="10">
        <f t="shared" si="367"/>
        <v>31680</v>
      </c>
    </row>
    <row r="988" spans="1:36" x14ac:dyDescent="0.3">
      <c r="A988" t="s">
        <v>3840</v>
      </c>
      <c r="B988" t="s">
        <v>3841</v>
      </c>
      <c r="C988" t="s">
        <v>3842</v>
      </c>
      <c r="D988" t="s">
        <v>225</v>
      </c>
      <c r="E988">
        <v>84511</v>
      </c>
      <c r="F988" t="s">
        <v>15</v>
      </c>
      <c r="G988">
        <v>4</v>
      </c>
      <c r="H988">
        <v>120</v>
      </c>
      <c r="I988" t="str" cm="1">
        <f t="array" ref="I988">_xlfn.IFS(H988&lt;=120,"V1",H988&lt;=150,"V2",H988&lt;=250,"V3", H988&lt;=350, "V4")</f>
        <v>V1</v>
      </c>
      <c r="J988" t="s">
        <v>3843</v>
      </c>
      <c r="K988" t="str">
        <f t="shared" si="345"/>
        <v>37.625553</v>
      </c>
      <c r="L988" t="str">
        <f t="shared" si="346"/>
        <v>-109.473841</v>
      </c>
      <c r="M988">
        <v>1849</v>
      </c>
      <c r="N988" s="1">
        <v>41652</v>
      </c>
      <c r="O988" s="1">
        <v>46099</v>
      </c>
      <c r="P988" s="2">
        <f t="shared" si="347"/>
        <v>12.175222450376454</v>
      </c>
      <c r="Q988" s="2" t="str">
        <f t="shared" si="348"/>
        <v>Old</v>
      </c>
      <c r="R988">
        <f t="shared" si="349"/>
        <v>480</v>
      </c>
      <c r="S988" t="str">
        <f t="shared" si="350"/>
        <v>Small</v>
      </c>
      <c r="T988" t="str">
        <f t="shared" si="351"/>
        <v>Lower EV Adoption Corridor</v>
      </c>
      <c r="U988" s="3">
        <f t="shared" si="352"/>
        <v>720000</v>
      </c>
      <c r="V988" s="4">
        <f t="shared" si="353"/>
        <v>172800</v>
      </c>
      <c r="W988" s="3">
        <f t="shared" si="354"/>
        <v>1920000</v>
      </c>
      <c r="X988" s="3">
        <f t="shared" si="355"/>
        <v>1296000</v>
      </c>
      <c r="Y988">
        <f t="shared" si="356"/>
        <v>0.2814814814814815</v>
      </c>
      <c r="Z988">
        <f t="shared" si="357"/>
        <v>0.76</v>
      </c>
      <c r="AA988" t="str">
        <f t="shared" si="358"/>
        <v>Tier 5 - Retirement Pipeline</v>
      </c>
      <c r="AB988" s="3">
        <f t="shared" si="359"/>
        <v>43200</v>
      </c>
      <c r="AC988" s="3">
        <f t="shared" si="360"/>
        <v>480000</v>
      </c>
      <c r="AD988" s="3">
        <f t="shared" si="361"/>
        <v>180000</v>
      </c>
      <c r="AE988" s="5">
        <f t="shared" si="362"/>
        <v>3.5087719298245612</v>
      </c>
      <c r="AF988" s="10">
        <f t="shared" si="363"/>
        <v>107136</v>
      </c>
      <c r="AG988" s="10">
        <f t="shared" si="364"/>
        <v>34560</v>
      </c>
      <c r="AH988" s="10">
        <f t="shared" si="365"/>
        <v>17280</v>
      </c>
      <c r="AI988" s="10">
        <f t="shared" si="366"/>
        <v>8640</v>
      </c>
      <c r="AJ988" s="10">
        <f t="shared" si="367"/>
        <v>5184</v>
      </c>
    </row>
    <row r="989" spans="1:36" x14ac:dyDescent="0.3">
      <c r="A989" t="s">
        <v>3844</v>
      </c>
      <c r="B989" t="s">
        <v>3845</v>
      </c>
      <c r="C989" t="s">
        <v>3846</v>
      </c>
      <c r="D989" t="s">
        <v>225</v>
      </c>
      <c r="E989">
        <v>84020</v>
      </c>
      <c r="F989" t="s">
        <v>15</v>
      </c>
      <c r="G989">
        <v>12</v>
      </c>
      <c r="H989">
        <v>250</v>
      </c>
      <c r="I989" t="str" cm="1">
        <f t="array" ref="I989">_xlfn.IFS(H989&lt;=120,"V1",H989&lt;=150,"V2",H989&lt;=250,"V3", H989&lt;=350, "V4")</f>
        <v>V3</v>
      </c>
      <c r="J989" t="s">
        <v>3847</v>
      </c>
      <c r="K989" t="str">
        <f t="shared" si="345"/>
        <v>40.526531</v>
      </c>
      <c r="L989" t="str">
        <f t="shared" si="346"/>
        <v>-111.88591</v>
      </c>
      <c r="M989">
        <v>1351</v>
      </c>
      <c r="N989" s="1">
        <v>44265</v>
      </c>
      <c r="O989" s="1">
        <v>46099</v>
      </c>
      <c r="P989" s="2">
        <f t="shared" si="347"/>
        <v>5.0212183436002737</v>
      </c>
      <c r="Q989" s="2" t="str">
        <f t="shared" si="348"/>
        <v>Mid</v>
      </c>
      <c r="R989">
        <f t="shared" si="349"/>
        <v>3000</v>
      </c>
      <c r="S989" t="str">
        <f t="shared" si="350"/>
        <v>Small</v>
      </c>
      <c r="T989" t="str">
        <f t="shared" si="351"/>
        <v>Lower EV Adoption Corridor</v>
      </c>
      <c r="U989" s="3">
        <f t="shared" si="352"/>
        <v>5400000</v>
      </c>
      <c r="V989" s="4">
        <f t="shared" si="353"/>
        <v>1320000</v>
      </c>
      <c r="W989" s="3">
        <f t="shared" si="354"/>
        <v>18000000</v>
      </c>
      <c r="X989" s="3">
        <f t="shared" si="355"/>
        <v>9900000</v>
      </c>
      <c r="Y989">
        <f t="shared" si="356"/>
        <v>0.31515151515151513</v>
      </c>
      <c r="Z989">
        <f t="shared" si="357"/>
        <v>0.75555555555555554</v>
      </c>
      <c r="AA989" t="str">
        <f t="shared" si="358"/>
        <v>Tier 2 - Growth Markets</v>
      </c>
      <c r="AB989" s="3">
        <f t="shared" si="359"/>
        <v>110000</v>
      </c>
      <c r="AC989" s="3">
        <f t="shared" si="360"/>
        <v>1500000</v>
      </c>
      <c r="AD989" s="3">
        <f t="shared" si="361"/>
        <v>450000</v>
      </c>
      <c r="AE989" s="5">
        <f t="shared" si="362"/>
        <v>4.4117647058823533</v>
      </c>
      <c r="AF989" s="10">
        <f t="shared" si="363"/>
        <v>818400</v>
      </c>
      <c r="AG989" s="10">
        <f t="shared" si="364"/>
        <v>264000</v>
      </c>
      <c r="AH989" s="10">
        <f t="shared" si="365"/>
        <v>132000</v>
      </c>
      <c r="AI989" s="10">
        <f t="shared" si="366"/>
        <v>66000</v>
      </c>
      <c r="AJ989" s="10">
        <f t="shared" si="367"/>
        <v>39600</v>
      </c>
    </row>
    <row r="990" spans="1:36" x14ac:dyDescent="0.3">
      <c r="A990" t="s">
        <v>3848</v>
      </c>
      <c r="B990" t="s">
        <v>3849</v>
      </c>
      <c r="C990" t="s">
        <v>3850</v>
      </c>
      <c r="D990" t="s">
        <v>130</v>
      </c>
      <c r="E990">
        <v>47639</v>
      </c>
      <c r="F990" t="s">
        <v>15</v>
      </c>
      <c r="G990">
        <v>8</v>
      </c>
      <c r="H990">
        <v>250</v>
      </c>
      <c r="I990" t="str" cm="1">
        <f t="array" ref="I990">_xlfn.IFS(H990&lt;=120,"V1",H990&lt;=150,"V2",H990&lt;=250,"V3", H990&lt;=350, "V4")</f>
        <v>V3</v>
      </c>
      <c r="J990" t="s">
        <v>3851</v>
      </c>
      <c r="K990" t="str">
        <f t="shared" si="345"/>
        <v>38.159762</v>
      </c>
      <c r="L990" t="str">
        <f t="shared" si="346"/>
        <v>-87.551955</v>
      </c>
      <c r="M990">
        <v>136</v>
      </c>
      <c r="N990" s="1">
        <v>44480</v>
      </c>
      <c r="O990" s="1">
        <v>46099</v>
      </c>
      <c r="P990" s="2">
        <f t="shared" si="347"/>
        <v>4.4325804243668721</v>
      </c>
      <c r="Q990" s="2" t="str">
        <f t="shared" si="348"/>
        <v>Mid</v>
      </c>
      <c r="R990">
        <f t="shared" si="349"/>
        <v>2000</v>
      </c>
      <c r="S990" t="str">
        <f t="shared" si="350"/>
        <v>Small</v>
      </c>
      <c r="T990" t="str">
        <f t="shared" si="351"/>
        <v>Lower EV Adoption Corridor</v>
      </c>
      <c r="U990" s="3">
        <f t="shared" si="352"/>
        <v>3600000</v>
      </c>
      <c r="V990" s="4">
        <f t="shared" si="353"/>
        <v>880000.00000000012</v>
      </c>
      <c r="W990" s="3">
        <f t="shared" si="354"/>
        <v>12000000</v>
      </c>
      <c r="X990" s="3">
        <f t="shared" si="355"/>
        <v>6600000.0000000009</v>
      </c>
      <c r="Y990">
        <f t="shared" si="356"/>
        <v>0.31515151515151513</v>
      </c>
      <c r="Z990">
        <f t="shared" si="357"/>
        <v>0.75555555555555554</v>
      </c>
      <c r="AA990" t="str">
        <f t="shared" si="358"/>
        <v>Tier 2 - Growth Markets</v>
      </c>
      <c r="AB990" s="3">
        <f t="shared" si="359"/>
        <v>110000.00000000001</v>
      </c>
      <c r="AC990" s="3">
        <f t="shared" si="360"/>
        <v>1500000</v>
      </c>
      <c r="AD990" s="3">
        <f t="shared" si="361"/>
        <v>450000</v>
      </c>
      <c r="AE990" s="5">
        <f t="shared" si="362"/>
        <v>4.4117647058823533</v>
      </c>
      <c r="AF990" s="10">
        <f t="shared" si="363"/>
        <v>545600.00000000012</v>
      </c>
      <c r="AG990" s="10">
        <f t="shared" si="364"/>
        <v>176000.00000000003</v>
      </c>
      <c r="AH990" s="10">
        <f t="shared" si="365"/>
        <v>88000.000000000015</v>
      </c>
      <c r="AI990" s="10">
        <f t="shared" si="366"/>
        <v>44000.000000000007</v>
      </c>
      <c r="AJ990" s="10">
        <f t="shared" si="367"/>
        <v>26400.000000000004</v>
      </c>
    </row>
    <row r="991" spans="1:36" x14ac:dyDescent="0.3">
      <c r="A991" t="s">
        <v>3852</v>
      </c>
      <c r="B991" t="s">
        <v>3853</v>
      </c>
      <c r="C991" t="s">
        <v>1638</v>
      </c>
      <c r="D991" t="s">
        <v>14</v>
      </c>
      <c r="E991">
        <v>91206</v>
      </c>
      <c r="F991" t="s">
        <v>15</v>
      </c>
      <c r="G991">
        <v>16</v>
      </c>
      <c r="H991">
        <v>250</v>
      </c>
      <c r="I991" t="str" cm="1">
        <f t="array" ref="I991">_xlfn.IFS(H991&lt;=120,"V1",H991&lt;=150,"V2",H991&lt;=250,"V3", H991&lt;=350, "V4")</f>
        <v>V3</v>
      </c>
      <c r="J991" t="s">
        <v>3854</v>
      </c>
      <c r="K991" t="str">
        <f t="shared" si="345"/>
        <v>34.148107</v>
      </c>
      <c r="L991" t="str">
        <f t="shared" si="346"/>
        <v>-118.227151</v>
      </c>
      <c r="M991">
        <v>208</v>
      </c>
      <c r="N991" s="1">
        <v>44586</v>
      </c>
      <c r="O991" s="1">
        <v>46099</v>
      </c>
      <c r="P991" s="2">
        <f t="shared" si="347"/>
        <v>4.1423682409308693</v>
      </c>
      <c r="Q991" s="2" t="str">
        <f t="shared" si="348"/>
        <v>Mid</v>
      </c>
      <c r="R991">
        <f t="shared" si="349"/>
        <v>4000</v>
      </c>
      <c r="S991" t="str">
        <f t="shared" si="350"/>
        <v>Small</v>
      </c>
      <c r="T991" t="str">
        <f t="shared" si="351"/>
        <v>High EV Adoption Corridor</v>
      </c>
      <c r="U991" s="3">
        <f t="shared" si="352"/>
        <v>9360000</v>
      </c>
      <c r="V991" s="4">
        <f t="shared" si="353"/>
        <v>2112000</v>
      </c>
      <c r="W991" s="3">
        <f t="shared" si="354"/>
        <v>26400000.000000004</v>
      </c>
      <c r="X991" s="3">
        <f t="shared" si="355"/>
        <v>19800000.000000004</v>
      </c>
      <c r="Y991">
        <f t="shared" si="356"/>
        <v>0.23999999999999996</v>
      </c>
      <c r="Z991">
        <f t="shared" si="357"/>
        <v>0.77435897435897438</v>
      </c>
      <c r="AA991" t="str">
        <f t="shared" si="358"/>
        <v>Tier 1 - Priority Fleet</v>
      </c>
      <c r="AB991" s="3">
        <f t="shared" si="359"/>
        <v>132000</v>
      </c>
      <c r="AC991" s="3">
        <f t="shared" si="360"/>
        <v>1650000.0000000002</v>
      </c>
      <c r="AD991" s="3">
        <f t="shared" si="361"/>
        <v>585000</v>
      </c>
      <c r="AE991" s="5">
        <f t="shared" si="362"/>
        <v>3.6423841059602653</v>
      </c>
      <c r="AF991" s="10">
        <f t="shared" si="363"/>
        <v>1309440</v>
      </c>
      <c r="AG991" s="10">
        <f t="shared" si="364"/>
        <v>422400</v>
      </c>
      <c r="AH991" s="10">
        <f t="shared" si="365"/>
        <v>211200</v>
      </c>
      <c r="AI991" s="10">
        <f t="shared" si="366"/>
        <v>105600</v>
      </c>
      <c r="AJ991" s="10">
        <f t="shared" si="367"/>
        <v>63360</v>
      </c>
    </row>
    <row r="992" spans="1:36" x14ac:dyDescent="0.3">
      <c r="A992" t="s">
        <v>3855</v>
      </c>
      <c r="B992" t="s">
        <v>3856</v>
      </c>
      <c r="C992" t="s">
        <v>3857</v>
      </c>
      <c r="D992" t="s">
        <v>415</v>
      </c>
      <c r="E992">
        <v>50112</v>
      </c>
      <c r="F992" t="s">
        <v>15</v>
      </c>
      <c r="G992">
        <v>8</v>
      </c>
      <c r="H992">
        <v>250</v>
      </c>
      <c r="I992" t="str" cm="1">
        <f t="array" ref="I992">_xlfn.IFS(H992&lt;=120,"V1",H992&lt;=150,"V2",H992&lt;=250,"V3", H992&lt;=350, "V4")</f>
        <v>V3</v>
      </c>
      <c r="J992" t="s">
        <v>3858</v>
      </c>
      <c r="K992" t="str">
        <f t="shared" si="345"/>
        <v>41.700046</v>
      </c>
      <c r="L992" t="str">
        <f t="shared" si="346"/>
        <v>-92.726636</v>
      </c>
      <c r="M992">
        <v>298</v>
      </c>
      <c r="N992" s="1">
        <v>44700</v>
      </c>
      <c r="O992" s="1">
        <v>46099</v>
      </c>
      <c r="P992" s="2">
        <f t="shared" si="347"/>
        <v>3.8302532511978096</v>
      </c>
      <c r="Q992" s="2" t="str">
        <f t="shared" si="348"/>
        <v>Mid</v>
      </c>
      <c r="R992">
        <f t="shared" si="349"/>
        <v>2000</v>
      </c>
      <c r="S992" t="str">
        <f t="shared" si="350"/>
        <v>Small</v>
      </c>
      <c r="T992" t="str">
        <f t="shared" si="351"/>
        <v>Lower EV Adoption Corridor</v>
      </c>
      <c r="U992" s="3">
        <f t="shared" si="352"/>
        <v>3600000</v>
      </c>
      <c r="V992" s="4">
        <f t="shared" si="353"/>
        <v>880000.00000000012</v>
      </c>
      <c r="W992" s="3">
        <f t="shared" si="354"/>
        <v>12000000</v>
      </c>
      <c r="X992" s="3">
        <f t="shared" si="355"/>
        <v>6600000.0000000009</v>
      </c>
      <c r="Y992">
        <f t="shared" si="356"/>
        <v>0.31515151515151513</v>
      </c>
      <c r="Z992">
        <f t="shared" si="357"/>
        <v>0.75555555555555554</v>
      </c>
      <c r="AA992" t="str">
        <f t="shared" si="358"/>
        <v>Tier 2 - Growth Markets</v>
      </c>
      <c r="AB992" s="3">
        <f t="shared" si="359"/>
        <v>110000.00000000001</v>
      </c>
      <c r="AC992" s="3">
        <f t="shared" si="360"/>
        <v>1500000</v>
      </c>
      <c r="AD992" s="3">
        <f t="shared" si="361"/>
        <v>450000</v>
      </c>
      <c r="AE992" s="5">
        <f t="shared" si="362"/>
        <v>4.4117647058823533</v>
      </c>
      <c r="AF992" s="10">
        <f t="shared" si="363"/>
        <v>545600.00000000012</v>
      </c>
      <c r="AG992" s="10">
        <f t="shared" si="364"/>
        <v>176000.00000000003</v>
      </c>
      <c r="AH992" s="10">
        <f t="shared" si="365"/>
        <v>88000.000000000015</v>
      </c>
      <c r="AI992" s="10">
        <f t="shared" si="366"/>
        <v>44000.000000000007</v>
      </c>
      <c r="AJ992" s="10">
        <f t="shared" si="367"/>
        <v>26400.000000000004</v>
      </c>
    </row>
    <row r="993" spans="1:36" x14ac:dyDescent="0.3">
      <c r="A993" t="s">
        <v>3859</v>
      </c>
      <c r="B993" t="s">
        <v>3860</v>
      </c>
      <c r="C993" t="s">
        <v>456</v>
      </c>
      <c r="D993" t="s">
        <v>59</v>
      </c>
      <c r="E993">
        <v>60647</v>
      </c>
      <c r="F993" t="s">
        <v>15</v>
      </c>
      <c r="G993">
        <v>12</v>
      </c>
      <c r="H993">
        <v>250</v>
      </c>
      <c r="I993" t="str" cm="1">
        <f t="array" ref="I993">_xlfn.IFS(H993&lt;=120,"V1",H993&lt;=150,"V2",H993&lt;=250,"V3", H993&lt;=350, "V4")</f>
        <v>V3</v>
      </c>
      <c r="J993" t="s">
        <v>3861</v>
      </c>
      <c r="K993" t="str">
        <f t="shared" si="345"/>
        <v>41.928</v>
      </c>
      <c r="L993" t="str">
        <f t="shared" si="346"/>
        <v>-87.685478</v>
      </c>
      <c r="M993">
        <v>182</v>
      </c>
      <c r="N993" s="1">
        <v>44347</v>
      </c>
      <c r="O993" s="1">
        <v>46099</v>
      </c>
      <c r="P993" s="2">
        <f t="shared" si="347"/>
        <v>4.7967145790554415</v>
      </c>
      <c r="Q993" s="2" t="str">
        <f t="shared" si="348"/>
        <v>Mid</v>
      </c>
      <c r="R993">
        <f t="shared" si="349"/>
        <v>3000</v>
      </c>
      <c r="S993" t="str">
        <f t="shared" si="350"/>
        <v>Small</v>
      </c>
      <c r="T993" t="str">
        <f t="shared" si="351"/>
        <v>Lower EV Adoption Corridor</v>
      </c>
      <c r="U993" s="3">
        <f t="shared" si="352"/>
        <v>5400000</v>
      </c>
      <c r="V993" s="4">
        <f t="shared" si="353"/>
        <v>1320000</v>
      </c>
      <c r="W993" s="3">
        <f t="shared" si="354"/>
        <v>18000000</v>
      </c>
      <c r="X993" s="3">
        <f t="shared" si="355"/>
        <v>9900000</v>
      </c>
      <c r="Y993">
        <f t="shared" si="356"/>
        <v>0.31515151515151513</v>
      </c>
      <c r="Z993">
        <f t="shared" si="357"/>
        <v>0.75555555555555554</v>
      </c>
      <c r="AA993" t="str">
        <f t="shared" si="358"/>
        <v>Tier 2 - Growth Markets</v>
      </c>
      <c r="AB993" s="3">
        <f t="shared" si="359"/>
        <v>110000</v>
      </c>
      <c r="AC993" s="3">
        <f t="shared" si="360"/>
        <v>1500000</v>
      </c>
      <c r="AD993" s="3">
        <f t="shared" si="361"/>
        <v>450000</v>
      </c>
      <c r="AE993" s="5">
        <f t="shared" si="362"/>
        <v>4.4117647058823533</v>
      </c>
      <c r="AF993" s="10">
        <f t="shared" si="363"/>
        <v>818400</v>
      </c>
      <c r="AG993" s="10">
        <f t="shared" si="364"/>
        <v>264000</v>
      </c>
      <c r="AH993" s="10">
        <f t="shared" si="365"/>
        <v>132000</v>
      </c>
      <c r="AI993" s="10">
        <f t="shared" si="366"/>
        <v>66000</v>
      </c>
      <c r="AJ993" s="10">
        <f t="shared" si="367"/>
        <v>39600</v>
      </c>
    </row>
    <row r="994" spans="1:36" x14ac:dyDescent="0.3">
      <c r="A994" t="s">
        <v>3862</v>
      </c>
      <c r="B994" t="s">
        <v>3863</v>
      </c>
      <c r="C994" t="s">
        <v>1627</v>
      </c>
      <c r="D994" t="s">
        <v>14</v>
      </c>
      <c r="E994">
        <v>92111</v>
      </c>
      <c r="F994" t="s">
        <v>15</v>
      </c>
      <c r="G994">
        <v>12</v>
      </c>
      <c r="H994">
        <v>250</v>
      </c>
      <c r="I994" t="str" cm="1">
        <f t="array" ref="I994">_xlfn.IFS(H994&lt;=120,"V1",H994&lt;=150,"V2",H994&lt;=250,"V3", H994&lt;=350, "V4")</f>
        <v>V3</v>
      </c>
      <c r="J994" t="s">
        <v>3864</v>
      </c>
      <c r="K994" t="str">
        <f t="shared" si="345"/>
        <v>32.831963</v>
      </c>
      <c r="L994" t="str">
        <f t="shared" si="346"/>
        <v>-117.159547</v>
      </c>
      <c r="M994">
        <v>32</v>
      </c>
      <c r="N994" s="1">
        <v>44915</v>
      </c>
      <c r="O994" s="1">
        <v>46099</v>
      </c>
      <c r="P994" s="2">
        <f t="shared" si="347"/>
        <v>3.2416153319644079</v>
      </c>
      <c r="Q994" s="2" t="str">
        <f t="shared" si="348"/>
        <v>Mid</v>
      </c>
      <c r="R994">
        <f t="shared" si="349"/>
        <v>3000</v>
      </c>
      <c r="S994" t="str">
        <f t="shared" si="350"/>
        <v>Small</v>
      </c>
      <c r="T994" t="str">
        <f t="shared" si="351"/>
        <v>High EV Adoption Corridor</v>
      </c>
      <c r="U994" s="3">
        <f t="shared" si="352"/>
        <v>7020000</v>
      </c>
      <c r="V994" s="4">
        <f t="shared" si="353"/>
        <v>1584000</v>
      </c>
      <c r="W994" s="3">
        <f t="shared" si="354"/>
        <v>19800000</v>
      </c>
      <c r="X994" s="3">
        <f t="shared" si="355"/>
        <v>14850000</v>
      </c>
      <c r="Y994">
        <f t="shared" si="356"/>
        <v>0.24</v>
      </c>
      <c r="Z994">
        <f t="shared" si="357"/>
        <v>0.77435897435897438</v>
      </c>
      <c r="AA994" t="str">
        <f t="shared" si="358"/>
        <v>Tier 1 - Priority Fleet</v>
      </c>
      <c r="AB994" s="3">
        <f t="shared" si="359"/>
        <v>132000</v>
      </c>
      <c r="AC994" s="3">
        <f t="shared" si="360"/>
        <v>1650000</v>
      </c>
      <c r="AD994" s="3">
        <f t="shared" si="361"/>
        <v>585000</v>
      </c>
      <c r="AE994" s="5">
        <f t="shared" si="362"/>
        <v>3.6423841059602649</v>
      </c>
      <c r="AF994" s="10">
        <f t="shared" si="363"/>
        <v>982080</v>
      </c>
      <c r="AG994" s="10">
        <f t="shared" si="364"/>
        <v>316800</v>
      </c>
      <c r="AH994" s="10">
        <f t="shared" si="365"/>
        <v>158400</v>
      </c>
      <c r="AI994" s="10">
        <f t="shared" si="366"/>
        <v>79200</v>
      </c>
      <c r="AJ994" s="10">
        <f t="shared" si="367"/>
        <v>47520</v>
      </c>
    </row>
    <row r="995" spans="1:36" x14ac:dyDescent="0.3">
      <c r="A995" t="s">
        <v>3865</v>
      </c>
      <c r="B995" t="s">
        <v>3866</v>
      </c>
      <c r="C995" t="s">
        <v>3867</v>
      </c>
      <c r="D995" t="s">
        <v>913</v>
      </c>
      <c r="E995">
        <v>20720</v>
      </c>
      <c r="F995" t="s">
        <v>15</v>
      </c>
      <c r="G995">
        <v>8</v>
      </c>
      <c r="H995">
        <v>250</v>
      </c>
      <c r="I995" t="str" cm="1">
        <f t="array" ref="I995">_xlfn.IFS(H995&lt;=120,"V1",H995&lt;=150,"V2",H995&lt;=250,"V3", H995&lt;=350, "V4")</f>
        <v>V3</v>
      </c>
      <c r="J995" t="s">
        <v>3868</v>
      </c>
      <c r="K995" t="str">
        <f t="shared" si="345"/>
        <v>38.956171</v>
      </c>
      <c r="L995" t="str">
        <f t="shared" si="346"/>
        <v>-76.826008</v>
      </c>
      <c r="M995">
        <v>42</v>
      </c>
      <c r="N995" s="1">
        <v>44917</v>
      </c>
      <c r="O995" s="1">
        <v>46099</v>
      </c>
      <c r="P995" s="2">
        <f t="shared" si="347"/>
        <v>3.2361396303901437</v>
      </c>
      <c r="Q995" s="2" t="str">
        <f t="shared" si="348"/>
        <v>Mid</v>
      </c>
      <c r="R995">
        <f t="shared" si="349"/>
        <v>2000</v>
      </c>
      <c r="S995" t="str">
        <f t="shared" si="350"/>
        <v>Small</v>
      </c>
      <c r="T995" t="str">
        <f t="shared" si="351"/>
        <v>Lower EV Adoption Corridor</v>
      </c>
      <c r="U995" s="3">
        <f t="shared" si="352"/>
        <v>3600000</v>
      </c>
      <c r="V995" s="4">
        <f t="shared" si="353"/>
        <v>880000.00000000012</v>
      </c>
      <c r="W995" s="3">
        <f t="shared" si="354"/>
        <v>12000000</v>
      </c>
      <c r="X995" s="3">
        <f t="shared" si="355"/>
        <v>6600000.0000000009</v>
      </c>
      <c r="Y995">
        <f t="shared" si="356"/>
        <v>0.31515151515151513</v>
      </c>
      <c r="Z995">
        <f t="shared" si="357"/>
        <v>0.75555555555555554</v>
      </c>
      <c r="AA995" t="str">
        <f t="shared" si="358"/>
        <v>Tier 2 - Growth Markets</v>
      </c>
      <c r="AB995" s="3">
        <f t="shared" si="359"/>
        <v>110000.00000000001</v>
      </c>
      <c r="AC995" s="3">
        <f t="shared" si="360"/>
        <v>1500000</v>
      </c>
      <c r="AD995" s="3">
        <f t="shared" si="361"/>
        <v>450000</v>
      </c>
      <c r="AE995" s="5">
        <f t="shared" si="362"/>
        <v>4.4117647058823533</v>
      </c>
      <c r="AF995" s="10">
        <f t="shared" si="363"/>
        <v>545600.00000000012</v>
      </c>
      <c r="AG995" s="10">
        <f t="shared" si="364"/>
        <v>176000.00000000003</v>
      </c>
      <c r="AH995" s="10">
        <f t="shared" si="365"/>
        <v>88000.000000000015</v>
      </c>
      <c r="AI995" s="10">
        <f t="shared" si="366"/>
        <v>44000.000000000007</v>
      </c>
      <c r="AJ995" s="10">
        <f t="shared" si="367"/>
        <v>26400.000000000004</v>
      </c>
    </row>
    <row r="996" spans="1:36" x14ac:dyDescent="0.3">
      <c r="A996" t="s">
        <v>3869</v>
      </c>
      <c r="B996" t="s">
        <v>3870</v>
      </c>
      <c r="C996" t="s">
        <v>3871</v>
      </c>
      <c r="D996" t="s">
        <v>14</v>
      </c>
      <c r="E996">
        <v>94066</v>
      </c>
      <c r="F996" t="s">
        <v>15</v>
      </c>
      <c r="G996">
        <v>12</v>
      </c>
      <c r="H996">
        <v>250</v>
      </c>
      <c r="I996" t="str" cm="1">
        <f t="array" ref="I996">_xlfn.IFS(H996&lt;=120,"V1",H996&lt;=150,"V2",H996&lt;=250,"V3", H996&lt;=350, "V4")</f>
        <v>V3</v>
      </c>
      <c r="J996" t="s">
        <v>3872</v>
      </c>
      <c r="K996" t="str">
        <f t="shared" si="345"/>
        <v>37.618905</v>
      </c>
      <c r="L996" t="str">
        <f t="shared" si="346"/>
        <v>-122.440524</v>
      </c>
      <c r="M996">
        <v>144</v>
      </c>
      <c r="N996" s="1">
        <v>44347</v>
      </c>
      <c r="O996" s="1">
        <v>46099</v>
      </c>
      <c r="P996" s="2">
        <f t="shared" si="347"/>
        <v>4.7967145790554415</v>
      </c>
      <c r="Q996" s="2" t="str">
        <f t="shared" si="348"/>
        <v>Mid</v>
      </c>
      <c r="R996">
        <f t="shared" si="349"/>
        <v>3000</v>
      </c>
      <c r="S996" t="str">
        <f t="shared" si="350"/>
        <v>Small</v>
      </c>
      <c r="T996" t="str">
        <f t="shared" si="351"/>
        <v>High EV Adoption Corridor</v>
      </c>
      <c r="U996" s="3">
        <f t="shared" si="352"/>
        <v>7020000</v>
      </c>
      <c r="V996" s="4">
        <f t="shared" si="353"/>
        <v>1584000</v>
      </c>
      <c r="W996" s="3">
        <f t="shared" si="354"/>
        <v>19800000</v>
      </c>
      <c r="X996" s="3">
        <f t="shared" si="355"/>
        <v>14850000</v>
      </c>
      <c r="Y996">
        <f t="shared" si="356"/>
        <v>0.24</v>
      </c>
      <c r="Z996">
        <f t="shared" si="357"/>
        <v>0.77435897435897438</v>
      </c>
      <c r="AA996" t="str">
        <f t="shared" si="358"/>
        <v>Tier 1 - Priority Fleet</v>
      </c>
      <c r="AB996" s="3">
        <f t="shared" si="359"/>
        <v>132000</v>
      </c>
      <c r="AC996" s="3">
        <f t="shared" si="360"/>
        <v>1650000</v>
      </c>
      <c r="AD996" s="3">
        <f t="shared" si="361"/>
        <v>585000</v>
      </c>
      <c r="AE996" s="5">
        <f t="shared" si="362"/>
        <v>3.6423841059602649</v>
      </c>
      <c r="AF996" s="10">
        <f t="shared" si="363"/>
        <v>982080</v>
      </c>
      <c r="AG996" s="10">
        <f t="shared" si="364"/>
        <v>316800</v>
      </c>
      <c r="AH996" s="10">
        <f t="shared" si="365"/>
        <v>158400</v>
      </c>
      <c r="AI996" s="10">
        <f t="shared" si="366"/>
        <v>79200</v>
      </c>
      <c r="AJ996" s="10">
        <f t="shared" si="367"/>
        <v>47520</v>
      </c>
    </row>
    <row r="997" spans="1:36" x14ac:dyDescent="0.3">
      <c r="A997" t="s">
        <v>3873</v>
      </c>
      <c r="B997" t="s">
        <v>3874</v>
      </c>
      <c r="C997" t="s">
        <v>3875</v>
      </c>
      <c r="D997" t="s">
        <v>153</v>
      </c>
      <c r="E997">
        <v>17507</v>
      </c>
      <c r="F997" t="s">
        <v>15</v>
      </c>
      <c r="G997">
        <v>8</v>
      </c>
      <c r="H997">
        <v>250</v>
      </c>
      <c r="I997" t="str" cm="1">
        <f t="array" ref="I997">_xlfn.IFS(H997&lt;=120,"V1",H997&lt;=150,"V2",H997&lt;=250,"V3", H997&lt;=350, "V4")</f>
        <v>V3</v>
      </c>
      <c r="J997" t="s">
        <v>3876</v>
      </c>
      <c r="K997" t="str">
        <f t="shared" si="345"/>
        <v>40.202902</v>
      </c>
      <c r="L997" t="str">
        <f t="shared" si="346"/>
        <v>-76.015953</v>
      </c>
      <c r="M997">
        <v>146</v>
      </c>
      <c r="N997" s="1">
        <v>44393</v>
      </c>
      <c r="O997" s="1">
        <v>46099</v>
      </c>
      <c r="P997" s="2">
        <f t="shared" si="347"/>
        <v>4.6707734428473646</v>
      </c>
      <c r="Q997" s="2" t="str">
        <f t="shared" si="348"/>
        <v>Mid</v>
      </c>
      <c r="R997">
        <f t="shared" si="349"/>
        <v>2000</v>
      </c>
      <c r="S997" t="str">
        <f t="shared" si="350"/>
        <v>Small</v>
      </c>
      <c r="T997" t="str">
        <f t="shared" si="351"/>
        <v>Lower EV Adoption Corridor</v>
      </c>
      <c r="U997" s="3">
        <f t="shared" si="352"/>
        <v>3600000</v>
      </c>
      <c r="V997" s="4">
        <f t="shared" si="353"/>
        <v>880000.00000000012</v>
      </c>
      <c r="W997" s="3">
        <f t="shared" si="354"/>
        <v>12000000</v>
      </c>
      <c r="X997" s="3">
        <f t="shared" si="355"/>
        <v>6600000.0000000009</v>
      </c>
      <c r="Y997">
        <f t="shared" si="356"/>
        <v>0.31515151515151513</v>
      </c>
      <c r="Z997">
        <f t="shared" si="357"/>
        <v>0.75555555555555554</v>
      </c>
      <c r="AA997" t="str">
        <f t="shared" si="358"/>
        <v>Tier 2 - Growth Markets</v>
      </c>
      <c r="AB997" s="3">
        <f t="shared" si="359"/>
        <v>110000.00000000001</v>
      </c>
      <c r="AC997" s="3">
        <f t="shared" si="360"/>
        <v>1500000</v>
      </c>
      <c r="AD997" s="3">
        <f t="shared" si="361"/>
        <v>450000</v>
      </c>
      <c r="AE997" s="5">
        <f t="shared" si="362"/>
        <v>4.4117647058823533</v>
      </c>
      <c r="AF997" s="10">
        <f t="shared" si="363"/>
        <v>545600.00000000012</v>
      </c>
      <c r="AG997" s="10">
        <f t="shared" si="364"/>
        <v>176000.00000000003</v>
      </c>
      <c r="AH997" s="10">
        <f t="shared" si="365"/>
        <v>88000.000000000015</v>
      </c>
      <c r="AI997" s="10">
        <f t="shared" si="366"/>
        <v>44000.000000000007</v>
      </c>
      <c r="AJ997" s="10">
        <f t="shared" si="367"/>
        <v>26400.000000000004</v>
      </c>
    </row>
    <row r="998" spans="1:36" x14ac:dyDescent="0.3">
      <c r="A998" t="s">
        <v>3877</v>
      </c>
      <c r="B998" t="s">
        <v>3878</v>
      </c>
      <c r="C998" t="s">
        <v>3879</v>
      </c>
      <c r="D998" t="s">
        <v>28</v>
      </c>
      <c r="E998">
        <v>30344</v>
      </c>
      <c r="F998" t="s">
        <v>15</v>
      </c>
      <c r="G998">
        <v>12</v>
      </c>
      <c r="H998">
        <v>250</v>
      </c>
      <c r="I998" t="str" cm="1">
        <f t="array" ref="I998">_xlfn.IFS(H998&lt;=120,"V1",H998&lt;=150,"V2",H998&lt;=250,"V3", H998&lt;=350, "V4")</f>
        <v>V3</v>
      </c>
      <c r="J998" t="s">
        <v>3880</v>
      </c>
      <c r="K998" t="str">
        <f t="shared" si="345"/>
        <v>33.658708</v>
      </c>
      <c r="L998" t="str">
        <f t="shared" si="346"/>
        <v>-84.50122</v>
      </c>
      <c r="M998">
        <v>277</v>
      </c>
      <c r="N998" s="1">
        <v>44285</v>
      </c>
      <c r="O998" s="1">
        <v>46099</v>
      </c>
      <c r="P998" s="2">
        <f t="shared" si="347"/>
        <v>4.9664613278576315</v>
      </c>
      <c r="Q998" s="2" t="str">
        <f t="shared" si="348"/>
        <v>Mid</v>
      </c>
      <c r="R998">
        <f t="shared" si="349"/>
        <v>3000</v>
      </c>
      <c r="S998" t="str">
        <f t="shared" si="350"/>
        <v>Small</v>
      </c>
      <c r="T998" t="str">
        <f t="shared" si="351"/>
        <v>Lower EV Adoption Corridor</v>
      </c>
      <c r="U998" s="3">
        <f t="shared" si="352"/>
        <v>5400000</v>
      </c>
      <c r="V998" s="4">
        <f t="shared" si="353"/>
        <v>1320000</v>
      </c>
      <c r="W998" s="3">
        <f t="shared" si="354"/>
        <v>18000000</v>
      </c>
      <c r="X998" s="3">
        <f t="shared" si="355"/>
        <v>9900000</v>
      </c>
      <c r="Y998">
        <f t="shared" si="356"/>
        <v>0.31515151515151513</v>
      </c>
      <c r="Z998">
        <f t="shared" si="357"/>
        <v>0.75555555555555554</v>
      </c>
      <c r="AA998" t="str">
        <f t="shared" si="358"/>
        <v>Tier 2 - Growth Markets</v>
      </c>
      <c r="AB998" s="3">
        <f t="shared" si="359"/>
        <v>110000</v>
      </c>
      <c r="AC998" s="3">
        <f t="shared" si="360"/>
        <v>1500000</v>
      </c>
      <c r="AD998" s="3">
        <f t="shared" si="361"/>
        <v>450000</v>
      </c>
      <c r="AE998" s="5">
        <f t="shared" si="362"/>
        <v>4.4117647058823533</v>
      </c>
      <c r="AF998" s="10">
        <f t="shared" si="363"/>
        <v>818400</v>
      </c>
      <c r="AG998" s="10">
        <f t="shared" si="364"/>
        <v>264000</v>
      </c>
      <c r="AH998" s="10">
        <f t="shared" si="365"/>
        <v>132000</v>
      </c>
      <c r="AI998" s="10">
        <f t="shared" si="366"/>
        <v>66000</v>
      </c>
      <c r="AJ998" s="10">
        <f t="shared" si="367"/>
        <v>39600</v>
      </c>
    </row>
    <row r="999" spans="1:36" x14ac:dyDescent="0.3">
      <c r="A999" t="s">
        <v>3881</v>
      </c>
      <c r="B999" t="s">
        <v>3882</v>
      </c>
      <c r="C999" t="s">
        <v>3883</v>
      </c>
      <c r="D999" t="s">
        <v>153</v>
      </c>
      <c r="E999">
        <v>15672</v>
      </c>
      <c r="F999" t="s">
        <v>15</v>
      </c>
      <c r="G999">
        <v>8</v>
      </c>
      <c r="H999">
        <v>250</v>
      </c>
      <c r="I999" t="str" cm="1">
        <f t="array" ref="I999">_xlfn.IFS(H999&lt;=120,"V1",H999&lt;=150,"V2",H999&lt;=250,"V3", H999&lt;=350, "V4")</f>
        <v>V3</v>
      </c>
      <c r="J999" t="s">
        <v>3884</v>
      </c>
      <c r="K999" t="str">
        <f t="shared" si="345"/>
        <v>40.218355</v>
      </c>
      <c r="L999" t="str">
        <f t="shared" si="346"/>
        <v>-79.613656</v>
      </c>
      <c r="M999">
        <v>292</v>
      </c>
      <c r="N999" s="1">
        <v>45008</v>
      </c>
      <c r="O999" s="1">
        <v>46099</v>
      </c>
      <c r="P999" s="2">
        <f t="shared" si="347"/>
        <v>2.9869952087611225</v>
      </c>
      <c r="Q999" s="2" t="str">
        <f t="shared" si="348"/>
        <v>New</v>
      </c>
      <c r="R999">
        <f t="shared" si="349"/>
        <v>2000</v>
      </c>
      <c r="S999" t="str">
        <f t="shared" si="350"/>
        <v>Small</v>
      </c>
      <c r="T999" t="str">
        <f t="shared" si="351"/>
        <v>Lower EV Adoption Corridor</v>
      </c>
      <c r="U999" s="3">
        <f t="shared" si="352"/>
        <v>3600000</v>
      </c>
      <c r="V999" s="4">
        <f t="shared" si="353"/>
        <v>880000.00000000012</v>
      </c>
      <c r="W999" s="3">
        <f t="shared" si="354"/>
        <v>12000000</v>
      </c>
      <c r="X999" s="3">
        <f t="shared" si="355"/>
        <v>6600000.0000000009</v>
      </c>
      <c r="Y999">
        <f t="shared" si="356"/>
        <v>0.31515151515151513</v>
      </c>
      <c r="Z999">
        <f t="shared" si="357"/>
        <v>0.75555555555555554</v>
      </c>
      <c r="AA999" t="str">
        <f t="shared" si="358"/>
        <v>Tier 2 - Growth Markets</v>
      </c>
      <c r="AB999" s="3">
        <f t="shared" si="359"/>
        <v>110000.00000000001</v>
      </c>
      <c r="AC999" s="3">
        <f t="shared" si="360"/>
        <v>1500000</v>
      </c>
      <c r="AD999" s="3">
        <f t="shared" si="361"/>
        <v>450000</v>
      </c>
      <c r="AE999" s="5">
        <f t="shared" si="362"/>
        <v>4.4117647058823533</v>
      </c>
      <c r="AF999" s="10">
        <f t="shared" si="363"/>
        <v>545600.00000000012</v>
      </c>
      <c r="AG999" s="10">
        <f t="shared" si="364"/>
        <v>176000.00000000003</v>
      </c>
      <c r="AH999" s="10">
        <f t="shared" si="365"/>
        <v>88000.000000000015</v>
      </c>
      <c r="AI999" s="10">
        <f t="shared" si="366"/>
        <v>44000.000000000007</v>
      </c>
      <c r="AJ999" s="10">
        <f t="shared" si="367"/>
        <v>26400.000000000004</v>
      </c>
    </row>
    <row r="1000" spans="1:36" x14ac:dyDescent="0.3">
      <c r="A1000" t="s">
        <v>3885</v>
      </c>
      <c r="B1000" t="s">
        <v>3886</v>
      </c>
      <c r="C1000" t="s">
        <v>3887</v>
      </c>
      <c r="D1000" t="s">
        <v>852</v>
      </c>
      <c r="E1000">
        <v>8807</v>
      </c>
      <c r="F1000" t="s">
        <v>15</v>
      </c>
      <c r="G1000">
        <v>8</v>
      </c>
      <c r="H1000">
        <v>250</v>
      </c>
      <c r="I1000" t="str" cm="1">
        <f t="array" ref="I1000">_xlfn.IFS(H1000&lt;=120,"V1",H1000&lt;=150,"V2",H1000&lt;=250,"V3", H1000&lt;=350, "V4")</f>
        <v>V3</v>
      </c>
      <c r="J1000" t="s">
        <v>3888</v>
      </c>
      <c r="K1000" t="str">
        <f t="shared" si="345"/>
        <v>40.56757</v>
      </c>
      <c r="L1000" t="str">
        <f t="shared" si="346"/>
        <v>-74.563865</v>
      </c>
      <c r="M1000">
        <v>19</v>
      </c>
      <c r="N1000" s="1">
        <v>44847</v>
      </c>
      <c r="O1000" s="1">
        <v>46099</v>
      </c>
      <c r="P1000" s="2">
        <f t="shared" si="347"/>
        <v>3.4277891854893907</v>
      </c>
      <c r="Q1000" s="2" t="str">
        <f t="shared" si="348"/>
        <v>Mid</v>
      </c>
      <c r="R1000">
        <f t="shared" si="349"/>
        <v>2000</v>
      </c>
      <c r="S1000" t="str">
        <f t="shared" si="350"/>
        <v>Small</v>
      </c>
      <c r="T1000" t="str">
        <f t="shared" si="351"/>
        <v>High EV Adoption Corridor</v>
      </c>
      <c r="U1000" s="3">
        <f t="shared" si="352"/>
        <v>4680000</v>
      </c>
      <c r="V1000" s="4">
        <f t="shared" si="353"/>
        <v>1056000</v>
      </c>
      <c r="W1000" s="3">
        <f t="shared" si="354"/>
        <v>13200000.000000002</v>
      </c>
      <c r="X1000" s="3">
        <f t="shared" si="355"/>
        <v>9900000.0000000019</v>
      </c>
      <c r="Y1000">
        <f t="shared" si="356"/>
        <v>0.23999999999999996</v>
      </c>
      <c r="Z1000">
        <f t="shared" si="357"/>
        <v>0.77435897435897438</v>
      </c>
      <c r="AA1000" t="str">
        <f t="shared" si="358"/>
        <v>Tier 1 - Priority Fleet</v>
      </c>
      <c r="AB1000" s="3">
        <f t="shared" si="359"/>
        <v>132000</v>
      </c>
      <c r="AC1000" s="3">
        <f t="shared" si="360"/>
        <v>1650000.0000000002</v>
      </c>
      <c r="AD1000" s="3">
        <f t="shared" si="361"/>
        <v>585000</v>
      </c>
      <c r="AE1000" s="5">
        <f t="shared" si="362"/>
        <v>3.6423841059602653</v>
      </c>
      <c r="AF1000" s="10">
        <f t="shared" si="363"/>
        <v>654720</v>
      </c>
      <c r="AG1000" s="10">
        <f t="shared" si="364"/>
        <v>211200</v>
      </c>
      <c r="AH1000" s="10">
        <f t="shared" si="365"/>
        <v>105600</v>
      </c>
      <c r="AI1000" s="10">
        <f t="shared" si="366"/>
        <v>52800</v>
      </c>
      <c r="AJ1000" s="10">
        <f t="shared" si="367"/>
        <v>31680</v>
      </c>
    </row>
    <row r="1001" spans="1:36" x14ac:dyDescent="0.3">
      <c r="A1001" t="s">
        <v>3889</v>
      </c>
      <c r="B1001" t="s">
        <v>3890</v>
      </c>
      <c r="C1001" t="s">
        <v>3891</v>
      </c>
      <c r="D1001" t="s">
        <v>299</v>
      </c>
      <c r="E1001">
        <v>22407</v>
      </c>
      <c r="F1001" t="s">
        <v>15</v>
      </c>
      <c r="G1001">
        <v>8</v>
      </c>
      <c r="H1001">
        <v>150</v>
      </c>
      <c r="I1001" t="str" cm="1">
        <f t="array" ref="I1001">_xlfn.IFS(H1001&lt;=120,"V1",H1001&lt;=150,"V2",H1001&lt;=250,"V3", H1001&lt;=350, "V4")</f>
        <v>V2</v>
      </c>
      <c r="J1001" t="s">
        <v>3892</v>
      </c>
      <c r="K1001" t="str">
        <f t="shared" si="345"/>
        <v>38.225974</v>
      </c>
      <c r="L1001" t="str">
        <f t="shared" si="346"/>
        <v>-77.506136</v>
      </c>
      <c r="M1001">
        <v>49</v>
      </c>
      <c r="N1001" s="1">
        <v>43202</v>
      </c>
      <c r="O1001" s="1">
        <v>46099</v>
      </c>
      <c r="P1001" s="2">
        <f t="shared" si="347"/>
        <v>7.9315537303216974</v>
      </c>
      <c r="Q1001" s="2" t="str">
        <f t="shared" si="348"/>
        <v>Mid</v>
      </c>
      <c r="R1001">
        <f t="shared" si="349"/>
        <v>1200</v>
      </c>
      <c r="S1001" t="str">
        <f t="shared" si="350"/>
        <v>Small</v>
      </c>
      <c r="T1001" t="str">
        <f t="shared" si="351"/>
        <v>Lower EV Adoption Corridor</v>
      </c>
      <c r="U1001" s="3">
        <f t="shared" si="352"/>
        <v>1980000.0000000002</v>
      </c>
      <c r="V1001" s="4">
        <f t="shared" si="353"/>
        <v>480000</v>
      </c>
      <c r="W1001" s="3">
        <f t="shared" si="354"/>
        <v>6000000</v>
      </c>
      <c r="X1001" s="3">
        <f t="shared" si="355"/>
        <v>3600000</v>
      </c>
      <c r="Y1001">
        <f t="shared" si="356"/>
        <v>0.3</v>
      </c>
      <c r="Z1001">
        <f t="shared" si="357"/>
        <v>0.75757575757575757</v>
      </c>
      <c r="AA1001" t="str">
        <f t="shared" si="358"/>
        <v>Tier 4 - Stable Network</v>
      </c>
      <c r="AB1001" s="3">
        <f t="shared" si="359"/>
        <v>60000</v>
      </c>
      <c r="AC1001" s="3">
        <f t="shared" si="360"/>
        <v>750000</v>
      </c>
      <c r="AD1001" s="3">
        <f t="shared" si="361"/>
        <v>247500.00000000003</v>
      </c>
      <c r="AE1001" s="5">
        <f t="shared" si="362"/>
        <v>3.9999999999999996</v>
      </c>
      <c r="AF1001" s="10">
        <f t="shared" si="363"/>
        <v>297600</v>
      </c>
      <c r="AG1001" s="10">
        <f t="shared" si="364"/>
        <v>96000</v>
      </c>
      <c r="AH1001" s="10">
        <f t="shared" si="365"/>
        <v>48000</v>
      </c>
      <c r="AI1001" s="10">
        <f t="shared" si="366"/>
        <v>24000</v>
      </c>
      <c r="AJ1001" s="10">
        <f t="shared" si="367"/>
        <v>14400</v>
      </c>
    </row>
    <row r="1002" spans="1:36" x14ac:dyDescent="0.3">
      <c r="A1002" t="s">
        <v>3893</v>
      </c>
      <c r="B1002" t="s">
        <v>3894</v>
      </c>
      <c r="C1002" t="s">
        <v>3895</v>
      </c>
      <c r="D1002" t="s">
        <v>14</v>
      </c>
      <c r="E1002">
        <v>92373</v>
      </c>
      <c r="F1002" t="s">
        <v>15</v>
      </c>
      <c r="G1002">
        <v>20</v>
      </c>
      <c r="H1002">
        <v>250</v>
      </c>
      <c r="I1002" t="str" cm="1">
        <f t="array" ref="I1002">_xlfn.IFS(H1002&lt;=120,"V1",H1002&lt;=150,"V2",H1002&lt;=250,"V3", H1002&lt;=350, "V4")</f>
        <v>V3</v>
      </c>
      <c r="J1002" t="s">
        <v>3896</v>
      </c>
      <c r="K1002" t="str">
        <f t="shared" si="345"/>
        <v>34.059384</v>
      </c>
      <c r="L1002" t="str">
        <f t="shared" si="346"/>
        <v>-117.185405</v>
      </c>
      <c r="M1002">
        <v>408</v>
      </c>
      <c r="N1002" s="1">
        <v>44746</v>
      </c>
      <c r="O1002" s="1">
        <v>46099</v>
      </c>
      <c r="P1002" s="2">
        <f t="shared" si="347"/>
        <v>3.7043121149897331</v>
      </c>
      <c r="Q1002" s="2" t="str">
        <f t="shared" si="348"/>
        <v>Mid</v>
      </c>
      <c r="R1002">
        <f t="shared" si="349"/>
        <v>5000</v>
      </c>
      <c r="S1002" t="str">
        <f t="shared" si="350"/>
        <v>Small</v>
      </c>
      <c r="T1002" t="str">
        <f t="shared" si="351"/>
        <v>High EV Adoption Corridor</v>
      </c>
      <c r="U1002" s="3">
        <f t="shared" si="352"/>
        <v>11700000</v>
      </c>
      <c r="V1002" s="4">
        <f t="shared" si="353"/>
        <v>2640000</v>
      </c>
      <c r="W1002" s="3">
        <f t="shared" si="354"/>
        <v>33000000.000000004</v>
      </c>
      <c r="X1002" s="3">
        <f t="shared" si="355"/>
        <v>24750000.000000004</v>
      </c>
      <c r="Y1002">
        <f t="shared" si="356"/>
        <v>0.23999999999999996</v>
      </c>
      <c r="Z1002">
        <f t="shared" si="357"/>
        <v>0.77435897435897438</v>
      </c>
      <c r="AA1002" t="str">
        <f t="shared" si="358"/>
        <v>Tier 1 - Priority Fleet</v>
      </c>
      <c r="AB1002" s="3">
        <f t="shared" si="359"/>
        <v>132000</v>
      </c>
      <c r="AC1002" s="3">
        <f t="shared" si="360"/>
        <v>1650000.0000000002</v>
      </c>
      <c r="AD1002" s="3">
        <f t="shared" si="361"/>
        <v>585000</v>
      </c>
      <c r="AE1002" s="5">
        <f t="shared" si="362"/>
        <v>3.6423841059602653</v>
      </c>
      <c r="AF1002" s="10">
        <f t="shared" si="363"/>
        <v>1636800</v>
      </c>
      <c r="AG1002" s="10">
        <f t="shared" si="364"/>
        <v>528000</v>
      </c>
      <c r="AH1002" s="10">
        <f t="shared" si="365"/>
        <v>264000</v>
      </c>
      <c r="AI1002" s="10">
        <f t="shared" si="366"/>
        <v>132000</v>
      </c>
      <c r="AJ1002" s="10">
        <f t="shared" si="367"/>
        <v>79200</v>
      </c>
    </row>
    <row r="1003" spans="1:36" x14ac:dyDescent="0.3">
      <c r="A1003" t="s">
        <v>3897</v>
      </c>
      <c r="B1003" t="s">
        <v>3898</v>
      </c>
      <c r="C1003" t="s">
        <v>2080</v>
      </c>
      <c r="D1003" t="s">
        <v>14</v>
      </c>
      <c r="E1003">
        <v>94118</v>
      </c>
      <c r="F1003" t="s">
        <v>15</v>
      </c>
      <c r="G1003">
        <v>34</v>
      </c>
      <c r="H1003">
        <v>250</v>
      </c>
      <c r="I1003" t="str" cm="1">
        <f t="array" ref="I1003">_xlfn.IFS(H1003&lt;=120,"V1",H1003&lt;=150,"V2",H1003&lt;=250,"V3", H1003&lt;=350, "V4")</f>
        <v>V3</v>
      </c>
      <c r="J1003" t="s">
        <v>3899</v>
      </c>
      <c r="K1003" t="str">
        <f t="shared" si="345"/>
        <v>37.781806</v>
      </c>
      <c r="L1003" t="str">
        <f t="shared" si="346"/>
        <v>-122.446146</v>
      </c>
      <c r="M1003">
        <v>94</v>
      </c>
      <c r="N1003" s="1">
        <v>44336</v>
      </c>
      <c r="O1003" s="1">
        <v>46099</v>
      </c>
      <c r="P1003" s="2">
        <f t="shared" si="347"/>
        <v>4.8268309377138943</v>
      </c>
      <c r="Q1003" s="2" t="str">
        <f t="shared" si="348"/>
        <v>Mid</v>
      </c>
      <c r="R1003">
        <f t="shared" si="349"/>
        <v>8500</v>
      </c>
      <c r="S1003" t="str">
        <f t="shared" si="350"/>
        <v>Medium</v>
      </c>
      <c r="T1003" t="str">
        <f t="shared" si="351"/>
        <v>High EV Adoption Corridor</v>
      </c>
      <c r="U1003" s="3">
        <f t="shared" si="352"/>
        <v>19890000</v>
      </c>
      <c r="V1003" s="4">
        <f t="shared" si="353"/>
        <v>4488000</v>
      </c>
      <c r="W1003" s="3">
        <f t="shared" si="354"/>
        <v>56100000.000000007</v>
      </c>
      <c r="X1003" s="3">
        <f t="shared" si="355"/>
        <v>42075000.000000007</v>
      </c>
      <c r="Y1003">
        <f t="shared" si="356"/>
        <v>0.23999999999999996</v>
      </c>
      <c r="Z1003">
        <f t="shared" si="357"/>
        <v>0.77435897435897438</v>
      </c>
      <c r="AA1003" t="str">
        <f t="shared" si="358"/>
        <v>Tier 1 - Priority Fleet</v>
      </c>
      <c r="AB1003" s="3">
        <f t="shared" si="359"/>
        <v>132000</v>
      </c>
      <c r="AC1003" s="3">
        <f t="shared" si="360"/>
        <v>1650000.0000000002</v>
      </c>
      <c r="AD1003" s="3">
        <f t="shared" si="361"/>
        <v>585000</v>
      </c>
      <c r="AE1003" s="5">
        <f t="shared" si="362"/>
        <v>3.6423841059602653</v>
      </c>
      <c r="AF1003" s="10">
        <f t="shared" si="363"/>
        <v>2782560</v>
      </c>
      <c r="AG1003" s="10">
        <f t="shared" si="364"/>
        <v>897600</v>
      </c>
      <c r="AH1003" s="10">
        <f t="shared" si="365"/>
        <v>448800</v>
      </c>
      <c r="AI1003" s="10">
        <f t="shared" si="366"/>
        <v>224400</v>
      </c>
      <c r="AJ1003" s="10">
        <f t="shared" si="367"/>
        <v>134640</v>
      </c>
    </row>
    <row r="1004" spans="1:36" x14ac:dyDescent="0.3">
      <c r="A1004" t="s">
        <v>3900</v>
      </c>
      <c r="B1004" t="s">
        <v>3901</v>
      </c>
      <c r="C1004" t="s">
        <v>3902</v>
      </c>
      <c r="D1004" t="s">
        <v>673</v>
      </c>
      <c r="E1004">
        <v>604</v>
      </c>
      <c r="F1004" t="s">
        <v>15</v>
      </c>
      <c r="G1004">
        <v>2</v>
      </c>
      <c r="H1004">
        <v>72</v>
      </c>
      <c r="I1004" t="str" cm="1">
        <f t="array" ref="I1004">_xlfn.IFS(H1004&lt;=120,"V1",H1004&lt;=150,"V2",H1004&lt;=250,"V3", H1004&lt;=350, "V4")</f>
        <v>V1</v>
      </c>
      <c r="J1004" t="s">
        <v>3903</v>
      </c>
      <c r="K1004" t="str">
        <f t="shared" si="345"/>
        <v>18.43941429</v>
      </c>
      <c r="L1004" t="str">
        <f t="shared" si="346"/>
        <v>-67.13209925</v>
      </c>
      <c r="M1004">
        <v>171</v>
      </c>
      <c r="N1004" s="1">
        <v>44258</v>
      </c>
      <c r="O1004" s="1">
        <v>46099</v>
      </c>
      <c r="P1004" s="2">
        <f t="shared" si="347"/>
        <v>5.0403832991101982</v>
      </c>
      <c r="Q1004" s="2" t="str">
        <f t="shared" si="348"/>
        <v>Mid</v>
      </c>
      <c r="R1004">
        <f t="shared" si="349"/>
        <v>144</v>
      </c>
      <c r="S1004" t="str">
        <f t="shared" si="350"/>
        <v>Small</v>
      </c>
      <c r="T1004" t="str">
        <f t="shared" si="351"/>
        <v>Lower EV Adoption Corridor</v>
      </c>
      <c r="U1004" s="3">
        <f t="shared" si="352"/>
        <v>216000</v>
      </c>
      <c r="V1004" s="4">
        <f t="shared" si="353"/>
        <v>51840</v>
      </c>
      <c r="W1004" s="3">
        <f t="shared" si="354"/>
        <v>576000</v>
      </c>
      <c r="X1004" s="3">
        <f t="shared" si="355"/>
        <v>388800</v>
      </c>
      <c r="Y1004">
        <f t="shared" si="356"/>
        <v>0.2814814814814815</v>
      </c>
      <c r="Z1004">
        <f t="shared" si="357"/>
        <v>0.76</v>
      </c>
      <c r="AA1004" t="str">
        <f t="shared" si="358"/>
        <v>Tier 5 - Retirement Pipeline</v>
      </c>
      <c r="AB1004" s="3">
        <f t="shared" si="359"/>
        <v>25920</v>
      </c>
      <c r="AC1004" s="3">
        <f t="shared" si="360"/>
        <v>288000</v>
      </c>
      <c r="AD1004" s="3">
        <f t="shared" si="361"/>
        <v>108000</v>
      </c>
      <c r="AE1004" s="5">
        <f t="shared" si="362"/>
        <v>3.5087719298245612</v>
      </c>
      <c r="AF1004" s="10">
        <f t="shared" si="363"/>
        <v>32140.799999999999</v>
      </c>
      <c r="AG1004" s="10">
        <f t="shared" si="364"/>
        <v>10368</v>
      </c>
      <c r="AH1004" s="10">
        <f t="shared" si="365"/>
        <v>5184</v>
      </c>
      <c r="AI1004" s="10">
        <f t="shared" si="366"/>
        <v>2592</v>
      </c>
      <c r="AJ1004" s="10">
        <f t="shared" si="367"/>
        <v>1555.2</v>
      </c>
    </row>
    <row r="1005" spans="1:36" x14ac:dyDescent="0.3">
      <c r="A1005" t="s">
        <v>3904</v>
      </c>
      <c r="B1005" t="s">
        <v>3905</v>
      </c>
      <c r="C1005" t="s">
        <v>3906</v>
      </c>
      <c r="D1005" t="s">
        <v>59</v>
      </c>
      <c r="E1005">
        <v>61614</v>
      </c>
      <c r="F1005" t="s">
        <v>15</v>
      </c>
      <c r="G1005">
        <v>8</v>
      </c>
      <c r="H1005">
        <v>250</v>
      </c>
      <c r="I1005" t="str" cm="1">
        <f t="array" ref="I1005">_xlfn.IFS(H1005&lt;=120,"V1",H1005&lt;=150,"V2",H1005&lt;=250,"V3", H1005&lt;=350, "V4")</f>
        <v>V3</v>
      </c>
      <c r="J1005" t="s">
        <v>3907</v>
      </c>
      <c r="K1005" t="str">
        <f t="shared" si="345"/>
        <v>40.739208</v>
      </c>
      <c r="L1005" t="str">
        <f t="shared" si="346"/>
        <v>-89.606721</v>
      </c>
      <c r="M1005">
        <v>211</v>
      </c>
      <c r="N1005" s="1">
        <v>44285</v>
      </c>
      <c r="O1005" s="1">
        <v>46099</v>
      </c>
      <c r="P1005" s="2">
        <f t="shared" si="347"/>
        <v>4.9664613278576315</v>
      </c>
      <c r="Q1005" s="2" t="str">
        <f t="shared" si="348"/>
        <v>Mid</v>
      </c>
      <c r="R1005">
        <f t="shared" si="349"/>
        <v>2000</v>
      </c>
      <c r="S1005" t="str">
        <f t="shared" si="350"/>
        <v>Small</v>
      </c>
      <c r="T1005" t="str">
        <f t="shared" si="351"/>
        <v>Lower EV Adoption Corridor</v>
      </c>
      <c r="U1005" s="3">
        <f t="shared" si="352"/>
        <v>3600000</v>
      </c>
      <c r="V1005" s="4">
        <f t="shared" si="353"/>
        <v>880000.00000000012</v>
      </c>
      <c r="W1005" s="3">
        <f t="shared" si="354"/>
        <v>12000000</v>
      </c>
      <c r="X1005" s="3">
        <f t="shared" si="355"/>
        <v>6600000.0000000009</v>
      </c>
      <c r="Y1005">
        <f t="shared" si="356"/>
        <v>0.31515151515151513</v>
      </c>
      <c r="Z1005">
        <f t="shared" si="357"/>
        <v>0.75555555555555554</v>
      </c>
      <c r="AA1005" t="str">
        <f t="shared" si="358"/>
        <v>Tier 2 - Growth Markets</v>
      </c>
      <c r="AB1005" s="3">
        <f t="shared" si="359"/>
        <v>110000.00000000001</v>
      </c>
      <c r="AC1005" s="3">
        <f t="shared" si="360"/>
        <v>1500000</v>
      </c>
      <c r="AD1005" s="3">
        <f t="shared" si="361"/>
        <v>450000</v>
      </c>
      <c r="AE1005" s="5">
        <f t="shared" si="362"/>
        <v>4.4117647058823533</v>
      </c>
      <c r="AF1005" s="10">
        <f t="shared" si="363"/>
        <v>545600.00000000012</v>
      </c>
      <c r="AG1005" s="10">
        <f t="shared" si="364"/>
        <v>176000.00000000003</v>
      </c>
      <c r="AH1005" s="10">
        <f t="shared" si="365"/>
        <v>88000.000000000015</v>
      </c>
      <c r="AI1005" s="10">
        <f t="shared" si="366"/>
        <v>44000.000000000007</v>
      </c>
      <c r="AJ1005" s="10">
        <f t="shared" si="367"/>
        <v>26400.000000000004</v>
      </c>
    </row>
    <row r="1006" spans="1:36" x14ac:dyDescent="0.3">
      <c r="A1006" t="s">
        <v>3908</v>
      </c>
      <c r="B1006" t="s">
        <v>3909</v>
      </c>
      <c r="C1006" t="s">
        <v>3910</v>
      </c>
      <c r="D1006" t="s">
        <v>41</v>
      </c>
      <c r="E1006">
        <v>33711</v>
      </c>
      <c r="F1006" t="s">
        <v>15</v>
      </c>
      <c r="G1006">
        <v>8</v>
      </c>
      <c r="H1006">
        <v>250</v>
      </c>
      <c r="I1006" t="str" cm="1">
        <f t="array" ref="I1006">_xlfn.IFS(H1006&lt;=120,"V1",H1006&lt;=150,"V2",H1006&lt;=250,"V3", H1006&lt;=350, "V4")</f>
        <v>V3</v>
      </c>
      <c r="J1006" t="s">
        <v>3911</v>
      </c>
      <c r="K1006" t="str">
        <f t="shared" si="345"/>
        <v>27.734808</v>
      </c>
      <c r="L1006" t="str">
        <f t="shared" si="346"/>
        <v>-82.680101</v>
      </c>
      <c r="M1006">
        <v>6</v>
      </c>
      <c r="N1006" s="1">
        <v>44247</v>
      </c>
      <c r="O1006" s="1">
        <v>46099</v>
      </c>
      <c r="P1006" s="2">
        <f t="shared" si="347"/>
        <v>5.0704996577686519</v>
      </c>
      <c r="Q1006" s="2" t="str">
        <f t="shared" si="348"/>
        <v>Mid</v>
      </c>
      <c r="R1006">
        <f t="shared" si="349"/>
        <v>2000</v>
      </c>
      <c r="S1006" t="str">
        <f t="shared" si="350"/>
        <v>Small</v>
      </c>
      <c r="T1006" t="str">
        <f t="shared" si="351"/>
        <v>High EV Adoption Corridor</v>
      </c>
      <c r="U1006" s="3">
        <f t="shared" si="352"/>
        <v>4680000</v>
      </c>
      <c r="V1006" s="4">
        <f t="shared" si="353"/>
        <v>1056000</v>
      </c>
      <c r="W1006" s="3">
        <f t="shared" si="354"/>
        <v>13200000.000000002</v>
      </c>
      <c r="X1006" s="3">
        <f t="shared" si="355"/>
        <v>9900000.0000000019</v>
      </c>
      <c r="Y1006">
        <f t="shared" si="356"/>
        <v>0.23999999999999996</v>
      </c>
      <c r="Z1006">
        <f t="shared" si="357"/>
        <v>0.77435897435897438</v>
      </c>
      <c r="AA1006" t="str">
        <f t="shared" si="358"/>
        <v>Tier 1 - Priority Fleet</v>
      </c>
      <c r="AB1006" s="3">
        <f t="shared" si="359"/>
        <v>132000</v>
      </c>
      <c r="AC1006" s="3">
        <f t="shared" si="360"/>
        <v>1650000.0000000002</v>
      </c>
      <c r="AD1006" s="3">
        <f t="shared" si="361"/>
        <v>585000</v>
      </c>
      <c r="AE1006" s="5">
        <f t="shared" si="362"/>
        <v>3.6423841059602653</v>
      </c>
      <c r="AF1006" s="10">
        <f t="shared" si="363"/>
        <v>654720</v>
      </c>
      <c r="AG1006" s="10">
        <f t="shared" si="364"/>
        <v>211200</v>
      </c>
      <c r="AH1006" s="10">
        <f t="shared" si="365"/>
        <v>105600</v>
      </c>
      <c r="AI1006" s="10">
        <f t="shared" si="366"/>
        <v>52800</v>
      </c>
      <c r="AJ1006" s="10">
        <f t="shared" si="367"/>
        <v>31680</v>
      </c>
    </row>
    <row r="1007" spans="1:36" x14ac:dyDescent="0.3">
      <c r="A1007" t="s">
        <v>3912</v>
      </c>
      <c r="B1007" t="s">
        <v>3913</v>
      </c>
      <c r="C1007" t="s">
        <v>3914</v>
      </c>
      <c r="D1007" t="s">
        <v>913</v>
      </c>
      <c r="E1007">
        <v>21037</v>
      </c>
      <c r="F1007" t="s">
        <v>15</v>
      </c>
      <c r="G1007">
        <v>8</v>
      </c>
      <c r="H1007">
        <v>250</v>
      </c>
      <c r="I1007" t="str" cm="1">
        <f t="array" ref="I1007">_xlfn.IFS(H1007&lt;=120,"V1",H1007&lt;=150,"V2",H1007&lt;=250,"V3", H1007&lt;=350, "V4")</f>
        <v>V3</v>
      </c>
      <c r="J1007" t="s">
        <v>3915</v>
      </c>
      <c r="K1007" t="str">
        <f t="shared" si="345"/>
        <v>38.936193</v>
      </c>
      <c r="L1007" t="str">
        <f t="shared" si="346"/>
        <v>-76.56776</v>
      </c>
      <c r="M1007">
        <v>12</v>
      </c>
      <c r="N1007" s="1">
        <v>44468</v>
      </c>
      <c r="O1007" s="1">
        <v>46099</v>
      </c>
      <c r="P1007" s="2">
        <f t="shared" si="347"/>
        <v>4.4654346338124569</v>
      </c>
      <c r="Q1007" s="2" t="str">
        <f t="shared" si="348"/>
        <v>Mid</v>
      </c>
      <c r="R1007">
        <f t="shared" si="349"/>
        <v>2000</v>
      </c>
      <c r="S1007" t="str">
        <f t="shared" si="350"/>
        <v>Small</v>
      </c>
      <c r="T1007" t="str">
        <f t="shared" si="351"/>
        <v>Lower EV Adoption Corridor</v>
      </c>
      <c r="U1007" s="3">
        <f t="shared" si="352"/>
        <v>3600000</v>
      </c>
      <c r="V1007" s="4">
        <f t="shared" si="353"/>
        <v>880000.00000000012</v>
      </c>
      <c r="W1007" s="3">
        <f t="shared" si="354"/>
        <v>12000000</v>
      </c>
      <c r="X1007" s="3">
        <f t="shared" si="355"/>
        <v>6600000.0000000009</v>
      </c>
      <c r="Y1007">
        <f t="shared" si="356"/>
        <v>0.31515151515151513</v>
      </c>
      <c r="Z1007">
        <f t="shared" si="357"/>
        <v>0.75555555555555554</v>
      </c>
      <c r="AA1007" t="str">
        <f t="shared" si="358"/>
        <v>Tier 2 - Growth Markets</v>
      </c>
      <c r="AB1007" s="3">
        <f t="shared" si="359"/>
        <v>110000.00000000001</v>
      </c>
      <c r="AC1007" s="3">
        <f t="shared" si="360"/>
        <v>1500000</v>
      </c>
      <c r="AD1007" s="3">
        <f t="shared" si="361"/>
        <v>450000</v>
      </c>
      <c r="AE1007" s="5">
        <f t="shared" si="362"/>
        <v>4.4117647058823533</v>
      </c>
      <c r="AF1007" s="10">
        <f t="shared" si="363"/>
        <v>545600.00000000012</v>
      </c>
      <c r="AG1007" s="10">
        <f t="shared" si="364"/>
        <v>176000.00000000003</v>
      </c>
      <c r="AH1007" s="10">
        <f t="shared" si="365"/>
        <v>88000.000000000015</v>
      </c>
      <c r="AI1007" s="10">
        <f t="shared" si="366"/>
        <v>44000.000000000007</v>
      </c>
      <c r="AJ1007" s="10">
        <f t="shared" si="367"/>
        <v>26400.000000000004</v>
      </c>
    </row>
    <row r="1008" spans="1:36" x14ac:dyDescent="0.3">
      <c r="A1008" t="s">
        <v>3916</v>
      </c>
      <c r="B1008" t="s">
        <v>3917</v>
      </c>
      <c r="C1008" t="s">
        <v>3918</v>
      </c>
      <c r="D1008" t="s">
        <v>14</v>
      </c>
      <c r="E1008">
        <v>95228</v>
      </c>
      <c r="F1008" t="s">
        <v>15</v>
      </c>
      <c r="G1008">
        <v>12</v>
      </c>
      <c r="H1008">
        <v>250</v>
      </c>
      <c r="I1008" t="str" cm="1">
        <f t="array" ref="I1008">_xlfn.IFS(H1008&lt;=120,"V1",H1008&lt;=150,"V2",H1008&lt;=250,"V3", H1008&lt;=350, "V4")</f>
        <v>V3</v>
      </c>
      <c r="J1008" t="s">
        <v>3919</v>
      </c>
      <c r="K1008" t="str">
        <f t="shared" si="345"/>
        <v>37.972864</v>
      </c>
      <c r="L1008" t="str">
        <f t="shared" si="346"/>
        <v>-120.653276</v>
      </c>
      <c r="M1008">
        <v>278</v>
      </c>
      <c r="N1008" s="1">
        <v>44286</v>
      </c>
      <c r="O1008" s="1">
        <v>46099</v>
      </c>
      <c r="P1008" s="2">
        <f t="shared" si="347"/>
        <v>4.9637234770704994</v>
      </c>
      <c r="Q1008" s="2" t="str">
        <f t="shared" si="348"/>
        <v>Mid</v>
      </c>
      <c r="R1008">
        <f t="shared" si="349"/>
        <v>3000</v>
      </c>
      <c r="S1008" t="str">
        <f t="shared" si="350"/>
        <v>Small</v>
      </c>
      <c r="T1008" t="str">
        <f t="shared" si="351"/>
        <v>High EV Adoption Corridor</v>
      </c>
      <c r="U1008" s="3">
        <f t="shared" si="352"/>
        <v>7020000</v>
      </c>
      <c r="V1008" s="4">
        <f t="shared" si="353"/>
        <v>1584000</v>
      </c>
      <c r="W1008" s="3">
        <f t="shared" si="354"/>
        <v>19800000</v>
      </c>
      <c r="X1008" s="3">
        <f t="shared" si="355"/>
        <v>14850000</v>
      </c>
      <c r="Y1008">
        <f t="shared" si="356"/>
        <v>0.24</v>
      </c>
      <c r="Z1008">
        <f t="shared" si="357"/>
        <v>0.77435897435897438</v>
      </c>
      <c r="AA1008" t="str">
        <f t="shared" si="358"/>
        <v>Tier 1 - Priority Fleet</v>
      </c>
      <c r="AB1008" s="3">
        <f t="shared" si="359"/>
        <v>132000</v>
      </c>
      <c r="AC1008" s="3">
        <f t="shared" si="360"/>
        <v>1650000</v>
      </c>
      <c r="AD1008" s="3">
        <f t="shared" si="361"/>
        <v>585000</v>
      </c>
      <c r="AE1008" s="5">
        <f t="shared" si="362"/>
        <v>3.6423841059602649</v>
      </c>
      <c r="AF1008" s="10">
        <f t="shared" si="363"/>
        <v>982080</v>
      </c>
      <c r="AG1008" s="10">
        <f t="shared" si="364"/>
        <v>316800</v>
      </c>
      <c r="AH1008" s="10">
        <f t="shared" si="365"/>
        <v>158400</v>
      </c>
      <c r="AI1008" s="10">
        <f t="shared" si="366"/>
        <v>79200</v>
      </c>
      <c r="AJ1008" s="10">
        <f t="shared" si="367"/>
        <v>47520</v>
      </c>
    </row>
    <row r="1009" spans="1:36" x14ac:dyDescent="0.3">
      <c r="A1009" t="s">
        <v>3920</v>
      </c>
      <c r="B1009" t="s">
        <v>3921</v>
      </c>
      <c r="C1009" t="s">
        <v>3922</v>
      </c>
      <c r="D1009" t="s">
        <v>765</v>
      </c>
      <c r="E1009">
        <v>38804</v>
      </c>
      <c r="F1009" t="s">
        <v>15</v>
      </c>
      <c r="G1009">
        <v>8</v>
      </c>
      <c r="H1009">
        <v>150</v>
      </c>
      <c r="I1009" t="str" cm="1">
        <f t="array" ref="I1009">_xlfn.IFS(H1009&lt;=120,"V1",H1009&lt;=150,"V2",H1009&lt;=250,"V3", H1009&lt;=350, "V4")</f>
        <v>V2</v>
      </c>
      <c r="J1009" t="s">
        <v>3923</v>
      </c>
      <c r="K1009" t="str">
        <f t="shared" si="345"/>
        <v>34.311515</v>
      </c>
      <c r="L1009" t="str">
        <f t="shared" si="346"/>
        <v>-88.700843</v>
      </c>
      <c r="M1009">
        <v>83</v>
      </c>
      <c r="N1009" s="1">
        <v>42866</v>
      </c>
      <c r="O1009" s="1">
        <v>46099</v>
      </c>
      <c r="P1009" s="2">
        <f t="shared" si="347"/>
        <v>8.8514715947980829</v>
      </c>
      <c r="Q1009" s="2" t="str">
        <f t="shared" si="348"/>
        <v>Old</v>
      </c>
      <c r="R1009">
        <f t="shared" si="349"/>
        <v>1200</v>
      </c>
      <c r="S1009" t="str">
        <f t="shared" si="350"/>
        <v>Small</v>
      </c>
      <c r="T1009" t="str">
        <f t="shared" si="351"/>
        <v>Lower EV Adoption Corridor</v>
      </c>
      <c r="U1009" s="3">
        <f t="shared" si="352"/>
        <v>1980000.0000000002</v>
      </c>
      <c r="V1009" s="4">
        <f t="shared" si="353"/>
        <v>480000</v>
      </c>
      <c r="W1009" s="3">
        <f t="shared" si="354"/>
        <v>6000000</v>
      </c>
      <c r="X1009" s="3">
        <f t="shared" si="355"/>
        <v>3600000</v>
      </c>
      <c r="Y1009">
        <f t="shared" si="356"/>
        <v>0.3</v>
      </c>
      <c r="Z1009">
        <f t="shared" si="357"/>
        <v>0.75757575757575757</v>
      </c>
      <c r="AA1009" t="str">
        <f t="shared" si="358"/>
        <v>Tier 4 - Stable Network</v>
      </c>
      <c r="AB1009" s="3">
        <f t="shared" si="359"/>
        <v>60000</v>
      </c>
      <c r="AC1009" s="3">
        <f t="shared" si="360"/>
        <v>750000</v>
      </c>
      <c r="AD1009" s="3">
        <f t="shared" si="361"/>
        <v>247500.00000000003</v>
      </c>
      <c r="AE1009" s="5">
        <f t="shared" si="362"/>
        <v>3.9999999999999996</v>
      </c>
      <c r="AF1009" s="10">
        <f t="shared" si="363"/>
        <v>297600</v>
      </c>
      <c r="AG1009" s="10">
        <f t="shared" si="364"/>
        <v>96000</v>
      </c>
      <c r="AH1009" s="10">
        <f t="shared" si="365"/>
        <v>48000</v>
      </c>
      <c r="AI1009" s="10">
        <f t="shared" si="366"/>
        <v>24000</v>
      </c>
      <c r="AJ1009" s="10">
        <f t="shared" si="367"/>
        <v>14400</v>
      </c>
    </row>
    <row r="1010" spans="1:36" x14ac:dyDescent="0.3">
      <c r="A1010" t="s">
        <v>3924</v>
      </c>
      <c r="B1010" t="s">
        <v>3925</v>
      </c>
      <c r="C1010" t="s">
        <v>3926</v>
      </c>
      <c r="D1010" t="s">
        <v>913</v>
      </c>
      <c r="E1010">
        <v>21704</v>
      </c>
      <c r="F1010" t="s">
        <v>15</v>
      </c>
      <c r="G1010">
        <v>8</v>
      </c>
      <c r="H1010">
        <v>250</v>
      </c>
      <c r="I1010" t="str" cm="1">
        <f t="array" ref="I1010">_xlfn.IFS(H1010&lt;=120,"V1",H1010&lt;=150,"V2",H1010&lt;=250,"V3", H1010&lt;=350, "V4")</f>
        <v>V3</v>
      </c>
      <c r="J1010" t="s">
        <v>3927</v>
      </c>
      <c r="K1010" t="str">
        <f t="shared" si="345"/>
        <v>39.327271</v>
      </c>
      <c r="L1010" t="str">
        <f t="shared" si="346"/>
        <v>-77.34652</v>
      </c>
      <c r="M1010">
        <v>142</v>
      </c>
      <c r="N1010" s="1">
        <v>44629</v>
      </c>
      <c r="O1010" s="1">
        <v>46099</v>
      </c>
      <c r="P1010" s="2">
        <f t="shared" si="347"/>
        <v>4.0246406570841886</v>
      </c>
      <c r="Q1010" s="2" t="str">
        <f t="shared" si="348"/>
        <v>Mid</v>
      </c>
      <c r="R1010">
        <f t="shared" si="349"/>
        <v>2000</v>
      </c>
      <c r="S1010" t="str">
        <f t="shared" si="350"/>
        <v>Small</v>
      </c>
      <c r="T1010" t="str">
        <f t="shared" si="351"/>
        <v>Lower EV Adoption Corridor</v>
      </c>
      <c r="U1010" s="3">
        <f t="shared" si="352"/>
        <v>3600000</v>
      </c>
      <c r="V1010" s="4">
        <f t="shared" si="353"/>
        <v>880000.00000000012</v>
      </c>
      <c r="W1010" s="3">
        <f t="shared" si="354"/>
        <v>12000000</v>
      </c>
      <c r="X1010" s="3">
        <f t="shared" si="355"/>
        <v>6600000.0000000009</v>
      </c>
      <c r="Y1010">
        <f t="shared" si="356"/>
        <v>0.31515151515151513</v>
      </c>
      <c r="Z1010">
        <f t="shared" si="357"/>
        <v>0.75555555555555554</v>
      </c>
      <c r="AA1010" t="str">
        <f t="shared" si="358"/>
        <v>Tier 2 - Growth Markets</v>
      </c>
      <c r="AB1010" s="3">
        <f t="shared" si="359"/>
        <v>110000.00000000001</v>
      </c>
      <c r="AC1010" s="3">
        <f t="shared" si="360"/>
        <v>1500000</v>
      </c>
      <c r="AD1010" s="3">
        <f t="shared" si="361"/>
        <v>450000</v>
      </c>
      <c r="AE1010" s="5">
        <f t="shared" si="362"/>
        <v>4.4117647058823533</v>
      </c>
      <c r="AF1010" s="10">
        <f t="shared" si="363"/>
        <v>545600.00000000012</v>
      </c>
      <c r="AG1010" s="10">
        <f t="shared" si="364"/>
        <v>176000.00000000003</v>
      </c>
      <c r="AH1010" s="10">
        <f t="shared" si="365"/>
        <v>88000.000000000015</v>
      </c>
      <c r="AI1010" s="10">
        <f t="shared" si="366"/>
        <v>44000.000000000007</v>
      </c>
      <c r="AJ1010" s="10">
        <f t="shared" si="367"/>
        <v>26400.000000000004</v>
      </c>
    </row>
    <row r="1011" spans="1:36" x14ac:dyDescent="0.3">
      <c r="A1011" t="s">
        <v>3928</v>
      </c>
      <c r="B1011" t="s">
        <v>3929</v>
      </c>
      <c r="C1011" t="s">
        <v>3930</v>
      </c>
      <c r="D1011" t="s">
        <v>268</v>
      </c>
      <c r="E1011">
        <v>81601</v>
      </c>
      <c r="F1011" t="s">
        <v>15</v>
      </c>
      <c r="G1011">
        <v>6</v>
      </c>
      <c r="H1011">
        <v>150</v>
      </c>
      <c r="I1011" t="str" cm="1">
        <f t="array" ref="I1011">_xlfn.IFS(H1011&lt;=120,"V1",H1011&lt;=150,"V2",H1011&lt;=250,"V3", H1011&lt;=350, "V4")</f>
        <v>V2</v>
      </c>
      <c r="J1011" t="s">
        <v>3931</v>
      </c>
      <c r="K1011" t="str">
        <f t="shared" si="345"/>
        <v>39.55268</v>
      </c>
      <c r="L1011" t="str">
        <f t="shared" si="346"/>
        <v>-107.340168</v>
      </c>
      <c r="M1011">
        <v>1762</v>
      </c>
      <c r="N1011" s="1">
        <v>41534</v>
      </c>
      <c r="O1011" s="1">
        <v>46099</v>
      </c>
      <c r="P1011" s="2">
        <f t="shared" si="347"/>
        <v>12.498288843258042</v>
      </c>
      <c r="Q1011" s="2" t="str">
        <f t="shared" si="348"/>
        <v>Old</v>
      </c>
      <c r="R1011">
        <f t="shared" si="349"/>
        <v>900</v>
      </c>
      <c r="S1011" t="str">
        <f t="shared" si="350"/>
        <v>Small</v>
      </c>
      <c r="T1011" t="str">
        <f t="shared" si="351"/>
        <v>High EV Adoption Corridor</v>
      </c>
      <c r="U1011" s="3">
        <f t="shared" si="352"/>
        <v>1930500.0000000005</v>
      </c>
      <c r="V1011" s="4">
        <f t="shared" si="353"/>
        <v>432000</v>
      </c>
      <c r="W1011" s="3">
        <f t="shared" si="354"/>
        <v>4950000</v>
      </c>
      <c r="X1011" s="3">
        <f t="shared" si="355"/>
        <v>4050000</v>
      </c>
      <c r="Y1011">
        <f t="shared" si="356"/>
        <v>0.22888888888888889</v>
      </c>
      <c r="Z1011">
        <f t="shared" si="357"/>
        <v>0.77622377622377625</v>
      </c>
      <c r="AA1011" t="str">
        <f t="shared" si="358"/>
        <v>Tier 3 - Upgrade Pipeline</v>
      </c>
      <c r="AB1011" s="3">
        <f t="shared" si="359"/>
        <v>72000</v>
      </c>
      <c r="AC1011" s="3">
        <f t="shared" si="360"/>
        <v>825000</v>
      </c>
      <c r="AD1011" s="3">
        <f t="shared" si="361"/>
        <v>321750.00000000006</v>
      </c>
      <c r="AE1011" s="5">
        <f t="shared" si="362"/>
        <v>3.3033033033033021</v>
      </c>
      <c r="AF1011" s="10">
        <f t="shared" si="363"/>
        <v>267840</v>
      </c>
      <c r="AG1011" s="10">
        <f t="shared" si="364"/>
        <v>86400</v>
      </c>
      <c r="AH1011" s="10">
        <f t="shared" si="365"/>
        <v>43200</v>
      </c>
      <c r="AI1011" s="10">
        <f t="shared" si="366"/>
        <v>21600</v>
      </c>
      <c r="AJ1011" s="10">
        <f t="shared" si="367"/>
        <v>12960</v>
      </c>
    </row>
    <row r="1012" spans="1:36" x14ac:dyDescent="0.3">
      <c r="A1012" t="s">
        <v>3932</v>
      </c>
      <c r="B1012" t="s">
        <v>3933</v>
      </c>
      <c r="C1012" t="s">
        <v>3934</v>
      </c>
      <c r="D1012" t="s">
        <v>77</v>
      </c>
      <c r="E1012">
        <v>27235</v>
      </c>
      <c r="F1012" t="s">
        <v>15</v>
      </c>
      <c r="G1012">
        <v>8</v>
      </c>
      <c r="H1012">
        <v>250</v>
      </c>
      <c r="I1012" t="str" cm="1">
        <f t="array" ref="I1012">_xlfn.IFS(H1012&lt;=120,"V1",H1012&lt;=150,"V2",H1012&lt;=250,"V3", H1012&lt;=350, "V4")</f>
        <v>V3</v>
      </c>
      <c r="J1012" t="s">
        <v>3935</v>
      </c>
      <c r="K1012" t="str">
        <f t="shared" si="345"/>
        <v>36.095012</v>
      </c>
      <c r="L1012" t="str">
        <f t="shared" si="346"/>
        <v>-79.994674</v>
      </c>
      <c r="M1012">
        <v>292</v>
      </c>
      <c r="N1012" s="1">
        <v>44294</v>
      </c>
      <c r="O1012" s="1">
        <v>46099</v>
      </c>
      <c r="P1012" s="2">
        <f t="shared" si="347"/>
        <v>4.9418206707734429</v>
      </c>
      <c r="Q1012" s="2" t="str">
        <f t="shared" si="348"/>
        <v>Mid</v>
      </c>
      <c r="R1012">
        <f t="shared" si="349"/>
        <v>2000</v>
      </c>
      <c r="S1012" t="str">
        <f t="shared" si="350"/>
        <v>Small</v>
      </c>
      <c r="T1012" t="str">
        <f t="shared" si="351"/>
        <v>Lower EV Adoption Corridor</v>
      </c>
      <c r="U1012" s="3">
        <f t="shared" si="352"/>
        <v>3600000</v>
      </c>
      <c r="V1012" s="4">
        <f t="shared" si="353"/>
        <v>880000.00000000012</v>
      </c>
      <c r="W1012" s="3">
        <f t="shared" si="354"/>
        <v>12000000</v>
      </c>
      <c r="X1012" s="3">
        <f t="shared" si="355"/>
        <v>6600000.0000000009</v>
      </c>
      <c r="Y1012">
        <f t="shared" si="356"/>
        <v>0.31515151515151513</v>
      </c>
      <c r="Z1012">
        <f t="shared" si="357"/>
        <v>0.75555555555555554</v>
      </c>
      <c r="AA1012" t="str">
        <f t="shared" si="358"/>
        <v>Tier 2 - Growth Markets</v>
      </c>
      <c r="AB1012" s="3">
        <f t="shared" si="359"/>
        <v>110000.00000000001</v>
      </c>
      <c r="AC1012" s="3">
        <f t="shared" si="360"/>
        <v>1500000</v>
      </c>
      <c r="AD1012" s="3">
        <f t="shared" si="361"/>
        <v>450000</v>
      </c>
      <c r="AE1012" s="5">
        <f t="shared" si="362"/>
        <v>4.4117647058823533</v>
      </c>
      <c r="AF1012" s="10">
        <f t="shared" si="363"/>
        <v>545600.00000000012</v>
      </c>
      <c r="AG1012" s="10">
        <f t="shared" si="364"/>
        <v>176000.00000000003</v>
      </c>
      <c r="AH1012" s="10">
        <f t="shared" si="365"/>
        <v>88000.000000000015</v>
      </c>
      <c r="AI1012" s="10">
        <f t="shared" si="366"/>
        <v>44000.000000000007</v>
      </c>
      <c r="AJ1012" s="10">
        <f t="shared" si="367"/>
        <v>26400.000000000004</v>
      </c>
    </row>
    <row r="1013" spans="1:36" x14ac:dyDescent="0.3">
      <c r="A1013" t="s">
        <v>3936</v>
      </c>
      <c r="B1013" t="s">
        <v>3937</v>
      </c>
      <c r="C1013" t="s">
        <v>3938</v>
      </c>
      <c r="D1013" t="s">
        <v>41</v>
      </c>
      <c r="E1013">
        <v>33404</v>
      </c>
      <c r="F1013" t="s">
        <v>15</v>
      </c>
      <c r="G1013">
        <v>8</v>
      </c>
      <c r="H1013">
        <v>120</v>
      </c>
      <c r="I1013" t="str" cm="1">
        <f t="array" ref="I1013">_xlfn.IFS(H1013&lt;=120,"V1",H1013&lt;=150,"V2",H1013&lt;=250,"V3", H1013&lt;=350, "V4")</f>
        <v>V1</v>
      </c>
      <c r="J1013" t="s">
        <v>3939</v>
      </c>
      <c r="K1013" t="str">
        <f t="shared" si="345"/>
        <v>26.782582</v>
      </c>
      <c r="L1013" t="str">
        <f t="shared" si="346"/>
        <v>-80.092328</v>
      </c>
      <c r="M1013">
        <v>4</v>
      </c>
      <c r="N1013" s="1">
        <v>43455</v>
      </c>
      <c r="O1013" s="1">
        <v>46099</v>
      </c>
      <c r="P1013" s="2">
        <f t="shared" si="347"/>
        <v>7.2388774811772763</v>
      </c>
      <c r="Q1013" s="2" t="str">
        <f t="shared" si="348"/>
        <v>Mid</v>
      </c>
      <c r="R1013">
        <f t="shared" si="349"/>
        <v>960</v>
      </c>
      <c r="S1013" t="str">
        <f t="shared" si="350"/>
        <v>Small</v>
      </c>
      <c r="T1013" t="str">
        <f t="shared" si="351"/>
        <v>High EV Adoption Corridor</v>
      </c>
      <c r="U1013" s="3">
        <f t="shared" si="352"/>
        <v>1872000</v>
      </c>
      <c r="V1013" s="4">
        <f t="shared" si="353"/>
        <v>414720</v>
      </c>
      <c r="W1013" s="3">
        <f t="shared" si="354"/>
        <v>4224000</v>
      </c>
      <c r="X1013" s="3">
        <f t="shared" si="355"/>
        <v>3888000</v>
      </c>
      <c r="Y1013">
        <f t="shared" si="356"/>
        <v>0.21530864197530863</v>
      </c>
      <c r="Z1013">
        <f t="shared" si="357"/>
        <v>0.77846153846153843</v>
      </c>
      <c r="AA1013" t="str">
        <f t="shared" si="358"/>
        <v>Tier 3 - Upgrade Pipeline</v>
      </c>
      <c r="AB1013" s="3">
        <f t="shared" si="359"/>
        <v>51840</v>
      </c>
      <c r="AC1013" s="3">
        <f t="shared" si="360"/>
        <v>528000</v>
      </c>
      <c r="AD1013" s="3">
        <f t="shared" si="361"/>
        <v>234000</v>
      </c>
      <c r="AE1013" s="5">
        <f t="shared" si="362"/>
        <v>2.8985507246376812</v>
      </c>
      <c r="AF1013" s="10">
        <f t="shared" si="363"/>
        <v>257126.39999999999</v>
      </c>
      <c r="AG1013" s="10">
        <f t="shared" si="364"/>
        <v>82944</v>
      </c>
      <c r="AH1013" s="10">
        <f t="shared" si="365"/>
        <v>41472</v>
      </c>
      <c r="AI1013" s="10">
        <f t="shared" si="366"/>
        <v>20736</v>
      </c>
      <c r="AJ1013" s="10">
        <f t="shared" si="367"/>
        <v>12441.6</v>
      </c>
    </row>
    <row r="1014" spans="1:36" x14ac:dyDescent="0.3">
      <c r="A1014" t="s">
        <v>3940</v>
      </c>
      <c r="B1014" t="s">
        <v>3941</v>
      </c>
      <c r="C1014" t="s">
        <v>2172</v>
      </c>
      <c r="D1014" t="s">
        <v>28</v>
      </c>
      <c r="E1014">
        <v>30067</v>
      </c>
      <c r="F1014" t="s">
        <v>15</v>
      </c>
      <c r="G1014">
        <v>12</v>
      </c>
      <c r="H1014">
        <v>250</v>
      </c>
      <c r="I1014" t="str" cm="1">
        <f t="array" ref="I1014">_xlfn.IFS(H1014&lt;=120,"V1",H1014&lt;=150,"V2",H1014&lt;=250,"V3", H1014&lt;=350, "V4")</f>
        <v>V3</v>
      </c>
      <c r="J1014" t="s">
        <v>3942</v>
      </c>
      <c r="K1014" t="str">
        <f t="shared" si="345"/>
        <v>33.90375</v>
      </c>
      <c r="L1014" t="str">
        <f t="shared" si="346"/>
        <v>-84.465778</v>
      </c>
      <c r="M1014">
        <v>275</v>
      </c>
      <c r="N1014" s="1">
        <v>44274</v>
      </c>
      <c r="O1014" s="1">
        <v>46099</v>
      </c>
      <c r="P1014" s="2">
        <f t="shared" si="347"/>
        <v>4.9965776865160851</v>
      </c>
      <c r="Q1014" s="2" t="str">
        <f t="shared" si="348"/>
        <v>Mid</v>
      </c>
      <c r="R1014">
        <f t="shared" si="349"/>
        <v>3000</v>
      </c>
      <c r="S1014" t="str">
        <f t="shared" si="350"/>
        <v>Small</v>
      </c>
      <c r="T1014" t="str">
        <f t="shared" si="351"/>
        <v>Lower EV Adoption Corridor</v>
      </c>
      <c r="U1014" s="3">
        <f t="shared" si="352"/>
        <v>5400000</v>
      </c>
      <c r="V1014" s="4">
        <f t="shared" si="353"/>
        <v>1320000</v>
      </c>
      <c r="W1014" s="3">
        <f t="shared" si="354"/>
        <v>18000000</v>
      </c>
      <c r="X1014" s="3">
        <f t="shared" si="355"/>
        <v>9900000</v>
      </c>
      <c r="Y1014">
        <f t="shared" si="356"/>
        <v>0.31515151515151513</v>
      </c>
      <c r="Z1014">
        <f t="shared" si="357"/>
        <v>0.75555555555555554</v>
      </c>
      <c r="AA1014" t="str">
        <f t="shared" si="358"/>
        <v>Tier 2 - Growth Markets</v>
      </c>
      <c r="AB1014" s="3">
        <f t="shared" si="359"/>
        <v>110000</v>
      </c>
      <c r="AC1014" s="3">
        <f t="shared" si="360"/>
        <v>1500000</v>
      </c>
      <c r="AD1014" s="3">
        <f t="shared" si="361"/>
        <v>450000</v>
      </c>
      <c r="AE1014" s="5">
        <f t="shared" si="362"/>
        <v>4.4117647058823533</v>
      </c>
      <c r="AF1014" s="10">
        <f t="shared" si="363"/>
        <v>818400</v>
      </c>
      <c r="AG1014" s="10">
        <f t="shared" si="364"/>
        <v>264000</v>
      </c>
      <c r="AH1014" s="10">
        <f t="shared" si="365"/>
        <v>132000</v>
      </c>
      <c r="AI1014" s="10">
        <f t="shared" si="366"/>
        <v>66000</v>
      </c>
      <c r="AJ1014" s="10">
        <f t="shared" si="367"/>
        <v>39600</v>
      </c>
    </row>
    <row r="1015" spans="1:36" x14ac:dyDescent="0.3">
      <c r="A1015" t="s">
        <v>3943</v>
      </c>
      <c r="B1015" t="s">
        <v>3944</v>
      </c>
      <c r="C1015" t="s">
        <v>3945</v>
      </c>
      <c r="D1015" t="s">
        <v>299</v>
      </c>
      <c r="E1015">
        <v>23831</v>
      </c>
      <c r="F1015" t="s">
        <v>15</v>
      </c>
      <c r="G1015">
        <v>8</v>
      </c>
      <c r="H1015">
        <v>150</v>
      </c>
      <c r="I1015" t="str" cm="1">
        <f t="array" ref="I1015">_xlfn.IFS(H1015&lt;=120,"V1",H1015&lt;=150,"V2",H1015&lt;=250,"V3", H1015&lt;=350, "V4")</f>
        <v>V2</v>
      </c>
      <c r="J1015" t="s">
        <v>3946</v>
      </c>
      <c r="K1015" t="str">
        <f t="shared" si="345"/>
        <v>37.367323</v>
      </c>
      <c r="L1015" t="str">
        <f t="shared" si="346"/>
        <v>-77.416947</v>
      </c>
      <c r="M1015">
        <v>40</v>
      </c>
      <c r="N1015" s="1">
        <v>42998</v>
      </c>
      <c r="O1015" s="1">
        <v>46099</v>
      </c>
      <c r="P1015" s="2">
        <f t="shared" si="347"/>
        <v>8.4900752908966464</v>
      </c>
      <c r="Q1015" s="2" t="str">
        <f t="shared" si="348"/>
        <v>Old</v>
      </c>
      <c r="R1015">
        <f t="shared" si="349"/>
        <v>1200</v>
      </c>
      <c r="S1015" t="str">
        <f t="shared" si="350"/>
        <v>Small</v>
      </c>
      <c r="T1015" t="str">
        <f t="shared" si="351"/>
        <v>Lower EV Adoption Corridor</v>
      </c>
      <c r="U1015" s="3">
        <f t="shared" si="352"/>
        <v>1980000.0000000002</v>
      </c>
      <c r="V1015" s="4">
        <f t="shared" si="353"/>
        <v>480000</v>
      </c>
      <c r="W1015" s="3">
        <f t="shared" si="354"/>
        <v>6000000</v>
      </c>
      <c r="X1015" s="3">
        <f t="shared" si="355"/>
        <v>3600000</v>
      </c>
      <c r="Y1015">
        <f t="shared" si="356"/>
        <v>0.3</v>
      </c>
      <c r="Z1015">
        <f t="shared" si="357"/>
        <v>0.75757575757575757</v>
      </c>
      <c r="AA1015" t="str">
        <f t="shared" si="358"/>
        <v>Tier 4 - Stable Network</v>
      </c>
      <c r="AB1015" s="3">
        <f t="shared" si="359"/>
        <v>60000</v>
      </c>
      <c r="AC1015" s="3">
        <f t="shared" si="360"/>
        <v>750000</v>
      </c>
      <c r="AD1015" s="3">
        <f t="shared" si="361"/>
        <v>247500.00000000003</v>
      </c>
      <c r="AE1015" s="5">
        <f t="shared" si="362"/>
        <v>3.9999999999999996</v>
      </c>
      <c r="AF1015" s="10">
        <f t="shared" si="363"/>
        <v>297600</v>
      </c>
      <c r="AG1015" s="10">
        <f t="shared" si="364"/>
        <v>96000</v>
      </c>
      <c r="AH1015" s="10">
        <f t="shared" si="365"/>
        <v>48000</v>
      </c>
      <c r="AI1015" s="10">
        <f t="shared" si="366"/>
        <v>24000</v>
      </c>
      <c r="AJ1015" s="10">
        <f t="shared" si="367"/>
        <v>14400</v>
      </c>
    </row>
    <row r="1016" spans="1:36" x14ac:dyDescent="0.3">
      <c r="A1016" t="s">
        <v>3947</v>
      </c>
      <c r="B1016" t="s">
        <v>3948</v>
      </c>
      <c r="C1016" t="s">
        <v>3949</v>
      </c>
      <c r="D1016" t="s">
        <v>913</v>
      </c>
      <c r="E1016">
        <v>21227</v>
      </c>
      <c r="F1016" t="s">
        <v>15</v>
      </c>
      <c r="G1016">
        <v>5</v>
      </c>
      <c r="H1016">
        <v>250</v>
      </c>
      <c r="I1016" t="str" cm="1">
        <f t="array" ref="I1016">_xlfn.IFS(H1016&lt;=120,"V1",H1016&lt;=150,"V2",H1016&lt;=250,"V3", H1016&lt;=350, "V4")</f>
        <v>V3</v>
      </c>
      <c r="J1016" t="s">
        <v>3950</v>
      </c>
      <c r="K1016" t="str">
        <f t="shared" si="345"/>
        <v>39.268888</v>
      </c>
      <c r="L1016" t="str">
        <f t="shared" si="346"/>
        <v>-76.668933</v>
      </c>
      <c r="M1016">
        <v>33</v>
      </c>
      <c r="N1016" s="1">
        <v>44249</v>
      </c>
      <c r="O1016" s="1">
        <v>46099</v>
      </c>
      <c r="P1016" s="2">
        <f t="shared" si="347"/>
        <v>5.0650239561943877</v>
      </c>
      <c r="Q1016" s="2" t="str">
        <f t="shared" si="348"/>
        <v>Mid</v>
      </c>
      <c r="R1016">
        <f t="shared" si="349"/>
        <v>1250</v>
      </c>
      <c r="S1016" t="str">
        <f t="shared" si="350"/>
        <v>Small</v>
      </c>
      <c r="T1016" t="str">
        <f t="shared" si="351"/>
        <v>Lower EV Adoption Corridor</v>
      </c>
      <c r="U1016" s="3">
        <f t="shared" si="352"/>
        <v>2250000</v>
      </c>
      <c r="V1016" s="4">
        <f t="shared" si="353"/>
        <v>550000</v>
      </c>
      <c r="W1016" s="3">
        <f t="shared" si="354"/>
        <v>7500000</v>
      </c>
      <c r="X1016" s="3">
        <f t="shared" si="355"/>
        <v>4125000.0000000005</v>
      </c>
      <c r="Y1016">
        <f t="shared" si="356"/>
        <v>0.31515151515151513</v>
      </c>
      <c r="Z1016">
        <f t="shared" si="357"/>
        <v>0.75555555555555554</v>
      </c>
      <c r="AA1016" t="str">
        <f t="shared" si="358"/>
        <v>Tier 2 - Growth Markets</v>
      </c>
      <c r="AB1016" s="3">
        <f t="shared" si="359"/>
        <v>110000</v>
      </c>
      <c r="AC1016" s="3">
        <f t="shared" si="360"/>
        <v>1500000</v>
      </c>
      <c r="AD1016" s="3">
        <f t="shared" si="361"/>
        <v>450000</v>
      </c>
      <c r="AE1016" s="5">
        <f t="shared" si="362"/>
        <v>4.4117647058823533</v>
      </c>
      <c r="AF1016" s="10">
        <f t="shared" si="363"/>
        <v>341000</v>
      </c>
      <c r="AG1016" s="10">
        <f t="shared" si="364"/>
        <v>110000</v>
      </c>
      <c r="AH1016" s="10">
        <f t="shared" si="365"/>
        <v>55000</v>
      </c>
      <c r="AI1016" s="10">
        <f t="shared" si="366"/>
        <v>27500</v>
      </c>
      <c r="AJ1016" s="10">
        <f t="shared" si="367"/>
        <v>16500</v>
      </c>
    </row>
    <row r="1017" spans="1:36" x14ac:dyDescent="0.3">
      <c r="A1017" t="s">
        <v>3951</v>
      </c>
      <c r="B1017" t="s">
        <v>3952</v>
      </c>
      <c r="C1017" t="s">
        <v>3953</v>
      </c>
      <c r="D1017" t="s">
        <v>268</v>
      </c>
      <c r="E1017">
        <v>80132</v>
      </c>
      <c r="F1017" t="s">
        <v>15</v>
      </c>
      <c r="G1017">
        <v>8</v>
      </c>
      <c r="H1017">
        <v>250</v>
      </c>
      <c r="I1017" t="str" cm="1">
        <f t="array" ref="I1017">_xlfn.IFS(H1017&lt;=120,"V1",H1017&lt;=150,"V2",H1017&lt;=250,"V3", H1017&lt;=350, "V4")</f>
        <v>V3</v>
      </c>
      <c r="J1017" t="s">
        <v>3954</v>
      </c>
      <c r="K1017" t="str">
        <f t="shared" si="345"/>
        <v>39.092296</v>
      </c>
      <c r="L1017" t="str">
        <f t="shared" si="346"/>
        <v>-104.852544</v>
      </c>
      <c r="M1017">
        <v>2154</v>
      </c>
      <c r="N1017" s="1">
        <v>44323</v>
      </c>
      <c r="O1017" s="1">
        <v>46099</v>
      </c>
      <c r="P1017" s="2">
        <f t="shared" si="347"/>
        <v>4.862422997946612</v>
      </c>
      <c r="Q1017" s="2" t="str">
        <f t="shared" si="348"/>
        <v>Mid</v>
      </c>
      <c r="R1017">
        <f t="shared" si="349"/>
        <v>2000</v>
      </c>
      <c r="S1017" t="str">
        <f t="shared" si="350"/>
        <v>Small</v>
      </c>
      <c r="T1017" t="str">
        <f t="shared" si="351"/>
        <v>High EV Adoption Corridor</v>
      </c>
      <c r="U1017" s="3">
        <f t="shared" si="352"/>
        <v>4680000</v>
      </c>
      <c r="V1017" s="4">
        <f t="shared" si="353"/>
        <v>1056000</v>
      </c>
      <c r="W1017" s="3">
        <f t="shared" si="354"/>
        <v>13200000.000000002</v>
      </c>
      <c r="X1017" s="3">
        <f t="shared" si="355"/>
        <v>9900000.0000000019</v>
      </c>
      <c r="Y1017">
        <f t="shared" si="356"/>
        <v>0.23999999999999996</v>
      </c>
      <c r="Z1017">
        <f t="shared" si="357"/>
        <v>0.77435897435897438</v>
      </c>
      <c r="AA1017" t="str">
        <f t="shared" si="358"/>
        <v>Tier 1 - Priority Fleet</v>
      </c>
      <c r="AB1017" s="3">
        <f t="shared" si="359"/>
        <v>132000</v>
      </c>
      <c r="AC1017" s="3">
        <f t="shared" si="360"/>
        <v>1650000.0000000002</v>
      </c>
      <c r="AD1017" s="3">
        <f t="shared" si="361"/>
        <v>585000</v>
      </c>
      <c r="AE1017" s="5">
        <f t="shared" si="362"/>
        <v>3.6423841059602653</v>
      </c>
      <c r="AF1017" s="10">
        <f t="shared" si="363"/>
        <v>654720</v>
      </c>
      <c r="AG1017" s="10">
        <f t="shared" si="364"/>
        <v>211200</v>
      </c>
      <c r="AH1017" s="10">
        <f t="shared" si="365"/>
        <v>105600</v>
      </c>
      <c r="AI1017" s="10">
        <f t="shared" si="366"/>
        <v>52800</v>
      </c>
      <c r="AJ1017" s="10">
        <f t="shared" si="367"/>
        <v>31680</v>
      </c>
    </row>
    <row r="1018" spans="1:36" x14ac:dyDescent="0.3">
      <c r="A1018" t="s">
        <v>3955</v>
      </c>
      <c r="B1018" t="s">
        <v>3956</v>
      </c>
      <c r="C1018" t="s">
        <v>3957</v>
      </c>
      <c r="D1018" t="s">
        <v>41</v>
      </c>
      <c r="E1018">
        <v>32789</v>
      </c>
      <c r="F1018" t="s">
        <v>15</v>
      </c>
      <c r="G1018">
        <v>12</v>
      </c>
      <c r="H1018">
        <v>250</v>
      </c>
      <c r="I1018" t="str" cm="1">
        <f t="array" ref="I1018">_xlfn.IFS(H1018&lt;=120,"V1",H1018&lt;=150,"V2",H1018&lt;=250,"V3", H1018&lt;=350, "V4")</f>
        <v>V3</v>
      </c>
      <c r="J1018" t="s">
        <v>3958</v>
      </c>
      <c r="K1018" t="str">
        <f t="shared" si="345"/>
        <v>28.604988</v>
      </c>
      <c r="L1018" t="str">
        <f t="shared" si="346"/>
        <v>-81.365915</v>
      </c>
      <c r="M1018">
        <v>31</v>
      </c>
      <c r="N1018" s="1">
        <v>44272</v>
      </c>
      <c r="O1018" s="1">
        <v>46099</v>
      </c>
      <c r="P1018" s="2">
        <f t="shared" si="347"/>
        <v>5.0020533880903493</v>
      </c>
      <c r="Q1018" s="2" t="str">
        <f t="shared" si="348"/>
        <v>Mid</v>
      </c>
      <c r="R1018">
        <f t="shared" si="349"/>
        <v>3000</v>
      </c>
      <c r="S1018" t="str">
        <f t="shared" si="350"/>
        <v>Small</v>
      </c>
      <c r="T1018" t="str">
        <f t="shared" si="351"/>
        <v>High EV Adoption Corridor</v>
      </c>
      <c r="U1018" s="3">
        <f t="shared" si="352"/>
        <v>7020000</v>
      </c>
      <c r="V1018" s="4">
        <f t="shared" si="353"/>
        <v>1584000</v>
      </c>
      <c r="W1018" s="3">
        <f t="shared" si="354"/>
        <v>19800000</v>
      </c>
      <c r="X1018" s="3">
        <f t="shared" si="355"/>
        <v>14850000</v>
      </c>
      <c r="Y1018">
        <f t="shared" si="356"/>
        <v>0.24</v>
      </c>
      <c r="Z1018">
        <f t="shared" si="357"/>
        <v>0.77435897435897438</v>
      </c>
      <c r="AA1018" t="str">
        <f t="shared" si="358"/>
        <v>Tier 1 - Priority Fleet</v>
      </c>
      <c r="AB1018" s="3">
        <f t="shared" si="359"/>
        <v>132000</v>
      </c>
      <c r="AC1018" s="3">
        <f t="shared" si="360"/>
        <v>1650000</v>
      </c>
      <c r="AD1018" s="3">
        <f t="shared" si="361"/>
        <v>585000</v>
      </c>
      <c r="AE1018" s="5">
        <f t="shared" si="362"/>
        <v>3.6423841059602649</v>
      </c>
      <c r="AF1018" s="10">
        <f t="shared" si="363"/>
        <v>982080</v>
      </c>
      <c r="AG1018" s="10">
        <f t="shared" si="364"/>
        <v>316800</v>
      </c>
      <c r="AH1018" s="10">
        <f t="shared" si="365"/>
        <v>158400</v>
      </c>
      <c r="AI1018" s="10">
        <f t="shared" si="366"/>
        <v>79200</v>
      </c>
      <c r="AJ1018" s="10">
        <f t="shared" si="367"/>
        <v>47520</v>
      </c>
    </row>
    <row r="1019" spans="1:36" x14ac:dyDescent="0.3">
      <c r="A1019" t="s">
        <v>3959</v>
      </c>
      <c r="B1019" t="s">
        <v>3960</v>
      </c>
      <c r="C1019" t="s">
        <v>3961</v>
      </c>
      <c r="D1019" t="s">
        <v>1189</v>
      </c>
      <c r="E1019">
        <v>25880</v>
      </c>
      <c r="F1019" t="s">
        <v>15</v>
      </c>
      <c r="G1019">
        <v>8</v>
      </c>
      <c r="H1019">
        <v>150</v>
      </c>
      <c r="I1019" t="str" cm="1">
        <f t="array" ref="I1019">_xlfn.IFS(H1019&lt;=120,"V1",H1019&lt;=150,"V2",H1019&lt;=250,"V3", H1019&lt;=350, "V4")</f>
        <v>V2</v>
      </c>
      <c r="J1019" t="s">
        <v>3962</v>
      </c>
      <c r="K1019" t="str">
        <f t="shared" si="345"/>
        <v>37.847683</v>
      </c>
      <c r="L1019" t="str">
        <f t="shared" si="346"/>
        <v>-81.196272</v>
      </c>
      <c r="M1019">
        <v>724</v>
      </c>
      <c r="N1019" s="1">
        <v>43150</v>
      </c>
      <c r="O1019" s="1">
        <v>46099</v>
      </c>
      <c r="P1019" s="2">
        <f t="shared" si="347"/>
        <v>8.0739219712525667</v>
      </c>
      <c r="Q1019" s="2" t="str">
        <f t="shared" si="348"/>
        <v>Old</v>
      </c>
      <c r="R1019">
        <f t="shared" si="349"/>
        <v>1200</v>
      </c>
      <c r="S1019" t="str">
        <f t="shared" si="350"/>
        <v>Small</v>
      </c>
      <c r="T1019" t="str">
        <f t="shared" si="351"/>
        <v>Lower EV Adoption Corridor</v>
      </c>
      <c r="U1019" s="3">
        <f t="shared" si="352"/>
        <v>1980000.0000000002</v>
      </c>
      <c r="V1019" s="4">
        <f t="shared" si="353"/>
        <v>480000</v>
      </c>
      <c r="W1019" s="3">
        <f t="shared" si="354"/>
        <v>6000000</v>
      </c>
      <c r="X1019" s="3">
        <f t="shared" si="355"/>
        <v>3600000</v>
      </c>
      <c r="Y1019">
        <f t="shared" si="356"/>
        <v>0.3</v>
      </c>
      <c r="Z1019">
        <f t="shared" si="357"/>
        <v>0.75757575757575757</v>
      </c>
      <c r="AA1019" t="str">
        <f t="shared" si="358"/>
        <v>Tier 4 - Stable Network</v>
      </c>
      <c r="AB1019" s="3">
        <f t="shared" si="359"/>
        <v>60000</v>
      </c>
      <c r="AC1019" s="3">
        <f t="shared" si="360"/>
        <v>750000</v>
      </c>
      <c r="AD1019" s="3">
        <f t="shared" si="361"/>
        <v>247500.00000000003</v>
      </c>
      <c r="AE1019" s="5">
        <f t="shared" si="362"/>
        <v>3.9999999999999996</v>
      </c>
      <c r="AF1019" s="10">
        <f t="shared" si="363"/>
        <v>297600</v>
      </c>
      <c r="AG1019" s="10">
        <f t="shared" si="364"/>
        <v>96000</v>
      </c>
      <c r="AH1019" s="10">
        <f t="shared" si="365"/>
        <v>48000</v>
      </c>
      <c r="AI1019" s="10">
        <f t="shared" si="366"/>
        <v>24000</v>
      </c>
      <c r="AJ1019" s="10">
        <f t="shared" si="367"/>
        <v>14400</v>
      </c>
    </row>
    <row r="1020" spans="1:36" x14ac:dyDescent="0.3">
      <c r="A1020" t="s">
        <v>3963</v>
      </c>
      <c r="B1020" t="s">
        <v>3964</v>
      </c>
      <c r="C1020" t="s">
        <v>3965</v>
      </c>
      <c r="D1020" t="s">
        <v>50</v>
      </c>
      <c r="E1020">
        <v>78602</v>
      </c>
      <c r="F1020" t="s">
        <v>15</v>
      </c>
      <c r="G1020">
        <v>12</v>
      </c>
      <c r="H1020">
        <v>250</v>
      </c>
      <c r="I1020" t="str" cm="1">
        <f t="array" ref="I1020">_xlfn.IFS(H1020&lt;=120,"V1",H1020&lt;=150,"V2",H1020&lt;=250,"V3", H1020&lt;=350, "V4")</f>
        <v>V3</v>
      </c>
      <c r="J1020" t="s">
        <v>3966</v>
      </c>
      <c r="K1020" t="str">
        <f t="shared" si="345"/>
        <v>30.10603</v>
      </c>
      <c r="L1020" t="str">
        <f t="shared" si="346"/>
        <v>-97.305318</v>
      </c>
      <c r="M1020">
        <v>125</v>
      </c>
      <c r="N1020" s="1">
        <v>44823</v>
      </c>
      <c r="O1020" s="1">
        <v>46099</v>
      </c>
      <c r="P1020" s="2">
        <f t="shared" si="347"/>
        <v>3.4934976043805612</v>
      </c>
      <c r="Q1020" s="2" t="str">
        <f t="shared" si="348"/>
        <v>Mid</v>
      </c>
      <c r="R1020">
        <f t="shared" si="349"/>
        <v>3000</v>
      </c>
      <c r="S1020" t="str">
        <f t="shared" si="350"/>
        <v>Small</v>
      </c>
      <c r="T1020" t="str">
        <f t="shared" si="351"/>
        <v>High EV Adoption Corridor</v>
      </c>
      <c r="U1020" s="3">
        <f t="shared" si="352"/>
        <v>7020000</v>
      </c>
      <c r="V1020" s="4">
        <f t="shared" si="353"/>
        <v>1584000</v>
      </c>
      <c r="W1020" s="3">
        <f t="shared" si="354"/>
        <v>19800000</v>
      </c>
      <c r="X1020" s="3">
        <f t="shared" si="355"/>
        <v>14850000</v>
      </c>
      <c r="Y1020">
        <f t="shared" si="356"/>
        <v>0.24</v>
      </c>
      <c r="Z1020">
        <f t="shared" si="357"/>
        <v>0.77435897435897438</v>
      </c>
      <c r="AA1020" t="str">
        <f t="shared" si="358"/>
        <v>Tier 1 - Priority Fleet</v>
      </c>
      <c r="AB1020" s="3">
        <f t="shared" si="359"/>
        <v>132000</v>
      </c>
      <c r="AC1020" s="3">
        <f t="shared" si="360"/>
        <v>1650000</v>
      </c>
      <c r="AD1020" s="3">
        <f t="shared" si="361"/>
        <v>585000</v>
      </c>
      <c r="AE1020" s="5">
        <f t="shared" si="362"/>
        <v>3.6423841059602649</v>
      </c>
      <c r="AF1020" s="10">
        <f t="shared" si="363"/>
        <v>982080</v>
      </c>
      <c r="AG1020" s="10">
        <f t="shared" si="364"/>
        <v>316800</v>
      </c>
      <c r="AH1020" s="10">
        <f t="shared" si="365"/>
        <v>158400</v>
      </c>
      <c r="AI1020" s="10">
        <f t="shared" si="366"/>
        <v>79200</v>
      </c>
      <c r="AJ1020" s="10">
        <f t="shared" si="367"/>
        <v>47520</v>
      </c>
    </row>
    <row r="1021" spans="1:36" x14ac:dyDescent="0.3">
      <c r="A1021" t="s">
        <v>3967</v>
      </c>
      <c r="B1021" t="s">
        <v>3968</v>
      </c>
      <c r="C1021" t="s">
        <v>3969</v>
      </c>
      <c r="D1021" t="s">
        <v>41</v>
      </c>
      <c r="E1021">
        <v>34785</v>
      </c>
      <c r="F1021" t="s">
        <v>15</v>
      </c>
      <c r="G1021">
        <v>8</v>
      </c>
      <c r="H1021">
        <v>250</v>
      </c>
      <c r="I1021" t="str" cm="1">
        <f t="array" ref="I1021">_xlfn.IFS(H1021&lt;=120,"V1",H1021&lt;=150,"V2",H1021&lt;=250,"V3", H1021&lt;=350, "V4")</f>
        <v>V3</v>
      </c>
      <c r="J1021" t="s">
        <v>3970</v>
      </c>
      <c r="K1021" t="str">
        <f t="shared" si="345"/>
        <v>28.787015</v>
      </c>
      <c r="L1021" t="str">
        <f t="shared" si="346"/>
        <v>-81.982383</v>
      </c>
      <c r="M1021">
        <v>29</v>
      </c>
      <c r="N1021" s="1">
        <v>44478</v>
      </c>
      <c r="O1021" s="1">
        <v>46099</v>
      </c>
      <c r="P1021" s="2">
        <f t="shared" si="347"/>
        <v>4.4380561259411362</v>
      </c>
      <c r="Q1021" s="2" t="str">
        <f t="shared" si="348"/>
        <v>Mid</v>
      </c>
      <c r="R1021">
        <f t="shared" si="349"/>
        <v>2000</v>
      </c>
      <c r="S1021" t="str">
        <f t="shared" si="350"/>
        <v>Small</v>
      </c>
      <c r="T1021" t="str">
        <f t="shared" si="351"/>
        <v>High EV Adoption Corridor</v>
      </c>
      <c r="U1021" s="3">
        <f t="shared" si="352"/>
        <v>4680000</v>
      </c>
      <c r="V1021" s="4">
        <f t="shared" si="353"/>
        <v>1056000</v>
      </c>
      <c r="W1021" s="3">
        <f t="shared" si="354"/>
        <v>13200000.000000002</v>
      </c>
      <c r="X1021" s="3">
        <f t="shared" si="355"/>
        <v>9900000.0000000019</v>
      </c>
      <c r="Y1021">
        <f t="shared" si="356"/>
        <v>0.23999999999999996</v>
      </c>
      <c r="Z1021">
        <f t="shared" si="357"/>
        <v>0.77435897435897438</v>
      </c>
      <c r="AA1021" t="str">
        <f t="shared" si="358"/>
        <v>Tier 1 - Priority Fleet</v>
      </c>
      <c r="AB1021" s="3">
        <f t="shared" si="359"/>
        <v>132000</v>
      </c>
      <c r="AC1021" s="3">
        <f t="shared" si="360"/>
        <v>1650000.0000000002</v>
      </c>
      <c r="AD1021" s="3">
        <f t="shared" si="361"/>
        <v>585000</v>
      </c>
      <c r="AE1021" s="5">
        <f t="shared" si="362"/>
        <v>3.6423841059602653</v>
      </c>
      <c r="AF1021" s="10">
        <f t="shared" si="363"/>
        <v>654720</v>
      </c>
      <c r="AG1021" s="10">
        <f t="shared" si="364"/>
        <v>211200</v>
      </c>
      <c r="AH1021" s="10">
        <f t="shared" si="365"/>
        <v>105600</v>
      </c>
      <c r="AI1021" s="10">
        <f t="shared" si="366"/>
        <v>52800</v>
      </c>
      <c r="AJ1021" s="10">
        <f t="shared" si="367"/>
        <v>31680</v>
      </c>
    </row>
    <row r="1022" spans="1:36" x14ac:dyDescent="0.3">
      <c r="A1022" t="s">
        <v>3971</v>
      </c>
      <c r="B1022" t="s">
        <v>3972</v>
      </c>
      <c r="C1022" t="s">
        <v>3973</v>
      </c>
      <c r="D1022" t="s">
        <v>14</v>
      </c>
      <c r="E1022">
        <v>93955</v>
      </c>
      <c r="F1022" t="s">
        <v>15</v>
      </c>
      <c r="G1022">
        <v>6</v>
      </c>
      <c r="H1022">
        <v>150</v>
      </c>
      <c r="I1022" t="str" cm="1">
        <f t="array" ref="I1022">_xlfn.IFS(H1022&lt;=120,"V1",H1022&lt;=150,"V2",H1022&lt;=250,"V3", H1022&lt;=350, "V4")</f>
        <v>V2</v>
      </c>
      <c r="J1022" t="s">
        <v>3974</v>
      </c>
      <c r="K1022" t="str">
        <f t="shared" si="345"/>
        <v>36.616759</v>
      </c>
      <c r="L1022" t="str">
        <f t="shared" si="346"/>
        <v>-121.844014</v>
      </c>
      <c r="M1022">
        <v>10</v>
      </c>
      <c r="N1022" s="1">
        <v>42229</v>
      </c>
      <c r="O1022" s="1">
        <v>46099</v>
      </c>
      <c r="P1022" s="2">
        <f t="shared" si="347"/>
        <v>10.595482546201232</v>
      </c>
      <c r="Q1022" s="2" t="str">
        <f t="shared" si="348"/>
        <v>Old</v>
      </c>
      <c r="R1022">
        <f t="shared" si="349"/>
        <v>900</v>
      </c>
      <c r="S1022" t="str">
        <f t="shared" si="350"/>
        <v>Small</v>
      </c>
      <c r="T1022" t="str">
        <f t="shared" si="351"/>
        <v>High EV Adoption Corridor</v>
      </c>
      <c r="U1022" s="3">
        <f t="shared" si="352"/>
        <v>1930500.0000000005</v>
      </c>
      <c r="V1022" s="4">
        <f t="shared" si="353"/>
        <v>432000</v>
      </c>
      <c r="W1022" s="3">
        <f t="shared" si="354"/>
        <v>4950000</v>
      </c>
      <c r="X1022" s="3">
        <f t="shared" si="355"/>
        <v>4050000</v>
      </c>
      <c r="Y1022">
        <f t="shared" si="356"/>
        <v>0.22888888888888889</v>
      </c>
      <c r="Z1022">
        <f t="shared" si="357"/>
        <v>0.77622377622377625</v>
      </c>
      <c r="AA1022" t="str">
        <f t="shared" si="358"/>
        <v>Tier 3 - Upgrade Pipeline</v>
      </c>
      <c r="AB1022" s="3">
        <f t="shared" si="359"/>
        <v>72000</v>
      </c>
      <c r="AC1022" s="3">
        <f t="shared" si="360"/>
        <v>825000</v>
      </c>
      <c r="AD1022" s="3">
        <f t="shared" si="361"/>
        <v>321750.00000000006</v>
      </c>
      <c r="AE1022" s="5">
        <f t="shared" si="362"/>
        <v>3.3033033033033021</v>
      </c>
      <c r="AF1022" s="10">
        <f t="shared" si="363"/>
        <v>267840</v>
      </c>
      <c r="AG1022" s="10">
        <f t="shared" si="364"/>
        <v>86400</v>
      </c>
      <c r="AH1022" s="10">
        <f t="shared" si="365"/>
        <v>43200</v>
      </c>
      <c r="AI1022" s="10">
        <f t="shared" si="366"/>
        <v>21600</v>
      </c>
      <c r="AJ1022" s="10">
        <f t="shared" si="367"/>
        <v>12960</v>
      </c>
    </row>
    <row r="1023" spans="1:36" x14ac:dyDescent="0.3">
      <c r="A1023" t="s">
        <v>3975</v>
      </c>
      <c r="B1023" t="s">
        <v>3976</v>
      </c>
      <c r="C1023" t="s">
        <v>3977</v>
      </c>
      <c r="D1023" t="s">
        <v>259</v>
      </c>
      <c r="E1023">
        <v>82718</v>
      </c>
      <c r="F1023" t="s">
        <v>15</v>
      </c>
      <c r="G1023">
        <v>4</v>
      </c>
      <c r="H1023">
        <v>150</v>
      </c>
      <c r="I1023" t="str" cm="1">
        <f t="array" ref="I1023">_xlfn.IFS(H1023&lt;=120,"V1",H1023&lt;=150,"V2",H1023&lt;=250,"V3", H1023&lt;=350, "V4")</f>
        <v>V2</v>
      </c>
      <c r="J1023" t="s">
        <v>3978</v>
      </c>
      <c r="K1023" t="str">
        <f t="shared" si="345"/>
        <v>44.29301</v>
      </c>
      <c r="L1023" t="str">
        <f t="shared" si="346"/>
        <v>-105.526628</v>
      </c>
      <c r="M1023">
        <v>1396</v>
      </c>
      <c r="N1023" s="1">
        <v>42271</v>
      </c>
      <c r="O1023" s="1">
        <v>46099</v>
      </c>
      <c r="P1023" s="2">
        <f t="shared" si="347"/>
        <v>10.480492813141684</v>
      </c>
      <c r="Q1023" s="2" t="str">
        <f t="shared" si="348"/>
        <v>Old</v>
      </c>
      <c r="R1023">
        <f t="shared" si="349"/>
        <v>600</v>
      </c>
      <c r="S1023" t="str">
        <f t="shared" si="350"/>
        <v>Small</v>
      </c>
      <c r="T1023" t="str">
        <f t="shared" si="351"/>
        <v>Lower EV Adoption Corridor</v>
      </c>
      <c r="U1023" s="3">
        <f t="shared" si="352"/>
        <v>990000.00000000012</v>
      </c>
      <c r="V1023" s="4">
        <f t="shared" si="353"/>
        <v>240000</v>
      </c>
      <c r="W1023" s="3">
        <f t="shared" si="354"/>
        <v>3000000</v>
      </c>
      <c r="X1023" s="3">
        <f t="shared" si="355"/>
        <v>1800000</v>
      </c>
      <c r="Y1023">
        <f t="shared" si="356"/>
        <v>0.3</v>
      </c>
      <c r="Z1023">
        <f t="shared" si="357"/>
        <v>0.75757575757575757</v>
      </c>
      <c r="AA1023" t="str">
        <f t="shared" si="358"/>
        <v>Tier 4 - Stable Network</v>
      </c>
      <c r="AB1023" s="3">
        <f t="shared" si="359"/>
        <v>60000</v>
      </c>
      <c r="AC1023" s="3">
        <f t="shared" si="360"/>
        <v>750000</v>
      </c>
      <c r="AD1023" s="3">
        <f t="shared" si="361"/>
        <v>247500.00000000003</v>
      </c>
      <c r="AE1023" s="5">
        <f t="shared" si="362"/>
        <v>3.9999999999999996</v>
      </c>
      <c r="AF1023" s="10">
        <f t="shared" si="363"/>
        <v>148800</v>
      </c>
      <c r="AG1023" s="10">
        <f t="shared" si="364"/>
        <v>48000</v>
      </c>
      <c r="AH1023" s="10">
        <f t="shared" si="365"/>
        <v>24000</v>
      </c>
      <c r="AI1023" s="10">
        <f t="shared" si="366"/>
        <v>12000</v>
      </c>
      <c r="AJ1023" s="10">
        <f t="shared" si="367"/>
        <v>7200</v>
      </c>
    </row>
    <row r="1024" spans="1:36" x14ac:dyDescent="0.3">
      <c r="A1024" t="s">
        <v>3979</v>
      </c>
      <c r="B1024" t="s">
        <v>3980</v>
      </c>
      <c r="C1024" t="s">
        <v>3981</v>
      </c>
      <c r="D1024" t="s">
        <v>14</v>
      </c>
      <c r="E1024">
        <v>92675</v>
      </c>
      <c r="F1024" t="s">
        <v>15</v>
      </c>
      <c r="G1024">
        <v>7</v>
      </c>
      <c r="H1024">
        <v>125</v>
      </c>
      <c r="I1024" t="str" cm="1">
        <f t="array" ref="I1024">_xlfn.IFS(H1024&lt;=120,"V1",H1024&lt;=150,"V2",H1024&lt;=250,"V3", H1024&lt;=350, "V4")</f>
        <v>V2</v>
      </c>
      <c r="J1024" t="s">
        <v>3982</v>
      </c>
      <c r="K1024" t="str">
        <f t="shared" si="345"/>
        <v>33.498458</v>
      </c>
      <c r="L1024" t="str">
        <f t="shared" si="346"/>
        <v>-117.6632</v>
      </c>
      <c r="M1024">
        <v>30</v>
      </c>
      <c r="N1024" s="1">
        <v>41765</v>
      </c>
      <c r="O1024" s="1">
        <v>46099</v>
      </c>
      <c r="P1024" s="2">
        <f t="shared" si="347"/>
        <v>11.865845311430528</v>
      </c>
      <c r="Q1024" s="2" t="str">
        <f t="shared" si="348"/>
        <v>Old</v>
      </c>
      <c r="R1024">
        <f t="shared" si="349"/>
        <v>875</v>
      </c>
      <c r="S1024" t="str">
        <f t="shared" si="350"/>
        <v>Small</v>
      </c>
      <c r="T1024" t="str">
        <f t="shared" si="351"/>
        <v>High EV Adoption Corridor</v>
      </c>
      <c r="U1024" s="3">
        <f t="shared" si="352"/>
        <v>1876875.0000000005</v>
      </c>
      <c r="V1024" s="4">
        <f t="shared" si="353"/>
        <v>420000</v>
      </c>
      <c r="W1024" s="3">
        <f t="shared" si="354"/>
        <v>4812500</v>
      </c>
      <c r="X1024" s="3">
        <f t="shared" si="355"/>
        <v>3937500</v>
      </c>
      <c r="Y1024">
        <f t="shared" si="356"/>
        <v>0.22888888888888889</v>
      </c>
      <c r="Z1024">
        <f t="shared" si="357"/>
        <v>0.77622377622377625</v>
      </c>
      <c r="AA1024" t="str">
        <f t="shared" si="358"/>
        <v>Tier 3 - Upgrade Pipeline</v>
      </c>
      <c r="AB1024" s="3">
        <f t="shared" si="359"/>
        <v>60000</v>
      </c>
      <c r="AC1024" s="3">
        <f t="shared" si="360"/>
        <v>687500</v>
      </c>
      <c r="AD1024" s="3">
        <f t="shared" si="361"/>
        <v>268125.00000000006</v>
      </c>
      <c r="AE1024" s="5">
        <f t="shared" si="362"/>
        <v>3.3033033033033021</v>
      </c>
      <c r="AF1024" s="10">
        <f t="shared" si="363"/>
        <v>260400</v>
      </c>
      <c r="AG1024" s="10">
        <f t="shared" si="364"/>
        <v>84000</v>
      </c>
      <c r="AH1024" s="10">
        <f t="shared" si="365"/>
        <v>42000</v>
      </c>
      <c r="AI1024" s="10">
        <f t="shared" si="366"/>
        <v>21000</v>
      </c>
      <c r="AJ1024" s="10">
        <f t="shared" si="367"/>
        <v>12600</v>
      </c>
    </row>
    <row r="1025" spans="1:36" x14ac:dyDescent="0.3">
      <c r="A1025" t="s">
        <v>3983</v>
      </c>
      <c r="B1025" t="s">
        <v>3984</v>
      </c>
      <c r="C1025" t="s">
        <v>3985</v>
      </c>
      <c r="D1025" t="s">
        <v>98</v>
      </c>
      <c r="E1025">
        <v>6110</v>
      </c>
      <c r="F1025" t="s">
        <v>15</v>
      </c>
      <c r="G1025">
        <v>8</v>
      </c>
      <c r="H1025">
        <v>150</v>
      </c>
      <c r="I1025" t="str" cm="1">
        <f t="array" ref="I1025">_xlfn.IFS(H1025&lt;=120,"V1",H1025&lt;=150,"V2",H1025&lt;=250,"V3", H1025&lt;=350, "V4")</f>
        <v>V2</v>
      </c>
      <c r="J1025" t="s">
        <v>3986</v>
      </c>
      <c r="K1025" t="str">
        <f t="shared" si="345"/>
        <v>41.722672</v>
      </c>
      <c r="L1025" t="str">
        <f t="shared" si="346"/>
        <v>-72.759717</v>
      </c>
      <c r="M1025">
        <v>52</v>
      </c>
      <c r="N1025" s="1">
        <v>41978</v>
      </c>
      <c r="O1025" s="1">
        <v>46099</v>
      </c>
      <c r="P1025" s="2">
        <f t="shared" si="347"/>
        <v>11.282683093771389</v>
      </c>
      <c r="Q1025" s="2" t="str">
        <f t="shared" si="348"/>
        <v>Old</v>
      </c>
      <c r="R1025">
        <f t="shared" si="349"/>
        <v>1200</v>
      </c>
      <c r="S1025" t="str">
        <f t="shared" si="350"/>
        <v>Small</v>
      </c>
      <c r="T1025" t="str">
        <f t="shared" si="351"/>
        <v>Lower EV Adoption Corridor</v>
      </c>
      <c r="U1025" s="3">
        <f t="shared" si="352"/>
        <v>1980000.0000000002</v>
      </c>
      <c r="V1025" s="4">
        <f t="shared" si="353"/>
        <v>480000</v>
      </c>
      <c r="W1025" s="3">
        <f t="shared" si="354"/>
        <v>6000000</v>
      </c>
      <c r="X1025" s="3">
        <f t="shared" si="355"/>
        <v>3600000</v>
      </c>
      <c r="Y1025">
        <f t="shared" si="356"/>
        <v>0.3</v>
      </c>
      <c r="Z1025">
        <f t="shared" si="357"/>
        <v>0.75757575757575757</v>
      </c>
      <c r="AA1025" t="str">
        <f t="shared" si="358"/>
        <v>Tier 4 - Stable Network</v>
      </c>
      <c r="AB1025" s="3">
        <f t="shared" si="359"/>
        <v>60000</v>
      </c>
      <c r="AC1025" s="3">
        <f t="shared" si="360"/>
        <v>750000</v>
      </c>
      <c r="AD1025" s="3">
        <f t="shared" si="361"/>
        <v>247500.00000000003</v>
      </c>
      <c r="AE1025" s="5">
        <f t="shared" si="362"/>
        <v>3.9999999999999996</v>
      </c>
      <c r="AF1025" s="10">
        <f t="shared" si="363"/>
        <v>297600</v>
      </c>
      <c r="AG1025" s="10">
        <f t="shared" si="364"/>
        <v>96000</v>
      </c>
      <c r="AH1025" s="10">
        <f t="shared" si="365"/>
        <v>48000</v>
      </c>
      <c r="AI1025" s="10">
        <f t="shared" si="366"/>
        <v>24000</v>
      </c>
      <c r="AJ1025" s="10">
        <f t="shared" si="367"/>
        <v>14400</v>
      </c>
    </row>
    <row r="1026" spans="1:36" x14ac:dyDescent="0.3">
      <c r="A1026" t="s">
        <v>3987</v>
      </c>
      <c r="B1026" t="s">
        <v>3988</v>
      </c>
      <c r="C1026" t="s">
        <v>2709</v>
      </c>
      <c r="D1026" t="s">
        <v>484</v>
      </c>
      <c r="E1026">
        <v>36037</v>
      </c>
      <c r="F1026" t="s">
        <v>15</v>
      </c>
      <c r="G1026">
        <v>12</v>
      </c>
      <c r="H1026">
        <v>250</v>
      </c>
      <c r="I1026" t="str" cm="1">
        <f t="array" ref="I1026">_xlfn.IFS(H1026&lt;=120,"V1",H1026&lt;=150,"V2",H1026&lt;=250,"V3", H1026&lt;=350, "V4")</f>
        <v>V3</v>
      </c>
      <c r="J1026" t="s">
        <v>3989</v>
      </c>
      <c r="K1026" t="str">
        <f t="shared" si="345"/>
        <v>31.855989</v>
      </c>
      <c r="L1026" t="str">
        <f t="shared" si="346"/>
        <v>-86.635765</v>
      </c>
      <c r="M1026">
        <v>145</v>
      </c>
      <c r="N1026" s="1">
        <v>41979</v>
      </c>
      <c r="O1026" s="1">
        <v>46099</v>
      </c>
      <c r="P1026" s="2">
        <f t="shared" si="347"/>
        <v>11.279945242984258</v>
      </c>
      <c r="Q1026" s="2" t="str">
        <f t="shared" si="348"/>
        <v>Old</v>
      </c>
      <c r="R1026">
        <f t="shared" si="349"/>
        <v>3000</v>
      </c>
      <c r="S1026" t="str">
        <f t="shared" si="350"/>
        <v>Small</v>
      </c>
      <c r="T1026" t="str">
        <f t="shared" si="351"/>
        <v>Lower EV Adoption Corridor</v>
      </c>
      <c r="U1026" s="3">
        <f t="shared" si="352"/>
        <v>5400000</v>
      </c>
      <c r="V1026" s="4">
        <f t="shared" si="353"/>
        <v>1320000</v>
      </c>
      <c r="W1026" s="3">
        <f t="shared" si="354"/>
        <v>18000000</v>
      </c>
      <c r="X1026" s="3">
        <f t="shared" si="355"/>
        <v>9900000</v>
      </c>
      <c r="Y1026">
        <f t="shared" si="356"/>
        <v>0.31515151515151513</v>
      </c>
      <c r="Z1026">
        <f t="shared" si="357"/>
        <v>0.75555555555555554</v>
      </c>
      <c r="AA1026" t="str">
        <f t="shared" si="358"/>
        <v>Tier 2 - Growth Markets</v>
      </c>
      <c r="AB1026" s="3">
        <f t="shared" si="359"/>
        <v>110000</v>
      </c>
      <c r="AC1026" s="3">
        <f t="shared" si="360"/>
        <v>1500000</v>
      </c>
      <c r="AD1026" s="3">
        <f t="shared" si="361"/>
        <v>450000</v>
      </c>
      <c r="AE1026" s="5">
        <f t="shared" si="362"/>
        <v>4.4117647058823533</v>
      </c>
      <c r="AF1026" s="10">
        <f t="shared" si="363"/>
        <v>818400</v>
      </c>
      <c r="AG1026" s="10">
        <f t="shared" si="364"/>
        <v>264000</v>
      </c>
      <c r="AH1026" s="10">
        <f t="shared" si="365"/>
        <v>132000</v>
      </c>
      <c r="AI1026" s="10">
        <f t="shared" si="366"/>
        <v>66000</v>
      </c>
      <c r="AJ1026" s="10">
        <f t="shared" si="367"/>
        <v>39600</v>
      </c>
    </row>
    <row r="1027" spans="1:36" x14ac:dyDescent="0.3">
      <c r="A1027" t="s">
        <v>3990</v>
      </c>
      <c r="B1027" t="s">
        <v>3991</v>
      </c>
      <c r="C1027" t="s">
        <v>593</v>
      </c>
      <c r="D1027" t="s">
        <v>299</v>
      </c>
      <c r="E1027">
        <v>23452</v>
      </c>
      <c r="F1027" t="s">
        <v>15</v>
      </c>
      <c r="G1027">
        <v>8</v>
      </c>
      <c r="H1027">
        <v>250</v>
      </c>
      <c r="I1027" t="str" cm="1">
        <f t="array" ref="I1027">_xlfn.IFS(H1027&lt;=120,"V1",H1027&lt;=150,"V2",H1027&lt;=250,"V3", H1027&lt;=350, "V4")</f>
        <v>V3</v>
      </c>
      <c r="J1027" t="s">
        <v>3992</v>
      </c>
      <c r="K1027" t="str">
        <f t="shared" ref="K1027:K1090" si="368">TRIM(LEFT(J1027, FIND(",", J1027) - 1))</f>
        <v>36.840677</v>
      </c>
      <c r="L1027" t="str">
        <f t="shared" ref="L1027:L1090" si="369">TRIM(MID(J1027, FIND(",", J1027) + 1, LEN(J1027)))</f>
        <v>-76.055615</v>
      </c>
      <c r="M1027">
        <v>4</v>
      </c>
      <c r="N1027" s="1">
        <v>44337</v>
      </c>
      <c r="O1027" s="1">
        <v>46099</v>
      </c>
      <c r="P1027" s="2">
        <f t="shared" ref="P1027:P1090" si="370">(O1027-N1027)/365.25</f>
        <v>4.8240930869267622</v>
      </c>
      <c r="Q1027" s="2" t="str">
        <f t="shared" ref="Q1027:Q1090" si="371">IF(P1027&lt;3,"New",IF(P1027&lt;=8,"Mid","Old"))</f>
        <v>Mid</v>
      </c>
      <c r="R1027">
        <f t="shared" ref="R1027:R1090" si="372">G1027*H1027</f>
        <v>2000</v>
      </c>
      <c r="S1027" t="str">
        <f t="shared" ref="S1027:S1090" si="373">IF(G1027&lt;=30,"Small",IF(G1027&lt;=60,"Medium","Large"))</f>
        <v>Small</v>
      </c>
      <c r="T1027" t="str">
        <f t="shared" ref="T1027:T1090" si="374">IF(OR(D1027="CA",D1027="FL",D1027="WA",D1027="CO",D1027="TX",D1027="NJ"),"High EV Adoption Corridor","Lower EV Adoption Corridor")</f>
        <v>Lower EV Adoption Corridor</v>
      </c>
      <c r="U1027" s="3">
        <f t="shared" ref="U1027:U1090" si="375" xml:space="preserve"> R1027 * 1500 *
  IF(I1027="V1",1,
     IF(I1027="V2",1.1,1.2)) *
  IF(T1027="High EV Adoption Corridor",1.3,1)</f>
        <v>3600000</v>
      </c>
      <c r="V1027" s="4">
        <f t="shared" ref="V1027:V1090" si="376" xml:space="preserve"> R1027 * 400 *
  IF(I1027="V1",0.9,
     IF(I1027="V2",1,1.1)) *
  IF(T1027="High EV Adoption Corridor",1.2,1)</f>
        <v>880000.00000000012</v>
      </c>
      <c r="W1027" s="3">
        <f t="shared" ref="W1027:W1090" si="377" xml:space="preserve"> R1027 * 5000 *
  IF(I1027="V1",0.8,
     IF(I1027="V2",1,1.2)) *
  IF(T1027="High EV Adoption Corridor",1.1,1)</f>
        <v>12000000</v>
      </c>
      <c r="X1027" s="3">
        <f t="shared" ref="X1027:X1090" si="378" xml:space="preserve"> R1027 * 3000 *
  IF(I1027="V1",0.9,
     IF(I1027="V2",1,1.1)) *
  IF(T1027="High EV Adoption Corridor",1.5,1)</f>
        <v>6600000.0000000009</v>
      </c>
      <c r="Y1027">
        <f t="shared" ref="Y1027:Y1090" si="379" xml:space="preserve"> ((W1027/10) + V1027) / X1027</f>
        <v>0.31515151515151513</v>
      </c>
      <c r="Z1027">
        <f t="shared" ref="Z1027:Z1090" si="380">(U1027-V1027)/U1027</f>
        <v>0.75555555555555554</v>
      </c>
      <c r="AA1027" t="str">
        <f t="shared" ref="AA1027:AA1090" si="381">IF(AND(I1027="V3",T1027="High EV Adoption Corridor"),
"Tier 1 - Priority Fleet",
IF(AND(I1027="V3",T1027="Lower EV Adoption Corridor"),
"Tier 2 - Growth Markets",
IF(AND(OR(I1027="V1",I1027="V2"),T1027="High EV Adoption Corridor"),
"Tier 3 - Upgrade Pipeline",
IF(AND(I1027="V2",T1027="Lower EV Adoption Corridor"),
"Tier 4 - Stable Network",
"Tier 5 - Retirement Pipeline"))))</f>
        <v>Tier 2 - Growth Markets</v>
      </c>
      <c r="AB1027" s="3">
        <f t="shared" ref="AB1027:AB1090" si="382">V1027/G1027</f>
        <v>110000.00000000001</v>
      </c>
      <c r="AC1027" s="3">
        <f t="shared" ref="AC1027:AC1090" si="383">W1027/G1027</f>
        <v>1500000</v>
      </c>
      <c r="AD1027" s="3">
        <f t="shared" ref="AD1027:AD1090" si="384">U1027/G1027</f>
        <v>450000</v>
      </c>
      <c r="AE1027" s="5">
        <f t="shared" ref="AE1027:AE1090" si="385">W1027/(U1027-V1027)</f>
        <v>4.4117647058823533</v>
      </c>
      <c r="AF1027" s="10">
        <f t="shared" ref="AF1027:AF1090" si="386">V1027*0.62</f>
        <v>545600.00000000012</v>
      </c>
      <c r="AG1027" s="10">
        <f t="shared" ref="AG1027:AG1090" si="387">V1027*0.2</f>
        <v>176000.00000000003</v>
      </c>
      <c r="AH1027" s="10">
        <f t="shared" ref="AH1027:AH1090" si="388">V1027*0.1</f>
        <v>88000.000000000015</v>
      </c>
      <c r="AI1027" s="10">
        <f t="shared" ref="AI1027:AI1090" si="389">V1027*0.05</f>
        <v>44000.000000000007</v>
      </c>
      <c r="AJ1027" s="10">
        <f t="shared" ref="AJ1027:AJ1090" si="390">V1027*0.03</f>
        <v>26400.000000000004</v>
      </c>
    </row>
    <row r="1028" spans="1:36" x14ac:dyDescent="0.3">
      <c r="A1028" t="s">
        <v>3993</v>
      </c>
      <c r="B1028" t="s">
        <v>3994</v>
      </c>
      <c r="C1028" t="s">
        <v>3995</v>
      </c>
      <c r="D1028" t="s">
        <v>230</v>
      </c>
      <c r="E1028">
        <v>98926</v>
      </c>
      <c r="F1028" t="s">
        <v>15</v>
      </c>
      <c r="G1028">
        <v>5</v>
      </c>
      <c r="H1028">
        <v>150</v>
      </c>
      <c r="I1028" t="str" cm="1">
        <f t="array" ref="I1028">_xlfn.IFS(H1028&lt;=120,"V1",H1028&lt;=150,"V2",H1028&lt;=250,"V3", H1028&lt;=350, "V4")</f>
        <v>V2</v>
      </c>
      <c r="J1028" t="s">
        <v>3996</v>
      </c>
      <c r="K1028" t="str">
        <f t="shared" si="368"/>
        <v>46.976918</v>
      </c>
      <c r="L1028" t="str">
        <f t="shared" si="369"/>
        <v>-120.54162</v>
      </c>
      <c r="M1028">
        <v>454</v>
      </c>
      <c r="N1028" s="1">
        <v>41631</v>
      </c>
      <c r="O1028" s="1">
        <v>46099</v>
      </c>
      <c r="P1028" s="2">
        <f t="shared" si="370"/>
        <v>12.232717316906228</v>
      </c>
      <c r="Q1028" s="2" t="str">
        <f t="shared" si="371"/>
        <v>Old</v>
      </c>
      <c r="R1028">
        <f t="shared" si="372"/>
        <v>750</v>
      </c>
      <c r="S1028" t="str">
        <f t="shared" si="373"/>
        <v>Small</v>
      </c>
      <c r="T1028" t="str">
        <f t="shared" si="374"/>
        <v>High EV Adoption Corridor</v>
      </c>
      <c r="U1028" s="3">
        <f t="shared" si="375"/>
        <v>1608750</v>
      </c>
      <c r="V1028" s="4">
        <f t="shared" si="376"/>
        <v>360000</v>
      </c>
      <c r="W1028" s="3">
        <f t="shared" si="377"/>
        <v>4125000.0000000005</v>
      </c>
      <c r="X1028" s="3">
        <f t="shared" si="378"/>
        <v>3375000</v>
      </c>
      <c r="Y1028">
        <f t="shared" si="379"/>
        <v>0.22888888888888889</v>
      </c>
      <c r="Z1028">
        <f t="shared" si="380"/>
        <v>0.77622377622377625</v>
      </c>
      <c r="AA1028" t="str">
        <f t="shared" si="381"/>
        <v>Tier 3 - Upgrade Pipeline</v>
      </c>
      <c r="AB1028" s="3">
        <f t="shared" si="382"/>
        <v>72000</v>
      </c>
      <c r="AC1028" s="3">
        <f t="shared" si="383"/>
        <v>825000.00000000012</v>
      </c>
      <c r="AD1028" s="3">
        <f t="shared" si="384"/>
        <v>321750</v>
      </c>
      <c r="AE1028" s="5">
        <f t="shared" si="385"/>
        <v>3.3033033033033035</v>
      </c>
      <c r="AF1028" s="10">
        <f t="shared" si="386"/>
        <v>223200</v>
      </c>
      <c r="AG1028" s="10">
        <f t="shared" si="387"/>
        <v>72000</v>
      </c>
      <c r="AH1028" s="10">
        <f t="shared" si="388"/>
        <v>36000</v>
      </c>
      <c r="AI1028" s="10">
        <f t="shared" si="389"/>
        <v>18000</v>
      </c>
      <c r="AJ1028" s="10">
        <f t="shared" si="390"/>
        <v>10800</v>
      </c>
    </row>
    <row r="1029" spans="1:36" x14ac:dyDescent="0.3">
      <c r="A1029" t="s">
        <v>3997</v>
      </c>
      <c r="B1029" t="s">
        <v>3998</v>
      </c>
      <c r="C1029" t="s">
        <v>220</v>
      </c>
      <c r="D1029" t="s">
        <v>14</v>
      </c>
      <c r="E1029">
        <v>96161</v>
      </c>
      <c r="F1029" t="s">
        <v>15</v>
      </c>
      <c r="G1029">
        <v>8</v>
      </c>
      <c r="H1029">
        <v>150</v>
      </c>
      <c r="I1029" t="str" cm="1">
        <f t="array" ref="I1029">_xlfn.IFS(H1029&lt;=120,"V1",H1029&lt;=150,"V2",H1029&lt;=250,"V3", H1029&lt;=350, "V4")</f>
        <v>V2</v>
      </c>
      <c r="J1029" t="s">
        <v>3999</v>
      </c>
      <c r="K1029" t="str">
        <f t="shared" si="368"/>
        <v>39.321865</v>
      </c>
      <c r="L1029" t="str">
        <f t="shared" si="369"/>
        <v>-120.1621</v>
      </c>
      <c r="M1029">
        <v>1801</v>
      </c>
      <c r="N1029" s="1">
        <v>42300</v>
      </c>
      <c r="O1029" s="1">
        <v>46099</v>
      </c>
      <c r="P1029" s="2">
        <f t="shared" si="370"/>
        <v>10.401095140314853</v>
      </c>
      <c r="Q1029" s="2" t="str">
        <f t="shared" si="371"/>
        <v>Old</v>
      </c>
      <c r="R1029">
        <f t="shared" si="372"/>
        <v>1200</v>
      </c>
      <c r="S1029" t="str">
        <f t="shared" si="373"/>
        <v>Small</v>
      </c>
      <c r="T1029" t="str">
        <f t="shared" si="374"/>
        <v>High EV Adoption Corridor</v>
      </c>
      <c r="U1029" s="3">
        <f t="shared" si="375"/>
        <v>2574000.0000000005</v>
      </c>
      <c r="V1029" s="4">
        <f t="shared" si="376"/>
        <v>576000</v>
      </c>
      <c r="W1029" s="3">
        <f t="shared" si="377"/>
        <v>6600000.0000000009</v>
      </c>
      <c r="X1029" s="3">
        <f t="shared" si="378"/>
        <v>5400000</v>
      </c>
      <c r="Y1029">
        <f t="shared" si="379"/>
        <v>0.22888888888888889</v>
      </c>
      <c r="Z1029">
        <f t="shared" si="380"/>
        <v>0.77622377622377625</v>
      </c>
      <c r="AA1029" t="str">
        <f t="shared" si="381"/>
        <v>Tier 3 - Upgrade Pipeline</v>
      </c>
      <c r="AB1029" s="3">
        <f t="shared" si="382"/>
        <v>72000</v>
      </c>
      <c r="AC1029" s="3">
        <f t="shared" si="383"/>
        <v>825000.00000000012</v>
      </c>
      <c r="AD1029" s="3">
        <f t="shared" si="384"/>
        <v>321750.00000000006</v>
      </c>
      <c r="AE1029" s="5">
        <f t="shared" si="385"/>
        <v>3.303303303303303</v>
      </c>
      <c r="AF1029" s="10">
        <f t="shared" si="386"/>
        <v>357120</v>
      </c>
      <c r="AG1029" s="10">
        <f t="shared" si="387"/>
        <v>115200</v>
      </c>
      <c r="AH1029" s="10">
        <f t="shared" si="388"/>
        <v>57600</v>
      </c>
      <c r="AI1029" s="10">
        <f t="shared" si="389"/>
        <v>28800</v>
      </c>
      <c r="AJ1029" s="10">
        <f t="shared" si="390"/>
        <v>17280</v>
      </c>
    </row>
    <row r="1030" spans="1:36" x14ac:dyDescent="0.3">
      <c r="A1030" t="s">
        <v>4000</v>
      </c>
      <c r="B1030" t="s">
        <v>4001</v>
      </c>
      <c r="C1030" t="s">
        <v>4002</v>
      </c>
      <c r="D1030" t="s">
        <v>184</v>
      </c>
      <c r="E1030">
        <v>44056</v>
      </c>
      <c r="F1030" t="s">
        <v>15</v>
      </c>
      <c r="G1030">
        <v>6</v>
      </c>
      <c r="H1030">
        <v>150</v>
      </c>
      <c r="I1030" t="str" cm="1">
        <f t="array" ref="I1030">_xlfn.IFS(H1030&lt;=120,"V1",H1030&lt;=150,"V2",H1030&lt;=250,"V3", H1030&lt;=350, "V4")</f>
        <v>V2</v>
      </c>
      <c r="J1030" t="s">
        <v>4003</v>
      </c>
      <c r="K1030" t="str">
        <f t="shared" si="368"/>
        <v>41.313663</v>
      </c>
      <c r="L1030" t="str">
        <f t="shared" si="369"/>
        <v>-81.517018</v>
      </c>
      <c r="M1030">
        <v>296</v>
      </c>
      <c r="N1030" s="1">
        <v>41654</v>
      </c>
      <c r="O1030" s="1">
        <v>46099</v>
      </c>
      <c r="P1030" s="2">
        <f t="shared" si="370"/>
        <v>12.16974674880219</v>
      </c>
      <c r="Q1030" s="2" t="str">
        <f t="shared" si="371"/>
        <v>Old</v>
      </c>
      <c r="R1030">
        <f t="shared" si="372"/>
        <v>900</v>
      </c>
      <c r="S1030" t="str">
        <f t="shared" si="373"/>
        <v>Small</v>
      </c>
      <c r="T1030" t="str">
        <f t="shared" si="374"/>
        <v>Lower EV Adoption Corridor</v>
      </c>
      <c r="U1030" s="3">
        <f t="shared" si="375"/>
        <v>1485000.0000000002</v>
      </c>
      <c r="V1030" s="4">
        <f t="shared" si="376"/>
        <v>360000</v>
      </c>
      <c r="W1030" s="3">
        <f t="shared" si="377"/>
        <v>4500000</v>
      </c>
      <c r="X1030" s="3">
        <f t="shared" si="378"/>
        <v>2700000</v>
      </c>
      <c r="Y1030">
        <f t="shared" si="379"/>
        <v>0.3</v>
      </c>
      <c r="Z1030">
        <f t="shared" si="380"/>
        <v>0.75757575757575757</v>
      </c>
      <c r="AA1030" t="str">
        <f t="shared" si="381"/>
        <v>Tier 4 - Stable Network</v>
      </c>
      <c r="AB1030" s="3">
        <f t="shared" si="382"/>
        <v>60000</v>
      </c>
      <c r="AC1030" s="3">
        <f t="shared" si="383"/>
        <v>750000</v>
      </c>
      <c r="AD1030" s="3">
        <f t="shared" si="384"/>
        <v>247500.00000000003</v>
      </c>
      <c r="AE1030" s="5">
        <f t="shared" si="385"/>
        <v>3.9999999999999991</v>
      </c>
      <c r="AF1030" s="10">
        <f t="shared" si="386"/>
        <v>223200</v>
      </c>
      <c r="AG1030" s="10">
        <f t="shared" si="387"/>
        <v>72000</v>
      </c>
      <c r="AH1030" s="10">
        <f t="shared" si="388"/>
        <v>36000</v>
      </c>
      <c r="AI1030" s="10">
        <f t="shared" si="389"/>
        <v>18000</v>
      </c>
      <c r="AJ1030" s="10">
        <f t="shared" si="390"/>
        <v>10800</v>
      </c>
    </row>
    <row r="1031" spans="1:36" x14ac:dyDescent="0.3">
      <c r="A1031" t="s">
        <v>4004</v>
      </c>
      <c r="B1031" t="s">
        <v>4005</v>
      </c>
      <c r="C1031" t="s">
        <v>4006</v>
      </c>
      <c r="D1031" t="s">
        <v>153</v>
      </c>
      <c r="E1031">
        <v>16803</v>
      </c>
      <c r="F1031" t="s">
        <v>15</v>
      </c>
      <c r="G1031">
        <v>8</v>
      </c>
      <c r="H1031">
        <v>250</v>
      </c>
      <c r="I1031" t="str" cm="1">
        <f t="array" ref="I1031">_xlfn.IFS(H1031&lt;=120,"V1",H1031&lt;=150,"V2",H1031&lt;=250,"V3", H1031&lt;=350, "V4")</f>
        <v>V3</v>
      </c>
      <c r="J1031" t="s">
        <v>4007</v>
      </c>
      <c r="K1031" t="str">
        <f t="shared" si="368"/>
        <v>40.815605</v>
      </c>
      <c r="L1031" t="str">
        <f t="shared" si="369"/>
        <v>-77.901757</v>
      </c>
      <c r="M1031">
        <v>373</v>
      </c>
      <c r="N1031" s="1">
        <v>44260</v>
      </c>
      <c r="O1031" s="1">
        <v>46099</v>
      </c>
      <c r="P1031" s="2">
        <f t="shared" si="370"/>
        <v>5.0349075975359341</v>
      </c>
      <c r="Q1031" s="2" t="str">
        <f t="shared" si="371"/>
        <v>Mid</v>
      </c>
      <c r="R1031">
        <f t="shared" si="372"/>
        <v>2000</v>
      </c>
      <c r="S1031" t="str">
        <f t="shared" si="373"/>
        <v>Small</v>
      </c>
      <c r="T1031" t="str">
        <f t="shared" si="374"/>
        <v>Lower EV Adoption Corridor</v>
      </c>
      <c r="U1031" s="3">
        <f t="shared" si="375"/>
        <v>3600000</v>
      </c>
      <c r="V1031" s="4">
        <f t="shared" si="376"/>
        <v>880000.00000000012</v>
      </c>
      <c r="W1031" s="3">
        <f t="shared" si="377"/>
        <v>12000000</v>
      </c>
      <c r="X1031" s="3">
        <f t="shared" si="378"/>
        <v>6600000.0000000009</v>
      </c>
      <c r="Y1031">
        <f t="shared" si="379"/>
        <v>0.31515151515151513</v>
      </c>
      <c r="Z1031">
        <f t="shared" si="380"/>
        <v>0.75555555555555554</v>
      </c>
      <c r="AA1031" t="str">
        <f t="shared" si="381"/>
        <v>Tier 2 - Growth Markets</v>
      </c>
      <c r="AB1031" s="3">
        <f t="shared" si="382"/>
        <v>110000.00000000001</v>
      </c>
      <c r="AC1031" s="3">
        <f t="shared" si="383"/>
        <v>1500000</v>
      </c>
      <c r="AD1031" s="3">
        <f t="shared" si="384"/>
        <v>450000</v>
      </c>
      <c r="AE1031" s="5">
        <f t="shared" si="385"/>
        <v>4.4117647058823533</v>
      </c>
      <c r="AF1031" s="10">
        <f t="shared" si="386"/>
        <v>545600.00000000012</v>
      </c>
      <c r="AG1031" s="10">
        <f t="shared" si="387"/>
        <v>176000.00000000003</v>
      </c>
      <c r="AH1031" s="10">
        <f t="shared" si="388"/>
        <v>88000.000000000015</v>
      </c>
      <c r="AI1031" s="10">
        <f t="shared" si="389"/>
        <v>44000.000000000007</v>
      </c>
      <c r="AJ1031" s="10">
        <f t="shared" si="390"/>
        <v>26400.000000000004</v>
      </c>
    </row>
    <row r="1032" spans="1:36" x14ac:dyDescent="0.3">
      <c r="A1032" t="s">
        <v>4008</v>
      </c>
      <c r="B1032" t="s">
        <v>4009</v>
      </c>
      <c r="C1032" t="s">
        <v>856</v>
      </c>
      <c r="D1032" t="s">
        <v>59</v>
      </c>
      <c r="E1032">
        <v>62711</v>
      </c>
      <c r="F1032" t="s">
        <v>15</v>
      </c>
      <c r="G1032">
        <v>8</v>
      </c>
      <c r="H1032">
        <v>150</v>
      </c>
      <c r="I1032" t="str" cm="1">
        <f t="array" ref="I1032">_xlfn.IFS(H1032&lt;=120,"V1",H1032&lt;=150,"V2",H1032&lt;=250,"V3", H1032&lt;=350, "V4")</f>
        <v>V2</v>
      </c>
      <c r="J1032" t="s">
        <v>4010</v>
      </c>
      <c r="K1032" t="str">
        <f t="shared" si="368"/>
        <v>39.748868</v>
      </c>
      <c r="L1032" t="str">
        <f t="shared" si="369"/>
        <v>-89.67119</v>
      </c>
      <c r="M1032">
        <v>184</v>
      </c>
      <c r="N1032" s="1">
        <v>42013</v>
      </c>
      <c r="O1032" s="1">
        <v>46099</v>
      </c>
      <c r="P1032" s="2">
        <f t="shared" si="370"/>
        <v>11.186858316221766</v>
      </c>
      <c r="Q1032" s="2" t="str">
        <f t="shared" si="371"/>
        <v>Old</v>
      </c>
      <c r="R1032">
        <f t="shared" si="372"/>
        <v>1200</v>
      </c>
      <c r="S1032" t="str">
        <f t="shared" si="373"/>
        <v>Small</v>
      </c>
      <c r="T1032" t="str">
        <f t="shared" si="374"/>
        <v>Lower EV Adoption Corridor</v>
      </c>
      <c r="U1032" s="3">
        <f t="shared" si="375"/>
        <v>1980000.0000000002</v>
      </c>
      <c r="V1032" s="4">
        <f t="shared" si="376"/>
        <v>480000</v>
      </c>
      <c r="W1032" s="3">
        <f t="shared" si="377"/>
        <v>6000000</v>
      </c>
      <c r="X1032" s="3">
        <f t="shared" si="378"/>
        <v>3600000</v>
      </c>
      <c r="Y1032">
        <f t="shared" si="379"/>
        <v>0.3</v>
      </c>
      <c r="Z1032">
        <f t="shared" si="380"/>
        <v>0.75757575757575757</v>
      </c>
      <c r="AA1032" t="str">
        <f t="shared" si="381"/>
        <v>Tier 4 - Stable Network</v>
      </c>
      <c r="AB1032" s="3">
        <f t="shared" si="382"/>
        <v>60000</v>
      </c>
      <c r="AC1032" s="3">
        <f t="shared" si="383"/>
        <v>750000</v>
      </c>
      <c r="AD1032" s="3">
        <f t="shared" si="384"/>
        <v>247500.00000000003</v>
      </c>
      <c r="AE1032" s="5">
        <f t="shared" si="385"/>
        <v>3.9999999999999996</v>
      </c>
      <c r="AF1032" s="10">
        <f t="shared" si="386"/>
        <v>297600</v>
      </c>
      <c r="AG1032" s="10">
        <f t="shared" si="387"/>
        <v>96000</v>
      </c>
      <c r="AH1032" s="10">
        <f t="shared" si="388"/>
        <v>48000</v>
      </c>
      <c r="AI1032" s="10">
        <f t="shared" si="389"/>
        <v>24000</v>
      </c>
      <c r="AJ1032" s="10">
        <f t="shared" si="390"/>
        <v>14400</v>
      </c>
    </row>
    <row r="1033" spans="1:36" x14ac:dyDescent="0.3">
      <c r="A1033" t="s">
        <v>4011</v>
      </c>
      <c r="B1033" t="s">
        <v>4012</v>
      </c>
      <c r="C1033" t="s">
        <v>3506</v>
      </c>
      <c r="D1033" t="s">
        <v>268</v>
      </c>
      <c r="E1033">
        <v>80498</v>
      </c>
      <c r="F1033" t="s">
        <v>15</v>
      </c>
      <c r="G1033">
        <v>8</v>
      </c>
      <c r="H1033">
        <v>250</v>
      </c>
      <c r="I1033" t="str" cm="1">
        <f t="array" ref="I1033">_xlfn.IFS(H1033&lt;=120,"V1",H1033&lt;=150,"V2",H1033&lt;=250,"V3", H1033&lt;=350, "V4")</f>
        <v>V3</v>
      </c>
      <c r="J1033" t="s">
        <v>4013</v>
      </c>
      <c r="K1033" t="str">
        <f t="shared" si="368"/>
        <v>39.645998</v>
      </c>
      <c r="L1033" t="str">
        <f t="shared" si="369"/>
        <v>-106.079617</v>
      </c>
      <c r="M1033">
        <v>2654</v>
      </c>
      <c r="N1033" s="1">
        <v>44380</v>
      </c>
      <c r="O1033" s="1">
        <v>46099</v>
      </c>
      <c r="P1033" s="2">
        <f t="shared" si="370"/>
        <v>4.7063655030800824</v>
      </c>
      <c r="Q1033" s="2" t="str">
        <f t="shared" si="371"/>
        <v>Mid</v>
      </c>
      <c r="R1033">
        <f t="shared" si="372"/>
        <v>2000</v>
      </c>
      <c r="S1033" t="str">
        <f t="shared" si="373"/>
        <v>Small</v>
      </c>
      <c r="T1033" t="str">
        <f t="shared" si="374"/>
        <v>High EV Adoption Corridor</v>
      </c>
      <c r="U1033" s="3">
        <f t="shared" si="375"/>
        <v>4680000</v>
      </c>
      <c r="V1033" s="4">
        <f t="shared" si="376"/>
        <v>1056000</v>
      </c>
      <c r="W1033" s="3">
        <f t="shared" si="377"/>
        <v>13200000.000000002</v>
      </c>
      <c r="X1033" s="3">
        <f t="shared" si="378"/>
        <v>9900000.0000000019</v>
      </c>
      <c r="Y1033">
        <f t="shared" si="379"/>
        <v>0.23999999999999996</v>
      </c>
      <c r="Z1033">
        <f t="shared" si="380"/>
        <v>0.77435897435897438</v>
      </c>
      <c r="AA1033" t="str">
        <f t="shared" si="381"/>
        <v>Tier 1 - Priority Fleet</v>
      </c>
      <c r="AB1033" s="3">
        <f t="shared" si="382"/>
        <v>132000</v>
      </c>
      <c r="AC1033" s="3">
        <f t="shared" si="383"/>
        <v>1650000.0000000002</v>
      </c>
      <c r="AD1033" s="3">
        <f t="shared" si="384"/>
        <v>585000</v>
      </c>
      <c r="AE1033" s="5">
        <f t="shared" si="385"/>
        <v>3.6423841059602653</v>
      </c>
      <c r="AF1033" s="10">
        <f t="shared" si="386"/>
        <v>654720</v>
      </c>
      <c r="AG1033" s="10">
        <f t="shared" si="387"/>
        <v>211200</v>
      </c>
      <c r="AH1033" s="10">
        <f t="shared" si="388"/>
        <v>105600</v>
      </c>
      <c r="AI1033" s="10">
        <f t="shared" si="389"/>
        <v>52800</v>
      </c>
      <c r="AJ1033" s="10">
        <f t="shared" si="390"/>
        <v>31680</v>
      </c>
    </row>
    <row r="1034" spans="1:36" x14ac:dyDescent="0.3">
      <c r="A1034" t="s">
        <v>4014</v>
      </c>
      <c r="B1034" t="s">
        <v>4015</v>
      </c>
      <c r="C1034" t="s">
        <v>4016</v>
      </c>
      <c r="D1034" t="s">
        <v>852</v>
      </c>
      <c r="E1034">
        <v>8002</v>
      </c>
      <c r="F1034" t="s">
        <v>15</v>
      </c>
      <c r="G1034">
        <v>8</v>
      </c>
      <c r="H1034">
        <v>250</v>
      </c>
      <c r="I1034" t="str" cm="1">
        <f t="array" ref="I1034">_xlfn.IFS(H1034&lt;=120,"V1",H1034&lt;=150,"V2",H1034&lt;=250,"V3", H1034&lt;=350, "V4")</f>
        <v>V3</v>
      </c>
      <c r="J1034" t="s">
        <v>4017</v>
      </c>
      <c r="K1034" t="str">
        <f t="shared" si="368"/>
        <v>39.925886</v>
      </c>
      <c r="L1034" t="str">
        <f t="shared" si="369"/>
        <v>-75.032423</v>
      </c>
      <c r="M1034">
        <v>9</v>
      </c>
      <c r="N1034" s="1">
        <v>44337</v>
      </c>
      <c r="O1034" s="1">
        <v>46099</v>
      </c>
      <c r="P1034" s="2">
        <f t="shared" si="370"/>
        <v>4.8240930869267622</v>
      </c>
      <c r="Q1034" s="2" t="str">
        <f t="shared" si="371"/>
        <v>Mid</v>
      </c>
      <c r="R1034">
        <f t="shared" si="372"/>
        <v>2000</v>
      </c>
      <c r="S1034" t="str">
        <f t="shared" si="373"/>
        <v>Small</v>
      </c>
      <c r="T1034" t="str">
        <f t="shared" si="374"/>
        <v>High EV Adoption Corridor</v>
      </c>
      <c r="U1034" s="3">
        <f t="shared" si="375"/>
        <v>4680000</v>
      </c>
      <c r="V1034" s="4">
        <f t="shared" si="376"/>
        <v>1056000</v>
      </c>
      <c r="W1034" s="3">
        <f t="shared" si="377"/>
        <v>13200000.000000002</v>
      </c>
      <c r="X1034" s="3">
        <f t="shared" si="378"/>
        <v>9900000.0000000019</v>
      </c>
      <c r="Y1034">
        <f t="shared" si="379"/>
        <v>0.23999999999999996</v>
      </c>
      <c r="Z1034">
        <f t="shared" si="380"/>
        <v>0.77435897435897438</v>
      </c>
      <c r="AA1034" t="str">
        <f t="shared" si="381"/>
        <v>Tier 1 - Priority Fleet</v>
      </c>
      <c r="AB1034" s="3">
        <f t="shared" si="382"/>
        <v>132000</v>
      </c>
      <c r="AC1034" s="3">
        <f t="shared" si="383"/>
        <v>1650000.0000000002</v>
      </c>
      <c r="AD1034" s="3">
        <f t="shared" si="384"/>
        <v>585000</v>
      </c>
      <c r="AE1034" s="5">
        <f t="shared" si="385"/>
        <v>3.6423841059602653</v>
      </c>
      <c r="AF1034" s="10">
        <f t="shared" si="386"/>
        <v>654720</v>
      </c>
      <c r="AG1034" s="10">
        <f t="shared" si="387"/>
        <v>211200</v>
      </c>
      <c r="AH1034" s="10">
        <f t="shared" si="388"/>
        <v>105600</v>
      </c>
      <c r="AI1034" s="10">
        <f t="shared" si="389"/>
        <v>52800</v>
      </c>
      <c r="AJ1034" s="10">
        <f t="shared" si="390"/>
        <v>31680</v>
      </c>
    </row>
    <row r="1035" spans="1:36" x14ac:dyDescent="0.3">
      <c r="A1035" t="s">
        <v>4018</v>
      </c>
      <c r="B1035" t="s">
        <v>4019</v>
      </c>
      <c r="C1035" t="s">
        <v>307</v>
      </c>
      <c r="D1035" t="s">
        <v>14</v>
      </c>
      <c r="E1035">
        <v>95123</v>
      </c>
      <c r="F1035" t="s">
        <v>15</v>
      </c>
      <c r="G1035">
        <v>24</v>
      </c>
      <c r="H1035">
        <v>250</v>
      </c>
      <c r="I1035" t="str" cm="1">
        <f t="array" ref="I1035">_xlfn.IFS(H1035&lt;=120,"V1",H1035&lt;=150,"V2",H1035&lt;=250,"V3", H1035&lt;=350, "V4")</f>
        <v>V3</v>
      </c>
      <c r="J1035" t="s">
        <v>4020</v>
      </c>
      <c r="K1035" t="str">
        <f t="shared" si="368"/>
        <v>37.250854</v>
      </c>
      <c r="L1035" t="str">
        <f t="shared" si="369"/>
        <v>-121.860731</v>
      </c>
      <c r="M1035">
        <v>55</v>
      </c>
      <c r="N1035" s="1">
        <v>44371</v>
      </c>
      <c r="O1035" s="1">
        <v>46099</v>
      </c>
      <c r="P1035" s="2">
        <f t="shared" si="370"/>
        <v>4.731006160164271</v>
      </c>
      <c r="Q1035" s="2" t="str">
        <f t="shared" si="371"/>
        <v>Mid</v>
      </c>
      <c r="R1035">
        <f t="shared" si="372"/>
        <v>6000</v>
      </c>
      <c r="S1035" t="str">
        <f t="shared" si="373"/>
        <v>Small</v>
      </c>
      <c r="T1035" t="str">
        <f t="shared" si="374"/>
        <v>High EV Adoption Corridor</v>
      </c>
      <c r="U1035" s="3">
        <f t="shared" si="375"/>
        <v>14040000</v>
      </c>
      <c r="V1035" s="4">
        <f t="shared" si="376"/>
        <v>3168000</v>
      </c>
      <c r="W1035" s="3">
        <f t="shared" si="377"/>
        <v>39600000</v>
      </c>
      <c r="X1035" s="3">
        <f t="shared" si="378"/>
        <v>29700000</v>
      </c>
      <c r="Y1035">
        <f t="shared" si="379"/>
        <v>0.24</v>
      </c>
      <c r="Z1035">
        <f t="shared" si="380"/>
        <v>0.77435897435897438</v>
      </c>
      <c r="AA1035" t="str">
        <f t="shared" si="381"/>
        <v>Tier 1 - Priority Fleet</v>
      </c>
      <c r="AB1035" s="3">
        <f t="shared" si="382"/>
        <v>132000</v>
      </c>
      <c r="AC1035" s="3">
        <f t="shared" si="383"/>
        <v>1650000</v>
      </c>
      <c r="AD1035" s="3">
        <f t="shared" si="384"/>
        <v>585000</v>
      </c>
      <c r="AE1035" s="5">
        <f t="shared" si="385"/>
        <v>3.6423841059602649</v>
      </c>
      <c r="AF1035" s="10">
        <f t="shared" si="386"/>
        <v>1964160</v>
      </c>
      <c r="AG1035" s="10">
        <f t="shared" si="387"/>
        <v>633600</v>
      </c>
      <c r="AH1035" s="10">
        <f t="shared" si="388"/>
        <v>316800</v>
      </c>
      <c r="AI1035" s="10">
        <f t="shared" si="389"/>
        <v>158400</v>
      </c>
      <c r="AJ1035" s="10">
        <f t="shared" si="390"/>
        <v>95040</v>
      </c>
    </row>
    <row r="1036" spans="1:36" x14ac:dyDescent="0.3">
      <c r="A1036" t="s">
        <v>4021</v>
      </c>
      <c r="B1036" t="s">
        <v>4022</v>
      </c>
      <c r="C1036" t="s">
        <v>777</v>
      </c>
      <c r="D1036" t="s">
        <v>184</v>
      </c>
      <c r="E1036">
        <v>45804</v>
      </c>
      <c r="F1036" t="s">
        <v>15</v>
      </c>
      <c r="G1036">
        <v>8</v>
      </c>
      <c r="H1036">
        <v>150</v>
      </c>
      <c r="I1036" t="str" cm="1">
        <f t="array" ref="I1036">_xlfn.IFS(H1036&lt;=120,"V1",H1036&lt;=150,"V2",H1036&lt;=250,"V3", H1036&lt;=350, "V4")</f>
        <v>V2</v>
      </c>
      <c r="J1036" t="s">
        <v>4023</v>
      </c>
      <c r="K1036" t="str">
        <f t="shared" si="368"/>
        <v>40.726668</v>
      </c>
      <c r="L1036" t="str">
        <f t="shared" si="369"/>
        <v>-84.071932</v>
      </c>
      <c r="M1036">
        <v>271</v>
      </c>
      <c r="N1036" s="1">
        <v>41996</v>
      </c>
      <c r="O1036" s="1">
        <v>46099</v>
      </c>
      <c r="P1036" s="2">
        <f t="shared" si="370"/>
        <v>11.233401779603012</v>
      </c>
      <c r="Q1036" s="2" t="str">
        <f t="shared" si="371"/>
        <v>Old</v>
      </c>
      <c r="R1036">
        <f t="shared" si="372"/>
        <v>1200</v>
      </c>
      <c r="S1036" t="str">
        <f t="shared" si="373"/>
        <v>Small</v>
      </c>
      <c r="T1036" t="str">
        <f t="shared" si="374"/>
        <v>Lower EV Adoption Corridor</v>
      </c>
      <c r="U1036" s="3">
        <f t="shared" si="375"/>
        <v>1980000.0000000002</v>
      </c>
      <c r="V1036" s="4">
        <f t="shared" si="376"/>
        <v>480000</v>
      </c>
      <c r="W1036" s="3">
        <f t="shared" si="377"/>
        <v>6000000</v>
      </c>
      <c r="X1036" s="3">
        <f t="shared" si="378"/>
        <v>3600000</v>
      </c>
      <c r="Y1036">
        <f t="shared" si="379"/>
        <v>0.3</v>
      </c>
      <c r="Z1036">
        <f t="shared" si="380"/>
        <v>0.75757575757575757</v>
      </c>
      <c r="AA1036" t="str">
        <f t="shared" si="381"/>
        <v>Tier 4 - Stable Network</v>
      </c>
      <c r="AB1036" s="3">
        <f t="shared" si="382"/>
        <v>60000</v>
      </c>
      <c r="AC1036" s="3">
        <f t="shared" si="383"/>
        <v>750000</v>
      </c>
      <c r="AD1036" s="3">
        <f t="shared" si="384"/>
        <v>247500.00000000003</v>
      </c>
      <c r="AE1036" s="5">
        <f t="shared" si="385"/>
        <v>3.9999999999999996</v>
      </c>
      <c r="AF1036" s="10">
        <f t="shared" si="386"/>
        <v>297600</v>
      </c>
      <c r="AG1036" s="10">
        <f t="shared" si="387"/>
        <v>96000</v>
      </c>
      <c r="AH1036" s="10">
        <f t="shared" si="388"/>
        <v>48000</v>
      </c>
      <c r="AI1036" s="10">
        <f t="shared" si="389"/>
        <v>24000</v>
      </c>
      <c r="AJ1036" s="10">
        <f t="shared" si="390"/>
        <v>14400</v>
      </c>
    </row>
    <row r="1037" spans="1:36" x14ac:dyDescent="0.3">
      <c r="A1037" t="s">
        <v>4024</v>
      </c>
      <c r="B1037" t="s">
        <v>4025</v>
      </c>
      <c r="C1037" t="s">
        <v>4026</v>
      </c>
      <c r="D1037" t="s">
        <v>428</v>
      </c>
      <c r="E1037">
        <v>3874</v>
      </c>
      <c r="F1037" t="s">
        <v>15</v>
      </c>
      <c r="G1037">
        <v>8</v>
      </c>
      <c r="H1037">
        <v>150</v>
      </c>
      <c r="I1037" t="str" cm="1">
        <f t="array" ref="I1037">_xlfn.IFS(H1037&lt;=120,"V1",H1037&lt;=150,"V2",H1037&lt;=250,"V3", H1037&lt;=350, "V4")</f>
        <v>V2</v>
      </c>
      <c r="J1037" t="s">
        <v>4027</v>
      </c>
      <c r="K1037" t="str">
        <f t="shared" si="368"/>
        <v>42.895182</v>
      </c>
      <c r="L1037" t="str">
        <f t="shared" si="369"/>
        <v>-70.869351</v>
      </c>
      <c r="M1037">
        <v>16</v>
      </c>
      <c r="N1037" s="1">
        <v>42286</v>
      </c>
      <c r="O1037" s="1">
        <v>46099</v>
      </c>
      <c r="P1037" s="2">
        <f t="shared" si="370"/>
        <v>10.439425051334702</v>
      </c>
      <c r="Q1037" s="2" t="str">
        <f t="shared" si="371"/>
        <v>Old</v>
      </c>
      <c r="R1037">
        <f t="shared" si="372"/>
        <v>1200</v>
      </c>
      <c r="S1037" t="str">
        <f t="shared" si="373"/>
        <v>Small</v>
      </c>
      <c r="T1037" t="str">
        <f t="shared" si="374"/>
        <v>Lower EV Adoption Corridor</v>
      </c>
      <c r="U1037" s="3">
        <f t="shared" si="375"/>
        <v>1980000.0000000002</v>
      </c>
      <c r="V1037" s="4">
        <f t="shared" si="376"/>
        <v>480000</v>
      </c>
      <c r="W1037" s="3">
        <f t="shared" si="377"/>
        <v>6000000</v>
      </c>
      <c r="X1037" s="3">
        <f t="shared" si="378"/>
        <v>3600000</v>
      </c>
      <c r="Y1037">
        <f t="shared" si="379"/>
        <v>0.3</v>
      </c>
      <c r="Z1037">
        <f t="shared" si="380"/>
        <v>0.75757575757575757</v>
      </c>
      <c r="AA1037" t="str">
        <f t="shared" si="381"/>
        <v>Tier 4 - Stable Network</v>
      </c>
      <c r="AB1037" s="3">
        <f t="shared" si="382"/>
        <v>60000</v>
      </c>
      <c r="AC1037" s="3">
        <f t="shared" si="383"/>
        <v>750000</v>
      </c>
      <c r="AD1037" s="3">
        <f t="shared" si="384"/>
        <v>247500.00000000003</v>
      </c>
      <c r="AE1037" s="5">
        <f t="shared" si="385"/>
        <v>3.9999999999999996</v>
      </c>
      <c r="AF1037" s="10">
        <f t="shared" si="386"/>
        <v>297600</v>
      </c>
      <c r="AG1037" s="10">
        <f t="shared" si="387"/>
        <v>96000</v>
      </c>
      <c r="AH1037" s="10">
        <f t="shared" si="388"/>
        <v>48000</v>
      </c>
      <c r="AI1037" s="10">
        <f t="shared" si="389"/>
        <v>24000</v>
      </c>
      <c r="AJ1037" s="10">
        <f t="shared" si="390"/>
        <v>14400</v>
      </c>
    </row>
    <row r="1038" spans="1:36" x14ac:dyDescent="0.3">
      <c r="A1038" t="s">
        <v>4028</v>
      </c>
      <c r="B1038" t="s">
        <v>4029</v>
      </c>
      <c r="C1038" t="s">
        <v>4030</v>
      </c>
      <c r="D1038" t="s">
        <v>852</v>
      </c>
      <c r="E1038">
        <v>7753</v>
      </c>
      <c r="F1038" t="s">
        <v>15</v>
      </c>
      <c r="G1038">
        <v>8</v>
      </c>
      <c r="H1038">
        <v>120</v>
      </c>
      <c r="I1038" t="str" cm="1">
        <f t="array" ref="I1038">_xlfn.IFS(H1038&lt;=120,"V1",H1038&lt;=150,"V2",H1038&lt;=250,"V3", H1038&lt;=350, "V4")</f>
        <v>V1</v>
      </c>
      <c r="J1038" t="s">
        <v>4031</v>
      </c>
      <c r="K1038" t="str">
        <f t="shared" si="368"/>
        <v>40.226272</v>
      </c>
      <c r="L1038" t="str">
        <f t="shared" si="369"/>
        <v>-74.093538</v>
      </c>
      <c r="M1038">
        <v>33</v>
      </c>
      <c r="N1038" s="1">
        <v>42266</v>
      </c>
      <c r="O1038" s="1">
        <v>46099</v>
      </c>
      <c r="P1038" s="2">
        <f t="shared" si="370"/>
        <v>10.494182067077345</v>
      </c>
      <c r="Q1038" s="2" t="str">
        <f t="shared" si="371"/>
        <v>Old</v>
      </c>
      <c r="R1038">
        <f t="shared" si="372"/>
        <v>960</v>
      </c>
      <c r="S1038" t="str">
        <f t="shared" si="373"/>
        <v>Small</v>
      </c>
      <c r="T1038" t="str">
        <f t="shared" si="374"/>
        <v>High EV Adoption Corridor</v>
      </c>
      <c r="U1038" s="3">
        <f t="shared" si="375"/>
        <v>1872000</v>
      </c>
      <c r="V1038" s="4">
        <f t="shared" si="376"/>
        <v>414720</v>
      </c>
      <c r="W1038" s="3">
        <f t="shared" si="377"/>
        <v>4224000</v>
      </c>
      <c r="X1038" s="3">
        <f t="shared" si="378"/>
        <v>3888000</v>
      </c>
      <c r="Y1038">
        <f t="shared" si="379"/>
        <v>0.21530864197530863</v>
      </c>
      <c r="Z1038">
        <f t="shared" si="380"/>
        <v>0.77846153846153843</v>
      </c>
      <c r="AA1038" t="str">
        <f t="shared" si="381"/>
        <v>Tier 3 - Upgrade Pipeline</v>
      </c>
      <c r="AB1038" s="3">
        <f t="shared" si="382"/>
        <v>51840</v>
      </c>
      <c r="AC1038" s="3">
        <f t="shared" si="383"/>
        <v>528000</v>
      </c>
      <c r="AD1038" s="3">
        <f t="shared" si="384"/>
        <v>234000</v>
      </c>
      <c r="AE1038" s="5">
        <f t="shared" si="385"/>
        <v>2.8985507246376812</v>
      </c>
      <c r="AF1038" s="10">
        <f t="shared" si="386"/>
        <v>257126.39999999999</v>
      </c>
      <c r="AG1038" s="10">
        <f t="shared" si="387"/>
        <v>82944</v>
      </c>
      <c r="AH1038" s="10">
        <f t="shared" si="388"/>
        <v>41472</v>
      </c>
      <c r="AI1038" s="10">
        <f t="shared" si="389"/>
        <v>20736</v>
      </c>
      <c r="AJ1038" s="10">
        <f t="shared" si="390"/>
        <v>12441.6</v>
      </c>
    </row>
    <row r="1039" spans="1:36" x14ac:dyDescent="0.3">
      <c r="A1039" t="s">
        <v>4032</v>
      </c>
      <c r="B1039" t="s">
        <v>4033</v>
      </c>
      <c r="C1039" t="s">
        <v>4034</v>
      </c>
      <c r="D1039" t="s">
        <v>120</v>
      </c>
      <c r="E1039">
        <v>57559</v>
      </c>
      <c r="F1039" t="s">
        <v>15</v>
      </c>
      <c r="G1039">
        <v>4</v>
      </c>
      <c r="H1039">
        <v>120</v>
      </c>
      <c r="I1039" t="str" cm="1">
        <f t="array" ref="I1039">_xlfn.IFS(H1039&lt;=120,"V1",H1039&lt;=150,"V2",H1039&lt;=250,"V3", H1039&lt;=350, "V4")</f>
        <v>V1</v>
      </c>
      <c r="J1039" t="s">
        <v>4035</v>
      </c>
      <c r="K1039" t="str">
        <f t="shared" si="368"/>
        <v>43.886915</v>
      </c>
      <c r="L1039" t="str">
        <f t="shared" si="369"/>
        <v>-100.716887</v>
      </c>
      <c r="M1039">
        <v>691</v>
      </c>
      <c r="N1039" s="1">
        <v>41639</v>
      </c>
      <c r="O1039" s="1">
        <v>46099</v>
      </c>
      <c r="P1039" s="2">
        <f t="shared" si="370"/>
        <v>12.210814510609172</v>
      </c>
      <c r="Q1039" s="2" t="str">
        <f t="shared" si="371"/>
        <v>Old</v>
      </c>
      <c r="R1039">
        <f t="shared" si="372"/>
        <v>480</v>
      </c>
      <c r="S1039" t="str">
        <f t="shared" si="373"/>
        <v>Small</v>
      </c>
      <c r="T1039" t="str">
        <f t="shared" si="374"/>
        <v>Lower EV Adoption Corridor</v>
      </c>
      <c r="U1039" s="3">
        <f t="shared" si="375"/>
        <v>720000</v>
      </c>
      <c r="V1039" s="4">
        <f t="shared" si="376"/>
        <v>172800</v>
      </c>
      <c r="W1039" s="3">
        <f t="shared" si="377"/>
        <v>1920000</v>
      </c>
      <c r="X1039" s="3">
        <f t="shared" si="378"/>
        <v>1296000</v>
      </c>
      <c r="Y1039">
        <f t="shared" si="379"/>
        <v>0.2814814814814815</v>
      </c>
      <c r="Z1039">
        <f t="shared" si="380"/>
        <v>0.76</v>
      </c>
      <c r="AA1039" t="str">
        <f t="shared" si="381"/>
        <v>Tier 5 - Retirement Pipeline</v>
      </c>
      <c r="AB1039" s="3">
        <f t="shared" si="382"/>
        <v>43200</v>
      </c>
      <c r="AC1039" s="3">
        <f t="shared" si="383"/>
        <v>480000</v>
      </c>
      <c r="AD1039" s="3">
        <f t="shared" si="384"/>
        <v>180000</v>
      </c>
      <c r="AE1039" s="5">
        <f t="shared" si="385"/>
        <v>3.5087719298245612</v>
      </c>
      <c r="AF1039" s="10">
        <f t="shared" si="386"/>
        <v>107136</v>
      </c>
      <c r="AG1039" s="10">
        <f t="shared" si="387"/>
        <v>34560</v>
      </c>
      <c r="AH1039" s="10">
        <f t="shared" si="388"/>
        <v>17280</v>
      </c>
      <c r="AI1039" s="10">
        <f t="shared" si="389"/>
        <v>8640</v>
      </c>
      <c r="AJ1039" s="10">
        <f t="shared" si="390"/>
        <v>5184</v>
      </c>
    </row>
    <row r="1040" spans="1:36" x14ac:dyDescent="0.3">
      <c r="A1040" t="s">
        <v>4036</v>
      </c>
      <c r="B1040" t="s">
        <v>4037</v>
      </c>
      <c r="C1040" t="s">
        <v>4038</v>
      </c>
      <c r="D1040" t="s">
        <v>299</v>
      </c>
      <c r="E1040">
        <v>22657</v>
      </c>
      <c r="F1040" t="s">
        <v>15</v>
      </c>
      <c r="G1040">
        <v>6</v>
      </c>
      <c r="H1040">
        <v>150</v>
      </c>
      <c r="I1040" t="str" cm="1">
        <f t="array" ref="I1040">_xlfn.IFS(H1040&lt;=120,"V1",H1040&lt;=150,"V2",H1040&lt;=250,"V3", H1040&lt;=350, "V4")</f>
        <v>V2</v>
      </c>
      <c r="J1040" t="s">
        <v>4039</v>
      </c>
      <c r="K1040" t="str">
        <f t="shared" si="368"/>
        <v>39.00496</v>
      </c>
      <c r="L1040" t="str">
        <f t="shared" si="369"/>
        <v>-78.337836</v>
      </c>
      <c r="M1040">
        <v>204</v>
      </c>
      <c r="N1040" s="1">
        <v>42249</v>
      </c>
      <c r="O1040" s="1">
        <v>46099</v>
      </c>
      <c r="P1040" s="2">
        <f t="shared" si="370"/>
        <v>10.540725530458589</v>
      </c>
      <c r="Q1040" s="2" t="str">
        <f t="shared" si="371"/>
        <v>Old</v>
      </c>
      <c r="R1040">
        <f t="shared" si="372"/>
        <v>900</v>
      </c>
      <c r="S1040" t="str">
        <f t="shared" si="373"/>
        <v>Small</v>
      </c>
      <c r="T1040" t="str">
        <f t="shared" si="374"/>
        <v>Lower EV Adoption Corridor</v>
      </c>
      <c r="U1040" s="3">
        <f t="shared" si="375"/>
        <v>1485000.0000000002</v>
      </c>
      <c r="V1040" s="4">
        <f t="shared" si="376"/>
        <v>360000</v>
      </c>
      <c r="W1040" s="3">
        <f t="shared" si="377"/>
        <v>4500000</v>
      </c>
      <c r="X1040" s="3">
        <f t="shared" si="378"/>
        <v>2700000</v>
      </c>
      <c r="Y1040">
        <f t="shared" si="379"/>
        <v>0.3</v>
      </c>
      <c r="Z1040">
        <f t="shared" si="380"/>
        <v>0.75757575757575757</v>
      </c>
      <c r="AA1040" t="str">
        <f t="shared" si="381"/>
        <v>Tier 4 - Stable Network</v>
      </c>
      <c r="AB1040" s="3">
        <f t="shared" si="382"/>
        <v>60000</v>
      </c>
      <c r="AC1040" s="3">
        <f t="shared" si="383"/>
        <v>750000</v>
      </c>
      <c r="AD1040" s="3">
        <f t="shared" si="384"/>
        <v>247500.00000000003</v>
      </c>
      <c r="AE1040" s="5">
        <f t="shared" si="385"/>
        <v>3.9999999999999991</v>
      </c>
      <c r="AF1040" s="10">
        <f t="shared" si="386"/>
        <v>223200</v>
      </c>
      <c r="AG1040" s="10">
        <f t="shared" si="387"/>
        <v>72000</v>
      </c>
      <c r="AH1040" s="10">
        <f t="shared" si="388"/>
        <v>36000</v>
      </c>
      <c r="AI1040" s="10">
        <f t="shared" si="389"/>
        <v>18000</v>
      </c>
      <c r="AJ1040" s="10">
        <f t="shared" si="390"/>
        <v>10800</v>
      </c>
    </row>
    <row r="1041" spans="1:36" x14ac:dyDescent="0.3">
      <c r="A1041" t="s">
        <v>4040</v>
      </c>
      <c r="B1041" t="s">
        <v>4041</v>
      </c>
      <c r="C1041" t="s">
        <v>4042</v>
      </c>
      <c r="D1041" t="s">
        <v>1189</v>
      </c>
      <c r="E1041">
        <v>26059</v>
      </c>
      <c r="F1041" t="s">
        <v>15</v>
      </c>
      <c r="G1041">
        <v>4</v>
      </c>
      <c r="H1041">
        <v>150</v>
      </c>
      <c r="I1041" t="str" cm="1">
        <f t="array" ref="I1041">_xlfn.IFS(H1041&lt;=120,"V1",H1041&lt;=150,"V2",H1041&lt;=250,"V3", H1041&lt;=350, "V4")</f>
        <v>V2</v>
      </c>
      <c r="J1041" t="s">
        <v>4043</v>
      </c>
      <c r="K1041" t="str">
        <f t="shared" si="368"/>
        <v>40.060757</v>
      </c>
      <c r="L1041" t="str">
        <f t="shared" si="369"/>
        <v>-80.602874</v>
      </c>
      <c r="M1041">
        <v>397</v>
      </c>
      <c r="N1041" s="1">
        <v>41766</v>
      </c>
      <c r="O1041" s="1">
        <v>46099</v>
      </c>
      <c r="P1041" s="2">
        <f t="shared" si="370"/>
        <v>11.863107460643395</v>
      </c>
      <c r="Q1041" s="2" t="str">
        <f t="shared" si="371"/>
        <v>Old</v>
      </c>
      <c r="R1041">
        <f t="shared" si="372"/>
        <v>600</v>
      </c>
      <c r="S1041" t="str">
        <f t="shared" si="373"/>
        <v>Small</v>
      </c>
      <c r="T1041" t="str">
        <f t="shared" si="374"/>
        <v>Lower EV Adoption Corridor</v>
      </c>
      <c r="U1041" s="3">
        <f t="shared" si="375"/>
        <v>990000.00000000012</v>
      </c>
      <c r="V1041" s="4">
        <f t="shared" si="376"/>
        <v>240000</v>
      </c>
      <c r="W1041" s="3">
        <f t="shared" si="377"/>
        <v>3000000</v>
      </c>
      <c r="X1041" s="3">
        <f t="shared" si="378"/>
        <v>1800000</v>
      </c>
      <c r="Y1041">
        <f t="shared" si="379"/>
        <v>0.3</v>
      </c>
      <c r="Z1041">
        <f t="shared" si="380"/>
        <v>0.75757575757575757</v>
      </c>
      <c r="AA1041" t="str">
        <f t="shared" si="381"/>
        <v>Tier 4 - Stable Network</v>
      </c>
      <c r="AB1041" s="3">
        <f t="shared" si="382"/>
        <v>60000</v>
      </c>
      <c r="AC1041" s="3">
        <f t="shared" si="383"/>
        <v>750000</v>
      </c>
      <c r="AD1041" s="3">
        <f t="shared" si="384"/>
        <v>247500.00000000003</v>
      </c>
      <c r="AE1041" s="5">
        <f t="shared" si="385"/>
        <v>3.9999999999999996</v>
      </c>
      <c r="AF1041" s="10">
        <f t="shared" si="386"/>
        <v>148800</v>
      </c>
      <c r="AG1041" s="10">
        <f t="shared" si="387"/>
        <v>48000</v>
      </c>
      <c r="AH1041" s="10">
        <f t="shared" si="388"/>
        <v>24000</v>
      </c>
      <c r="AI1041" s="10">
        <f t="shared" si="389"/>
        <v>12000</v>
      </c>
      <c r="AJ1041" s="10">
        <f t="shared" si="390"/>
        <v>7200</v>
      </c>
    </row>
    <row r="1042" spans="1:36" x14ac:dyDescent="0.3">
      <c r="A1042" t="s">
        <v>4044</v>
      </c>
      <c r="B1042" t="s">
        <v>4045</v>
      </c>
      <c r="C1042" t="s">
        <v>4046</v>
      </c>
      <c r="D1042" t="s">
        <v>14</v>
      </c>
      <c r="E1042">
        <v>93545</v>
      </c>
      <c r="F1042" t="s">
        <v>15</v>
      </c>
      <c r="G1042">
        <v>16</v>
      </c>
      <c r="H1042">
        <v>250</v>
      </c>
      <c r="I1042" t="str" cm="1">
        <f t="array" ref="I1042">_xlfn.IFS(H1042&lt;=120,"V1",H1042&lt;=150,"V2",H1042&lt;=250,"V3", H1042&lt;=350, "V4")</f>
        <v>V3</v>
      </c>
      <c r="J1042" t="s">
        <v>4047</v>
      </c>
      <c r="K1042" t="str">
        <f t="shared" si="368"/>
        <v>36.60059</v>
      </c>
      <c r="L1042" t="str">
        <f t="shared" si="369"/>
        <v>-118.061916</v>
      </c>
      <c r="M1042">
        <v>1137</v>
      </c>
      <c r="N1042" s="1">
        <v>42032</v>
      </c>
      <c r="O1042" s="1">
        <v>46099</v>
      </c>
      <c r="P1042" s="2">
        <f t="shared" si="370"/>
        <v>11.134839151266256</v>
      </c>
      <c r="Q1042" s="2" t="str">
        <f t="shared" si="371"/>
        <v>Old</v>
      </c>
      <c r="R1042">
        <f t="shared" si="372"/>
        <v>4000</v>
      </c>
      <c r="S1042" t="str">
        <f t="shared" si="373"/>
        <v>Small</v>
      </c>
      <c r="T1042" t="str">
        <f t="shared" si="374"/>
        <v>High EV Adoption Corridor</v>
      </c>
      <c r="U1042" s="3">
        <f t="shared" si="375"/>
        <v>9360000</v>
      </c>
      <c r="V1042" s="4">
        <f t="shared" si="376"/>
        <v>2112000</v>
      </c>
      <c r="W1042" s="3">
        <f t="shared" si="377"/>
        <v>26400000.000000004</v>
      </c>
      <c r="X1042" s="3">
        <f t="shared" si="378"/>
        <v>19800000.000000004</v>
      </c>
      <c r="Y1042">
        <f t="shared" si="379"/>
        <v>0.23999999999999996</v>
      </c>
      <c r="Z1042">
        <f t="shared" si="380"/>
        <v>0.77435897435897438</v>
      </c>
      <c r="AA1042" t="str">
        <f t="shared" si="381"/>
        <v>Tier 1 - Priority Fleet</v>
      </c>
      <c r="AB1042" s="3">
        <f t="shared" si="382"/>
        <v>132000</v>
      </c>
      <c r="AC1042" s="3">
        <f t="shared" si="383"/>
        <v>1650000.0000000002</v>
      </c>
      <c r="AD1042" s="3">
        <f t="shared" si="384"/>
        <v>585000</v>
      </c>
      <c r="AE1042" s="5">
        <f t="shared" si="385"/>
        <v>3.6423841059602653</v>
      </c>
      <c r="AF1042" s="10">
        <f t="shared" si="386"/>
        <v>1309440</v>
      </c>
      <c r="AG1042" s="10">
        <f t="shared" si="387"/>
        <v>422400</v>
      </c>
      <c r="AH1042" s="10">
        <f t="shared" si="388"/>
        <v>211200</v>
      </c>
      <c r="AI1042" s="10">
        <f t="shared" si="389"/>
        <v>105600</v>
      </c>
      <c r="AJ1042" s="10">
        <f t="shared" si="390"/>
        <v>63360</v>
      </c>
    </row>
    <row r="1043" spans="1:36" x14ac:dyDescent="0.3">
      <c r="A1043" t="s">
        <v>4048</v>
      </c>
      <c r="B1043" t="s">
        <v>4049</v>
      </c>
      <c r="C1043" t="s">
        <v>4050</v>
      </c>
      <c r="D1043" t="s">
        <v>299</v>
      </c>
      <c r="E1043">
        <v>20176</v>
      </c>
      <c r="F1043" t="s">
        <v>15</v>
      </c>
      <c r="G1043">
        <v>8</v>
      </c>
      <c r="H1043">
        <v>250</v>
      </c>
      <c r="I1043" t="str" cm="1">
        <f t="array" ref="I1043">_xlfn.IFS(H1043&lt;=120,"V1",H1043&lt;=150,"V2",H1043&lt;=250,"V3", H1043&lt;=350, "V4")</f>
        <v>V3</v>
      </c>
      <c r="J1043" t="s">
        <v>4051</v>
      </c>
      <c r="K1043" t="str">
        <f t="shared" si="368"/>
        <v>39.1029426</v>
      </c>
      <c r="L1043" t="str">
        <f t="shared" si="369"/>
        <v>-77.525479</v>
      </c>
      <c r="M1043">
        <v>108</v>
      </c>
      <c r="N1043" s="1">
        <v>44673</v>
      </c>
      <c r="O1043" s="1">
        <v>46099</v>
      </c>
      <c r="P1043" s="2">
        <f t="shared" si="370"/>
        <v>3.9041752224503763</v>
      </c>
      <c r="Q1043" s="2" t="str">
        <f t="shared" si="371"/>
        <v>Mid</v>
      </c>
      <c r="R1043">
        <f t="shared" si="372"/>
        <v>2000</v>
      </c>
      <c r="S1043" t="str">
        <f t="shared" si="373"/>
        <v>Small</v>
      </c>
      <c r="T1043" t="str">
        <f t="shared" si="374"/>
        <v>Lower EV Adoption Corridor</v>
      </c>
      <c r="U1043" s="3">
        <f t="shared" si="375"/>
        <v>3600000</v>
      </c>
      <c r="V1043" s="4">
        <f t="shared" si="376"/>
        <v>880000.00000000012</v>
      </c>
      <c r="W1043" s="3">
        <f t="shared" si="377"/>
        <v>12000000</v>
      </c>
      <c r="X1043" s="3">
        <f t="shared" si="378"/>
        <v>6600000.0000000009</v>
      </c>
      <c r="Y1043">
        <f t="shared" si="379"/>
        <v>0.31515151515151513</v>
      </c>
      <c r="Z1043">
        <f t="shared" si="380"/>
        <v>0.75555555555555554</v>
      </c>
      <c r="AA1043" t="str">
        <f t="shared" si="381"/>
        <v>Tier 2 - Growth Markets</v>
      </c>
      <c r="AB1043" s="3">
        <f t="shared" si="382"/>
        <v>110000.00000000001</v>
      </c>
      <c r="AC1043" s="3">
        <f t="shared" si="383"/>
        <v>1500000</v>
      </c>
      <c r="AD1043" s="3">
        <f t="shared" si="384"/>
        <v>450000</v>
      </c>
      <c r="AE1043" s="5">
        <f t="shared" si="385"/>
        <v>4.4117647058823533</v>
      </c>
      <c r="AF1043" s="10">
        <f t="shared" si="386"/>
        <v>545600.00000000012</v>
      </c>
      <c r="AG1043" s="10">
        <f t="shared" si="387"/>
        <v>176000.00000000003</v>
      </c>
      <c r="AH1043" s="10">
        <f t="shared" si="388"/>
        <v>88000.000000000015</v>
      </c>
      <c r="AI1043" s="10">
        <f t="shared" si="389"/>
        <v>44000.000000000007</v>
      </c>
      <c r="AJ1043" s="10">
        <f t="shared" si="390"/>
        <v>26400.000000000004</v>
      </c>
    </row>
    <row r="1044" spans="1:36" x14ac:dyDescent="0.3">
      <c r="A1044" t="s">
        <v>4052</v>
      </c>
      <c r="B1044" t="s">
        <v>4053</v>
      </c>
      <c r="C1044" t="s">
        <v>4054</v>
      </c>
      <c r="D1044" t="s">
        <v>14</v>
      </c>
      <c r="E1044">
        <v>95682</v>
      </c>
      <c r="F1044" t="s">
        <v>15</v>
      </c>
      <c r="G1044">
        <v>12</v>
      </c>
      <c r="H1044">
        <v>250</v>
      </c>
      <c r="I1044" t="str" cm="1">
        <f t="array" ref="I1044">_xlfn.IFS(H1044&lt;=120,"V1",H1044&lt;=150,"V2",H1044&lt;=250,"V3", H1044&lt;=350, "V4")</f>
        <v>V3</v>
      </c>
      <c r="J1044" t="s">
        <v>4055</v>
      </c>
      <c r="K1044" t="str">
        <f t="shared" si="368"/>
        <v>38.655825</v>
      </c>
      <c r="L1044" t="str">
        <f t="shared" si="369"/>
        <v>-120.965651</v>
      </c>
      <c r="M1044">
        <v>405</v>
      </c>
      <c r="N1044" s="1">
        <v>45058</v>
      </c>
      <c r="O1044" s="1">
        <v>46099</v>
      </c>
      <c r="P1044" s="2">
        <f t="shared" si="370"/>
        <v>2.8501026694045173</v>
      </c>
      <c r="Q1044" s="2" t="str">
        <f t="shared" si="371"/>
        <v>New</v>
      </c>
      <c r="R1044">
        <f t="shared" si="372"/>
        <v>3000</v>
      </c>
      <c r="S1044" t="str">
        <f t="shared" si="373"/>
        <v>Small</v>
      </c>
      <c r="T1044" t="str">
        <f t="shared" si="374"/>
        <v>High EV Adoption Corridor</v>
      </c>
      <c r="U1044" s="3">
        <f t="shared" si="375"/>
        <v>7020000</v>
      </c>
      <c r="V1044" s="4">
        <f t="shared" si="376"/>
        <v>1584000</v>
      </c>
      <c r="W1044" s="3">
        <f t="shared" si="377"/>
        <v>19800000</v>
      </c>
      <c r="X1044" s="3">
        <f t="shared" si="378"/>
        <v>14850000</v>
      </c>
      <c r="Y1044">
        <f t="shared" si="379"/>
        <v>0.24</v>
      </c>
      <c r="Z1044">
        <f t="shared" si="380"/>
        <v>0.77435897435897438</v>
      </c>
      <c r="AA1044" t="str">
        <f t="shared" si="381"/>
        <v>Tier 1 - Priority Fleet</v>
      </c>
      <c r="AB1044" s="3">
        <f t="shared" si="382"/>
        <v>132000</v>
      </c>
      <c r="AC1044" s="3">
        <f t="shared" si="383"/>
        <v>1650000</v>
      </c>
      <c r="AD1044" s="3">
        <f t="shared" si="384"/>
        <v>585000</v>
      </c>
      <c r="AE1044" s="5">
        <f t="shared" si="385"/>
        <v>3.6423841059602649</v>
      </c>
      <c r="AF1044" s="10">
        <f t="shared" si="386"/>
        <v>982080</v>
      </c>
      <c r="AG1044" s="10">
        <f t="shared" si="387"/>
        <v>316800</v>
      </c>
      <c r="AH1044" s="10">
        <f t="shared" si="388"/>
        <v>158400</v>
      </c>
      <c r="AI1044" s="10">
        <f t="shared" si="389"/>
        <v>79200</v>
      </c>
      <c r="AJ1044" s="10">
        <f t="shared" si="390"/>
        <v>47520</v>
      </c>
    </row>
    <row r="1045" spans="1:36" x14ac:dyDescent="0.3">
      <c r="A1045" t="s">
        <v>4056</v>
      </c>
      <c r="B1045" t="s">
        <v>4057</v>
      </c>
      <c r="C1045" t="s">
        <v>4058</v>
      </c>
      <c r="D1045" t="s">
        <v>28</v>
      </c>
      <c r="E1045">
        <v>30363</v>
      </c>
      <c r="F1045" t="s">
        <v>15</v>
      </c>
      <c r="G1045">
        <v>30</v>
      </c>
      <c r="H1045">
        <v>250</v>
      </c>
      <c r="I1045" t="str" cm="1">
        <f t="array" ref="I1045">_xlfn.IFS(H1045&lt;=120,"V1",H1045&lt;=150,"V2",H1045&lt;=250,"V3", H1045&lt;=350, "V4")</f>
        <v>V3</v>
      </c>
      <c r="J1045" t="s">
        <v>4059</v>
      </c>
      <c r="K1045" t="str">
        <f t="shared" si="368"/>
        <v>33.793808</v>
      </c>
      <c r="L1045" t="str">
        <f t="shared" si="369"/>
        <v>-84.397203</v>
      </c>
      <c r="M1045">
        <v>268</v>
      </c>
      <c r="N1045" s="1">
        <v>41991</v>
      </c>
      <c r="O1045" s="1">
        <v>46099</v>
      </c>
      <c r="P1045" s="2">
        <f t="shared" si="370"/>
        <v>11.247091033538672</v>
      </c>
      <c r="Q1045" s="2" t="str">
        <f t="shared" si="371"/>
        <v>Old</v>
      </c>
      <c r="R1045">
        <f t="shared" si="372"/>
        <v>7500</v>
      </c>
      <c r="S1045" t="str">
        <f t="shared" si="373"/>
        <v>Small</v>
      </c>
      <c r="T1045" t="str">
        <f t="shared" si="374"/>
        <v>Lower EV Adoption Corridor</v>
      </c>
      <c r="U1045" s="3">
        <f t="shared" si="375"/>
        <v>13500000</v>
      </c>
      <c r="V1045" s="4">
        <f t="shared" si="376"/>
        <v>3300000.0000000005</v>
      </c>
      <c r="W1045" s="3">
        <f t="shared" si="377"/>
        <v>45000000</v>
      </c>
      <c r="X1045" s="3">
        <f t="shared" si="378"/>
        <v>24750000.000000004</v>
      </c>
      <c r="Y1045">
        <f t="shared" si="379"/>
        <v>0.31515151515151513</v>
      </c>
      <c r="Z1045">
        <f t="shared" si="380"/>
        <v>0.75555555555555554</v>
      </c>
      <c r="AA1045" t="str">
        <f t="shared" si="381"/>
        <v>Tier 2 - Growth Markets</v>
      </c>
      <c r="AB1045" s="3">
        <f t="shared" si="382"/>
        <v>110000.00000000001</v>
      </c>
      <c r="AC1045" s="3">
        <f t="shared" si="383"/>
        <v>1500000</v>
      </c>
      <c r="AD1045" s="3">
        <f t="shared" si="384"/>
        <v>450000</v>
      </c>
      <c r="AE1045" s="5">
        <f t="shared" si="385"/>
        <v>4.4117647058823533</v>
      </c>
      <c r="AF1045" s="10">
        <f t="shared" si="386"/>
        <v>2046000.0000000002</v>
      </c>
      <c r="AG1045" s="10">
        <f t="shared" si="387"/>
        <v>660000.00000000012</v>
      </c>
      <c r="AH1045" s="10">
        <f t="shared" si="388"/>
        <v>330000.00000000006</v>
      </c>
      <c r="AI1045" s="10">
        <f t="shared" si="389"/>
        <v>165000.00000000003</v>
      </c>
      <c r="AJ1045" s="10">
        <f t="shared" si="390"/>
        <v>99000.000000000015</v>
      </c>
    </row>
    <row r="1046" spans="1:36" x14ac:dyDescent="0.3">
      <c r="A1046" t="s">
        <v>4060</v>
      </c>
      <c r="B1046" t="s">
        <v>4061</v>
      </c>
      <c r="C1046" t="s">
        <v>4062</v>
      </c>
      <c r="D1046" t="s">
        <v>321</v>
      </c>
      <c r="E1046">
        <v>1089</v>
      </c>
      <c r="F1046" t="s">
        <v>15</v>
      </c>
      <c r="G1046">
        <v>8</v>
      </c>
      <c r="H1046">
        <v>150</v>
      </c>
      <c r="I1046" t="str" cm="1">
        <f t="array" ref="I1046">_xlfn.IFS(H1046&lt;=120,"V1",H1046&lt;=150,"V2",H1046&lt;=250,"V3", H1046&lt;=350, "V4")</f>
        <v>V2</v>
      </c>
      <c r="J1046" t="s">
        <v>4063</v>
      </c>
      <c r="K1046" t="str">
        <f t="shared" si="368"/>
        <v>42.130914</v>
      </c>
      <c r="L1046" t="str">
        <f t="shared" si="369"/>
        <v>-72.621435</v>
      </c>
      <c r="M1046">
        <v>17</v>
      </c>
      <c r="N1046" s="1">
        <v>42049</v>
      </c>
      <c r="O1046" s="1">
        <v>46099</v>
      </c>
      <c r="P1046" s="2">
        <f t="shared" si="370"/>
        <v>11.08829568788501</v>
      </c>
      <c r="Q1046" s="2" t="str">
        <f t="shared" si="371"/>
        <v>Old</v>
      </c>
      <c r="R1046">
        <f t="shared" si="372"/>
        <v>1200</v>
      </c>
      <c r="S1046" t="str">
        <f t="shared" si="373"/>
        <v>Small</v>
      </c>
      <c r="T1046" t="str">
        <f t="shared" si="374"/>
        <v>Lower EV Adoption Corridor</v>
      </c>
      <c r="U1046" s="3">
        <f t="shared" si="375"/>
        <v>1980000.0000000002</v>
      </c>
      <c r="V1046" s="4">
        <f t="shared" si="376"/>
        <v>480000</v>
      </c>
      <c r="W1046" s="3">
        <f t="shared" si="377"/>
        <v>6000000</v>
      </c>
      <c r="X1046" s="3">
        <f t="shared" si="378"/>
        <v>3600000</v>
      </c>
      <c r="Y1046">
        <f t="shared" si="379"/>
        <v>0.3</v>
      </c>
      <c r="Z1046">
        <f t="shared" si="380"/>
        <v>0.75757575757575757</v>
      </c>
      <c r="AA1046" t="str">
        <f t="shared" si="381"/>
        <v>Tier 4 - Stable Network</v>
      </c>
      <c r="AB1046" s="3">
        <f t="shared" si="382"/>
        <v>60000</v>
      </c>
      <c r="AC1046" s="3">
        <f t="shared" si="383"/>
        <v>750000</v>
      </c>
      <c r="AD1046" s="3">
        <f t="shared" si="384"/>
        <v>247500.00000000003</v>
      </c>
      <c r="AE1046" s="5">
        <f t="shared" si="385"/>
        <v>3.9999999999999996</v>
      </c>
      <c r="AF1046" s="10">
        <f t="shared" si="386"/>
        <v>297600</v>
      </c>
      <c r="AG1046" s="10">
        <f t="shared" si="387"/>
        <v>96000</v>
      </c>
      <c r="AH1046" s="10">
        <f t="shared" si="388"/>
        <v>48000</v>
      </c>
      <c r="AI1046" s="10">
        <f t="shared" si="389"/>
        <v>24000</v>
      </c>
      <c r="AJ1046" s="10">
        <f t="shared" si="390"/>
        <v>14400</v>
      </c>
    </row>
    <row r="1047" spans="1:36" x14ac:dyDescent="0.3">
      <c r="A1047" t="s">
        <v>4064</v>
      </c>
      <c r="B1047" t="s">
        <v>4065</v>
      </c>
      <c r="C1047" t="s">
        <v>4066</v>
      </c>
      <c r="D1047" t="s">
        <v>14</v>
      </c>
      <c r="E1047">
        <v>95501</v>
      </c>
      <c r="F1047" t="s">
        <v>15</v>
      </c>
      <c r="G1047">
        <v>8</v>
      </c>
      <c r="H1047">
        <v>150</v>
      </c>
      <c r="I1047" t="str" cm="1">
        <f t="array" ref="I1047">_xlfn.IFS(H1047&lt;=120,"V1",H1047&lt;=150,"V2",H1047&lt;=250,"V3", H1047&lt;=350, "V4")</f>
        <v>V2</v>
      </c>
      <c r="J1047" t="s">
        <v>4067</v>
      </c>
      <c r="K1047" t="str">
        <f t="shared" si="368"/>
        <v>40.778885</v>
      </c>
      <c r="L1047" t="str">
        <f t="shared" si="369"/>
        <v>-124.188383</v>
      </c>
      <c r="M1047">
        <v>6</v>
      </c>
      <c r="N1047" s="1">
        <v>42599</v>
      </c>
      <c r="O1047" s="1">
        <v>46099</v>
      </c>
      <c r="P1047" s="2">
        <f t="shared" si="370"/>
        <v>9.5824777549623548</v>
      </c>
      <c r="Q1047" s="2" t="str">
        <f t="shared" si="371"/>
        <v>Old</v>
      </c>
      <c r="R1047">
        <f t="shared" si="372"/>
        <v>1200</v>
      </c>
      <c r="S1047" t="str">
        <f t="shared" si="373"/>
        <v>Small</v>
      </c>
      <c r="T1047" t="str">
        <f t="shared" si="374"/>
        <v>High EV Adoption Corridor</v>
      </c>
      <c r="U1047" s="3">
        <f t="shared" si="375"/>
        <v>2574000.0000000005</v>
      </c>
      <c r="V1047" s="4">
        <f t="shared" si="376"/>
        <v>576000</v>
      </c>
      <c r="W1047" s="3">
        <f t="shared" si="377"/>
        <v>6600000.0000000009</v>
      </c>
      <c r="X1047" s="3">
        <f t="shared" si="378"/>
        <v>5400000</v>
      </c>
      <c r="Y1047">
        <f t="shared" si="379"/>
        <v>0.22888888888888889</v>
      </c>
      <c r="Z1047">
        <f t="shared" si="380"/>
        <v>0.77622377622377625</v>
      </c>
      <c r="AA1047" t="str">
        <f t="shared" si="381"/>
        <v>Tier 3 - Upgrade Pipeline</v>
      </c>
      <c r="AB1047" s="3">
        <f t="shared" si="382"/>
        <v>72000</v>
      </c>
      <c r="AC1047" s="3">
        <f t="shared" si="383"/>
        <v>825000.00000000012</v>
      </c>
      <c r="AD1047" s="3">
        <f t="shared" si="384"/>
        <v>321750.00000000006</v>
      </c>
      <c r="AE1047" s="5">
        <f t="shared" si="385"/>
        <v>3.303303303303303</v>
      </c>
      <c r="AF1047" s="10">
        <f t="shared" si="386"/>
        <v>357120</v>
      </c>
      <c r="AG1047" s="10">
        <f t="shared" si="387"/>
        <v>115200</v>
      </c>
      <c r="AH1047" s="10">
        <f t="shared" si="388"/>
        <v>57600</v>
      </c>
      <c r="AI1047" s="10">
        <f t="shared" si="389"/>
        <v>28800</v>
      </c>
      <c r="AJ1047" s="10">
        <f t="shared" si="390"/>
        <v>17280</v>
      </c>
    </row>
    <row r="1048" spans="1:36" x14ac:dyDescent="0.3">
      <c r="A1048" t="s">
        <v>4068</v>
      </c>
      <c r="B1048" t="s">
        <v>4069</v>
      </c>
      <c r="C1048" t="s">
        <v>4070</v>
      </c>
      <c r="D1048" t="s">
        <v>913</v>
      </c>
      <c r="E1048">
        <v>20707</v>
      </c>
      <c r="F1048" t="s">
        <v>15</v>
      </c>
      <c r="G1048">
        <v>8</v>
      </c>
      <c r="H1048">
        <v>150</v>
      </c>
      <c r="I1048" t="str" cm="1">
        <f t="array" ref="I1048">_xlfn.IFS(H1048&lt;=120,"V1",H1048&lt;=150,"V2",H1048&lt;=250,"V3", H1048&lt;=350, "V4")</f>
        <v>V2</v>
      </c>
      <c r="J1048" t="s">
        <v>4071</v>
      </c>
      <c r="K1048" t="str">
        <f t="shared" si="368"/>
        <v>39.095382</v>
      </c>
      <c r="L1048" t="str">
        <f t="shared" si="369"/>
        <v>-76.858319</v>
      </c>
      <c r="M1048">
        <v>55</v>
      </c>
      <c r="N1048" s="1">
        <v>42636</v>
      </c>
      <c r="O1048" s="1">
        <v>46099</v>
      </c>
      <c r="P1048" s="2">
        <f t="shared" si="370"/>
        <v>9.4811772758384674</v>
      </c>
      <c r="Q1048" s="2" t="str">
        <f t="shared" si="371"/>
        <v>Old</v>
      </c>
      <c r="R1048">
        <f t="shared" si="372"/>
        <v>1200</v>
      </c>
      <c r="S1048" t="str">
        <f t="shared" si="373"/>
        <v>Small</v>
      </c>
      <c r="T1048" t="str">
        <f t="shared" si="374"/>
        <v>Lower EV Adoption Corridor</v>
      </c>
      <c r="U1048" s="3">
        <f t="shared" si="375"/>
        <v>1980000.0000000002</v>
      </c>
      <c r="V1048" s="4">
        <f t="shared" si="376"/>
        <v>480000</v>
      </c>
      <c r="W1048" s="3">
        <f t="shared" si="377"/>
        <v>6000000</v>
      </c>
      <c r="X1048" s="3">
        <f t="shared" si="378"/>
        <v>3600000</v>
      </c>
      <c r="Y1048">
        <f t="shared" si="379"/>
        <v>0.3</v>
      </c>
      <c r="Z1048">
        <f t="shared" si="380"/>
        <v>0.75757575757575757</v>
      </c>
      <c r="AA1048" t="str">
        <f t="shared" si="381"/>
        <v>Tier 4 - Stable Network</v>
      </c>
      <c r="AB1048" s="3">
        <f t="shared" si="382"/>
        <v>60000</v>
      </c>
      <c r="AC1048" s="3">
        <f t="shared" si="383"/>
        <v>750000</v>
      </c>
      <c r="AD1048" s="3">
        <f t="shared" si="384"/>
        <v>247500.00000000003</v>
      </c>
      <c r="AE1048" s="5">
        <f t="shared" si="385"/>
        <v>3.9999999999999996</v>
      </c>
      <c r="AF1048" s="10">
        <f t="shared" si="386"/>
        <v>297600</v>
      </c>
      <c r="AG1048" s="10">
        <f t="shared" si="387"/>
        <v>96000</v>
      </c>
      <c r="AH1048" s="10">
        <f t="shared" si="388"/>
        <v>48000</v>
      </c>
      <c r="AI1048" s="10">
        <f t="shared" si="389"/>
        <v>24000</v>
      </c>
      <c r="AJ1048" s="10">
        <f t="shared" si="390"/>
        <v>14400</v>
      </c>
    </row>
    <row r="1049" spans="1:36" x14ac:dyDescent="0.3">
      <c r="A1049" t="s">
        <v>4072</v>
      </c>
      <c r="B1049" t="s">
        <v>4073</v>
      </c>
      <c r="C1049" t="s">
        <v>4074</v>
      </c>
      <c r="D1049" t="s">
        <v>14</v>
      </c>
      <c r="E1049">
        <v>90230</v>
      </c>
      <c r="F1049" t="s">
        <v>15</v>
      </c>
      <c r="G1049">
        <v>16</v>
      </c>
      <c r="H1049">
        <v>150</v>
      </c>
      <c r="I1049" t="str" cm="1">
        <f t="array" ref="I1049">_xlfn.IFS(H1049&lt;=120,"V1",H1049&lt;=150,"V2",H1049&lt;=250,"V3", H1049&lt;=350, "V4")</f>
        <v>V2</v>
      </c>
      <c r="J1049" t="s">
        <v>4075</v>
      </c>
      <c r="K1049" t="str">
        <f t="shared" si="368"/>
        <v>33.986779</v>
      </c>
      <c r="L1049" t="str">
        <f t="shared" si="369"/>
        <v>-118.390213</v>
      </c>
      <c r="M1049">
        <v>13</v>
      </c>
      <c r="N1049" s="1">
        <v>41991</v>
      </c>
      <c r="O1049" s="1">
        <v>46099</v>
      </c>
      <c r="P1049" s="2">
        <f t="shared" si="370"/>
        <v>11.247091033538672</v>
      </c>
      <c r="Q1049" s="2" t="str">
        <f t="shared" si="371"/>
        <v>Old</v>
      </c>
      <c r="R1049">
        <f t="shared" si="372"/>
        <v>2400</v>
      </c>
      <c r="S1049" t="str">
        <f t="shared" si="373"/>
        <v>Small</v>
      </c>
      <c r="T1049" t="str">
        <f t="shared" si="374"/>
        <v>High EV Adoption Corridor</v>
      </c>
      <c r="U1049" s="3">
        <f t="shared" si="375"/>
        <v>5148000.0000000009</v>
      </c>
      <c r="V1049" s="4">
        <f t="shared" si="376"/>
        <v>1152000</v>
      </c>
      <c r="W1049" s="3">
        <f t="shared" si="377"/>
        <v>13200000.000000002</v>
      </c>
      <c r="X1049" s="3">
        <f t="shared" si="378"/>
        <v>10800000</v>
      </c>
      <c r="Y1049">
        <f t="shared" si="379"/>
        <v>0.22888888888888889</v>
      </c>
      <c r="Z1049">
        <f t="shared" si="380"/>
        <v>0.77622377622377625</v>
      </c>
      <c r="AA1049" t="str">
        <f t="shared" si="381"/>
        <v>Tier 3 - Upgrade Pipeline</v>
      </c>
      <c r="AB1049" s="3">
        <f t="shared" si="382"/>
        <v>72000</v>
      </c>
      <c r="AC1049" s="3">
        <f t="shared" si="383"/>
        <v>825000.00000000012</v>
      </c>
      <c r="AD1049" s="3">
        <f t="shared" si="384"/>
        <v>321750.00000000006</v>
      </c>
      <c r="AE1049" s="5">
        <f t="shared" si="385"/>
        <v>3.303303303303303</v>
      </c>
      <c r="AF1049" s="10">
        <f t="shared" si="386"/>
        <v>714240</v>
      </c>
      <c r="AG1049" s="10">
        <f t="shared" si="387"/>
        <v>230400</v>
      </c>
      <c r="AH1049" s="10">
        <f t="shared" si="388"/>
        <v>115200</v>
      </c>
      <c r="AI1049" s="10">
        <f t="shared" si="389"/>
        <v>57600</v>
      </c>
      <c r="AJ1049" s="10">
        <f t="shared" si="390"/>
        <v>34560</v>
      </c>
    </row>
    <row r="1050" spans="1:36" x14ac:dyDescent="0.3">
      <c r="A1050" t="s">
        <v>4076</v>
      </c>
      <c r="B1050" t="s">
        <v>4077</v>
      </c>
      <c r="C1050" t="s">
        <v>3394</v>
      </c>
      <c r="D1050" t="s">
        <v>41</v>
      </c>
      <c r="E1050">
        <v>34102</v>
      </c>
      <c r="F1050" t="s">
        <v>15</v>
      </c>
      <c r="G1050">
        <v>8</v>
      </c>
      <c r="H1050">
        <v>150</v>
      </c>
      <c r="I1050" t="str" cm="1">
        <f t="array" ref="I1050">_xlfn.IFS(H1050&lt;=120,"V1",H1050&lt;=150,"V2",H1050&lt;=250,"V3", H1050&lt;=350, "V4")</f>
        <v>V2</v>
      </c>
      <c r="J1050" t="s">
        <v>4078</v>
      </c>
      <c r="K1050" t="str">
        <f t="shared" si="368"/>
        <v>26.14462</v>
      </c>
      <c r="L1050" t="str">
        <f t="shared" si="369"/>
        <v>-81.788849</v>
      </c>
      <c r="M1050">
        <v>2</v>
      </c>
      <c r="N1050" s="1">
        <v>42789</v>
      </c>
      <c r="O1050" s="1">
        <v>46099</v>
      </c>
      <c r="P1050" s="2">
        <f t="shared" si="370"/>
        <v>9.0622861054072548</v>
      </c>
      <c r="Q1050" s="2" t="str">
        <f t="shared" si="371"/>
        <v>Old</v>
      </c>
      <c r="R1050">
        <f t="shared" si="372"/>
        <v>1200</v>
      </c>
      <c r="S1050" t="str">
        <f t="shared" si="373"/>
        <v>Small</v>
      </c>
      <c r="T1050" t="str">
        <f t="shared" si="374"/>
        <v>High EV Adoption Corridor</v>
      </c>
      <c r="U1050" s="3">
        <f t="shared" si="375"/>
        <v>2574000.0000000005</v>
      </c>
      <c r="V1050" s="4">
        <f t="shared" si="376"/>
        <v>576000</v>
      </c>
      <c r="W1050" s="3">
        <f t="shared" si="377"/>
        <v>6600000.0000000009</v>
      </c>
      <c r="X1050" s="3">
        <f t="shared" si="378"/>
        <v>5400000</v>
      </c>
      <c r="Y1050">
        <f t="shared" si="379"/>
        <v>0.22888888888888889</v>
      </c>
      <c r="Z1050">
        <f t="shared" si="380"/>
        <v>0.77622377622377625</v>
      </c>
      <c r="AA1050" t="str">
        <f t="shared" si="381"/>
        <v>Tier 3 - Upgrade Pipeline</v>
      </c>
      <c r="AB1050" s="3">
        <f t="shared" si="382"/>
        <v>72000</v>
      </c>
      <c r="AC1050" s="3">
        <f t="shared" si="383"/>
        <v>825000.00000000012</v>
      </c>
      <c r="AD1050" s="3">
        <f t="shared" si="384"/>
        <v>321750.00000000006</v>
      </c>
      <c r="AE1050" s="5">
        <f t="shared" si="385"/>
        <v>3.303303303303303</v>
      </c>
      <c r="AF1050" s="10">
        <f t="shared" si="386"/>
        <v>357120</v>
      </c>
      <c r="AG1050" s="10">
        <f t="shared" si="387"/>
        <v>115200</v>
      </c>
      <c r="AH1050" s="10">
        <f t="shared" si="388"/>
        <v>57600</v>
      </c>
      <c r="AI1050" s="10">
        <f t="shared" si="389"/>
        <v>28800</v>
      </c>
      <c r="AJ1050" s="10">
        <f t="shared" si="390"/>
        <v>17280</v>
      </c>
    </row>
    <row r="1051" spans="1:36" x14ac:dyDescent="0.3">
      <c r="A1051" t="s">
        <v>4079</v>
      </c>
      <c r="B1051" t="s">
        <v>4080</v>
      </c>
      <c r="C1051" t="s">
        <v>4081</v>
      </c>
      <c r="D1051" t="s">
        <v>153</v>
      </c>
      <c r="E1051">
        <v>17109</v>
      </c>
      <c r="F1051" t="s">
        <v>15</v>
      </c>
      <c r="G1051">
        <v>8</v>
      </c>
      <c r="H1051">
        <v>150</v>
      </c>
      <c r="I1051" t="str" cm="1">
        <f t="array" ref="I1051">_xlfn.IFS(H1051&lt;=120,"V1",H1051&lt;=150,"V2",H1051&lt;=250,"V3", H1051&lt;=350, "V4")</f>
        <v>V2</v>
      </c>
      <c r="J1051" t="s">
        <v>4082</v>
      </c>
      <c r="K1051" t="str">
        <f t="shared" si="368"/>
        <v>40.277134</v>
      </c>
      <c r="L1051" t="str">
        <f t="shared" si="369"/>
        <v>-76.823255</v>
      </c>
      <c r="M1051">
        <v>145</v>
      </c>
      <c r="N1051" s="1">
        <v>42499</v>
      </c>
      <c r="O1051" s="1">
        <v>46099</v>
      </c>
      <c r="P1051" s="2">
        <f t="shared" si="370"/>
        <v>9.8562628336755651</v>
      </c>
      <c r="Q1051" s="2" t="str">
        <f t="shared" si="371"/>
        <v>Old</v>
      </c>
      <c r="R1051">
        <f t="shared" si="372"/>
        <v>1200</v>
      </c>
      <c r="S1051" t="str">
        <f t="shared" si="373"/>
        <v>Small</v>
      </c>
      <c r="T1051" t="str">
        <f t="shared" si="374"/>
        <v>Lower EV Adoption Corridor</v>
      </c>
      <c r="U1051" s="3">
        <f t="shared" si="375"/>
        <v>1980000.0000000002</v>
      </c>
      <c r="V1051" s="4">
        <f t="shared" si="376"/>
        <v>480000</v>
      </c>
      <c r="W1051" s="3">
        <f t="shared" si="377"/>
        <v>6000000</v>
      </c>
      <c r="X1051" s="3">
        <f t="shared" si="378"/>
        <v>3600000</v>
      </c>
      <c r="Y1051">
        <f t="shared" si="379"/>
        <v>0.3</v>
      </c>
      <c r="Z1051">
        <f t="shared" si="380"/>
        <v>0.75757575757575757</v>
      </c>
      <c r="AA1051" t="str">
        <f t="shared" si="381"/>
        <v>Tier 4 - Stable Network</v>
      </c>
      <c r="AB1051" s="3">
        <f t="shared" si="382"/>
        <v>60000</v>
      </c>
      <c r="AC1051" s="3">
        <f t="shared" si="383"/>
        <v>750000</v>
      </c>
      <c r="AD1051" s="3">
        <f t="shared" si="384"/>
        <v>247500.00000000003</v>
      </c>
      <c r="AE1051" s="5">
        <f t="shared" si="385"/>
        <v>3.9999999999999996</v>
      </c>
      <c r="AF1051" s="10">
        <f t="shared" si="386"/>
        <v>297600</v>
      </c>
      <c r="AG1051" s="10">
        <f t="shared" si="387"/>
        <v>96000</v>
      </c>
      <c r="AH1051" s="10">
        <f t="shared" si="388"/>
        <v>48000</v>
      </c>
      <c r="AI1051" s="10">
        <f t="shared" si="389"/>
        <v>24000</v>
      </c>
      <c r="AJ1051" s="10">
        <f t="shared" si="390"/>
        <v>14400</v>
      </c>
    </row>
    <row r="1052" spans="1:36" x14ac:dyDescent="0.3">
      <c r="A1052" t="s">
        <v>4083</v>
      </c>
      <c r="B1052" t="s">
        <v>4084</v>
      </c>
      <c r="C1052" t="s">
        <v>4085</v>
      </c>
      <c r="D1052" t="s">
        <v>158</v>
      </c>
      <c r="E1052">
        <v>14564</v>
      </c>
      <c r="F1052" t="s">
        <v>15</v>
      </c>
      <c r="G1052">
        <v>8</v>
      </c>
      <c r="H1052">
        <v>150</v>
      </c>
      <c r="I1052" t="str" cm="1">
        <f t="array" ref="I1052">_xlfn.IFS(H1052&lt;=120,"V1",H1052&lt;=150,"V2",H1052&lt;=250,"V3", H1052&lt;=350, "V4")</f>
        <v>V2</v>
      </c>
      <c r="J1052" t="s">
        <v>4086</v>
      </c>
      <c r="K1052" t="str">
        <f t="shared" si="368"/>
        <v>43.028655</v>
      </c>
      <c r="L1052" t="str">
        <f t="shared" si="369"/>
        <v>-77.440128</v>
      </c>
      <c r="M1052">
        <v>208</v>
      </c>
      <c r="N1052" s="1">
        <v>42887</v>
      </c>
      <c r="O1052" s="1">
        <v>46099</v>
      </c>
      <c r="P1052" s="2">
        <f t="shared" si="370"/>
        <v>8.7939767282683086</v>
      </c>
      <c r="Q1052" s="2" t="str">
        <f t="shared" si="371"/>
        <v>Old</v>
      </c>
      <c r="R1052">
        <f t="shared" si="372"/>
        <v>1200</v>
      </c>
      <c r="S1052" t="str">
        <f t="shared" si="373"/>
        <v>Small</v>
      </c>
      <c r="T1052" t="str">
        <f t="shared" si="374"/>
        <v>Lower EV Adoption Corridor</v>
      </c>
      <c r="U1052" s="3">
        <f t="shared" si="375"/>
        <v>1980000.0000000002</v>
      </c>
      <c r="V1052" s="4">
        <f t="shared" si="376"/>
        <v>480000</v>
      </c>
      <c r="W1052" s="3">
        <f t="shared" si="377"/>
        <v>6000000</v>
      </c>
      <c r="X1052" s="3">
        <f t="shared" si="378"/>
        <v>3600000</v>
      </c>
      <c r="Y1052">
        <f t="shared" si="379"/>
        <v>0.3</v>
      </c>
      <c r="Z1052">
        <f t="shared" si="380"/>
        <v>0.75757575757575757</v>
      </c>
      <c r="AA1052" t="str">
        <f t="shared" si="381"/>
        <v>Tier 4 - Stable Network</v>
      </c>
      <c r="AB1052" s="3">
        <f t="shared" si="382"/>
        <v>60000</v>
      </c>
      <c r="AC1052" s="3">
        <f t="shared" si="383"/>
        <v>750000</v>
      </c>
      <c r="AD1052" s="3">
        <f t="shared" si="384"/>
        <v>247500.00000000003</v>
      </c>
      <c r="AE1052" s="5">
        <f t="shared" si="385"/>
        <v>3.9999999999999996</v>
      </c>
      <c r="AF1052" s="10">
        <f t="shared" si="386"/>
        <v>297600</v>
      </c>
      <c r="AG1052" s="10">
        <f t="shared" si="387"/>
        <v>96000</v>
      </c>
      <c r="AH1052" s="10">
        <f t="shared" si="388"/>
        <v>48000</v>
      </c>
      <c r="AI1052" s="10">
        <f t="shared" si="389"/>
        <v>24000</v>
      </c>
      <c r="AJ1052" s="10">
        <f t="shared" si="390"/>
        <v>14400</v>
      </c>
    </row>
    <row r="1053" spans="1:36" x14ac:dyDescent="0.3">
      <c r="A1053" t="s">
        <v>4087</v>
      </c>
      <c r="B1053" t="s">
        <v>4088</v>
      </c>
      <c r="C1053" t="s">
        <v>4089</v>
      </c>
      <c r="D1053" t="s">
        <v>158</v>
      </c>
      <c r="E1053">
        <v>13088</v>
      </c>
      <c r="F1053" t="s">
        <v>15</v>
      </c>
      <c r="G1053">
        <v>8</v>
      </c>
      <c r="H1053">
        <v>120</v>
      </c>
      <c r="I1053" t="str" cm="1">
        <f t="array" ref="I1053">_xlfn.IFS(H1053&lt;=120,"V1",H1053&lt;=150,"V2",H1053&lt;=250,"V3", H1053&lt;=350, "V4")</f>
        <v>V1</v>
      </c>
      <c r="J1053" t="s">
        <v>4090</v>
      </c>
      <c r="K1053" t="str">
        <f t="shared" si="368"/>
        <v>43.102516</v>
      </c>
      <c r="L1053" t="str">
        <f t="shared" si="369"/>
        <v>-76.187475</v>
      </c>
      <c r="M1053">
        <v>123</v>
      </c>
      <c r="N1053" s="1">
        <v>42110</v>
      </c>
      <c r="O1053" s="1">
        <v>46099</v>
      </c>
      <c r="P1053" s="2">
        <f t="shared" si="370"/>
        <v>10.921286789869953</v>
      </c>
      <c r="Q1053" s="2" t="str">
        <f t="shared" si="371"/>
        <v>Old</v>
      </c>
      <c r="R1053">
        <f t="shared" si="372"/>
        <v>960</v>
      </c>
      <c r="S1053" t="str">
        <f t="shared" si="373"/>
        <v>Small</v>
      </c>
      <c r="T1053" t="str">
        <f t="shared" si="374"/>
        <v>Lower EV Adoption Corridor</v>
      </c>
      <c r="U1053" s="3">
        <f t="shared" si="375"/>
        <v>1440000</v>
      </c>
      <c r="V1053" s="4">
        <f t="shared" si="376"/>
        <v>345600</v>
      </c>
      <c r="W1053" s="3">
        <f t="shared" si="377"/>
        <v>3840000</v>
      </c>
      <c r="X1053" s="3">
        <f t="shared" si="378"/>
        <v>2592000</v>
      </c>
      <c r="Y1053">
        <f t="shared" si="379"/>
        <v>0.2814814814814815</v>
      </c>
      <c r="Z1053">
        <f t="shared" si="380"/>
        <v>0.76</v>
      </c>
      <c r="AA1053" t="str">
        <f t="shared" si="381"/>
        <v>Tier 5 - Retirement Pipeline</v>
      </c>
      <c r="AB1053" s="3">
        <f t="shared" si="382"/>
        <v>43200</v>
      </c>
      <c r="AC1053" s="3">
        <f t="shared" si="383"/>
        <v>480000</v>
      </c>
      <c r="AD1053" s="3">
        <f t="shared" si="384"/>
        <v>180000</v>
      </c>
      <c r="AE1053" s="5">
        <f t="shared" si="385"/>
        <v>3.5087719298245612</v>
      </c>
      <c r="AF1053" s="10">
        <f t="shared" si="386"/>
        <v>214272</v>
      </c>
      <c r="AG1053" s="10">
        <f t="shared" si="387"/>
        <v>69120</v>
      </c>
      <c r="AH1053" s="10">
        <f t="shared" si="388"/>
        <v>34560</v>
      </c>
      <c r="AI1053" s="10">
        <f t="shared" si="389"/>
        <v>17280</v>
      </c>
      <c r="AJ1053" s="10">
        <f t="shared" si="390"/>
        <v>10368</v>
      </c>
    </row>
    <row r="1054" spans="1:36" x14ac:dyDescent="0.3">
      <c r="A1054" t="s">
        <v>4091</v>
      </c>
      <c r="B1054" t="s">
        <v>4092</v>
      </c>
      <c r="C1054" t="s">
        <v>2794</v>
      </c>
      <c r="D1054" t="s">
        <v>98</v>
      </c>
      <c r="E1054">
        <v>6820</v>
      </c>
      <c r="F1054" t="s">
        <v>15</v>
      </c>
      <c r="G1054">
        <v>10</v>
      </c>
      <c r="H1054">
        <v>250</v>
      </c>
      <c r="I1054" t="str" cm="1">
        <f t="array" ref="I1054">_xlfn.IFS(H1054&lt;=120,"V1",H1054&lt;=150,"V2",H1054&lt;=250,"V3", H1054&lt;=350, "V4")</f>
        <v>V3</v>
      </c>
      <c r="J1054" t="s">
        <v>4093</v>
      </c>
      <c r="K1054" t="str">
        <f t="shared" si="368"/>
        <v>41.080321</v>
      </c>
      <c r="L1054" t="str">
        <f t="shared" si="369"/>
        <v>-73.461365</v>
      </c>
      <c r="M1054">
        <v>17</v>
      </c>
      <c r="N1054" s="1">
        <v>41444</v>
      </c>
      <c r="O1054" s="1">
        <v>46099</v>
      </c>
      <c r="P1054" s="2">
        <f t="shared" si="370"/>
        <v>12.744695414099931</v>
      </c>
      <c r="Q1054" s="2" t="str">
        <f t="shared" si="371"/>
        <v>Old</v>
      </c>
      <c r="R1054">
        <f t="shared" si="372"/>
        <v>2500</v>
      </c>
      <c r="S1054" t="str">
        <f t="shared" si="373"/>
        <v>Small</v>
      </c>
      <c r="T1054" t="str">
        <f t="shared" si="374"/>
        <v>Lower EV Adoption Corridor</v>
      </c>
      <c r="U1054" s="3">
        <f t="shared" si="375"/>
        <v>4500000</v>
      </c>
      <c r="V1054" s="4">
        <f t="shared" si="376"/>
        <v>1100000</v>
      </c>
      <c r="W1054" s="3">
        <f t="shared" si="377"/>
        <v>15000000</v>
      </c>
      <c r="X1054" s="3">
        <f t="shared" si="378"/>
        <v>8250000.0000000009</v>
      </c>
      <c r="Y1054">
        <f t="shared" si="379"/>
        <v>0.31515151515151513</v>
      </c>
      <c r="Z1054">
        <f t="shared" si="380"/>
        <v>0.75555555555555554</v>
      </c>
      <c r="AA1054" t="str">
        <f t="shared" si="381"/>
        <v>Tier 2 - Growth Markets</v>
      </c>
      <c r="AB1054" s="3">
        <f t="shared" si="382"/>
        <v>110000</v>
      </c>
      <c r="AC1054" s="3">
        <f t="shared" si="383"/>
        <v>1500000</v>
      </c>
      <c r="AD1054" s="3">
        <f t="shared" si="384"/>
        <v>450000</v>
      </c>
      <c r="AE1054" s="5">
        <f t="shared" si="385"/>
        <v>4.4117647058823533</v>
      </c>
      <c r="AF1054" s="10">
        <f t="shared" si="386"/>
        <v>682000</v>
      </c>
      <c r="AG1054" s="10">
        <f t="shared" si="387"/>
        <v>220000</v>
      </c>
      <c r="AH1054" s="10">
        <f t="shared" si="388"/>
        <v>110000</v>
      </c>
      <c r="AI1054" s="10">
        <f t="shared" si="389"/>
        <v>55000</v>
      </c>
      <c r="AJ1054" s="10">
        <f t="shared" si="390"/>
        <v>33000</v>
      </c>
    </row>
    <row r="1055" spans="1:36" x14ac:dyDescent="0.3">
      <c r="A1055" t="s">
        <v>4094</v>
      </c>
      <c r="B1055" t="s">
        <v>4095</v>
      </c>
      <c r="C1055" t="s">
        <v>3286</v>
      </c>
      <c r="D1055" t="s">
        <v>184</v>
      </c>
      <c r="E1055">
        <v>43123</v>
      </c>
      <c r="F1055" t="s">
        <v>15</v>
      </c>
      <c r="G1055">
        <v>8</v>
      </c>
      <c r="H1055">
        <v>150</v>
      </c>
      <c r="I1055" t="str" cm="1">
        <f t="array" ref="I1055">_xlfn.IFS(H1055&lt;=120,"V1",H1055&lt;=150,"V2",H1055&lt;=250,"V3", H1055&lt;=350, "V4")</f>
        <v>V2</v>
      </c>
      <c r="J1055" t="s">
        <v>4096</v>
      </c>
      <c r="K1055" t="str">
        <f t="shared" si="368"/>
        <v>39.877253</v>
      </c>
      <c r="L1055" t="str">
        <f t="shared" si="369"/>
        <v>-83.063448</v>
      </c>
      <c r="M1055">
        <v>243</v>
      </c>
      <c r="N1055" s="1">
        <v>42020</v>
      </c>
      <c r="O1055" s="1">
        <v>46099</v>
      </c>
      <c r="P1055" s="2">
        <f t="shared" si="370"/>
        <v>11.167693360711841</v>
      </c>
      <c r="Q1055" s="2" t="str">
        <f t="shared" si="371"/>
        <v>Old</v>
      </c>
      <c r="R1055">
        <f t="shared" si="372"/>
        <v>1200</v>
      </c>
      <c r="S1055" t="str">
        <f t="shared" si="373"/>
        <v>Small</v>
      </c>
      <c r="T1055" t="str">
        <f t="shared" si="374"/>
        <v>Lower EV Adoption Corridor</v>
      </c>
      <c r="U1055" s="3">
        <f t="shared" si="375"/>
        <v>1980000.0000000002</v>
      </c>
      <c r="V1055" s="4">
        <f t="shared" si="376"/>
        <v>480000</v>
      </c>
      <c r="W1055" s="3">
        <f t="shared" si="377"/>
        <v>6000000</v>
      </c>
      <c r="X1055" s="3">
        <f t="shared" si="378"/>
        <v>3600000</v>
      </c>
      <c r="Y1055">
        <f t="shared" si="379"/>
        <v>0.3</v>
      </c>
      <c r="Z1055">
        <f t="shared" si="380"/>
        <v>0.75757575757575757</v>
      </c>
      <c r="AA1055" t="str">
        <f t="shared" si="381"/>
        <v>Tier 4 - Stable Network</v>
      </c>
      <c r="AB1055" s="3">
        <f t="shared" si="382"/>
        <v>60000</v>
      </c>
      <c r="AC1055" s="3">
        <f t="shared" si="383"/>
        <v>750000</v>
      </c>
      <c r="AD1055" s="3">
        <f t="shared" si="384"/>
        <v>247500.00000000003</v>
      </c>
      <c r="AE1055" s="5">
        <f t="shared" si="385"/>
        <v>3.9999999999999996</v>
      </c>
      <c r="AF1055" s="10">
        <f t="shared" si="386"/>
        <v>297600</v>
      </c>
      <c r="AG1055" s="10">
        <f t="shared" si="387"/>
        <v>96000</v>
      </c>
      <c r="AH1055" s="10">
        <f t="shared" si="388"/>
        <v>48000</v>
      </c>
      <c r="AI1055" s="10">
        <f t="shared" si="389"/>
        <v>24000</v>
      </c>
      <c r="AJ1055" s="10">
        <f t="shared" si="390"/>
        <v>14400</v>
      </c>
    </row>
    <row r="1056" spans="1:36" x14ac:dyDescent="0.3">
      <c r="A1056" t="s">
        <v>4097</v>
      </c>
      <c r="B1056" t="s">
        <v>4098</v>
      </c>
      <c r="C1056" t="s">
        <v>4099</v>
      </c>
      <c r="D1056" t="s">
        <v>158</v>
      </c>
      <c r="E1056">
        <v>13501</v>
      </c>
      <c r="F1056" t="s">
        <v>15</v>
      </c>
      <c r="G1056">
        <v>8</v>
      </c>
      <c r="H1056">
        <v>150</v>
      </c>
      <c r="I1056" t="str" cm="1">
        <f t="array" ref="I1056">_xlfn.IFS(H1056&lt;=120,"V1",H1056&lt;=150,"V2",H1056&lt;=250,"V3", H1056&lt;=350, "V4")</f>
        <v>V2</v>
      </c>
      <c r="J1056" t="s">
        <v>4100</v>
      </c>
      <c r="K1056" t="str">
        <f t="shared" si="368"/>
        <v>43.113878</v>
      </c>
      <c r="L1056" t="str">
        <f t="shared" si="369"/>
        <v>-75.206857</v>
      </c>
      <c r="M1056">
        <v>128</v>
      </c>
      <c r="N1056" s="1">
        <v>42046</v>
      </c>
      <c r="O1056" s="1">
        <v>46099</v>
      </c>
      <c r="P1056" s="2">
        <f t="shared" si="370"/>
        <v>11.096509240246407</v>
      </c>
      <c r="Q1056" s="2" t="str">
        <f t="shared" si="371"/>
        <v>Old</v>
      </c>
      <c r="R1056">
        <f t="shared" si="372"/>
        <v>1200</v>
      </c>
      <c r="S1056" t="str">
        <f t="shared" si="373"/>
        <v>Small</v>
      </c>
      <c r="T1056" t="str">
        <f t="shared" si="374"/>
        <v>Lower EV Adoption Corridor</v>
      </c>
      <c r="U1056" s="3">
        <f t="shared" si="375"/>
        <v>1980000.0000000002</v>
      </c>
      <c r="V1056" s="4">
        <f t="shared" si="376"/>
        <v>480000</v>
      </c>
      <c r="W1056" s="3">
        <f t="shared" si="377"/>
        <v>6000000</v>
      </c>
      <c r="X1056" s="3">
        <f t="shared" si="378"/>
        <v>3600000</v>
      </c>
      <c r="Y1056">
        <f t="shared" si="379"/>
        <v>0.3</v>
      </c>
      <c r="Z1056">
        <f t="shared" si="380"/>
        <v>0.75757575757575757</v>
      </c>
      <c r="AA1056" t="str">
        <f t="shared" si="381"/>
        <v>Tier 4 - Stable Network</v>
      </c>
      <c r="AB1056" s="3">
        <f t="shared" si="382"/>
        <v>60000</v>
      </c>
      <c r="AC1056" s="3">
        <f t="shared" si="383"/>
        <v>750000</v>
      </c>
      <c r="AD1056" s="3">
        <f t="shared" si="384"/>
        <v>247500.00000000003</v>
      </c>
      <c r="AE1056" s="5">
        <f t="shared" si="385"/>
        <v>3.9999999999999996</v>
      </c>
      <c r="AF1056" s="10">
        <f t="shared" si="386"/>
        <v>297600</v>
      </c>
      <c r="AG1056" s="10">
        <f t="shared" si="387"/>
        <v>96000</v>
      </c>
      <c r="AH1056" s="10">
        <f t="shared" si="388"/>
        <v>48000</v>
      </c>
      <c r="AI1056" s="10">
        <f t="shared" si="389"/>
        <v>24000</v>
      </c>
      <c r="AJ1056" s="10">
        <f t="shared" si="390"/>
        <v>14400</v>
      </c>
    </row>
    <row r="1057" spans="1:36" x14ac:dyDescent="0.3">
      <c r="A1057" t="s">
        <v>4101</v>
      </c>
      <c r="B1057" t="s">
        <v>4102</v>
      </c>
      <c r="C1057" t="s">
        <v>4103</v>
      </c>
      <c r="D1057" t="s">
        <v>643</v>
      </c>
      <c r="E1057">
        <v>5301</v>
      </c>
      <c r="F1057" t="s">
        <v>15</v>
      </c>
      <c r="G1057">
        <v>16</v>
      </c>
      <c r="H1057">
        <v>250</v>
      </c>
      <c r="I1057" t="str" cm="1">
        <f t="array" ref="I1057">_xlfn.IFS(H1057&lt;=120,"V1",H1057&lt;=150,"V2",H1057&lt;=250,"V3", H1057&lt;=350, "V4")</f>
        <v>V3</v>
      </c>
      <c r="J1057" t="s">
        <v>4104</v>
      </c>
      <c r="K1057" t="str">
        <f t="shared" si="368"/>
        <v>42.838443</v>
      </c>
      <c r="L1057" t="str">
        <f t="shared" si="369"/>
        <v>-72.565798</v>
      </c>
      <c r="M1057">
        <v>129</v>
      </c>
      <c r="N1057" s="1">
        <v>42020</v>
      </c>
      <c r="O1057" s="1">
        <v>46099</v>
      </c>
      <c r="P1057" s="2">
        <f t="shared" si="370"/>
        <v>11.167693360711841</v>
      </c>
      <c r="Q1057" s="2" t="str">
        <f t="shared" si="371"/>
        <v>Old</v>
      </c>
      <c r="R1057">
        <f t="shared" si="372"/>
        <v>4000</v>
      </c>
      <c r="S1057" t="str">
        <f t="shared" si="373"/>
        <v>Small</v>
      </c>
      <c r="T1057" t="str">
        <f t="shared" si="374"/>
        <v>Lower EV Adoption Corridor</v>
      </c>
      <c r="U1057" s="3">
        <f t="shared" si="375"/>
        <v>7200000</v>
      </c>
      <c r="V1057" s="4">
        <f t="shared" si="376"/>
        <v>1760000.0000000002</v>
      </c>
      <c r="W1057" s="3">
        <f t="shared" si="377"/>
        <v>24000000</v>
      </c>
      <c r="X1057" s="3">
        <f t="shared" si="378"/>
        <v>13200000.000000002</v>
      </c>
      <c r="Y1057">
        <f t="shared" si="379"/>
        <v>0.31515151515151513</v>
      </c>
      <c r="Z1057">
        <f t="shared" si="380"/>
        <v>0.75555555555555554</v>
      </c>
      <c r="AA1057" t="str">
        <f t="shared" si="381"/>
        <v>Tier 2 - Growth Markets</v>
      </c>
      <c r="AB1057" s="3">
        <f t="shared" si="382"/>
        <v>110000.00000000001</v>
      </c>
      <c r="AC1057" s="3">
        <f t="shared" si="383"/>
        <v>1500000</v>
      </c>
      <c r="AD1057" s="3">
        <f t="shared" si="384"/>
        <v>450000</v>
      </c>
      <c r="AE1057" s="5">
        <f t="shared" si="385"/>
        <v>4.4117647058823533</v>
      </c>
      <c r="AF1057" s="10">
        <f t="shared" si="386"/>
        <v>1091200.0000000002</v>
      </c>
      <c r="AG1057" s="10">
        <f t="shared" si="387"/>
        <v>352000.00000000006</v>
      </c>
      <c r="AH1057" s="10">
        <f t="shared" si="388"/>
        <v>176000.00000000003</v>
      </c>
      <c r="AI1057" s="10">
        <f t="shared" si="389"/>
        <v>88000.000000000015</v>
      </c>
      <c r="AJ1057" s="10">
        <f t="shared" si="390"/>
        <v>52800.000000000007</v>
      </c>
    </row>
    <row r="1058" spans="1:36" x14ac:dyDescent="0.3">
      <c r="A1058" t="s">
        <v>4105</v>
      </c>
      <c r="B1058" t="s">
        <v>4106</v>
      </c>
      <c r="C1058" t="s">
        <v>2568</v>
      </c>
      <c r="D1058" t="s">
        <v>158</v>
      </c>
      <c r="E1058">
        <v>11430</v>
      </c>
      <c r="F1058" t="s">
        <v>15</v>
      </c>
      <c r="G1058">
        <v>12</v>
      </c>
      <c r="H1058">
        <v>250</v>
      </c>
      <c r="I1058" t="str" cm="1">
        <f t="array" ref="I1058">_xlfn.IFS(H1058&lt;=120,"V1",H1058&lt;=150,"V2",H1058&lt;=250,"V3", H1058&lt;=350, "V4")</f>
        <v>V3</v>
      </c>
      <c r="J1058" t="s">
        <v>4107</v>
      </c>
      <c r="K1058" t="str">
        <f t="shared" si="368"/>
        <v>40.66319</v>
      </c>
      <c r="L1058" t="str">
        <f t="shared" si="369"/>
        <v>-73.793192</v>
      </c>
      <c r="M1058">
        <v>3</v>
      </c>
      <c r="N1058" s="1">
        <v>41631</v>
      </c>
      <c r="O1058" s="1">
        <v>46099</v>
      </c>
      <c r="P1058" s="2">
        <f t="shared" si="370"/>
        <v>12.232717316906228</v>
      </c>
      <c r="Q1058" s="2" t="str">
        <f t="shared" si="371"/>
        <v>Old</v>
      </c>
      <c r="R1058">
        <f t="shared" si="372"/>
        <v>3000</v>
      </c>
      <c r="S1058" t="str">
        <f t="shared" si="373"/>
        <v>Small</v>
      </c>
      <c r="T1058" t="str">
        <f t="shared" si="374"/>
        <v>Lower EV Adoption Corridor</v>
      </c>
      <c r="U1058" s="3">
        <f t="shared" si="375"/>
        <v>5400000</v>
      </c>
      <c r="V1058" s="4">
        <f t="shared" si="376"/>
        <v>1320000</v>
      </c>
      <c r="W1058" s="3">
        <f t="shared" si="377"/>
        <v>18000000</v>
      </c>
      <c r="X1058" s="3">
        <f t="shared" si="378"/>
        <v>9900000</v>
      </c>
      <c r="Y1058">
        <f t="shared" si="379"/>
        <v>0.31515151515151513</v>
      </c>
      <c r="Z1058">
        <f t="shared" si="380"/>
        <v>0.75555555555555554</v>
      </c>
      <c r="AA1058" t="str">
        <f t="shared" si="381"/>
        <v>Tier 2 - Growth Markets</v>
      </c>
      <c r="AB1058" s="3">
        <f t="shared" si="382"/>
        <v>110000</v>
      </c>
      <c r="AC1058" s="3">
        <f t="shared" si="383"/>
        <v>1500000</v>
      </c>
      <c r="AD1058" s="3">
        <f t="shared" si="384"/>
        <v>450000</v>
      </c>
      <c r="AE1058" s="5">
        <f t="shared" si="385"/>
        <v>4.4117647058823533</v>
      </c>
      <c r="AF1058" s="10">
        <f t="shared" si="386"/>
        <v>818400</v>
      </c>
      <c r="AG1058" s="10">
        <f t="shared" si="387"/>
        <v>264000</v>
      </c>
      <c r="AH1058" s="10">
        <f t="shared" si="388"/>
        <v>132000</v>
      </c>
      <c r="AI1058" s="10">
        <f t="shared" si="389"/>
        <v>66000</v>
      </c>
      <c r="AJ1058" s="10">
        <f t="shared" si="390"/>
        <v>39600</v>
      </c>
    </row>
    <row r="1059" spans="1:36" x14ac:dyDescent="0.3">
      <c r="A1059" t="s">
        <v>4108</v>
      </c>
      <c r="B1059" t="s">
        <v>4109</v>
      </c>
      <c r="C1059" t="s">
        <v>4110</v>
      </c>
      <c r="D1059" t="s">
        <v>1189</v>
      </c>
      <c r="E1059">
        <v>24740</v>
      </c>
      <c r="F1059" t="s">
        <v>15</v>
      </c>
      <c r="G1059">
        <v>8</v>
      </c>
      <c r="H1059">
        <v>250</v>
      </c>
      <c r="I1059" t="str" cm="1">
        <f t="array" ref="I1059">_xlfn.IFS(H1059&lt;=120,"V1",H1059&lt;=150,"V2",H1059&lt;=250,"V3", H1059&lt;=350, "V4")</f>
        <v>V3</v>
      </c>
      <c r="J1059" t="s">
        <v>4111</v>
      </c>
      <c r="K1059" t="str">
        <f t="shared" si="368"/>
        <v>37.364002</v>
      </c>
      <c r="L1059" t="str">
        <f t="shared" si="369"/>
        <v>-81.052394</v>
      </c>
      <c r="M1059">
        <v>780</v>
      </c>
      <c r="N1059" s="1">
        <v>44586</v>
      </c>
      <c r="O1059" s="1">
        <v>46099</v>
      </c>
      <c r="P1059" s="2">
        <f t="shared" si="370"/>
        <v>4.1423682409308693</v>
      </c>
      <c r="Q1059" s="2" t="str">
        <f t="shared" si="371"/>
        <v>Mid</v>
      </c>
      <c r="R1059">
        <f t="shared" si="372"/>
        <v>2000</v>
      </c>
      <c r="S1059" t="str">
        <f t="shared" si="373"/>
        <v>Small</v>
      </c>
      <c r="T1059" t="str">
        <f t="shared" si="374"/>
        <v>Lower EV Adoption Corridor</v>
      </c>
      <c r="U1059" s="3">
        <f t="shared" si="375"/>
        <v>3600000</v>
      </c>
      <c r="V1059" s="4">
        <f t="shared" si="376"/>
        <v>880000.00000000012</v>
      </c>
      <c r="W1059" s="3">
        <f t="shared" si="377"/>
        <v>12000000</v>
      </c>
      <c r="X1059" s="3">
        <f t="shared" si="378"/>
        <v>6600000.0000000009</v>
      </c>
      <c r="Y1059">
        <f t="shared" si="379"/>
        <v>0.31515151515151513</v>
      </c>
      <c r="Z1059">
        <f t="shared" si="380"/>
        <v>0.75555555555555554</v>
      </c>
      <c r="AA1059" t="str">
        <f t="shared" si="381"/>
        <v>Tier 2 - Growth Markets</v>
      </c>
      <c r="AB1059" s="3">
        <f t="shared" si="382"/>
        <v>110000.00000000001</v>
      </c>
      <c r="AC1059" s="3">
        <f t="shared" si="383"/>
        <v>1500000</v>
      </c>
      <c r="AD1059" s="3">
        <f t="shared" si="384"/>
        <v>450000</v>
      </c>
      <c r="AE1059" s="5">
        <f t="shared" si="385"/>
        <v>4.4117647058823533</v>
      </c>
      <c r="AF1059" s="10">
        <f t="shared" si="386"/>
        <v>545600.00000000012</v>
      </c>
      <c r="AG1059" s="10">
        <f t="shared" si="387"/>
        <v>176000.00000000003</v>
      </c>
      <c r="AH1059" s="10">
        <f t="shared" si="388"/>
        <v>88000.000000000015</v>
      </c>
      <c r="AI1059" s="10">
        <f t="shared" si="389"/>
        <v>44000.000000000007</v>
      </c>
      <c r="AJ1059" s="10">
        <f t="shared" si="390"/>
        <v>26400.000000000004</v>
      </c>
    </row>
    <row r="1060" spans="1:36" x14ac:dyDescent="0.3">
      <c r="A1060" t="s">
        <v>4112</v>
      </c>
      <c r="B1060" t="s">
        <v>4113</v>
      </c>
      <c r="C1060" t="s">
        <v>4114</v>
      </c>
      <c r="D1060" t="s">
        <v>268</v>
      </c>
      <c r="E1060">
        <v>81505</v>
      </c>
      <c r="F1060" t="s">
        <v>15</v>
      </c>
      <c r="G1060">
        <v>6</v>
      </c>
      <c r="H1060">
        <v>120</v>
      </c>
      <c r="I1060" t="str" cm="1">
        <f t="array" ref="I1060">_xlfn.IFS(H1060&lt;=120,"V1",H1060&lt;=150,"V2",H1060&lt;=250,"V3", H1060&lt;=350, "V4")</f>
        <v>V1</v>
      </c>
      <c r="J1060" t="s">
        <v>4115</v>
      </c>
      <c r="K1060" t="str">
        <f t="shared" si="368"/>
        <v>39.090758</v>
      </c>
      <c r="L1060" t="str">
        <f t="shared" si="369"/>
        <v>-108.604325</v>
      </c>
      <c r="M1060">
        <v>1386</v>
      </c>
      <c r="N1060" s="1">
        <v>41649</v>
      </c>
      <c r="O1060" s="1">
        <v>46099</v>
      </c>
      <c r="P1060" s="2">
        <f t="shared" si="370"/>
        <v>12.183436002737851</v>
      </c>
      <c r="Q1060" s="2" t="str">
        <f t="shared" si="371"/>
        <v>Old</v>
      </c>
      <c r="R1060">
        <f t="shared" si="372"/>
        <v>720</v>
      </c>
      <c r="S1060" t="str">
        <f t="shared" si="373"/>
        <v>Small</v>
      </c>
      <c r="T1060" t="str">
        <f t="shared" si="374"/>
        <v>High EV Adoption Corridor</v>
      </c>
      <c r="U1060" s="3">
        <f t="shared" si="375"/>
        <v>1404000</v>
      </c>
      <c r="V1060" s="4">
        <f t="shared" si="376"/>
        <v>311040</v>
      </c>
      <c r="W1060" s="3">
        <f t="shared" si="377"/>
        <v>3168000.0000000005</v>
      </c>
      <c r="X1060" s="3">
        <f t="shared" si="378"/>
        <v>2916000</v>
      </c>
      <c r="Y1060">
        <f t="shared" si="379"/>
        <v>0.21530864197530863</v>
      </c>
      <c r="Z1060">
        <f t="shared" si="380"/>
        <v>0.77846153846153843</v>
      </c>
      <c r="AA1060" t="str">
        <f t="shared" si="381"/>
        <v>Tier 3 - Upgrade Pipeline</v>
      </c>
      <c r="AB1060" s="3">
        <f t="shared" si="382"/>
        <v>51840</v>
      </c>
      <c r="AC1060" s="3">
        <f t="shared" si="383"/>
        <v>528000.00000000012</v>
      </c>
      <c r="AD1060" s="3">
        <f t="shared" si="384"/>
        <v>234000</v>
      </c>
      <c r="AE1060" s="5">
        <f t="shared" si="385"/>
        <v>2.8985507246376816</v>
      </c>
      <c r="AF1060" s="10">
        <f t="shared" si="386"/>
        <v>192844.79999999999</v>
      </c>
      <c r="AG1060" s="10">
        <f t="shared" si="387"/>
        <v>62208</v>
      </c>
      <c r="AH1060" s="10">
        <f t="shared" si="388"/>
        <v>31104</v>
      </c>
      <c r="AI1060" s="10">
        <f t="shared" si="389"/>
        <v>15552</v>
      </c>
      <c r="AJ1060" s="10">
        <f t="shared" si="390"/>
        <v>9331.1999999999989</v>
      </c>
    </row>
    <row r="1061" spans="1:36" x14ac:dyDescent="0.3">
      <c r="A1061" t="s">
        <v>4116</v>
      </c>
      <c r="B1061" t="s">
        <v>4117</v>
      </c>
      <c r="C1061" t="s">
        <v>3714</v>
      </c>
      <c r="D1061" t="s">
        <v>913</v>
      </c>
      <c r="E1061">
        <v>21740</v>
      </c>
      <c r="F1061" t="s">
        <v>15</v>
      </c>
      <c r="G1061">
        <v>6</v>
      </c>
      <c r="H1061">
        <v>120</v>
      </c>
      <c r="I1061" t="str" cm="1">
        <f t="array" ref="I1061">_xlfn.IFS(H1061&lt;=120,"V1",H1061&lt;=150,"V2",H1061&lt;=250,"V3", H1061&lt;=350, "V4")</f>
        <v>V1</v>
      </c>
      <c r="J1061" t="s">
        <v>4118</v>
      </c>
      <c r="K1061" t="str">
        <f t="shared" si="368"/>
        <v>39.605859</v>
      </c>
      <c r="L1061" t="str">
        <f t="shared" si="369"/>
        <v>-77.733324</v>
      </c>
      <c r="M1061">
        <v>164</v>
      </c>
      <c r="N1061" s="1">
        <v>41662</v>
      </c>
      <c r="O1061" s="1">
        <v>46099</v>
      </c>
      <c r="P1061" s="2">
        <f t="shared" si="370"/>
        <v>12.147843942505133</v>
      </c>
      <c r="Q1061" s="2" t="str">
        <f t="shared" si="371"/>
        <v>Old</v>
      </c>
      <c r="R1061">
        <f t="shared" si="372"/>
        <v>720</v>
      </c>
      <c r="S1061" t="str">
        <f t="shared" si="373"/>
        <v>Small</v>
      </c>
      <c r="T1061" t="str">
        <f t="shared" si="374"/>
        <v>Lower EV Adoption Corridor</v>
      </c>
      <c r="U1061" s="3">
        <f t="shared" si="375"/>
        <v>1080000</v>
      </c>
      <c r="V1061" s="4">
        <f t="shared" si="376"/>
        <v>259200</v>
      </c>
      <c r="W1061" s="3">
        <f t="shared" si="377"/>
        <v>2880000</v>
      </c>
      <c r="X1061" s="3">
        <f t="shared" si="378"/>
        <v>1944000</v>
      </c>
      <c r="Y1061">
        <f t="shared" si="379"/>
        <v>0.2814814814814815</v>
      </c>
      <c r="Z1061">
        <f t="shared" si="380"/>
        <v>0.76</v>
      </c>
      <c r="AA1061" t="str">
        <f t="shared" si="381"/>
        <v>Tier 5 - Retirement Pipeline</v>
      </c>
      <c r="AB1061" s="3">
        <f t="shared" si="382"/>
        <v>43200</v>
      </c>
      <c r="AC1061" s="3">
        <f t="shared" si="383"/>
        <v>480000</v>
      </c>
      <c r="AD1061" s="3">
        <f t="shared" si="384"/>
        <v>180000</v>
      </c>
      <c r="AE1061" s="5">
        <f t="shared" si="385"/>
        <v>3.5087719298245612</v>
      </c>
      <c r="AF1061" s="10">
        <f t="shared" si="386"/>
        <v>160704</v>
      </c>
      <c r="AG1061" s="10">
        <f t="shared" si="387"/>
        <v>51840</v>
      </c>
      <c r="AH1061" s="10">
        <f t="shared" si="388"/>
        <v>25920</v>
      </c>
      <c r="AI1061" s="10">
        <f t="shared" si="389"/>
        <v>12960</v>
      </c>
      <c r="AJ1061" s="10">
        <f t="shared" si="390"/>
        <v>7776</v>
      </c>
    </row>
    <row r="1062" spans="1:36" x14ac:dyDescent="0.3">
      <c r="A1062" t="s">
        <v>4119</v>
      </c>
      <c r="B1062" t="s">
        <v>4120</v>
      </c>
      <c r="C1062" t="s">
        <v>4121</v>
      </c>
      <c r="D1062" t="s">
        <v>259</v>
      </c>
      <c r="E1062">
        <v>82009</v>
      </c>
      <c r="F1062" t="s">
        <v>15</v>
      </c>
      <c r="G1062">
        <v>4</v>
      </c>
      <c r="H1062">
        <v>120</v>
      </c>
      <c r="I1062" t="str" cm="1">
        <f t="array" ref="I1062">_xlfn.IFS(H1062&lt;=120,"V1",H1062&lt;=150,"V2",H1062&lt;=250,"V3", H1062&lt;=350, "V4")</f>
        <v>V1</v>
      </c>
      <c r="J1062" t="s">
        <v>4122</v>
      </c>
      <c r="K1062" t="str">
        <f t="shared" si="368"/>
        <v>41.161085</v>
      </c>
      <c r="L1062" t="str">
        <f t="shared" si="369"/>
        <v>-104.804955</v>
      </c>
      <c r="M1062">
        <v>1859</v>
      </c>
      <c r="N1062" s="1">
        <v>41659</v>
      </c>
      <c r="O1062" s="1">
        <v>46099</v>
      </c>
      <c r="P1062" s="2">
        <f t="shared" si="370"/>
        <v>12.156057494866531</v>
      </c>
      <c r="Q1062" s="2" t="str">
        <f t="shared" si="371"/>
        <v>Old</v>
      </c>
      <c r="R1062">
        <f t="shared" si="372"/>
        <v>480</v>
      </c>
      <c r="S1062" t="str">
        <f t="shared" si="373"/>
        <v>Small</v>
      </c>
      <c r="T1062" t="str">
        <f t="shared" si="374"/>
        <v>Lower EV Adoption Corridor</v>
      </c>
      <c r="U1062" s="3">
        <f t="shared" si="375"/>
        <v>720000</v>
      </c>
      <c r="V1062" s="4">
        <f t="shared" si="376"/>
        <v>172800</v>
      </c>
      <c r="W1062" s="3">
        <f t="shared" si="377"/>
        <v>1920000</v>
      </c>
      <c r="X1062" s="3">
        <f t="shared" si="378"/>
        <v>1296000</v>
      </c>
      <c r="Y1062">
        <f t="shared" si="379"/>
        <v>0.2814814814814815</v>
      </c>
      <c r="Z1062">
        <f t="shared" si="380"/>
        <v>0.76</v>
      </c>
      <c r="AA1062" t="str">
        <f t="shared" si="381"/>
        <v>Tier 5 - Retirement Pipeline</v>
      </c>
      <c r="AB1062" s="3">
        <f t="shared" si="382"/>
        <v>43200</v>
      </c>
      <c r="AC1062" s="3">
        <f t="shared" si="383"/>
        <v>480000</v>
      </c>
      <c r="AD1062" s="3">
        <f t="shared" si="384"/>
        <v>180000</v>
      </c>
      <c r="AE1062" s="5">
        <f t="shared" si="385"/>
        <v>3.5087719298245612</v>
      </c>
      <c r="AF1062" s="10">
        <f t="shared" si="386"/>
        <v>107136</v>
      </c>
      <c r="AG1062" s="10">
        <f t="shared" si="387"/>
        <v>34560</v>
      </c>
      <c r="AH1062" s="10">
        <f t="shared" si="388"/>
        <v>17280</v>
      </c>
      <c r="AI1062" s="10">
        <f t="shared" si="389"/>
        <v>8640</v>
      </c>
      <c r="AJ1062" s="10">
        <f t="shared" si="390"/>
        <v>5184</v>
      </c>
    </row>
    <row r="1063" spans="1:36" x14ac:dyDescent="0.3">
      <c r="A1063" t="s">
        <v>4123</v>
      </c>
      <c r="B1063" t="s">
        <v>4124</v>
      </c>
      <c r="C1063" t="s">
        <v>4125</v>
      </c>
      <c r="D1063" t="s">
        <v>852</v>
      </c>
      <c r="E1063">
        <v>8837</v>
      </c>
      <c r="F1063" t="s">
        <v>15</v>
      </c>
      <c r="G1063">
        <v>8</v>
      </c>
      <c r="H1063">
        <v>120</v>
      </c>
      <c r="I1063" t="str" cm="1">
        <f t="array" ref="I1063">_xlfn.IFS(H1063&lt;=120,"V1",H1063&lt;=150,"V2",H1063&lt;=250,"V3", H1063&lt;=350, "V4")</f>
        <v>V1</v>
      </c>
      <c r="J1063" t="s">
        <v>4126</v>
      </c>
      <c r="K1063" t="str">
        <f t="shared" si="368"/>
        <v>40.5448144</v>
      </c>
      <c r="L1063" t="str">
        <f t="shared" si="369"/>
        <v>-74.333248</v>
      </c>
      <c r="M1063">
        <v>30</v>
      </c>
      <c r="N1063" s="1">
        <v>41873</v>
      </c>
      <c r="O1063" s="1">
        <v>46099</v>
      </c>
      <c r="P1063" s="2">
        <f t="shared" si="370"/>
        <v>11.570157426420261</v>
      </c>
      <c r="Q1063" s="2" t="str">
        <f t="shared" si="371"/>
        <v>Old</v>
      </c>
      <c r="R1063">
        <f t="shared" si="372"/>
        <v>960</v>
      </c>
      <c r="S1063" t="str">
        <f t="shared" si="373"/>
        <v>Small</v>
      </c>
      <c r="T1063" t="str">
        <f t="shared" si="374"/>
        <v>High EV Adoption Corridor</v>
      </c>
      <c r="U1063" s="3">
        <f t="shared" si="375"/>
        <v>1872000</v>
      </c>
      <c r="V1063" s="4">
        <f t="shared" si="376"/>
        <v>414720</v>
      </c>
      <c r="W1063" s="3">
        <f t="shared" si="377"/>
        <v>4224000</v>
      </c>
      <c r="X1063" s="3">
        <f t="shared" si="378"/>
        <v>3888000</v>
      </c>
      <c r="Y1063">
        <f t="shared" si="379"/>
        <v>0.21530864197530863</v>
      </c>
      <c r="Z1063">
        <f t="shared" si="380"/>
        <v>0.77846153846153843</v>
      </c>
      <c r="AA1063" t="str">
        <f t="shared" si="381"/>
        <v>Tier 3 - Upgrade Pipeline</v>
      </c>
      <c r="AB1063" s="3">
        <f t="shared" si="382"/>
        <v>51840</v>
      </c>
      <c r="AC1063" s="3">
        <f t="shared" si="383"/>
        <v>528000</v>
      </c>
      <c r="AD1063" s="3">
        <f t="shared" si="384"/>
        <v>234000</v>
      </c>
      <c r="AE1063" s="5">
        <f t="shared" si="385"/>
        <v>2.8985507246376812</v>
      </c>
      <c r="AF1063" s="10">
        <f t="shared" si="386"/>
        <v>257126.39999999999</v>
      </c>
      <c r="AG1063" s="10">
        <f t="shared" si="387"/>
        <v>82944</v>
      </c>
      <c r="AH1063" s="10">
        <f t="shared" si="388"/>
        <v>41472</v>
      </c>
      <c r="AI1063" s="10">
        <f t="shared" si="389"/>
        <v>20736</v>
      </c>
      <c r="AJ1063" s="10">
        <f t="shared" si="390"/>
        <v>12441.6</v>
      </c>
    </row>
    <row r="1064" spans="1:36" x14ac:dyDescent="0.3">
      <c r="A1064" t="s">
        <v>4127</v>
      </c>
      <c r="B1064" t="s">
        <v>4128</v>
      </c>
      <c r="C1064" t="s">
        <v>534</v>
      </c>
      <c r="D1064" t="s">
        <v>158</v>
      </c>
      <c r="E1064">
        <v>12205</v>
      </c>
      <c r="F1064" t="s">
        <v>15</v>
      </c>
      <c r="G1064">
        <v>6</v>
      </c>
      <c r="H1064">
        <v>120</v>
      </c>
      <c r="I1064" t="str" cm="1">
        <f t="array" ref="I1064">_xlfn.IFS(H1064&lt;=120,"V1",H1064&lt;=150,"V2",H1064&lt;=250,"V3", H1064&lt;=350, "V4")</f>
        <v>V1</v>
      </c>
      <c r="J1064" t="s">
        <v>4129</v>
      </c>
      <c r="K1064" t="str">
        <f t="shared" si="368"/>
        <v>42.710356</v>
      </c>
      <c r="L1064" t="str">
        <f t="shared" si="369"/>
        <v>-73.819109</v>
      </c>
      <c r="M1064">
        <v>88</v>
      </c>
      <c r="N1064" s="1">
        <v>41759</v>
      </c>
      <c r="O1064" s="1">
        <v>46099</v>
      </c>
      <c r="P1064" s="2">
        <f t="shared" si="370"/>
        <v>11.88227241615332</v>
      </c>
      <c r="Q1064" s="2" t="str">
        <f t="shared" si="371"/>
        <v>Old</v>
      </c>
      <c r="R1064">
        <f t="shared" si="372"/>
        <v>720</v>
      </c>
      <c r="S1064" t="str">
        <f t="shared" si="373"/>
        <v>Small</v>
      </c>
      <c r="T1064" t="str">
        <f t="shared" si="374"/>
        <v>Lower EV Adoption Corridor</v>
      </c>
      <c r="U1064" s="3">
        <f t="shared" si="375"/>
        <v>1080000</v>
      </c>
      <c r="V1064" s="4">
        <f t="shared" si="376"/>
        <v>259200</v>
      </c>
      <c r="W1064" s="3">
        <f t="shared" si="377"/>
        <v>2880000</v>
      </c>
      <c r="X1064" s="3">
        <f t="shared" si="378"/>
        <v>1944000</v>
      </c>
      <c r="Y1064">
        <f t="shared" si="379"/>
        <v>0.2814814814814815</v>
      </c>
      <c r="Z1064">
        <f t="shared" si="380"/>
        <v>0.76</v>
      </c>
      <c r="AA1064" t="str">
        <f t="shared" si="381"/>
        <v>Tier 5 - Retirement Pipeline</v>
      </c>
      <c r="AB1064" s="3">
        <f t="shared" si="382"/>
        <v>43200</v>
      </c>
      <c r="AC1064" s="3">
        <f t="shared" si="383"/>
        <v>480000</v>
      </c>
      <c r="AD1064" s="3">
        <f t="shared" si="384"/>
        <v>180000</v>
      </c>
      <c r="AE1064" s="5">
        <f t="shared" si="385"/>
        <v>3.5087719298245612</v>
      </c>
      <c r="AF1064" s="10">
        <f t="shared" si="386"/>
        <v>160704</v>
      </c>
      <c r="AG1064" s="10">
        <f t="shared" si="387"/>
        <v>51840</v>
      </c>
      <c r="AH1064" s="10">
        <f t="shared" si="388"/>
        <v>25920</v>
      </c>
      <c r="AI1064" s="10">
        <f t="shared" si="389"/>
        <v>12960</v>
      </c>
      <c r="AJ1064" s="10">
        <f t="shared" si="390"/>
        <v>7776</v>
      </c>
    </row>
    <row r="1065" spans="1:36" x14ac:dyDescent="0.3">
      <c r="A1065" t="s">
        <v>4130</v>
      </c>
      <c r="B1065" t="s">
        <v>4131</v>
      </c>
      <c r="C1065" t="s">
        <v>1391</v>
      </c>
      <c r="D1065" t="s">
        <v>158</v>
      </c>
      <c r="E1065">
        <v>14221</v>
      </c>
      <c r="F1065" t="s">
        <v>15</v>
      </c>
      <c r="G1065">
        <v>8</v>
      </c>
      <c r="H1065">
        <v>120</v>
      </c>
      <c r="I1065" t="str" cm="1">
        <f t="array" ref="I1065">_xlfn.IFS(H1065&lt;=120,"V1",H1065&lt;=150,"V2",H1065&lt;=250,"V3", H1065&lt;=350, "V4")</f>
        <v>V1</v>
      </c>
      <c r="J1065" t="s">
        <v>4132</v>
      </c>
      <c r="K1065" t="str">
        <f t="shared" si="368"/>
        <v>42.968673</v>
      </c>
      <c r="L1065" t="str">
        <f t="shared" si="369"/>
        <v>-78.696128</v>
      </c>
      <c r="M1065">
        <v>213</v>
      </c>
      <c r="N1065" s="1">
        <v>42166</v>
      </c>
      <c r="O1065" s="1">
        <v>46099</v>
      </c>
      <c r="P1065" s="2">
        <f t="shared" si="370"/>
        <v>10.767967145790555</v>
      </c>
      <c r="Q1065" s="2" t="str">
        <f t="shared" si="371"/>
        <v>Old</v>
      </c>
      <c r="R1065">
        <f t="shared" si="372"/>
        <v>960</v>
      </c>
      <c r="S1065" t="str">
        <f t="shared" si="373"/>
        <v>Small</v>
      </c>
      <c r="T1065" t="str">
        <f t="shared" si="374"/>
        <v>Lower EV Adoption Corridor</v>
      </c>
      <c r="U1065" s="3">
        <f t="shared" si="375"/>
        <v>1440000</v>
      </c>
      <c r="V1065" s="4">
        <f t="shared" si="376"/>
        <v>345600</v>
      </c>
      <c r="W1065" s="3">
        <f t="shared" si="377"/>
        <v>3840000</v>
      </c>
      <c r="X1065" s="3">
        <f t="shared" si="378"/>
        <v>2592000</v>
      </c>
      <c r="Y1065">
        <f t="shared" si="379"/>
        <v>0.2814814814814815</v>
      </c>
      <c r="Z1065">
        <f t="shared" si="380"/>
        <v>0.76</v>
      </c>
      <c r="AA1065" t="str">
        <f t="shared" si="381"/>
        <v>Tier 5 - Retirement Pipeline</v>
      </c>
      <c r="AB1065" s="3">
        <f t="shared" si="382"/>
        <v>43200</v>
      </c>
      <c r="AC1065" s="3">
        <f t="shared" si="383"/>
        <v>480000</v>
      </c>
      <c r="AD1065" s="3">
        <f t="shared" si="384"/>
        <v>180000</v>
      </c>
      <c r="AE1065" s="5">
        <f t="shared" si="385"/>
        <v>3.5087719298245612</v>
      </c>
      <c r="AF1065" s="10">
        <f t="shared" si="386"/>
        <v>214272</v>
      </c>
      <c r="AG1065" s="10">
        <f t="shared" si="387"/>
        <v>69120</v>
      </c>
      <c r="AH1065" s="10">
        <f t="shared" si="388"/>
        <v>34560</v>
      </c>
      <c r="AI1065" s="10">
        <f t="shared" si="389"/>
        <v>17280</v>
      </c>
      <c r="AJ1065" s="10">
        <f t="shared" si="390"/>
        <v>10368</v>
      </c>
    </row>
    <row r="1066" spans="1:36" x14ac:dyDescent="0.3">
      <c r="A1066" t="s">
        <v>4133</v>
      </c>
      <c r="B1066" t="s">
        <v>4134</v>
      </c>
      <c r="C1066" t="s">
        <v>4135</v>
      </c>
      <c r="D1066" t="s">
        <v>4136</v>
      </c>
      <c r="E1066">
        <v>99669</v>
      </c>
      <c r="F1066" t="s">
        <v>15</v>
      </c>
      <c r="G1066">
        <v>4</v>
      </c>
      <c r="H1066">
        <v>250</v>
      </c>
      <c r="I1066" t="str" cm="1">
        <f t="array" ref="I1066">_xlfn.IFS(H1066&lt;=120,"V1",H1066&lt;=150,"V2",H1066&lt;=250,"V3", H1066&lt;=350, "V4")</f>
        <v>V3</v>
      </c>
      <c r="J1066" t="s">
        <v>4137</v>
      </c>
      <c r="K1066" t="str">
        <f t="shared" si="368"/>
        <v>60.494628</v>
      </c>
      <c r="L1066" t="str">
        <f t="shared" si="369"/>
        <v>-151.045047</v>
      </c>
      <c r="M1066">
        <v>61</v>
      </c>
      <c r="N1066" s="1">
        <v>44518</v>
      </c>
      <c r="O1066" s="1">
        <v>46099</v>
      </c>
      <c r="P1066" s="2">
        <f t="shared" si="370"/>
        <v>4.3285420944558526</v>
      </c>
      <c r="Q1066" s="2" t="str">
        <f t="shared" si="371"/>
        <v>Mid</v>
      </c>
      <c r="R1066">
        <f t="shared" si="372"/>
        <v>1000</v>
      </c>
      <c r="S1066" t="str">
        <f t="shared" si="373"/>
        <v>Small</v>
      </c>
      <c r="T1066" t="str">
        <f t="shared" si="374"/>
        <v>Lower EV Adoption Corridor</v>
      </c>
      <c r="U1066" s="3">
        <f t="shared" si="375"/>
        <v>1800000</v>
      </c>
      <c r="V1066" s="4">
        <f t="shared" si="376"/>
        <v>440000.00000000006</v>
      </c>
      <c r="W1066" s="3">
        <f t="shared" si="377"/>
        <v>6000000</v>
      </c>
      <c r="X1066" s="3">
        <f t="shared" si="378"/>
        <v>3300000.0000000005</v>
      </c>
      <c r="Y1066">
        <f t="shared" si="379"/>
        <v>0.31515151515151513</v>
      </c>
      <c r="Z1066">
        <f t="shared" si="380"/>
        <v>0.75555555555555554</v>
      </c>
      <c r="AA1066" t="str">
        <f t="shared" si="381"/>
        <v>Tier 2 - Growth Markets</v>
      </c>
      <c r="AB1066" s="3">
        <f t="shared" si="382"/>
        <v>110000.00000000001</v>
      </c>
      <c r="AC1066" s="3">
        <f t="shared" si="383"/>
        <v>1500000</v>
      </c>
      <c r="AD1066" s="3">
        <f t="shared" si="384"/>
        <v>450000</v>
      </c>
      <c r="AE1066" s="5">
        <f t="shared" si="385"/>
        <v>4.4117647058823533</v>
      </c>
      <c r="AF1066" s="10">
        <f t="shared" si="386"/>
        <v>272800.00000000006</v>
      </c>
      <c r="AG1066" s="10">
        <f t="shared" si="387"/>
        <v>88000.000000000015</v>
      </c>
      <c r="AH1066" s="10">
        <f t="shared" si="388"/>
        <v>44000.000000000007</v>
      </c>
      <c r="AI1066" s="10">
        <f t="shared" si="389"/>
        <v>22000.000000000004</v>
      </c>
      <c r="AJ1066" s="10">
        <f t="shared" si="390"/>
        <v>13200.000000000002</v>
      </c>
    </row>
    <row r="1067" spans="1:36" x14ac:dyDescent="0.3">
      <c r="A1067" t="s">
        <v>4138</v>
      </c>
      <c r="B1067" t="s">
        <v>4139</v>
      </c>
      <c r="C1067" t="s">
        <v>2721</v>
      </c>
      <c r="D1067" t="s">
        <v>14</v>
      </c>
      <c r="E1067">
        <v>95758</v>
      </c>
      <c r="F1067" t="s">
        <v>15</v>
      </c>
      <c r="G1067">
        <v>12</v>
      </c>
      <c r="H1067">
        <v>250</v>
      </c>
      <c r="I1067" t="str" cm="1">
        <f t="array" ref="I1067">_xlfn.IFS(H1067&lt;=120,"V1",H1067&lt;=150,"V2",H1067&lt;=250,"V3", H1067&lt;=350, "V4")</f>
        <v>V3</v>
      </c>
      <c r="J1067" t="s">
        <v>4140</v>
      </c>
      <c r="K1067" t="str">
        <f t="shared" si="368"/>
        <v>38.4099</v>
      </c>
      <c r="L1067" t="str">
        <f t="shared" si="369"/>
        <v>-121.4181</v>
      </c>
      <c r="M1067">
        <v>10</v>
      </c>
      <c r="N1067" s="1">
        <v>44861</v>
      </c>
      <c r="O1067" s="1">
        <v>46099</v>
      </c>
      <c r="P1067" s="2">
        <f t="shared" si="370"/>
        <v>3.3894592744695413</v>
      </c>
      <c r="Q1067" s="2" t="str">
        <f t="shared" si="371"/>
        <v>Mid</v>
      </c>
      <c r="R1067">
        <f t="shared" si="372"/>
        <v>3000</v>
      </c>
      <c r="S1067" t="str">
        <f t="shared" si="373"/>
        <v>Small</v>
      </c>
      <c r="T1067" t="str">
        <f t="shared" si="374"/>
        <v>High EV Adoption Corridor</v>
      </c>
      <c r="U1067" s="3">
        <f t="shared" si="375"/>
        <v>7020000</v>
      </c>
      <c r="V1067" s="4">
        <f t="shared" si="376"/>
        <v>1584000</v>
      </c>
      <c r="W1067" s="3">
        <f t="shared" si="377"/>
        <v>19800000</v>
      </c>
      <c r="X1067" s="3">
        <f t="shared" si="378"/>
        <v>14850000</v>
      </c>
      <c r="Y1067">
        <f t="shared" si="379"/>
        <v>0.24</v>
      </c>
      <c r="Z1067">
        <f t="shared" si="380"/>
        <v>0.77435897435897438</v>
      </c>
      <c r="AA1067" t="str">
        <f t="shared" si="381"/>
        <v>Tier 1 - Priority Fleet</v>
      </c>
      <c r="AB1067" s="3">
        <f t="shared" si="382"/>
        <v>132000</v>
      </c>
      <c r="AC1067" s="3">
        <f t="shared" si="383"/>
        <v>1650000</v>
      </c>
      <c r="AD1067" s="3">
        <f t="shared" si="384"/>
        <v>585000</v>
      </c>
      <c r="AE1067" s="5">
        <f t="shared" si="385"/>
        <v>3.6423841059602649</v>
      </c>
      <c r="AF1067" s="10">
        <f t="shared" si="386"/>
        <v>982080</v>
      </c>
      <c r="AG1067" s="10">
        <f t="shared" si="387"/>
        <v>316800</v>
      </c>
      <c r="AH1067" s="10">
        <f t="shared" si="388"/>
        <v>158400</v>
      </c>
      <c r="AI1067" s="10">
        <f t="shared" si="389"/>
        <v>79200</v>
      </c>
      <c r="AJ1067" s="10">
        <f t="shared" si="390"/>
        <v>47520</v>
      </c>
    </row>
    <row r="1068" spans="1:36" x14ac:dyDescent="0.3">
      <c r="A1068" t="s">
        <v>4141</v>
      </c>
      <c r="B1068" t="s">
        <v>4142</v>
      </c>
      <c r="C1068" t="s">
        <v>4143</v>
      </c>
      <c r="D1068" t="s">
        <v>428</v>
      </c>
      <c r="E1068">
        <v>3784</v>
      </c>
      <c r="F1068" t="s">
        <v>15</v>
      </c>
      <c r="G1068">
        <v>16</v>
      </c>
      <c r="H1068">
        <v>250</v>
      </c>
      <c r="I1068" t="str" cm="1">
        <f t="array" ref="I1068">_xlfn.IFS(H1068&lt;=120,"V1",H1068&lt;=150,"V2",H1068&lt;=250,"V3", H1068&lt;=350, "V4")</f>
        <v>V3</v>
      </c>
      <c r="J1068" t="s">
        <v>4144</v>
      </c>
      <c r="K1068" t="str">
        <f t="shared" si="368"/>
        <v>43.623536</v>
      </c>
      <c r="L1068" t="str">
        <f t="shared" si="369"/>
        <v>-72.3258949</v>
      </c>
      <c r="M1068">
        <v>106</v>
      </c>
      <c r="N1068" s="1">
        <v>42202</v>
      </c>
      <c r="O1068" s="1">
        <v>46099</v>
      </c>
      <c r="P1068" s="2">
        <f t="shared" si="370"/>
        <v>10.669404517453799</v>
      </c>
      <c r="Q1068" s="2" t="str">
        <f t="shared" si="371"/>
        <v>Old</v>
      </c>
      <c r="R1068">
        <f t="shared" si="372"/>
        <v>4000</v>
      </c>
      <c r="S1068" t="str">
        <f t="shared" si="373"/>
        <v>Small</v>
      </c>
      <c r="T1068" t="str">
        <f t="shared" si="374"/>
        <v>Lower EV Adoption Corridor</v>
      </c>
      <c r="U1068" s="3">
        <f t="shared" si="375"/>
        <v>7200000</v>
      </c>
      <c r="V1068" s="4">
        <f t="shared" si="376"/>
        <v>1760000.0000000002</v>
      </c>
      <c r="W1068" s="3">
        <f t="shared" si="377"/>
        <v>24000000</v>
      </c>
      <c r="X1068" s="3">
        <f t="shared" si="378"/>
        <v>13200000.000000002</v>
      </c>
      <c r="Y1068">
        <f t="shared" si="379"/>
        <v>0.31515151515151513</v>
      </c>
      <c r="Z1068">
        <f t="shared" si="380"/>
        <v>0.75555555555555554</v>
      </c>
      <c r="AA1068" t="str">
        <f t="shared" si="381"/>
        <v>Tier 2 - Growth Markets</v>
      </c>
      <c r="AB1068" s="3">
        <f t="shared" si="382"/>
        <v>110000.00000000001</v>
      </c>
      <c r="AC1068" s="3">
        <f t="shared" si="383"/>
        <v>1500000</v>
      </c>
      <c r="AD1068" s="3">
        <f t="shared" si="384"/>
        <v>450000</v>
      </c>
      <c r="AE1068" s="5">
        <f t="shared" si="385"/>
        <v>4.4117647058823533</v>
      </c>
      <c r="AF1068" s="10">
        <f t="shared" si="386"/>
        <v>1091200.0000000002</v>
      </c>
      <c r="AG1068" s="10">
        <f t="shared" si="387"/>
        <v>352000.00000000006</v>
      </c>
      <c r="AH1068" s="10">
        <f t="shared" si="388"/>
        <v>176000.00000000003</v>
      </c>
      <c r="AI1068" s="10">
        <f t="shared" si="389"/>
        <v>88000.000000000015</v>
      </c>
      <c r="AJ1068" s="10">
        <f t="shared" si="390"/>
        <v>52800.000000000007</v>
      </c>
    </row>
    <row r="1069" spans="1:36" x14ac:dyDescent="0.3">
      <c r="A1069" t="s">
        <v>4145</v>
      </c>
      <c r="B1069" t="s">
        <v>4146</v>
      </c>
      <c r="C1069" t="s">
        <v>4147</v>
      </c>
      <c r="D1069" t="s">
        <v>153</v>
      </c>
      <c r="E1069">
        <v>18229</v>
      </c>
      <c r="F1069" t="s">
        <v>15</v>
      </c>
      <c r="G1069">
        <v>8</v>
      </c>
      <c r="H1069">
        <v>250</v>
      </c>
      <c r="I1069" t="str" cm="1">
        <f t="array" ref="I1069">_xlfn.IFS(H1069&lt;=120,"V1",H1069&lt;=150,"V2",H1069&lt;=250,"V3", H1069&lt;=350, "V4")</f>
        <v>V3</v>
      </c>
      <c r="J1069" t="s">
        <v>4148</v>
      </c>
      <c r="K1069" t="str">
        <f t="shared" si="368"/>
        <v>40.971484</v>
      </c>
      <c r="L1069" t="str">
        <f t="shared" si="369"/>
        <v>-75.63068</v>
      </c>
      <c r="M1069">
        <v>497</v>
      </c>
      <c r="N1069" s="1">
        <v>44345</v>
      </c>
      <c r="O1069" s="1">
        <v>46099</v>
      </c>
      <c r="P1069" s="2">
        <f t="shared" si="370"/>
        <v>4.8021902806297057</v>
      </c>
      <c r="Q1069" s="2" t="str">
        <f t="shared" si="371"/>
        <v>Mid</v>
      </c>
      <c r="R1069">
        <f t="shared" si="372"/>
        <v>2000</v>
      </c>
      <c r="S1069" t="str">
        <f t="shared" si="373"/>
        <v>Small</v>
      </c>
      <c r="T1069" t="str">
        <f t="shared" si="374"/>
        <v>Lower EV Adoption Corridor</v>
      </c>
      <c r="U1069" s="3">
        <f t="shared" si="375"/>
        <v>3600000</v>
      </c>
      <c r="V1069" s="4">
        <f t="shared" si="376"/>
        <v>880000.00000000012</v>
      </c>
      <c r="W1069" s="3">
        <f t="shared" si="377"/>
        <v>12000000</v>
      </c>
      <c r="X1069" s="3">
        <f t="shared" si="378"/>
        <v>6600000.0000000009</v>
      </c>
      <c r="Y1069">
        <f t="shared" si="379"/>
        <v>0.31515151515151513</v>
      </c>
      <c r="Z1069">
        <f t="shared" si="380"/>
        <v>0.75555555555555554</v>
      </c>
      <c r="AA1069" t="str">
        <f t="shared" si="381"/>
        <v>Tier 2 - Growth Markets</v>
      </c>
      <c r="AB1069" s="3">
        <f t="shared" si="382"/>
        <v>110000.00000000001</v>
      </c>
      <c r="AC1069" s="3">
        <f t="shared" si="383"/>
        <v>1500000</v>
      </c>
      <c r="AD1069" s="3">
        <f t="shared" si="384"/>
        <v>450000</v>
      </c>
      <c r="AE1069" s="5">
        <f t="shared" si="385"/>
        <v>4.4117647058823533</v>
      </c>
      <c r="AF1069" s="10">
        <f t="shared" si="386"/>
        <v>545600.00000000012</v>
      </c>
      <c r="AG1069" s="10">
        <f t="shared" si="387"/>
        <v>176000.00000000003</v>
      </c>
      <c r="AH1069" s="10">
        <f t="shared" si="388"/>
        <v>88000.000000000015</v>
      </c>
      <c r="AI1069" s="10">
        <f t="shared" si="389"/>
        <v>44000.000000000007</v>
      </c>
      <c r="AJ1069" s="10">
        <f t="shared" si="390"/>
        <v>26400.000000000004</v>
      </c>
    </row>
    <row r="1070" spans="1:36" x14ac:dyDescent="0.3">
      <c r="A1070" t="s">
        <v>4149</v>
      </c>
      <c r="B1070" t="s">
        <v>4150</v>
      </c>
      <c r="C1070" t="s">
        <v>3398</v>
      </c>
      <c r="D1070" t="s">
        <v>14</v>
      </c>
      <c r="E1070">
        <v>94568</v>
      </c>
      <c r="F1070" t="s">
        <v>15</v>
      </c>
      <c r="G1070">
        <v>16</v>
      </c>
      <c r="H1070">
        <v>150</v>
      </c>
      <c r="I1070" t="str" cm="1">
        <f t="array" ref="I1070">_xlfn.IFS(H1070&lt;=120,"V1",H1070&lt;=150,"V2",H1070&lt;=250,"V3", H1070&lt;=350, "V4")</f>
        <v>V2</v>
      </c>
      <c r="J1070" t="s">
        <v>4151</v>
      </c>
      <c r="K1070" t="str">
        <f t="shared" si="368"/>
        <v>37.703183</v>
      </c>
      <c r="L1070" t="str">
        <f t="shared" si="369"/>
        <v>-121.925327</v>
      </c>
      <c r="M1070">
        <v>103</v>
      </c>
      <c r="N1070" s="1">
        <v>42294</v>
      </c>
      <c r="O1070" s="1">
        <v>46099</v>
      </c>
      <c r="P1070" s="2">
        <f t="shared" si="370"/>
        <v>10.417522245037645</v>
      </c>
      <c r="Q1070" s="2" t="str">
        <f t="shared" si="371"/>
        <v>Old</v>
      </c>
      <c r="R1070">
        <f t="shared" si="372"/>
        <v>2400</v>
      </c>
      <c r="S1070" t="str">
        <f t="shared" si="373"/>
        <v>Small</v>
      </c>
      <c r="T1070" t="str">
        <f t="shared" si="374"/>
        <v>High EV Adoption Corridor</v>
      </c>
      <c r="U1070" s="3">
        <f t="shared" si="375"/>
        <v>5148000.0000000009</v>
      </c>
      <c r="V1070" s="4">
        <f t="shared" si="376"/>
        <v>1152000</v>
      </c>
      <c r="W1070" s="3">
        <f t="shared" si="377"/>
        <v>13200000.000000002</v>
      </c>
      <c r="X1070" s="3">
        <f t="shared" si="378"/>
        <v>10800000</v>
      </c>
      <c r="Y1070">
        <f t="shared" si="379"/>
        <v>0.22888888888888889</v>
      </c>
      <c r="Z1070">
        <f t="shared" si="380"/>
        <v>0.77622377622377625</v>
      </c>
      <c r="AA1070" t="str">
        <f t="shared" si="381"/>
        <v>Tier 3 - Upgrade Pipeline</v>
      </c>
      <c r="AB1070" s="3">
        <f t="shared" si="382"/>
        <v>72000</v>
      </c>
      <c r="AC1070" s="3">
        <f t="shared" si="383"/>
        <v>825000.00000000012</v>
      </c>
      <c r="AD1070" s="3">
        <f t="shared" si="384"/>
        <v>321750.00000000006</v>
      </c>
      <c r="AE1070" s="5">
        <f t="shared" si="385"/>
        <v>3.303303303303303</v>
      </c>
      <c r="AF1070" s="10">
        <f t="shared" si="386"/>
        <v>714240</v>
      </c>
      <c r="AG1070" s="10">
        <f t="shared" si="387"/>
        <v>230400</v>
      </c>
      <c r="AH1070" s="10">
        <f t="shared" si="388"/>
        <v>115200</v>
      </c>
      <c r="AI1070" s="10">
        <f t="shared" si="389"/>
        <v>57600</v>
      </c>
      <c r="AJ1070" s="10">
        <f t="shared" si="390"/>
        <v>34560</v>
      </c>
    </row>
    <row r="1071" spans="1:36" x14ac:dyDescent="0.3">
      <c r="A1071" t="s">
        <v>4152</v>
      </c>
      <c r="B1071" t="s">
        <v>4153</v>
      </c>
      <c r="C1071" t="s">
        <v>4154</v>
      </c>
      <c r="D1071" t="s">
        <v>41</v>
      </c>
      <c r="E1071">
        <v>33563</v>
      </c>
      <c r="F1071" t="s">
        <v>15</v>
      </c>
      <c r="G1071">
        <v>8</v>
      </c>
      <c r="H1071">
        <v>250</v>
      </c>
      <c r="I1071" t="str" cm="1">
        <f t="array" ref="I1071">_xlfn.IFS(H1071&lt;=120,"V1",H1071&lt;=150,"V2",H1071&lt;=250,"V3", H1071&lt;=350, "V4")</f>
        <v>V3</v>
      </c>
      <c r="J1071" t="s">
        <v>4155</v>
      </c>
      <c r="K1071" t="str">
        <f t="shared" si="368"/>
        <v>28.026083</v>
      </c>
      <c r="L1071" t="str">
        <f t="shared" si="369"/>
        <v>-82.151705</v>
      </c>
      <c r="M1071">
        <v>36</v>
      </c>
      <c r="N1071" s="1">
        <v>44644</v>
      </c>
      <c r="O1071" s="1">
        <v>46099</v>
      </c>
      <c r="P1071" s="2">
        <f t="shared" si="370"/>
        <v>3.9835728952772076</v>
      </c>
      <c r="Q1071" s="2" t="str">
        <f t="shared" si="371"/>
        <v>Mid</v>
      </c>
      <c r="R1071">
        <f t="shared" si="372"/>
        <v>2000</v>
      </c>
      <c r="S1071" t="str">
        <f t="shared" si="373"/>
        <v>Small</v>
      </c>
      <c r="T1071" t="str">
        <f t="shared" si="374"/>
        <v>High EV Adoption Corridor</v>
      </c>
      <c r="U1071" s="3">
        <f t="shared" si="375"/>
        <v>4680000</v>
      </c>
      <c r="V1071" s="4">
        <f t="shared" si="376"/>
        <v>1056000</v>
      </c>
      <c r="W1071" s="3">
        <f t="shared" si="377"/>
        <v>13200000.000000002</v>
      </c>
      <c r="X1071" s="3">
        <f t="shared" si="378"/>
        <v>9900000.0000000019</v>
      </c>
      <c r="Y1071">
        <f t="shared" si="379"/>
        <v>0.23999999999999996</v>
      </c>
      <c r="Z1071">
        <f t="shared" si="380"/>
        <v>0.77435897435897438</v>
      </c>
      <c r="AA1071" t="str">
        <f t="shared" si="381"/>
        <v>Tier 1 - Priority Fleet</v>
      </c>
      <c r="AB1071" s="3">
        <f t="shared" si="382"/>
        <v>132000</v>
      </c>
      <c r="AC1071" s="3">
        <f t="shared" si="383"/>
        <v>1650000.0000000002</v>
      </c>
      <c r="AD1071" s="3">
        <f t="shared" si="384"/>
        <v>585000</v>
      </c>
      <c r="AE1071" s="5">
        <f t="shared" si="385"/>
        <v>3.6423841059602653</v>
      </c>
      <c r="AF1071" s="10">
        <f t="shared" si="386"/>
        <v>654720</v>
      </c>
      <c r="AG1071" s="10">
        <f t="shared" si="387"/>
        <v>211200</v>
      </c>
      <c r="AH1071" s="10">
        <f t="shared" si="388"/>
        <v>105600</v>
      </c>
      <c r="AI1071" s="10">
        <f t="shared" si="389"/>
        <v>52800</v>
      </c>
      <c r="AJ1071" s="10">
        <f t="shared" si="390"/>
        <v>31680</v>
      </c>
    </row>
    <row r="1072" spans="1:36" x14ac:dyDescent="0.3">
      <c r="A1072" t="s">
        <v>4156</v>
      </c>
      <c r="B1072" t="s">
        <v>4157</v>
      </c>
      <c r="C1072" t="s">
        <v>4158</v>
      </c>
      <c r="D1072" t="s">
        <v>153</v>
      </c>
      <c r="E1072">
        <v>15533</v>
      </c>
      <c r="F1072" t="s">
        <v>15</v>
      </c>
      <c r="G1072">
        <v>8</v>
      </c>
      <c r="H1072">
        <v>150</v>
      </c>
      <c r="I1072" t="str" cm="1">
        <f t="array" ref="I1072">_xlfn.IFS(H1072&lt;=120,"V1",H1072&lt;=150,"V2",H1072&lt;=250,"V3", H1072&lt;=350, "V4")</f>
        <v>V2</v>
      </c>
      <c r="J1072" t="s">
        <v>4159</v>
      </c>
      <c r="K1072" t="str">
        <f t="shared" si="368"/>
        <v>39.999842</v>
      </c>
      <c r="L1072" t="str">
        <f t="shared" si="369"/>
        <v>-78.238697</v>
      </c>
      <c r="M1072">
        <v>395</v>
      </c>
      <c r="N1072" s="1">
        <v>42972</v>
      </c>
      <c r="O1072" s="1">
        <v>46099</v>
      </c>
      <c r="P1072" s="2">
        <f t="shared" si="370"/>
        <v>8.5612594113620801</v>
      </c>
      <c r="Q1072" s="2" t="str">
        <f t="shared" si="371"/>
        <v>Old</v>
      </c>
      <c r="R1072">
        <f t="shared" si="372"/>
        <v>1200</v>
      </c>
      <c r="S1072" t="str">
        <f t="shared" si="373"/>
        <v>Small</v>
      </c>
      <c r="T1072" t="str">
        <f t="shared" si="374"/>
        <v>Lower EV Adoption Corridor</v>
      </c>
      <c r="U1072" s="3">
        <f t="shared" si="375"/>
        <v>1980000.0000000002</v>
      </c>
      <c r="V1072" s="4">
        <f t="shared" si="376"/>
        <v>480000</v>
      </c>
      <c r="W1072" s="3">
        <f t="shared" si="377"/>
        <v>6000000</v>
      </c>
      <c r="X1072" s="3">
        <f t="shared" si="378"/>
        <v>3600000</v>
      </c>
      <c r="Y1072">
        <f t="shared" si="379"/>
        <v>0.3</v>
      </c>
      <c r="Z1072">
        <f t="shared" si="380"/>
        <v>0.75757575757575757</v>
      </c>
      <c r="AA1072" t="str">
        <f t="shared" si="381"/>
        <v>Tier 4 - Stable Network</v>
      </c>
      <c r="AB1072" s="3">
        <f t="shared" si="382"/>
        <v>60000</v>
      </c>
      <c r="AC1072" s="3">
        <f t="shared" si="383"/>
        <v>750000</v>
      </c>
      <c r="AD1072" s="3">
        <f t="shared" si="384"/>
        <v>247500.00000000003</v>
      </c>
      <c r="AE1072" s="5">
        <f t="shared" si="385"/>
        <v>3.9999999999999996</v>
      </c>
      <c r="AF1072" s="10">
        <f t="shared" si="386"/>
        <v>297600</v>
      </c>
      <c r="AG1072" s="10">
        <f t="shared" si="387"/>
        <v>96000</v>
      </c>
      <c r="AH1072" s="10">
        <f t="shared" si="388"/>
        <v>48000</v>
      </c>
      <c r="AI1072" s="10">
        <f t="shared" si="389"/>
        <v>24000</v>
      </c>
      <c r="AJ1072" s="10">
        <f t="shared" si="390"/>
        <v>14400</v>
      </c>
    </row>
    <row r="1073" spans="1:36" x14ac:dyDescent="0.3">
      <c r="A1073" t="s">
        <v>4160</v>
      </c>
      <c r="B1073" t="s">
        <v>4161</v>
      </c>
      <c r="C1073" t="s">
        <v>4162</v>
      </c>
      <c r="D1073" t="s">
        <v>852</v>
      </c>
      <c r="E1073">
        <v>8691</v>
      </c>
      <c r="F1073" t="s">
        <v>15</v>
      </c>
      <c r="G1073">
        <v>6</v>
      </c>
      <c r="H1073">
        <v>150</v>
      </c>
      <c r="I1073" t="str" cm="1">
        <f t="array" ref="I1073">_xlfn.IFS(H1073&lt;=120,"V1",H1073&lt;=150,"V2",H1073&lt;=250,"V3", H1073&lt;=350, "V4")</f>
        <v>V2</v>
      </c>
      <c r="J1073" t="s">
        <v>4163</v>
      </c>
      <c r="K1073" t="str">
        <f t="shared" si="368"/>
        <v>40.195539</v>
      </c>
      <c r="L1073" t="str">
        <f t="shared" si="369"/>
        <v>-74.641375</v>
      </c>
      <c r="M1073">
        <v>21</v>
      </c>
      <c r="N1073" s="1">
        <v>41751</v>
      </c>
      <c r="O1073" s="1">
        <v>46099</v>
      </c>
      <c r="P1073" s="2">
        <f t="shared" si="370"/>
        <v>11.904175222450377</v>
      </c>
      <c r="Q1073" s="2" t="str">
        <f t="shared" si="371"/>
        <v>Old</v>
      </c>
      <c r="R1073">
        <f t="shared" si="372"/>
        <v>900</v>
      </c>
      <c r="S1073" t="str">
        <f t="shared" si="373"/>
        <v>Small</v>
      </c>
      <c r="T1073" t="str">
        <f t="shared" si="374"/>
        <v>High EV Adoption Corridor</v>
      </c>
      <c r="U1073" s="3">
        <f t="shared" si="375"/>
        <v>1930500.0000000005</v>
      </c>
      <c r="V1073" s="4">
        <f t="shared" si="376"/>
        <v>432000</v>
      </c>
      <c r="W1073" s="3">
        <f t="shared" si="377"/>
        <v>4950000</v>
      </c>
      <c r="X1073" s="3">
        <f t="shared" si="378"/>
        <v>4050000</v>
      </c>
      <c r="Y1073">
        <f t="shared" si="379"/>
        <v>0.22888888888888889</v>
      </c>
      <c r="Z1073">
        <f t="shared" si="380"/>
        <v>0.77622377622377625</v>
      </c>
      <c r="AA1073" t="str">
        <f t="shared" si="381"/>
        <v>Tier 3 - Upgrade Pipeline</v>
      </c>
      <c r="AB1073" s="3">
        <f t="shared" si="382"/>
        <v>72000</v>
      </c>
      <c r="AC1073" s="3">
        <f t="shared" si="383"/>
        <v>825000</v>
      </c>
      <c r="AD1073" s="3">
        <f t="shared" si="384"/>
        <v>321750.00000000006</v>
      </c>
      <c r="AE1073" s="5">
        <f t="shared" si="385"/>
        <v>3.3033033033033021</v>
      </c>
      <c r="AF1073" s="10">
        <f t="shared" si="386"/>
        <v>267840</v>
      </c>
      <c r="AG1073" s="10">
        <f t="shared" si="387"/>
        <v>86400</v>
      </c>
      <c r="AH1073" s="10">
        <f t="shared" si="388"/>
        <v>43200</v>
      </c>
      <c r="AI1073" s="10">
        <f t="shared" si="389"/>
        <v>21600</v>
      </c>
      <c r="AJ1073" s="10">
        <f t="shared" si="390"/>
        <v>12960</v>
      </c>
    </row>
    <row r="1074" spans="1:36" x14ac:dyDescent="0.3">
      <c r="A1074" t="s">
        <v>4164</v>
      </c>
      <c r="B1074" t="s">
        <v>4165</v>
      </c>
      <c r="C1074" t="s">
        <v>4166</v>
      </c>
      <c r="D1074" t="s">
        <v>913</v>
      </c>
      <c r="E1074">
        <v>21638</v>
      </c>
      <c r="F1074" t="s">
        <v>15</v>
      </c>
      <c r="G1074">
        <v>12</v>
      </c>
      <c r="H1074">
        <v>150</v>
      </c>
      <c r="I1074" t="str" cm="1">
        <f t="array" ref="I1074">_xlfn.IFS(H1074&lt;=120,"V1",H1074&lt;=150,"V2",H1074&lt;=250,"V3", H1074&lt;=350, "V4")</f>
        <v>V2</v>
      </c>
      <c r="J1074" t="s">
        <v>4167</v>
      </c>
      <c r="K1074" t="str">
        <f t="shared" si="368"/>
        <v>38.965706</v>
      </c>
      <c r="L1074" t="str">
        <f t="shared" si="369"/>
        <v>-76.220905</v>
      </c>
      <c r="M1074">
        <v>2</v>
      </c>
      <c r="N1074" s="1">
        <v>42965</v>
      </c>
      <c r="O1074" s="1">
        <v>46099</v>
      </c>
      <c r="P1074" s="2">
        <f t="shared" si="370"/>
        <v>8.5804243668720055</v>
      </c>
      <c r="Q1074" s="2" t="str">
        <f t="shared" si="371"/>
        <v>Old</v>
      </c>
      <c r="R1074">
        <f t="shared" si="372"/>
        <v>1800</v>
      </c>
      <c r="S1074" t="str">
        <f t="shared" si="373"/>
        <v>Small</v>
      </c>
      <c r="T1074" t="str">
        <f t="shared" si="374"/>
        <v>Lower EV Adoption Corridor</v>
      </c>
      <c r="U1074" s="3">
        <f t="shared" si="375"/>
        <v>2970000.0000000005</v>
      </c>
      <c r="V1074" s="4">
        <f t="shared" si="376"/>
        <v>720000</v>
      </c>
      <c r="W1074" s="3">
        <f t="shared" si="377"/>
        <v>9000000</v>
      </c>
      <c r="X1074" s="3">
        <f t="shared" si="378"/>
        <v>5400000</v>
      </c>
      <c r="Y1074">
        <f t="shared" si="379"/>
        <v>0.3</v>
      </c>
      <c r="Z1074">
        <f t="shared" si="380"/>
        <v>0.75757575757575757</v>
      </c>
      <c r="AA1074" t="str">
        <f t="shared" si="381"/>
        <v>Tier 4 - Stable Network</v>
      </c>
      <c r="AB1074" s="3">
        <f t="shared" si="382"/>
        <v>60000</v>
      </c>
      <c r="AC1074" s="3">
        <f t="shared" si="383"/>
        <v>750000</v>
      </c>
      <c r="AD1074" s="3">
        <f t="shared" si="384"/>
        <v>247500.00000000003</v>
      </c>
      <c r="AE1074" s="5">
        <f t="shared" si="385"/>
        <v>3.9999999999999991</v>
      </c>
      <c r="AF1074" s="10">
        <f t="shared" si="386"/>
        <v>446400</v>
      </c>
      <c r="AG1074" s="10">
        <f t="shared" si="387"/>
        <v>144000</v>
      </c>
      <c r="AH1074" s="10">
        <f t="shared" si="388"/>
        <v>72000</v>
      </c>
      <c r="AI1074" s="10">
        <f t="shared" si="389"/>
        <v>36000</v>
      </c>
      <c r="AJ1074" s="10">
        <f t="shared" si="390"/>
        <v>21600</v>
      </c>
    </row>
    <row r="1075" spans="1:36" x14ac:dyDescent="0.3">
      <c r="A1075" t="s">
        <v>4168</v>
      </c>
      <c r="B1075" t="s">
        <v>4146</v>
      </c>
      <c r="C1075" t="s">
        <v>4147</v>
      </c>
      <c r="D1075" t="s">
        <v>153</v>
      </c>
      <c r="E1075">
        <v>18229</v>
      </c>
      <c r="F1075" t="s">
        <v>15</v>
      </c>
      <c r="G1075">
        <v>8</v>
      </c>
      <c r="H1075">
        <v>250</v>
      </c>
      <c r="I1075" t="str" cm="1">
        <f t="array" ref="I1075">_xlfn.IFS(H1075&lt;=120,"V1",H1075&lt;=150,"V2",H1075&lt;=250,"V3", H1075&lt;=350, "V4")</f>
        <v>V3</v>
      </c>
      <c r="J1075" t="s">
        <v>4169</v>
      </c>
      <c r="K1075" t="str">
        <f t="shared" si="368"/>
        <v>40.969331</v>
      </c>
      <c r="L1075" t="str">
        <f t="shared" si="369"/>
        <v>-75.631379</v>
      </c>
      <c r="M1075">
        <v>497</v>
      </c>
      <c r="N1075" s="1">
        <v>44343</v>
      </c>
      <c r="O1075" s="1">
        <v>46099</v>
      </c>
      <c r="P1075" s="2">
        <f t="shared" si="370"/>
        <v>4.8076659822039698</v>
      </c>
      <c r="Q1075" s="2" t="str">
        <f t="shared" si="371"/>
        <v>Mid</v>
      </c>
      <c r="R1075">
        <f t="shared" si="372"/>
        <v>2000</v>
      </c>
      <c r="S1075" t="str">
        <f t="shared" si="373"/>
        <v>Small</v>
      </c>
      <c r="T1075" t="str">
        <f t="shared" si="374"/>
        <v>Lower EV Adoption Corridor</v>
      </c>
      <c r="U1075" s="3">
        <f t="shared" si="375"/>
        <v>3600000</v>
      </c>
      <c r="V1075" s="4">
        <f t="shared" si="376"/>
        <v>880000.00000000012</v>
      </c>
      <c r="W1075" s="3">
        <f t="shared" si="377"/>
        <v>12000000</v>
      </c>
      <c r="X1075" s="3">
        <f t="shared" si="378"/>
        <v>6600000.0000000009</v>
      </c>
      <c r="Y1075">
        <f t="shared" si="379"/>
        <v>0.31515151515151513</v>
      </c>
      <c r="Z1075">
        <f t="shared" si="380"/>
        <v>0.75555555555555554</v>
      </c>
      <c r="AA1075" t="str">
        <f t="shared" si="381"/>
        <v>Tier 2 - Growth Markets</v>
      </c>
      <c r="AB1075" s="3">
        <f t="shared" si="382"/>
        <v>110000.00000000001</v>
      </c>
      <c r="AC1075" s="3">
        <f t="shared" si="383"/>
        <v>1500000</v>
      </c>
      <c r="AD1075" s="3">
        <f t="shared" si="384"/>
        <v>450000</v>
      </c>
      <c r="AE1075" s="5">
        <f t="shared" si="385"/>
        <v>4.4117647058823533</v>
      </c>
      <c r="AF1075" s="10">
        <f t="shared" si="386"/>
        <v>545600.00000000012</v>
      </c>
      <c r="AG1075" s="10">
        <f t="shared" si="387"/>
        <v>176000.00000000003</v>
      </c>
      <c r="AH1075" s="10">
        <f t="shared" si="388"/>
        <v>88000.000000000015</v>
      </c>
      <c r="AI1075" s="10">
        <f t="shared" si="389"/>
        <v>44000.000000000007</v>
      </c>
      <c r="AJ1075" s="10">
        <f t="shared" si="390"/>
        <v>26400.000000000004</v>
      </c>
    </row>
    <row r="1076" spans="1:36" x14ac:dyDescent="0.3">
      <c r="A1076" t="s">
        <v>4170</v>
      </c>
      <c r="B1076" t="s">
        <v>4171</v>
      </c>
      <c r="C1076" t="s">
        <v>4172</v>
      </c>
      <c r="D1076" t="s">
        <v>321</v>
      </c>
      <c r="E1076">
        <v>2118</v>
      </c>
      <c r="F1076" t="s">
        <v>15</v>
      </c>
      <c r="G1076">
        <v>10</v>
      </c>
      <c r="H1076">
        <v>72</v>
      </c>
      <c r="I1076" t="str" cm="1">
        <f t="array" ref="I1076">_xlfn.IFS(H1076&lt;=120,"V1",H1076&lt;=150,"V2",H1076&lt;=250,"V3", H1076&lt;=350, "V4")</f>
        <v>V1</v>
      </c>
      <c r="J1076" t="s">
        <v>4173</v>
      </c>
      <c r="K1076" t="str">
        <f t="shared" si="368"/>
        <v>42.325662</v>
      </c>
      <c r="L1076" t="str">
        <f t="shared" si="369"/>
        <v>-71.063013</v>
      </c>
      <c r="M1076">
        <v>3</v>
      </c>
      <c r="N1076" s="1">
        <v>43072</v>
      </c>
      <c r="O1076" s="1">
        <v>46099</v>
      </c>
      <c r="P1076" s="2">
        <f t="shared" si="370"/>
        <v>8.2874743326488698</v>
      </c>
      <c r="Q1076" s="2" t="str">
        <f t="shared" si="371"/>
        <v>Old</v>
      </c>
      <c r="R1076">
        <f t="shared" si="372"/>
        <v>720</v>
      </c>
      <c r="S1076" t="str">
        <f t="shared" si="373"/>
        <v>Small</v>
      </c>
      <c r="T1076" t="str">
        <f t="shared" si="374"/>
        <v>Lower EV Adoption Corridor</v>
      </c>
      <c r="U1076" s="3">
        <f t="shared" si="375"/>
        <v>1080000</v>
      </c>
      <c r="V1076" s="4">
        <f t="shared" si="376"/>
        <v>259200</v>
      </c>
      <c r="W1076" s="3">
        <f t="shared" si="377"/>
        <v>2880000</v>
      </c>
      <c r="X1076" s="3">
        <f t="shared" si="378"/>
        <v>1944000</v>
      </c>
      <c r="Y1076">
        <f t="shared" si="379"/>
        <v>0.2814814814814815</v>
      </c>
      <c r="Z1076">
        <f t="shared" si="380"/>
        <v>0.76</v>
      </c>
      <c r="AA1076" t="str">
        <f t="shared" si="381"/>
        <v>Tier 5 - Retirement Pipeline</v>
      </c>
      <c r="AB1076" s="3">
        <f t="shared" si="382"/>
        <v>25920</v>
      </c>
      <c r="AC1076" s="3">
        <f t="shared" si="383"/>
        <v>288000</v>
      </c>
      <c r="AD1076" s="3">
        <f t="shared" si="384"/>
        <v>108000</v>
      </c>
      <c r="AE1076" s="5">
        <f t="shared" si="385"/>
        <v>3.5087719298245612</v>
      </c>
      <c r="AF1076" s="10">
        <f t="shared" si="386"/>
        <v>160704</v>
      </c>
      <c r="AG1076" s="10">
        <f t="shared" si="387"/>
        <v>51840</v>
      </c>
      <c r="AH1076" s="10">
        <f t="shared" si="388"/>
        <v>25920</v>
      </c>
      <c r="AI1076" s="10">
        <f t="shared" si="389"/>
        <v>12960</v>
      </c>
      <c r="AJ1076" s="10">
        <f t="shared" si="390"/>
        <v>7776</v>
      </c>
    </row>
    <row r="1077" spans="1:36" x14ac:dyDescent="0.3">
      <c r="A1077" t="s">
        <v>4174</v>
      </c>
      <c r="B1077" t="s">
        <v>4175</v>
      </c>
      <c r="C1077" t="s">
        <v>1627</v>
      </c>
      <c r="D1077" t="s">
        <v>14</v>
      </c>
      <c r="E1077">
        <v>92126</v>
      </c>
      <c r="F1077" t="s">
        <v>15</v>
      </c>
      <c r="G1077">
        <v>16</v>
      </c>
      <c r="H1077">
        <v>250</v>
      </c>
      <c r="I1077" t="str" cm="1">
        <f t="array" ref="I1077">_xlfn.IFS(H1077&lt;=120,"V1",H1077&lt;=150,"V2",H1077&lt;=250,"V3", H1077&lt;=350, "V4")</f>
        <v>V3</v>
      </c>
      <c r="J1077" t="s">
        <v>4176</v>
      </c>
      <c r="K1077" t="str">
        <f t="shared" si="368"/>
        <v>32.911707</v>
      </c>
      <c r="L1077" t="str">
        <f t="shared" si="369"/>
        <v>-117.145653</v>
      </c>
      <c r="M1077">
        <v>130</v>
      </c>
      <c r="N1077" s="1">
        <v>44390</v>
      </c>
      <c r="O1077" s="1">
        <v>46099</v>
      </c>
      <c r="P1077" s="2">
        <f t="shared" si="370"/>
        <v>4.6789869952087608</v>
      </c>
      <c r="Q1077" s="2" t="str">
        <f t="shared" si="371"/>
        <v>Mid</v>
      </c>
      <c r="R1077">
        <f t="shared" si="372"/>
        <v>4000</v>
      </c>
      <c r="S1077" t="str">
        <f t="shared" si="373"/>
        <v>Small</v>
      </c>
      <c r="T1077" t="str">
        <f t="shared" si="374"/>
        <v>High EV Adoption Corridor</v>
      </c>
      <c r="U1077" s="3">
        <f t="shared" si="375"/>
        <v>9360000</v>
      </c>
      <c r="V1077" s="4">
        <f t="shared" si="376"/>
        <v>2112000</v>
      </c>
      <c r="W1077" s="3">
        <f t="shared" si="377"/>
        <v>26400000.000000004</v>
      </c>
      <c r="X1077" s="3">
        <f t="shared" si="378"/>
        <v>19800000.000000004</v>
      </c>
      <c r="Y1077">
        <f t="shared" si="379"/>
        <v>0.23999999999999996</v>
      </c>
      <c r="Z1077">
        <f t="shared" si="380"/>
        <v>0.77435897435897438</v>
      </c>
      <c r="AA1077" t="str">
        <f t="shared" si="381"/>
        <v>Tier 1 - Priority Fleet</v>
      </c>
      <c r="AB1077" s="3">
        <f t="shared" si="382"/>
        <v>132000</v>
      </c>
      <c r="AC1077" s="3">
        <f t="shared" si="383"/>
        <v>1650000.0000000002</v>
      </c>
      <c r="AD1077" s="3">
        <f t="shared" si="384"/>
        <v>585000</v>
      </c>
      <c r="AE1077" s="5">
        <f t="shared" si="385"/>
        <v>3.6423841059602653</v>
      </c>
      <c r="AF1077" s="10">
        <f t="shared" si="386"/>
        <v>1309440</v>
      </c>
      <c r="AG1077" s="10">
        <f t="shared" si="387"/>
        <v>422400</v>
      </c>
      <c r="AH1077" s="10">
        <f t="shared" si="388"/>
        <v>211200</v>
      </c>
      <c r="AI1077" s="10">
        <f t="shared" si="389"/>
        <v>105600</v>
      </c>
      <c r="AJ1077" s="10">
        <f t="shared" si="390"/>
        <v>63360</v>
      </c>
    </row>
    <row r="1078" spans="1:36" x14ac:dyDescent="0.3">
      <c r="A1078" t="s">
        <v>4177</v>
      </c>
      <c r="B1078" t="s">
        <v>4178</v>
      </c>
      <c r="C1078" t="s">
        <v>216</v>
      </c>
      <c r="D1078" t="s">
        <v>189</v>
      </c>
      <c r="E1078">
        <v>53703</v>
      </c>
      <c r="F1078" t="s">
        <v>15</v>
      </c>
      <c r="G1078">
        <v>8</v>
      </c>
      <c r="H1078">
        <v>250</v>
      </c>
      <c r="I1078" t="str" cm="1">
        <f t="array" ref="I1078">_xlfn.IFS(H1078&lt;=120,"V1",H1078&lt;=150,"V2",H1078&lt;=250,"V3", H1078&lt;=350, "V4")</f>
        <v>V3</v>
      </c>
      <c r="J1078" t="s">
        <v>4179</v>
      </c>
      <c r="K1078" t="str">
        <f t="shared" si="368"/>
        <v>43.080622</v>
      </c>
      <c r="L1078" t="str">
        <f t="shared" si="369"/>
        <v>-89.375068</v>
      </c>
      <c r="M1078">
        <v>259</v>
      </c>
      <c r="N1078" s="1">
        <v>44505</v>
      </c>
      <c r="O1078" s="1">
        <v>46099</v>
      </c>
      <c r="P1078" s="2">
        <f t="shared" si="370"/>
        <v>4.3641341546885695</v>
      </c>
      <c r="Q1078" s="2" t="str">
        <f t="shared" si="371"/>
        <v>Mid</v>
      </c>
      <c r="R1078">
        <f t="shared" si="372"/>
        <v>2000</v>
      </c>
      <c r="S1078" t="str">
        <f t="shared" si="373"/>
        <v>Small</v>
      </c>
      <c r="T1078" t="str">
        <f t="shared" si="374"/>
        <v>Lower EV Adoption Corridor</v>
      </c>
      <c r="U1078" s="3">
        <f t="shared" si="375"/>
        <v>3600000</v>
      </c>
      <c r="V1078" s="4">
        <f t="shared" si="376"/>
        <v>880000.00000000012</v>
      </c>
      <c r="W1078" s="3">
        <f t="shared" si="377"/>
        <v>12000000</v>
      </c>
      <c r="X1078" s="3">
        <f t="shared" si="378"/>
        <v>6600000.0000000009</v>
      </c>
      <c r="Y1078">
        <f t="shared" si="379"/>
        <v>0.31515151515151513</v>
      </c>
      <c r="Z1078">
        <f t="shared" si="380"/>
        <v>0.75555555555555554</v>
      </c>
      <c r="AA1078" t="str">
        <f t="shared" si="381"/>
        <v>Tier 2 - Growth Markets</v>
      </c>
      <c r="AB1078" s="3">
        <f t="shared" si="382"/>
        <v>110000.00000000001</v>
      </c>
      <c r="AC1078" s="3">
        <f t="shared" si="383"/>
        <v>1500000</v>
      </c>
      <c r="AD1078" s="3">
        <f t="shared" si="384"/>
        <v>450000</v>
      </c>
      <c r="AE1078" s="5">
        <f t="shared" si="385"/>
        <v>4.4117647058823533</v>
      </c>
      <c r="AF1078" s="10">
        <f t="shared" si="386"/>
        <v>545600.00000000012</v>
      </c>
      <c r="AG1078" s="10">
        <f t="shared" si="387"/>
        <v>176000.00000000003</v>
      </c>
      <c r="AH1078" s="10">
        <f t="shared" si="388"/>
        <v>88000.000000000015</v>
      </c>
      <c r="AI1078" s="10">
        <f t="shared" si="389"/>
        <v>44000.000000000007</v>
      </c>
      <c r="AJ1078" s="10">
        <f t="shared" si="390"/>
        <v>26400.000000000004</v>
      </c>
    </row>
    <row r="1079" spans="1:36" x14ac:dyDescent="0.3">
      <c r="A1079" t="s">
        <v>4180</v>
      </c>
      <c r="B1079" t="s">
        <v>4181</v>
      </c>
      <c r="C1079" t="s">
        <v>4182</v>
      </c>
      <c r="D1079" t="s">
        <v>158</v>
      </c>
      <c r="E1079">
        <v>14870</v>
      </c>
      <c r="F1079" t="s">
        <v>15</v>
      </c>
      <c r="G1079">
        <v>10</v>
      </c>
      <c r="H1079">
        <v>120</v>
      </c>
      <c r="I1079" t="str" cm="1">
        <f t="array" ref="I1079">_xlfn.IFS(H1079&lt;=120,"V1",H1079&lt;=150,"V2",H1079&lt;=250,"V3", H1079&lt;=350, "V4")</f>
        <v>V1</v>
      </c>
      <c r="J1079" t="s">
        <v>4183</v>
      </c>
      <c r="K1079" t="str">
        <f t="shared" si="368"/>
        <v>42.170919</v>
      </c>
      <c r="L1079" t="str">
        <f t="shared" si="369"/>
        <v>-77.107728</v>
      </c>
      <c r="M1079">
        <v>288</v>
      </c>
      <c r="N1079" s="1">
        <v>42941</v>
      </c>
      <c r="O1079" s="1">
        <v>46099</v>
      </c>
      <c r="P1079" s="2">
        <f t="shared" si="370"/>
        <v>8.6461327857631751</v>
      </c>
      <c r="Q1079" s="2" t="str">
        <f t="shared" si="371"/>
        <v>Old</v>
      </c>
      <c r="R1079">
        <f t="shared" si="372"/>
        <v>1200</v>
      </c>
      <c r="S1079" t="str">
        <f t="shared" si="373"/>
        <v>Small</v>
      </c>
      <c r="T1079" t="str">
        <f t="shared" si="374"/>
        <v>Lower EV Adoption Corridor</v>
      </c>
      <c r="U1079" s="3">
        <f t="shared" si="375"/>
        <v>1800000</v>
      </c>
      <c r="V1079" s="4">
        <f t="shared" si="376"/>
        <v>432000</v>
      </c>
      <c r="W1079" s="3">
        <f t="shared" si="377"/>
        <v>4800000</v>
      </c>
      <c r="X1079" s="3">
        <f t="shared" si="378"/>
        <v>3240000</v>
      </c>
      <c r="Y1079">
        <f t="shared" si="379"/>
        <v>0.2814814814814815</v>
      </c>
      <c r="Z1079">
        <f t="shared" si="380"/>
        <v>0.76</v>
      </c>
      <c r="AA1079" t="str">
        <f t="shared" si="381"/>
        <v>Tier 5 - Retirement Pipeline</v>
      </c>
      <c r="AB1079" s="3">
        <f t="shared" si="382"/>
        <v>43200</v>
      </c>
      <c r="AC1079" s="3">
        <f t="shared" si="383"/>
        <v>480000</v>
      </c>
      <c r="AD1079" s="3">
        <f t="shared" si="384"/>
        <v>180000</v>
      </c>
      <c r="AE1079" s="5">
        <f t="shared" si="385"/>
        <v>3.5087719298245612</v>
      </c>
      <c r="AF1079" s="10">
        <f t="shared" si="386"/>
        <v>267840</v>
      </c>
      <c r="AG1079" s="10">
        <f t="shared" si="387"/>
        <v>86400</v>
      </c>
      <c r="AH1079" s="10">
        <f t="shared" si="388"/>
        <v>43200</v>
      </c>
      <c r="AI1079" s="10">
        <f t="shared" si="389"/>
        <v>21600</v>
      </c>
      <c r="AJ1079" s="10">
        <f t="shared" si="390"/>
        <v>12960</v>
      </c>
    </row>
    <row r="1080" spans="1:36" x14ac:dyDescent="0.3">
      <c r="A1080" t="s">
        <v>4184</v>
      </c>
      <c r="B1080" t="s">
        <v>4185</v>
      </c>
      <c r="C1080" t="s">
        <v>4186</v>
      </c>
      <c r="D1080" t="s">
        <v>189</v>
      </c>
      <c r="E1080">
        <v>53051</v>
      </c>
      <c r="F1080" t="s">
        <v>15</v>
      </c>
      <c r="G1080">
        <v>8</v>
      </c>
      <c r="H1080">
        <v>250</v>
      </c>
      <c r="I1080" t="str" cm="1">
        <f t="array" ref="I1080">_xlfn.IFS(H1080&lt;=120,"V1",H1080&lt;=150,"V2",H1080&lt;=250,"V3", H1080&lt;=350, "V4")</f>
        <v>V3</v>
      </c>
      <c r="J1080" t="s">
        <v>4187</v>
      </c>
      <c r="K1080" t="str">
        <f t="shared" si="368"/>
        <v>43.16438</v>
      </c>
      <c r="L1080" t="str">
        <f t="shared" si="369"/>
        <v>-88.065848</v>
      </c>
      <c r="M1080">
        <v>246</v>
      </c>
      <c r="N1080" s="1">
        <v>44523</v>
      </c>
      <c r="O1080" s="1">
        <v>46099</v>
      </c>
      <c r="P1080" s="2">
        <f t="shared" si="370"/>
        <v>4.3148528405201914</v>
      </c>
      <c r="Q1080" s="2" t="str">
        <f t="shared" si="371"/>
        <v>Mid</v>
      </c>
      <c r="R1080">
        <f t="shared" si="372"/>
        <v>2000</v>
      </c>
      <c r="S1080" t="str">
        <f t="shared" si="373"/>
        <v>Small</v>
      </c>
      <c r="T1080" t="str">
        <f t="shared" si="374"/>
        <v>Lower EV Adoption Corridor</v>
      </c>
      <c r="U1080" s="3">
        <f t="shared" si="375"/>
        <v>3600000</v>
      </c>
      <c r="V1080" s="4">
        <f t="shared" si="376"/>
        <v>880000.00000000012</v>
      </c>
      <c r="W1080" s="3">
        <f t="shared" si="377"/>
        <v>12000000</v>
      </c>
      <c r="X1080" s="3">
        <f t="shared" si="378"/>
        <v>6600000.0000000009</v>
      </c>
      <c r="Y1080">
        <f t="shared" si="379"/>
        <v>0.31515151515151513</v>
      </c>
      <c r="Z1080">
        <f t="shared" si="380"/>
        <v>0.75555555555555554</v>
      </c>
      <c r="AA1080" t="str">
        <f t="shared" si="381"/>
        <v>Tier 2 - Growth Markets</v>
      </c>
      <c r="AB1080" s="3">
        <f t="shared" si="382"/>
        <v>110000.00000000001</v>
      </c>
      <c r="AC1080" s="3">
        <f t="shared" si="383"/>
        <v>1500000</v>
      </c>
      <c r="AD1080" s="3">
        <f t="shared" si="384"/>
        <v>450000</v>
      </c>
      <c r="AE1080" s="5">
        <f t="shared" si="385"/>
        <v>4.4117647058823533</v>
      </c>
      <c r="AF1080" s="10">
        <f t="shared" si="386"/>
        <v>545600.00000000012</v>
      </c>
      <c r="AG1080" s="10">
        <f t="shared" si="387"/>
        <v>176000.00000000003</v>
      </c>
      <c r="AH1080" s="10">
        <f t="shared" si="388"/>
        <v>88000.000000000015</v>
      </c>
      <c r="AI1080" s="10">
        <f t="shared" si="389"/>
        <v>44000.000000000007</v>
      </c>
      <c r="AJ1080" s="10">
        <f t="shared" si="390"/>
        <v>26400.000000000004</v>
      </c>
    </row>
    <row r="1081" spans="1:36" x14ac:dyDescent="0.3">
      <c r="A1081" t="s">
        <v>4188</v>
      </c>
      <c r="B1081" t="s">
        <v>4189</v>
      </c>
      <c r="C1081" t="s">
        <v>4190</v>
      </c>
      <c r="D1081" t="s">
        <v>299</v>
      </c>
      <c r="E1081">
        <v>23059</v>
      </c>
      <c r="F1081" t="s">
        <v>15</v>
      </c>
      <c r="G1081">
        <v>20</v>
      </c>
      <c r="H1081">
        <v>150</v>
      </c>
      <c r="I1081" t="str" cm="1">
        <f t="array" ref="I1081">_xlfn.IFS(H1081&lt;=120,"V1",H1081&lt;=150,"V2",H1081&lt;=250,"V3", H1081&lt;=350, "V4")</f>
        <v>V2</v>
      </c>
      <c r="J1081" t="s">
        <v>4191</v>
      </c>
      <c r="K1081" t="str">
        <f t="shared" si="368"/>
        <v>37.669832</v>
      </c>
      <c r="L1081" t="str">
        <f t="shared" si="369"/>
        <v>-77.461419</v>
      </c>
      <c r="M1081">
        <v>49</v>
      </c>
      <c r="N1081" s="1">
        <v>41571</v>
      </c>
      <c r="O1081" s="1">
        <v>46099</v>
      </c>
      <c r="P1081" s="2">
        <f t="shared" si="370"/>
        <v>12.396988364134154</v>
      </c>
      <c r="Q1081" s="2" t="str">
        <f t="shared" si="371"/>
        <v>Old</v>
      </c>
      <c r="R1081">
        <f t="shared" si="372"/>
        <v>3000</v>
      </c>
      <c r="S1081" t="str">
        <f t="shared" si="373"/>
        <v>Small</v>
      </c>
      <c r="T1081" t="str">
        <f t="shared" si="374"/>
        <v>Lower EV Adoption Corridor</v>
      </c>
      <c r="U1081" s="3">
        <f t="shared" si="375"/>
        <v>4950000</v>
      </c>
      <c r="V1081" s="4">
        <f t="shared" si="376"/>
        <v>1200000</v>
      </c>
      <c r="W1081" s="3">
        <f t="shared" si="377"/>
        <v>15000000</v>
      </c>
      <c r="X1081" s="3">
        <f t="shared" si="378"/>
        <v>9000000</v>
      </c>
      <c r="Y1081">
        <f t="shared" si="379"/>
        <v>0.3</v>
      </c>
      <c r="Z1081">
        <f t="shared" si="380"/>
        <v>0.75757575757575757</v>
      </c>
      <c r="AA1081" t="str">
        <f t="shared" si="381"/>
        <v>Tier 4 - Stable Network</v>
      </c>
      <c r="AB1081" s="3">
        <f t="shared" si="382"/>
        <v>60000</v>
      </c>
      <c r="AC1081" s="3">
        <f t="shared" si="383"/>
        <v>750000</v>
      </c>
      <c r="AD1081" s="3">
        <f t="shared" si="384"/>
        <v>247500</v>
      </c>
      <c r="AE1081" s="5">
        <f t="shared" si="385"/>
        <v>4</v>
      </c>
      <c r="AF1081" s="10">
        <f t="shared" si="386"/>
        <v>744000</v>
      </c>
      <c r="AG1081" s="10">
        <f t="shared" si="387"/>
        <v>240000</v>
      </c>
      <c r="AH1081" s="10">
        <f t="shared" si="388"/>
        <v>120000</v>
      </c>
      <c r="AI1081" s="10">
        <f t="shared" si="389"/>
        <v>60000</v>
      </c>
      <c r="AJ1081" s="10">
        <f t="shared" si="390"/>
        <v>36000</v>
      </c>
    </row>
    <row r="1082" spans="1:36" x14ac:dyDescent="0.3">
      <c r="A1082" t="s">
        <v>4192</v>
      </c>
      <c r="B1082" t="s">
        <v>4193</v>
      </c>
      <c r="C1082" t="s">
        <v>152</v>
      </c>
      <c r="D1082" t="s">
        <v>153</v>
      </c>
      <c r="E1082">
        <v>15501</v>
      </c>
      <c r="F1082" t="s">
        <v>15</v>
      </c>
      <c r="G1082">
        <v>8</v>
      </c>
      <c r="H1082">
        <v>250</v>
      </c>
      <c r="I1082" t="str" cm="1">
        <f t="array" ref="I1082">_xlfn.IFS(H1082&lt;=120,"V1",H1082&lt;=150,"V2",H1082&lt;=250,"V3", H1082&lt;=350, "V4")</f>
        <v>V3</v>
      </c>
      <c r="J1082" t="s">
        <v>4194</v>
      </c>
      <c r="K1082" t="str">
        <f t="shared" si="368"/>
        <v>39.9995422</v>
      </c>
      <c r="L1082" t="str">
        <f t="shared" si="369"/>
        <v>-79.0474265</v>
      </c>
      <c r="M1082">
        <v>708</v>
      </c>
      <c r="N1082" s="1">
        <v>44398</v>
      </c>
      <c r="O1082" s="1">
        <v>46099</v>
      </c>
      <c r="P1082" s="2">
        <f t="shared" si="370"/>
        <v>4.6570841889117043</v>
      </c>
      <c r="Q1082" s="2" t="str">
        <f t="shared" si="371"/>
        <v>Mid</v>
      </c>
      <c r="R1082">
        <f t="shared" si="372"/>
        <v>2000</v>
      </c>
      <c r="S1082" t="str">
        <f t="shared" si="373"/>
        <v>Small</v>
      </c>
      <c r="T1082" t="str">
        <f t="shared" si="374"/>
        <v>Lower EV Adoption Corridor</v>
      </c>
      <c r="U1082" s="3">
        <f t="shared" si="375"/>
        <v>3600000</v>
      </c>
      <c r="V1082" s="4">
        <f t="shared" si="376"/>
        <v>880000.00000000012</v>
      </c>
      <c r="W1082" s="3">
        <f t="shared" si="377"/>
        <v>12000000</v>
      </c>
      <c r="X1082" s="3">
        <f t="shared" si="378"/>
        <v>6600000.0000000009</v>
      </c>
      <c r="Y1082">
        <f t="shared" si="379"/>
        <v>0.31515151515151513</v>
      </c>
      <c r="Z1082">
        <f t="shared" si="380"/>
        <v>0.75555555555555554</v>
      </c>
      <c r="AA1082" t="str">
        <f t="shared" si="381"/>
        <v>Tier 2 - Growth Markets</v>
      </c>
      <c r="AB1082" s="3">
        <f t="shared" si="382"/>
        <v>110000.00000000001</v>
      </c>
      <c r="AC1082" s="3">
        <f t="shared" si="383"/>
        <v>1500000</v>
      </c>
      <c r="AD1082" s="3">
        <f t="shared" si="384"/>
        <v>450000</v>
      </c>
      <c r="AE1082" s="5">
        <f t="shared" si="385"/>
        <v>4.4117647058823533</v>
      </c>
      <c r="AF1082" s="10">
        <f t="shared" si="386"/>
        <v>545600.00000000012</v>
      </c>
      <c r="AG1082" s="10">
        <f t="shared" si="387"/>
        <v>176000.00000000003</v>
      </c>
      <c r="AH1082" s="10">
        <f t="shared" si="388"/>
        <v>88000.000000000015</v>
      </c>
      <c r="AI1082" s="10">
        <f t="shared" si="389"/>
        <v>44000.000000000007</v>
      </c>
      <c r="AJ1082" s="10">
        <f t="shared" si="390"/>
        <v>26400.000000000004</v>
      </c>
    </row>
    <row r="1083" spans="1:36" x14ac:dyDescent="0.3">
      <c r="A1083" t="s">
        <v>4195</v>
      </c>
      <c r="B1083" t="s">
        <v>4196</v>
      </c>
      <c r="C1083" t="s">
        <v>4197</v>
      </c>
      <c r="D1083" t="s">
        <v>153</v>
      </c>
      <c r="E1083">
        <v>19020</v>
      </c>
      <c r="F1083" t="s">
        <v>15</v>
      </c>
      <c r="G1083">
        <v>8</v>
      </c>
      <c r="H1083">
        <v>250</v>
      </c>
      <c r="I1083" t="str" cm="1">
        <f t="array" ref="I1083">_xlfn.IFS(H1083&lt;=120,"V1",H1083&lt;=150,"V2",H1083&lt;=250,"V3", H1083&lt;=350, "V4")</f>
        <v>V3</v>
      </c>
      <c r="J1083" t="s">
        <v>4198</v>
      </c>
      <c r="K1083" t="str">
        <f t="shared" si="368"/>
        <v>40.124944</v>
      </c>
      <c r="L1083" t="str">
        <f t="shared" si="369"/>
        <v>-74.963908</v>
      </c>
      <c r="M1083">
        <v>36</v>
      </c>
      <c r="N1083" s="1">
        <v>43970</v>
      </c>
      <c r="O1083" s="1">
        <v>46099</v>
      </c>
      <c r="P1083" s="2">
        <f t="shared" si="370"/>
        <v>5.8288843258042435</v>
      </c>
      <c r="Q1083" s="2" t="str">
        <f t="shared" si="371"/>
        <v>Mid</v>
      </c>
      <c r="R1083">
        <f t="shared" si="372"/>
        <v>2000</v>
      </c>
      <c r="S1083" t="str">
        <f t="shared" si="373"/>
        <v>Small</v>
      </c>
      <c r="T1083" t="str">
        <f t="shared" si="374"/>
        <v>Lower EV Adoption Corridor</v>
      </c>
      <c r="U1083" s="3">
        <f t="shared" si="375"/>
        <v>3600000</v>
      </c>
      <c r="V1083" s="4">
        <f t="shared" si="376"/>
        <v>880000.00000000012</v>
      </c>
      <c r="W1083" s="3">
        <f t="shared" si="377"/>
        <v>12000000</v>
      </c>
      <c r="X1083" s="3">
        <f t="shared" si="378"/>
        <v>6600000.0000000009</v>
      </c>
      <c r="Y1083">
        <f t="shared" si="379"/>
        <v>0.31515151515151513</v>
      </c>
      <c r="Z1083">
        <f t="shared" si="380"/>
        <v>0.75555555555555554</v>
      </c>
      <c r="AA1083" t="str">
        <f t="shared" si="381"/>
        <v>Tier 2 - Growth Markets</v>
      </c>
      <c r="AB1083" s="3">
        <f t="shared" si="382"/>
        <v>110000.00000000001</v>
      </c>
      <c r="AC1083" s="3">
        <f t="shared" si="383"/>
        <v>1500000</v>
      </c>
      <c r="AD1083" s="3">
        <f t="shared" si="384"/>
        <v>450000</v>
      </c>
      <c r="AE1083" s="5">
        <f t="shared" si="385"/>
        <v>4.4117647058823533</v>
      </c>
      <c r="AF1083" s="10">
        <f t="shared" si="386"/>
        <v>545600.00000000012</v>
      </c>
      <c r="AG1083" s="10">
        <f t="shared" si="387"/>
        <v>176000.00000000003</v>
      </c>
      <c r="AH1083" s="10">
        <f t="shared" si="388"/>
        <v>88000.000000000015</v>
      </c>
      <c r="AI1083" s="10">
        <f t="shared" si="389"/>
        <v>44000.000000000007</v>
      </c>
      <c r="AJ1083" s="10">
        <f t="shared" si="390"/>
        <v>26400.000000000004</v>
      </c>
    </row>
    <row r="1084" spans="1:36" x14ac:dyDescent="0.3">
      <c r="A1084" t="s">
        <v>4199</v>
      </c>
      <c r="B1084" t="s">
        <v>4200</v>
      </c>
      <c r="C1084" t="s">
        <v>4201</v>
      </c>
      <c r="D1084" t="s">
        <v>852</v>
      </c>
      <c r="E1084">
        <v>8510</v>
      </c>
      <c r="F1084" t="s">
        <v>15</v>
      </c>
      <c r="G1084">
        <v>8</v>
      </c>
      <c r="H1084">
        <v>250</v>
      </c>
      <c r="I1084" t="str" cm="1">
        <f t="array" ref="I1084">_xlfn.IFS(H1084&lt;=120,"V1",H1084&lt;=150,"V2",H1084&lt;=250,"V3", H1084&lt;=350, "V4")</f>
        <v>V3</v>
      </c>
      <c r="J1084" t="s">
        <v>4202</v>
      </c>
      <c r="K1084" t="str">
        <f t="shared" si="368"/>
        <v>40.15767</v>
      </c>
      <c r="L1084" t="str">
        <f t="shared" si="369"/>
        <v>-74.430151</v>
      </c>
      <c r="M1084">
        <v>47</v>
      </c>
      <c r="N1084" s="1">
        <v>44180</v>
      </c>
      <c r="O1084" s="1">
        <v>46099</v>
      </c>
      <c r="P1084" s="2">
        <f t="shared" si="370"/>
        <v>5.2539356605065022</v>
      </c>
      <c r="Q1084" s="2" t="str">
        <f t="shared" si="371"/>
        <v>Mid</v>
      </c>
      <c r="R1084">
        <f t="shared" si="372"/>
        <v>2000</v>
      </c>
      <c r="S1084" t="str">
        <f t="shared" si="373"/>
        <v>Small</v>
      </c>
      <c r="T1084" t="str">
        <f t="shared" si="374"/>
        <v>High EV Adoption Corridor</v>
      </c>
      <c r="U1084" s="3">
        <f t="shared" si="375"/>
        <v>4680000</v>
      </c>
      <c r="V1084" s="4">
        <f t="shared" si="376"/>
        <v>1056000</v>
      </c>
      <c r="W1084" s="3">
        <f t="shared" si="377"/>
        <v>13200000.000000002</v>
      </c>
      <c r="X1084" s="3">
        <f t="shared" si="378"/>
        <v>9900000.0000000019</v>
      </c>
      <c r="Y1084">
        <f t="shared" si="379"/>
        <v>0.23999999999999996</v>
      </c>
      <c r="Z1084">
        <f t="shared" si="380"/>
        <v>0.77435897435897438</v>
      </c>
      <c r="AA1084" t="str">
        <f t="shared" si="381"/>
        <v>Tier 1 - Priority Fleet</v>
      </c>
      <c r="AB1084" s="3">
        <f t="shared" si="382"/>
        <v>132000</v>
      </c>
      <c r="AC1084" s="3">
        <f t="shared" si="383"/>
        <v>1650000.0000000002</v>
      </c>
      <c r="AD1084" s="3">
        <f t="shared" si="384"/>
        <v>585000</v>
      </c>
      <c r="AE1084" s="5">
        <f t="shared" si="385"/>
        <v>3.6423841059602653</v>
      </c>
      <c r="AF1084" s="10">
        <f t="shared" si="386"/>
        <v>654720</v>
      </c>
      <c r="AG1084" s="10">
        <f t="shared" si="387"/>
        <v>211200</v>
      </c>
      <c r="AH1084" s="10">
        <f t="shared" si="388"/>
        <v>105600</v>
      </c>
      <c r="AI1084" s="10">
        <f t="shared" si="389"/>
        <v>52800</v>
      </c>
      <c r="AJ1084" s="10">
        <f t="shared" si="390"/>
        <v>31680</v>
      </c>
    </row>
    <row r="1085" spans="1:36" x14ac:dyDescent="0.3">
      <c r="A1085" t="s">
        <v>4203</v>
      </c>
      <c r="B1085" t="s">
        <v>4204</v>
      </c>
      <c r="C1085" t="s">
        <v>4205</v>
      </c>
      <c r="D1085" t="s">
        <v>158</v>
      </c>
      <c r="E1085">
        <v>12203</v>
      </c>
      <c r="F1085" t="s">
        <v>15</v>
      </c>
      <c r="G1085">
        <v>20</v>
      </c>
      <c r="H1085">
        <v>150</v>
      </c>
      <c r="I1085" t="str" cm="1">
        <f t="array" ref="I1085">_xlfn.IFS(H1085&lt;=120,"V1",H1085&lt;=150,"V2",H1085&lt;=250,"V3", H1085&lt;=350, "V4")</f>
        <v>V2</v>
      </c>
      <c r="J1085" t="s">
        <v>4206</v>
      </c>
      <c r="K1085" t="str">
        <f t="shared" si="368"/>
        <v>42.688932</v>
      </c>
      <c r="L1085" t="str">
        <f t="shared" si="369"/>
        <v>-73.853554</v>
      </c>
      <c r="M1085">
        <v>80</v>
      </c>
      <c r="N1085" s="1">
        <v>42963</v>
      </c>
      <c r="O1085" s="1">
        <v>46099</v>
      </c>
      <c r="P1085" s="2">
        <f t="shared" si="370"/>
        <v>8.5859000684462696</v>
      </c>
      <c r="Q1085" s="2" t="str">
        <f t="shared" si="371"/>
        <v>Old</v>
      </c>
      <c r="R1085">
        <f t="shared" si="372"/>
        <v>3000</v>
      </c>
      <c r="S1085" t="str">
        <f t="shared" si="373"/>
        <v>Small</v>
      </c>
      <c r="T1085" t="str">
        <f t="shared" si="374"/>
        <v>Lower EV Adoption Corridor</v>
      </c>
      <c r="U1085" s="3">
        <f t="shared" si="375"/>
        <v>4950000</v>
      </c>
      <c r="V1085" s="4">
        <f t="shared" si="376"/>
        <v>1200000</v>
      </c>
      <c r="W1085" s="3">
        <f t="shared" si="377"/>
        <v>15000000</v>
      </c>
      <c r="X1085" s="3">
        <f t="shared" si="378"/>
        <v>9000000</v>
      </c>
      <c r="Y1085">
        <f t="shared" si="379"/>
        <v>0.3</v>
      </c>
      <c r="Z1085">
        <f t="shared" si="380"/>
        <v>0.75757575757575757</v>
      </c>
      <c r="AA1085" t="str">
        <f t="shared" si="381"/>
        <v>Tier 4 - Stable Network</v>
      </c>
      <c r="AB1085" s="3">
        <f t="shared" si="382"/>
        <v>60000</v>
      </c>
      <c r="AC1085" s="3">
        <f t="shared" si="383"/>
        <v>750000</v>
      </c>
      <c r="AD1085" s="3">
        <f t="shared" si="384"/>
        <v>247500</v>
      </c>
      <c r="AE1085" s="5">
        <f t="shared" si="385"/>
        <v>4</v>
      </c>
      <c r="AF1085" s="10">
        <f t="shared" si="386"/>
        <v>744000</v>
      </c>
      <c r="AG1085" s="10">
        <f t="shared" si="387"/>
        <v>240000</v>
      </c>
      <c r="AH1085" s="10">
        <f t="shared" si="388"/>
        <v>120000</v>
      </c>
      <c r="AI1085" s="10">
        <f t="shared" si="389"/>
        <v>60000</v>
      </c>
      <c r="AJ1085" s="10">
        <f t="shared" si="390"/>
        <v>36000</v>
      </c>
    </row>
    <row r="1086" spans="1:36" x14ac:dyDescent="0.3">
      <c r="A1086" t="s">
        <v>4207</v>
      </c>
      <c r="B1086" t="s">
        <v>4208</v>
      </c>
      <c r="C1086" t="s">
        <v>4209</v>
      </c>
      <c r="D1086" t="s">
        <v>41</v>
      </c>
      <c r="E1086">
        <v>33556</v>
      </c>
      <c r="F1086" t="s">
        <v>15</v>
      </c>
      <c r="G1086">
        <v>8</v>
      </c>
      <c r="H1086">
        <v>250</v>
      </c>
      <c r="I1086" t="str" cm="1">
        <f t="array" ref="I1086">_xlfn.IFS(H1086&lt;=120,"V1",H1086&lt;=150,"V2",H1086&lt;=250,"V3", H1086&lt;=350, "V4")</f>
        <v>V3</v>
      </c>
      <c r="J1086" t="s">
        <v>4210</v>
      </c>
      <c r="K1086" t="str">
        <f t="shared" si="368"/>
        <v>28.190073</v>
      </c>
      <c r="L1086" t="str">
        <f t="shared" si="369"/>
        <v>-82.616178</v>
      </c>
      <c r="M1086">
        <v>13</v>
      </c>
      <c r="N1086" s="1">
        <v>44903</v>
      </c>
      <c r="O1086" s="1">
        <v>46099</v>
      </c>
      <c r="P1086" s="2">
        <f t="shared" si="370"/>
        <v>3.2744695414099931</v>
      </c>
      <c r="Q1086" s="2" t="str">
        <f t="shared" si="371"/>
        <v>Mid</v>
      </c>
      <c r="R1086">
        <f t="shared" si="372"/>
        <v>2000</v>
      </c>
      <c r="S1086" t="str">
        <f t="shared" si="373"/>
        <v>Small</v>
      </c>
      <c r="T1086" t="str">
        <f t="shared" si="374"/>
        <v>High EV Adoption Corridor</v>
      </c>
      <c r="U1086" s="3">
        <f t="shared" si="375"/>
        <v>4680000</v>
      </c>
      <c r="V1086" s="4">
        <f t="shared" si="376"/>
        <v>1056000</v>
      </c>
      <c r="W1086" s="3">
        <f t="shared" si="377"/>
        <v>13200000.000000002</v>
      </c>
      <c r="X1086" s="3">
        <f t="shared" si="378"/>
        <v>9900000.0000000019</v>
      </c>
      <c r="Y1086">
        <f t="shared" si="379"/>
        <v>0.23999999999999996</v>
      </c>
      <c r="Z1086">
        <f t="shared" si="380"/>
        <v>0.77435897435897438</v>
      </c>
      <c r="AA1086" t="str">
        <f t="shared" si="381"/>
        <v>Tier 1 - Priority Fleet</v>
      </c>
      <c r="AB1086" s="3">
        <f t="shared" si="382"/>
        <v>132000</v>
      </c>
      <c r="AC1086" s="3">
        <f t="shared" si="383"/>
        <v>1650000.0000000002</v>
      </c>
      <c r="AD1086" s="3">
        <f t="shared" si="384"/>
        <v>585000</v>
      </c>
      <c r="AE1086" s="5">
        <f t="shared" si="385"/>
        <v>3.6423841059602653</v>
      </c>
      <c r="AF1086" s="10">
        <f t="shared" si="386"/>
        <v>654720</v>
      </c>
      <c r="AG1086" s="10">
        <f t="shared" si="387"/>
        <v>211200</v>
      </c>
      <c r="AH1086" s="10">
        <f t="shared" si="388"/>
        <v>105600</v>
      </c>
      <c r="AI1086" s="10">
        <f t="shared" si="389"/>
        <v>52800</v>
      </c>
      <c r="AJ1086" s="10">
        <f t="shared" si="390"/>
        <v>31680</v>
      </c>
    </row>
    <row r="1087" spans="1:36" x14ac:dyDescent="0.3">
      <c r="A1087" t="s">
        <v>4211</v>
      </c>
      <c r="B1087" t="s">
        <v>4212</v>
      </c>
      <c r="C1087" t="s">
        <v>4213</v>
      </c>
      <c r="D1087" t="s">
        <v>299</v>
      </c>
      <c r="E1087">
        <v>22801</v>
      </c>
      <c r="F1087" t="s">
        <v>15</v>
      </c>
      <c r="G1087">
        <v>8</v>
      </c>
      <c r="H1087">
        <v>250</v>
      </c>
      <c r="I1087" t="str" cm="1">
        <f t="array" ref="I1087">_xlfn.IFS(H1087&lt;=120,"V1",H1087&lt;=150,"V2",H1087&lt;=250,"V3", H1087&lt;=350, "V4")</f>
        <v>V3</v>
      </c>
      <c r="J1087" t="s">
        <v>4214</v>
      </c>
      <c r="K1087" t="str">
        <f t="shared" si="368"/>
        <v>38.429826</v>
      </c>
      <c r="L1087" t="str">
        <f t="shared" si="369"/>
        <v>-78.856029</v>
      </c>
      <c r="M1087">
        <v>432</v>
      </c>
      <c r="N1087" s="1">
        <v>44344</v>
      </c>
      <c r="O1087" s="1">
        <v>46099</v>
      </c>
      <c r="P1087" s="2">
        <f t="shared" si="370"/>
        <v>4.8049281314168377</v>
      </c>
      <c r="Q1087" s="2" t="str">
        <f t="shared" si="371"/>
        <v>Mid</v>
      </c>
      <c r="R1087">
        <f t="shared" si="372"/>
        <v>2000</v>
      </c>
      <c r="S1087" t="str">
        <f t="shared" si="373"/>
        <v>Small</v>
      </c>
      <c r="T1087" t="str">
        <f t="shared" si="374"/>
        <v>Lower EV Adoption Corridor</v>
      </c>
      <c r="U1087" s="3">
        <f t="shared" si="375"/>
        <v>3600000</v>
      </c>
      <c r="V1087" s="4">
        <f t="shared" si="376"/>
        <v>880000.00000000012</v>
      </c>
      <c r="W1087" s="3">
        <f t="shared" si="377"/>
        <v>12000000</v>
      </c>
      <c r="X1087" s="3">
        <f t="shared" si="378"/>
        <v>6600000.0000000009</v>
      </c>
      <c r="Y1087">
        <f t="shared" si="379"/>
        <v>0.31515151515151513</v>
      </c>
      <c r="Z1087">
        <f t="shared" si="380"/>
        <v>0.75555555555555554</v>
      </c>
      <c r="AA1087" t="str">
        <f t="shared" si="381"/>
        <v>Tier 2 - Growth Markets</v>
      </c>
      <c r="AB1087" s="3">
        <f t="shared" si="382"/>
        <v>110000.00000000001</v>
      </c>
      <c r="AC1087" s="3">
        <f t="shared" si="383"/>
        <v>1500000</v>
      </c>
      <c r="AD1087" s="3">
        <f t="shared" si="384"/>
        <v>450000</v>
      </c>
      <c r="AE1087" s="5">
        <f t="shared" si="385"/>
        <v>4.4117647058823533</v>
      </c>
      <c r="AF1087" s="10">
        <f t="shared" si="386"/>
        <v>545600.00000000012</v>
      </c>
      <c r="AG1087" s="10">
        <f t="shared" si="387"/>
        <v>176000.00000000003</v>
      </c>
      <c r="AH1087" s="10">
        <f t="shared" si="388"/>
        <v>88000.000000000015</v>
      </c>
      <c r="AI1087" s="10">
        <f t="shared" si="389"/>
        <v>44000.000000000007</v>
      </c>
      <c r="AJ1087" s="10">
        <f t="shared" si="390"/>
        <v>26400.000000000004</v>
      </c>
    </row>
    <row r="1088" spans="1:36" x14ac:dyDescent="0.3">
      <c r="A1088" t="s">
        <v>4215</v>
      </c>
      <c r="B1088" t="s">
        <v>4216</v>
      </c>
      <c r="C1088" t="s">
        <v>4217</v>
      </c>
      <c r="D1088" t="s">
        <v>158</v>
      </c>
      <c r="E1088">
        <v>11755</v>
      </c>
      <c r="F1088" t="s">
        <v>15</v>
      </c>
      <c r="G1088">
        <v>8</v>
      </c>
      <c r="H1088">
        <v>250</v>
      </c>
      <c r="I1088" t="str" cm="1">
        <f t="array" ref="I1088">_xlfn.IFS(H1088&lt;=120,"V1",H1088&lt;=150,"V2",H1088&lt;=250,"V3", H1088&lt;=350, "V4")</f>
        <v>V3</v>
      </c>
      <c r="J1088" t="s">
        <v>4218</v>
      </c>
      <c r="K1088" t="str">
        <f t="shared" si="368"/>
        <v>40.862269</v>
      </c>
      <c r="L1088" t="str">
        <f t="shared" si="369"/>
        <v>-73.129075</v>
      </c>
      <c r="M1088">
        <v>28</v>
      </c>
      <c r="N1088" s="1">
        <v>44411</v>
      </c>
      <c r="O1088" s="1">
        <v>46099</v>
      </c>
      <c r="P1088" s="2">
        <f t="shared" si="370"/>
        <v>4.6214921286789874</v>
      </c>
      <c r="Q1088" s="2" t="str">
        <f t="shared" si="371"/>
        <v>Mid</v>
      </c>
      <c r="R1088">
        <f t="shared" si="372"/>
        <v>2000</v>
      </c>
      <c r="S1088" t="str">
        <f t="shared" si="373"/>
        <v>Small</v>
      </c>
      <c r="T1088" t="str">
        <f t="shared" si="374"/>
        <v>Lower EV Adoption Corridor</v>
      </c>
      <c r="U1088" s="3">
        <f t="shared" si="375"/>
        <v>3600000</v>
      </c>
      <c r="V1088" s="4">
        <f t="shared" si="376"/>
        <v>880000.00000000012</v>
      </c>
      <c r="W1088" s="3">
        <f t="shared" si="377"/>
        <v>12000000</v>
      </c>
      <c r="X1088" s="3">
        <f t="shared" si="378"/>
        <v>6600000.0000000009</v>
      </c>
      <c r="Y1088">
        <f t="shared" si="379"/>
        <v>0.31515151515151513</v>
      </c>
      <c r="Z1088">
        <f t="shared" si="380"/>
        <v>0.75555555555555554</v>
      </c>
      <c r="AA1088" t="str">
        <f t="shared" si="381"/>
        <v>Tier 2 - Growth Markets</v>
      </c>
      <c r="AB1088" s="3">
        <f t="shared" si="382"/>
        <v>110000.00000000001</v>
      </c>
      <c r="AC1088" s="3">
        <f t="shared" si="383"/>
        <v>1500000</v>
      </c>
      <c r="AD1088" s="3">
        <f t="shared" si="384"/>
        <v>450000</v>
      </c>
      <c r="AE1088" s="5">
        <f t="shared" si="385"/>
        <v>4.4117647058823533</v>
      </c>
      <c r="AF1088" s="10">
        <f t="shared" si="386"/>
        <v>545600.00000000012</v>
      </c>
      <c r="AG1088" s="10">
        <f t="shared" si="387"/>
        <v>176000.00000000003</v>
      </c>
      <c r="AH1088" s="10">
        <f t="shared" si="388"/>
        <v>88000.000000000015</v>
      </c>
      <c r="AI1088" s="10">
        <f t="shared" si="389"/>
        <v>44000.000000000007</v>
      </c>
      <c r="AJ1088" s="10">
        <f t="shared" si="390"/>
        <v>26400.000000000004</v>
      </c>
    </row>
    <row r="1089" spans="1:36" x14ac:dyDescent="0.3">
      <c r="A1089" t="s">
        <v>4219</v>
      </c>
      <c r="B1089" t="s">
        <v>4220</v>
      </c>
      <c r="C1089" t="s">
        <v>3398</v>
      </c>
      <c r="D1089" t="s">
        <v>184</v>
      </c>
      <c r="E1089">
        <v>43017</v>
      </c>
      <c r="F1089" t="s">
        <v>15</v>
      </c>
      <c r="G1089">
        <v>10</v>
      </c>
      <c r="H1089">
        <v>150</v>
      </c>
      <c r="I1089" t="str" cm="1">
        <f t="array" ref="I1089">_xlfn.IFS(H1089&lt;=120,"V1",H1089&lt;=150,"V2",H1089&lt;=250,"V3", H1089&lt;=350, "V4")</f>
        <v>V2</v>
      </c>
      <c r="J1089" t="s">
        <v>4221</v>
      </c>
      <c r="K1089" t="str">
        <f t="shared" si="368"/>
        <v>40.0930008</v>
      </c>
      <c r="L1089" t="str">
        <f t="shared" si="369"/>
        <v>-83.0936558</v>
      </c>
      <c r="M1089">
        <v>277</v>
      </c>
      <c r="N1089" s="1">
        <v>43359</v>
      </c>
      <c r="O1089" s="1">
        <v>46099</v>
      </c>
      <c r="P1089" s="2">
        <f t="shared" si="370"/>
        <v>7.5017111567419574</v>
      </c>
      <c r="Q1089" s="2" t="str">
        <f t="shared" si="371"/>
        <v>Mid</v>
      </c>
      <c r="R1089">
        <f t="shared" si="372"/>
        <v>1500</v>
      </c>
      <c r="S1089" t="str">
        <f t="shared" si="373"/>
        <v>Small</v>
      </c>
      <c r="T1089" t="str">
        <f t="shared" si="374"/>
        <v>Lower EV Adoption Corridor</v>
      </c>
      <c r="U1089" s="3">
        <f t="shared" si="375"/>
        <v>2475000</v>
      </c>
      <c r="V1089" s="4">
        <f t="shared" si="376"/>
        <v>600000</v>
      </c>
      <c r="W1089" s="3">
        <f t="shared" si="377"/>
        <v>7500000</v>
      </c>
      <c r="X1089" s="3">
        <f t="shared" si="378"/>
        <v>4500000</v>
      </c>
      <c r="Y1089">
        <f t="shared" si="379"/>
        <v>0.3</v>
      </c>
      <c r="Z1089">
        <f t="shared" si="380"/>
        <v>0.75757575757575757</v>
      </c>
      <c r="AA1089" t="str">
        <f t="shared" si="381"/>
        <v>Tier 4 - Stable Network</v>
      </c>
      <c r="AB1089" s="3">
        <f t="shared" si="382"/>
        <v>60000</v>
      </c>
      <c r="AC1089" s="3">
        <f t="shared" si="383"/>
        <v>750000</v>
      </c>
      <c r="AD1089" s="3">
        <f t="shared" si="384"/>
        <v>247500</v>
      </c>
      <c r="AE1089" s="5">
        <f t="shared" si="385"/>
        <v>4</v>
      </c>
      <c r="AF1089" s="10">
        <f t="shared" si="386"/>
        <v>372000</v>
      </c>
      <c r="AG1089" s="10">
        <f t="shared" si="387"/>
        <v>120000</v>
      </c>
      <c r="AH1089" s="10">
        <f t="shared" si="388"/>
        <v>60000</v>
      </c>
      <c r="AI1089" s="10">
        <f t="shared" si="389"/>
        <v>30000</v>
      </c>
      <c r="AJ1089" s="10">
        <f t="shared" si="390"/>
        <v>18000</v>
      </c>
    </row>
    <row r="1090" spans="1:36" x14ac:dyDescent="0.3">
      <c r="A1090" t="s">
        <v>4222</v>
      </c>
      <c r="B1090" t="s">
        <v>4223</v>
      </c>
      <c r="C1090" t="s">
        <v>4224</v>
      </c>
      <c r="D1090" t="s">
        <v>14</v>
      </c>
      <c r="E1090">
        <v>95023</v>
      </c>
      <c r="F1090" t="s">
        <v>15</v>
      </c>
      <c r="G1090">
        <v>20</v>
      </c>
      <c r="H1090">
        <v>150</v>
      </c>
      <c r="I1090" t="str" cm="1">
        <f t="array" ref="I1090">_xlfn.IFS(H1090&lt;=120,"V1",H1090&lt;=150,"V2",H1090&lt;=250,"V3", H1090&lt;=350, "V4")</f>
        <v>V2</v>
      </c>
      <c r="J1090" t="s">
        <v>4225</v>
      </c>
      <c r="K1090" t="str">
        <f t="shared" si="368"/>
        <v>36.989869</v>
      </c>
      <c r="L1090" t="str">
        <f t="shared" si="369"/>
        <v>-121.380535</v>
      </c>
      <c r="M1090">
        <v>83</v>
      </c>
      <c r="N1090" s="1">
        <v>43172</v>
      </c>
      <c r="O1090" s="1">
        <v>46099</v>
      </c>
      <c r="P1090" s="2">
        <f t="shared" si="370"/>
        <v>8.0136892539356612</v>
      </c>
      <c r="Q1090" s="2" t="str">
        <f t="shared" si="371"/>
        <v>Old</v>
      </c>
      <c r="R1090">
        <f t="shared" si="372"/>
        <v>3000</v>
      </c>
      <c r="S1090" t="str">
        <f t="shared" si="373"/>
        <v>Small</v>
      </c>
      <c r="T1090" t="str">
        <f t="shared" si="374"/>
        <v>High EV Adoption Corridor</v>
      </c>
      <c r="U1090" s="3">
        <f t="shared" si="375"/>
        <v>6435000</v>
      </c>
      <c r="V1090" s="4">
        <f t="shared" si="376"/>
        <v>1440000</v>
      </c>
      <c r="W1090" s="3">
        <f t="shared" si="377"/>
        <v>16500000.000000002</v>
      </c>
      <c r="X1090" s="3">
        <f t="shared" si="378"/>
        <v>13500000</v>
      </c>
      <c r="Y1090">
        <f t="shared" si="379"/>
        <v>0.22888888888888889</v>
      </c>
      <c r="Z1090">
        <f t="shared" si="380"/>
        <v>0.77622377622377625</v>
      </c>
      <c r="AA1090" t="str">
        <f t="shared" si="381"/>
        <v>Tier 3 - Upgrade Pipeline</v>
      </c>
      <c r="AB1090" s="3">
        <f t="shared" si="382"/>
        <v>72000</v>
      </c>
      <c r="AC1090" s="3">
        <f t="shared" si="383"/>
        <v>825000.00000000012</v>
      </c>
      <c r="AD1090" s="3">
        <f t="shared" si="384"/>
        <v>321750</v>
      </c>
      <c r="AE1090" s="5">
        <f t="shared" si="385"/>
        <v>3.3033033033033035</v>
      </c>
      <c r="AF1090" s="10">
        <f t="shared" si="386"/>
        <v>892800</v>
      </c>
      <c r="AG1090" s="10">
        <f t="shared" si="387"/>
        <v>288000</v>
      </c>
      <c r="AH1090" s="10">
        <f t="shared" si="388"/>
        <v>144000</v>
      </c>
      <c r="AI1090" s="10">
        <f t="shared" si="389"/>
        <v>72000</v>
      </c>
      <c r="AJ1090" s="10">
        <f t="shared" si="390"/>
        <v>43200</v>
      </c>
    </row>
    <row r="1091" spans="1:36" x14ac:dyDescent="0.3">
      <c r="A1091" t="s">
        <v>4226</v>
      </c>
      <c r="B1091" t="s">
        <v>4227</v>
      </c>
      <c r="C1091" t="s">
        <v>4228</v>
      </c>
      <c r="D1091" t="s">
        <v>299</v>
      </c>
      <c r="E1091">
        <v>22485</v>
      </c>
      <c r="F1091" t="s">
        <v>15</v>
      </c>
      <c r="G1091">
        <v>8</v>
      </c>
      <c r="H1091">
        <v>250</v>
      </c>
      <c r="I1091" t="str" cm="1">
        <f t="array" ref="I1091">_xlfn.IFS(H1091&lt;=120,"V1",H1091&lt;=150,"V2",H1091&lt;=250,"V3", H1091&lt;=350, "V4")</f>
        <v>V3</v>
      </c>
      <c r="J1091" t="s">
        <v>4229</v>
      </c>
      <c r="K1091" t="str">
        <f t="shared" ref="K1091:K1154" si="391">TRIM(LEFT(J1091, FIND(",", J1091) - 1))</f>
        <v>38.353581</v>
      </c>
      <c r="L1091" t="str">
        <f t="shared" ref="L1091:L1154" si="392">TRIM(MID(J1091, FIND(",", J1091) + 1, LEN(J1091)))</f>
        <v>-77.048857</v>
      </c>
      <c r="M1091">
        <v>7</v>
      </c>
      <c r="N1091" s="1">
        <v>44273</v>
      </c>
      <c r="O1091" s="1">
        <v>46099</v>
      </c>
      <c r="P1091" s="2">
        <f t="shared" ref="P1091:P1154" si="393">(O1091-N1091)/365.25</f>
        <v>4.9993155373032172</v>
      </c>
      <c r="Q1091" s="2" t="str">
        <f t="shared" ref="Q1091:Q1154" si="394">IF(P1091&lt;3,"New",IF(P1091&lt;=8,"Mid","Old"))</f>
        <v>Mid</v>
      </c>
      <c r="R1091">
        <f t="shared" ref="R1091:R1154" si="395">G1091*H1091</f>
        <v>2000</v>
      </c>
      <c r="S1091" t="str">
        <f t="shared" ref="S1091:S1154" si="396">IF(G1091&lt;=30,"Small",IF(G1091&lt;=60,"Medium","Large"))</f>
        <v>Small</v>
      </c>
      <c r="T1091" t="str">
        <f t="shared" ref="T1091:T1154" si="397">IF(OR(D1091="CA",D1091="FL",D1091="WA",D1091="CO",D1091="TX",D1091="NJ"),"High EV Adoption Corridor","Lower EV Adoption Corridor")</f>
        <v>Lower EV Adoption Corridor</v>
      </c>
      <c r="U1091" s="3">
        <f t="shared" ref="U1091:U1154" si="398" xml:space="preserve"> R1091 * 1500 *
  IF(I1091="V1",1,
     IF(I1091="V2",1.1,1.2)) *
  IF(T1091="High EV Adoption Corridor",1.3,1)</f>
        <v>3600000</v>
      </c>
      <c r="V1091" s="4">
        <f t="shared" ref="V1091:V1154" si="399" xml:space="preserve"> R1091 * 400 *
  IF(I1091="V1",0.9,
     IF(I1091="V2",1,1.1)) *
  IF(T1091="High EV Adoption Corridor",1.2,1)</f>
        <v>880000.00000000012</v>
      </c>
      <c r="W1091" s="3">
        <f t="shared" ref="W1091:W1154" si="400" xml:space="preserve"> R1091 * 5000 *
  IF(I1091="V1",0.8,
     IF(I1091="V2",1,1.2)) *
  IF(T1091="High EV Adoption Corridor",1.1,1)</f>
        <v>12000000</v>
      </c>
      <c r="X1091" s="3">
        <f t="shared" ref="X1091:X1154" si="401" xml:space="preserve"> R1091 * 3000 *
  IF(I1091="V1",0.9,
     IF(I1091="V2",1,1.1)) *
  IF(T1091="High EV Adoption Corridor",1.5,1)</f>
        <v>6600000.0000000009</v>
      </c>
      <c r="Y1091">
        <f t="shared" ref="Y1091:Y1154" si="402" xml:space="preserve"> ((W1091/10) + V1091) / X1091</f>
        <v>0.31515151515151513</v>
      </c>
      <c r="Z1091">
        <f t="shared" ref="Z1091:Z1154" si="403">(U1091-V1091)/U1091</f>
        <v>0.75555555555555554</v>
      </c>
      <c r="AA1091" t="str">
        <f t="shared" ref="AA1091:AA1154" si="404">IF(AND(I1091="V3",T1091="High EV Adoption Corridor"),
"Tier 1 - Priority Fleet",
IF(AND(I1091="V3",T1091="Lower EV Adoption Corridor"),
"Tier 2 - Growth Markets",
IF(AND(OR(I1091="V1",I1091="V2"),T1091="High EV Adoption Corridor"),
"Tier 3 - Upgrade Pipeline",
IF(AND(I1091="V2",T1091="Lower EV Adoption Corridor"),
"Tier 4 - Stable Network",
"Tier 5 - Retirement Pipeline"))))</f>
        <v>Tier 2 - Growth Markets</v>
      </c>
      <c r="AB1091" s="3">
        <f t="shared" ref="AB1091:AB1154" si="405">V1091/G1091</f>
        <v>110000.00000000001</v>
      </c>
      <c r="AC1091" s="3">
        <f t="shared" ref="AC1091:AC1154" si="406">W1091/G1091</f>
        <v>1500000</v>
      </c>
      <c r="AD1091" s="3">
        <f t="shared" ref="AD1091:AD1154" si="407">U1091/G1091</f>
        <v>450000</v>
      </c>
      <c r="AE1091" s="5">
        <f t="shared" ref="AE1091:AE1154" si="408">W1091/(U1091-V1091)</f>
        <v>4.4117647058823533</v>
      </c>
      <c r="AF1091" s="10">
        <f t="shared" ref="AF1091:AF1154" si="409">V1091*0.62</f>
        <v>545600.00000000012</v>
      </c>
      <c r="AG1091" s="10">
        <f t="shared" ref="AG1091:AG1154" si="410">V1091*0.2</f>
        <v>176000.00000000003</v>
      </c>
      <c r="AH1091" s="10">
        <f t="shared" ref="AH1091:AH1154" si="411">V1091*0.1</f>
        <v>88000.000000000015</v>
      </c>
      <c r="AI1091" s="10">
        <f t="shared" ref="AI1091:AI1154" si="412">V1091*0.05</f>
        <v>44000.000000000007</v>
      </c>
      <c r="AJ1091" s="10">
        <f t="shared" ref="AJ1091:AJ1154" si="413">V1091*0.03</f>
        <v>26400.000000000004</v>
      </c>
    </row>
    <row r="1092" spans="1:36" x14ac:dyDescent="0.3">
      <c r="A1092" t="s">
        <v>4230</v>
      </c>
      <c r="B1092" t="s">
        <v>4231</v>
      </c>
      <c r="C1092" t="s">
        <v>4232</v>
      </c>
      <c r="D1092" t="s">
        <v>98</v>
      </c>
      <c r="E1092">
        <v>6514</v>
      </c>
      <c r="F1092" t="s">
        <v>15</v>
      </c>
      <c r="G1092">
        <v>12</v>
      </c>
      <c r="H1092">
        <v>250</v>
      </c>
      <c r="I1092" t="str" cm="1">
        <f t="array" ref="I1092">_xlfn.IFS(H1092&lt;=120,"V1",H1092&lt;=150,"V2",H1092&lt;=250,"V3", H1092&lt;=350, "V4")</f>
        <v>V3</v>
      </c>
      <c r="J1092" t="s">
        <v>4233</v>
      </c>
      <c r="K1092" t="str">
        <f t="shared" si="391"/>
        <v>41.369666</v>
      </c>
      <c r="L1092" t="str">
        <f t="shared" si="392"/>
        <v>-72.919942</v>
      </c>
      <c r="M1092">
        <v>29</v>
      </c>
      <c r="N1092" s="1">
        <v>44273</v>
      </c>
      <c r="O1092" s="1">
        <v>46099</v>
      </c>
      <c r="P1092" s="2">
        <f t="shared" si="393"/>
        <v>4.9993155373032172</v>
      </c>
      <c r="Q1092" s="2" t="str">
        <f t="shared" si="394"/>
        <v>Mid</v>
      </c>
      <c r="R1092">
        <f t="shared" si="395"/>
        <v>3000</v>
      </c>
      <c r="S1092" t="str">
        <f t="shared" si="396"/>
        <v>Small</v>
      </c>
      <c r="T1092" t="str">
        <f t="shared" si="397"/>
        <v>Lower EV Adoption Corridor</v>
      </c>
      <c r="U1092" s="3">
        <f t="shared" si="398"/>
        <v>5400000</v>
      </c>
      <c r="V1092" s="4">
        <f t="shared" si="399"/>
        <v>1320000</v>
      </c>
      <c r="W1092" s="3">
        <f t="shared" si="400"/>
        <v>18000000</v>
      </c>
      <c r="X1092" s="3">
        <f t="shared" si="401"/>
        <v>9900000</v>
      </c>
      <c r="Y1092">
        <f t="shared" si="402"/>
        <v>0.31515151515151513</v>
      </c>
      <c r="Z1092">
        <f t="shared" si="403"/>
        <v>0.75555555555555554</v>
      </c>
      <c r="AA1092" t="str">
        <f t="shared" si="404"/>
        <v>Tier 2 - Growth Markets</v>
      </c>
      <c r="AB1092" s="3">
        <f t="shared" si="405"/>
        <v>110000</v>
      </c>
      <c r="AC1092" s="3">
        <f t="shared" si="406"/>
        <v>1500000</v>
      </c>
      <c r="AD1092" s="3">
        <f t="shared" si="407"/>
        <v>450000</v>
      </c>
      <c r="AE1092" s="5">
        <f t="shared" si="408"/>
        <v>4.4117647058823533</v>
      </c>
      <c r="AF1092" s="10">
        <f t="shared" si="409"/>
        <v>818400</v>
      </c>
      <c r="AG1092" s="10">
        <f t="shared" si="410"/>
        <v>264000</v>
      </c>
      <c r="AH1092" s="10">
        <f t="shared" si="411"/>
        <v>132000</v>
      </c>
      <c r="AI1092" s="10">
        <f t="shared" si="412"/>
        <v>66000</v>
      </c>
      <c r="AJ1092" s="10">
        <f t="shared" si="413"/>
        <v>39600</v>
      </c>
    </row>
    <row r="1093" spans="1:36" x14ac:dyDescent="0.3">
      <c r="A1093" t="s">
        <v>4234</v>
      </c>
      <c r="B1093" t="s">
        <v>4235</v>
      </c>
      <c r="C1093" t="s">
        <v>4236</v>
      </c>
      <c r="D1093" t="s">
        <v>415</v>
      </c>
      <c r="E1093">
        <v>52404</v>
      </c>
      <c r="F1093" t="s">
        <v>15</v>
      </c>
      <c r="G1093">
        <v>8</v>
      </c>
      <c r="H1093">
        <v>250</v>
      </c>
      <c r="I1093" t="str" cm="1">
        <f t="array" ref="I1093">_xlfn.IFS(H1093&lt;=120,"V1",H1093&lt;=150,"V2",H1093&lt;=250,"V3", H1093&lt;=350, "V4")</f>
        <v>V3</v>
      </c>
      <c r="J1093" t="s">
        <v>4237</v>
      </c>
      <c r="K1093" t="str">
        <f t="shared" si="391"/>
        <v>41.9564935</v>
      </c>
      <c r="L1093" t="str">
        <f t="shared" si="392"/>
        <v>-91.6579808</v>
      </c>
      <c r="M1093">
        <v>236</v>
      </c>
      <c r="N1093" s="1">
        <v>44679</v>
      </c>
      <c r="O1093" s="1">
        <v>46099</v>
      </c>
      <c r="P1093" s="2">
        <f t="shared" si="393"/>
        <v>3.8877481177275839</v>
      </c>
      <c r="Q1093" s="2" t="str">
        <f t="shared" si="394"/>
        <v>Mid</v>
      </c>
      <c r="R1093">
        <f t="shared" si="395"/>
        <v>2000</v>
      </c>
      <c r="S1093" t="str">
        <f t="shared" si="396"/>
        <v>Small</v>
      </c>
      <c r="T1093" t="str">
        <f t="shared" si="397"/>
        <v>Lower EV Adoption Corridor</v>
      </c>
      <c r="U1093" s="3">
        <f t="shared" si="398"/>
        <v>3600000</v>
      </c>
      <c r="V1093" s="4">
        <f t="shared" si="399"/>
        <v>880000.00000000012</v>
      </c>
      <c r="W1093" s="3">
        <f t="shared" si="400"/>
        <v>12000000</v>
      </c>
      <c r="X1093" s="3">
        <f t="shared" si="401"/>
        <v>6600000.0000000009</v>
      </c>
      <c r="Y1093">
        <f t="shared" si="402"/>
        <v>0.31515151515151513</v>
      </c>
      <c r="Z1093">
        <f t="shared" si="403"/>
        <v>0.75555555555555554</v>
      </c>
      <c r="AA1093" t="str">
        <f t="shared" si="404"/>
        <v>Tier 2 - Growth Markets</v>
      </c>
      <c r="AB1093" s="3">
        <f t="shared" si="405"/>
        <v>110000.00000000001</v>
      </c>
      <c r="AC1093" s="3">
        <f t="shared" si="406"/>
        <v>1500000</v>
      </c>
      <c r="AD1093" s="3">
        <f t="shared" si="407"/>
        <v>450000</v>
      </c>
      <c r="AE1093" s="5">
        <f t="shared" si="408"/>
        <v>4.4117647058823533</v>
      </c>
      <c r="AF1093" s="10">
        <f t="shared" si="409"/>
        <v>545600.00000000012</v>
      </c>
      <c r="AG1093" s="10">
        <f t="shared" si="410"/>
        <v>176000.00000000003</v>
      </c>
      <c r="AH1093" s="10">
        <f t="shared" si="411"/>
        <v>88000.000000000015</v>
      </c>
      <c r="AI1093" s="10">
        <f t="shared" si="412"/>
        <v>44000.000000000007</v>
      </c>
      <c r="AJ1093" s="10">
        <f t="shared" si="413"/>
        <v>26400.000000000004</v>
      </c>
    </row>
    <row r="1094" spans="1:36" x14ac:dyDescent="0.3">
      <c r="A1094" t="s">
        <v>4238</v>
      </c>
      <c r="B1094" t="s">
        <v>4239</v>
      </c>
      <c r="C1094" t="s">
        <v>4240</v>
      </c>
      <c r="D1094" t="s">
        <v>299</v>
      </c>
      <c r="E1094">
        <v>23111</v>
      </c>
      <c r="F1094" t="s">
        <v>15</v>
      </c>
      <c r="G1094">
        <v>8</v>
      </c>
      <c r="H1094">
        <v>250</v>
      </c>
      <c r="I1094" t="str" cm="1">
        <f t="array" ref="I1094">_xlfn.IFS(H1094&lt;=120,"V1",H1094&lt;=150,"V2",H1094&lt;=250,"V3", H1094&lt;=350, "V4")</f>
        <v>V3</v>
      </c>
      <c r="J1094" t="s">
        <v>4241</v>
      </c>
      <c r="K1094" t="str">
        <f t="shared" si="391"/>
        <v>37.613437</v>
      </c>
      <c r="L1094" t="str">
        <f t="shared" si="392"/>
        <v>-77.328344</v>
      </c>
      <c r="M1094">
        <v>56</v>
      </c>
      <c r="N1094" s="1">
        <v>44702</v>
      </c>
      <c r="O1094" s="1">
        <v>46099</v>
      </c>
      <c r="P1094" s="2">
        <f t="shared" si="393"/>
        <v>3.8247775496235454</v>
      </c>
      <c r="Q1094" s="2" t="str">
        <f t="shared" si="394"/>
        <v>Mid</v>
      </c>
      <c r="R1094">
        <f t="shared" si="395"/>
        <v>2000</v>
      </c>
      <c r="S1094" t="str">
        <f t="shared" si="396"/>
        <v>Small</v>
      </c>
      <c r="T1094" t="str">
        <f t="shared" si="397"/>
        <v>Lower EV Adoption Corridor</v>
      </c>
      <c r="U1094" s="3">
        <f t="shared" si="398"/>
        <v>3600000</v>
      </c>
      <c r="V1094" s="4">
        <f t="shared" si="399"/>
        <v>880000.00000000012</v>
      </c>
      <c r="W1094" s="3">
        <f t="shared" si="400"/>
        <v>12000000</v>
      </c>
      <c r="X1094" s="3">
        <f t="shared" si="401"/>
        <v>6600000.0000000009</v>
      </c>
      <c r="Y1094">
        <f t="shared" si="402"/>
        <v>0.31515151515151513</v>
      </c>
      <c r="Z1094">
        <f t="shared" si="403"/>
        <v>0.75555555555555554</v>
      </c>
      <c r="AA1094" t="str">
        <f t="shared" si="404"/>
        <v>Tier 2 - Growth Markets</v>
      </c>
      <c r="AB1094" s="3">
        <f t="shared" si="405"/>
        <v>110000.00000000001</v>
      </c>
      <c r="AC1094" s="3">
        <f t="shared" si="406"/>
        <v>1500000</v>
      </c>
      <c r="AD1094" s="3">
        <f t="shared" si="407"/>
        <v>450000</v>
      </c>
      <c r="AE1094" s="5">
        <f t="shared" si="408"/>
        <v>4.4117647058823533</v>
      </c>
      <c r="AF1094" s="10">
        <f t="shared" si="409"/>
        <v>545600.00000000012</v>
      </c>
      <c r="AG1094" s="10">
        <f t="shared" si="410"/>
        <v>176000.00000000003</v>
      </c>
      <c r="AH1094" s="10">
        <f t="shared" si="411"/>
        <v>88000.000000000015</v>
      </c>
      <c r="AI1094" s="10">
        <f t="shared" si="412"/>
        <v>44000.000000000007</v>
      </c>
      <c r="AJ1094" s="10">
        <f t="shared" si="413"/>
        <v>26400.000000000004</v>
      </c>
    </row>
    <row r="1095" spans="1:36" x14ac:dyDescent="0.3">
      <c r="A1095" t="s">
        <v>4242</v>
      </c>
      <c r="B1095" t="s">
        <v>4243</v>
      </c>
      <c r="C1095" t="s">
        <v>4244</v>
      </c>
      <c r="D1095" t="s">
        <v>484</v>
      </c>
      <c r="E1095">
        <v>36117</v>
      </c>
      <c r="F1095" t="s">
        <v>15</v>
      </c>
      <c r="G1095">
        <v>12</v>
      </c>
      <c r="H1095">
        <v>250</v>
      </c>
      <c r="I1095" t="str" cm="1">
        <f t="array" ref="I1095">_xlfn.IFS(H1095&lt;=120,"V1",H1095&lt;=150,"V2",H1095&lt;=250,"V3", H1095&lt;=350, "V4")</f>
        <v>V3</v>
      </c>
      <c r="J1095" t="s">
        <v>4245</v>
      </c>
      <c r="K1095" t="str">
        <f t="shared" si="391"/>
        <v>32.361192</v>
      </c>
      <c r="L1095" t="str">
        <f t="shared" si="392"/>
        <v>-86.161314</v>
      </c>
      <c r="M1095">
        <v>74</v>
      </c>
      <c r="N1095" s="1">
        <v>44473</v>
      </c>
      <c r="O1095" s="1">
        <v>46099</v>
      </c>
      <c r="P1095" s="2">
        <f t="shared" si="393"/>
        <v>4.4517453798767965</v>
      </c>
      <c r="Q1095" s="2" t="str">
        <f t="shared" si="394"/>
        <v>Mid</v>
      </c>
      <c r="R1095">
        <f t="shared" si="395"/>
        <v>3000</v>
      </c>
      <c r="S1095" t="str">
        <f t="shared" si="396"/>
        <v>Small</v>
      </c>
      <c r="T1095" t="str">
        <f t="shared" si="397"/>
        <v>Lower EV Adoption Corridor</v>
      </c>
      <c r="U1095" s="3">
        <f t="shared" si="398"/>
        <v>5400000</v>
      </c>
      <c r="V1095" s="4">
        <f t="shared" si="399"/>
        <v>1320000</v>
      </c>
      <c r="W1095" s="3">
        <f t="shared" si="400"/>
        <v>18000000</v>
      </c>
      <c r="X1095" s="3">
        <f t="shared" si="401"/>
        <v>9900000</v>
      </c>
      <c r="Y1095">
        <f t="shared" si="402"/>
        <v>0.31515151515151513</v>
      </c>
      <c r="Z1095">
        <f t="shared" si="403"/>
        <v>0.75555555555555554</v>
      </c>
      <c r="AA1095" t="str">
        <f t="shared" si="404"/>
        <v>Tier 2 - Growth Markets</v>
      </c>
      <c r="AB1095" s="3">
        <f t="shared" si="405"/>
        <v>110000</v>
      </c>
      <c r="AC1095" s="3">
        <f t="shared" si="406"/>
        <v>1500000</v>
      </c>
      <c r="AD1095" s="3">
        <f t="shared" si="407"/>
        <v>450000</v>
      </c>
      <c r="AE1095" s="5">
        <f t="shared" si="408"/>
        <v>4.4117647058823533</v>
      </c>
      <c r="AF1095" s="10">
        <f t="shared" si="409"/>
        <v>818400</v>
      </c>
      <c r="AG1095" s="10">
        <f t="shared" si="410"/>
        <v>264000</v>
      </c>
      <c r="AH1095" s="10">
        <f t="shared" si="411"/>
        <v>132000</v>
      </c>
      <c r="AI1095" s="10">
        <f t="shared" si="412"/>
        <v>66000</v>
      </c>
      <c r="AJ1095" s="10">
        <f t="shared" si="413"/>
        <v>39600</v>
      </c>
    </row>
    <row r="1096" spans="1:36" x14ac:dyDescent="0.3">
      <c r="A1096" t="s">
        <v>4246</v>
      </c>
      <c r="B1096" t="s">
        <v>4247</v>
      </c>
      <c r="C1096" t="s">
        <v>4248</v>
      </c>
      <c r="D1096" t="s">
        <v>77</v>
      </c>
      <c r="E1096">
        <v>27284</v>
      </c>
      <c r="F1096" t="s">
        <v>15</v>
      </c>
      <c r="G1096">
        <v>8</v>
      </c>
      <c r="H1096">
        <v>250</v>
      </c>
      <c r="I1096" t="str" cm="1">
        <f t="array" ref="I1096">_xlfn.IFS(H1096&lt;=120,"V1",H1096&lt;=150,"V2",H1096&lt;=250,"V3", H1096&lt;=350, "V4")</f>
        <v>V3</v>
      </c>
      <c r="J1096" t="s">
        <v>4249</v>
      </c>
      <c r="K1096" t="str">
        <f t="shared" si="391"/>
        <v>36.069842</v>
      </c>
      <c r="L1096" t="str">
        <f t="shared" si="392"/>
        <v>-80.112057</v>
      </c>
      <c r="M1096">
        <v>294</v>
      </c>
      <c r="N1096" s="1">
        <v>44652</v>
      </c>
      <c r="O1096" s="1">
        <v>46099</v>
      </c>
      <c r="P1096" s="2">
        <f t="shared" si="393"/>
        <v>3.9616700889801506</v>
      </c>
      <c r="Q1096" s="2" t="str">
        <f t="shared" si="394"/>
        <v>Mid</v>
      </c>
      <c r="R1096">
        <f t="shared" si="395"/>
        <v>2000</v>
      </c>
      <c r="S1096" t="str">
        <f t="shared" si="396"/>
        <v>Small</v>
      </c>
      <c r="T1096" t="str">
        <f t="shared" si="397"/>
        <v>Lower EV Adoption Corridor</v>
      </c>
      <c r="U1096" s="3">
        <f t="shared" si="398"/>
        <v>3600000</v>
      </c>
      <c r="V1096" s="4">
        <f t="shared" si="399"/>
        <v>880000.00000000012</v>
      </c>
      <c r="W1096" s="3">
        <f t="shared" si="400"/>
        <v>12000000</v>
      </c>
      <c r="X1096" s="3">
        <f t="shared" si="401"/>
        <v>6600000.0000000009</v>
      </c>
      <c r="Y1096">
        <f t="shared" si="402"/>
        <v>0.31515151515151513</v>
      </c>
      <c r="Z1096">
        <f t="shared" si="403"/>
        <v>0.75555555555555554</v>
      </c>
      <c r="AA1096" t="str">
        <f t="shared" si="404"/>
        <v>Tier 2 - Growth Markets</v>
      </c>
      <c r="AB1096" s="3">
        <f t="shared" si="405"/>
        <v>110000.00000000001</v>
      </c>
      <c r="AC1096" s="3">
        <f t="shared" si="406"/>
        <v>1500000</v>
      </c>
      <c r="AD1096" s="3">
        <f t="shared" si="407"/>
        <v>450000</v>
      </c>
      <c r="AE1096" s="5">
        <f t="shared" si="408"/>
        <v>4.4117647058823533</v>
      </c>
      <c r="AF1096" s="10">
        <f t="shared" si="409"/>
        <v>545600.00000000012</v>
      </c>
      <c r="AG1096" s="10">
        <f t="shared" si="410"/>
        <v>176000.00000000003</v>
      </c>
      <c r="AH1096" s="10">
        <f t="shared" si="411"/>
        <v>88000.000000000015</v>
      </c>
      <c r="AI1096" s="10">
        <f t="shared" si="412"/>
        <v>44000.000000000007</v>
      </c>
      <c r="AJ1096" s="10">
        <f t="shared" si="413"/>
        <v>26400.000000000004</v>
      </c>
    </row>
    <row r="1097" spans="1:36" x14ac:dyDescent="0.3">
      <c r="A1097" t="s">
        <v>4250</v>
      </c>
      <c r="B1097" t="s">
        <v>1816</v>
      </c>
      <c r="C1097" t="s">
        <v>307</v>
      </c>
      <c r="D1097" t="s">
        <v>14</v>
      </c>
      <c r="E1097">
        <v>95128</v>
      </c>
      <c r="F1097" t="s">
        <v>15</v>
      </c>
      <c r="G1097">
        <v>10</v>
      </c>
      <c r="H1097">
        <v>72</v>
      </c>
      <c r="I1097" t="str" cm="1">
        <f t="array" ref="I1097">_xlfn.IFS(H1097&lt;=120,"V1",H1097&lt;=150,"V2",H1097&lt;=250,"V3", H1097&lt;=350, "V4")</f>
        <v>V1</v>
      </c>
      <c r="J1097" t="s">
        <v>4251</v>
      </c>
      <c r="K1097" t="str">
        <f t="shared" si="391"/>
        <v>37.321459</v>
      </c>
      <c r="L1097" t="str">
        <f t="shared" si="392"/>
        <v>-121.948969</v>
      </c>
      <c r="M1097">
        <v>41</v>
      </c>
      <c r="N1097" s="1">
        <v>43498</v>
      </c>
      <c r="O1097" s="1">
        <v>46099</v>
      </c>
      <c r="P1097" s="2">
        <f t="shared" si="393"/>
        <v>7.1211498973305956</v>
      </c>
      <c r="Q1097" s="2" t="str">
        <f t="shared" si="394"/>
        <v>Mid</v>
      </c>
      <c r="R1097">
        <f t="shared" si="395"/>
        <v>720</v>
      </c>
      <c r="S1097" t="str">
        <f t="shared" si="396"/>
        <v>Small</v>
      </c>
      <c r="T1097" t="str">
        <f t="shared" si="397"/>
        <v>High EV Adoption Corridor</v>
      </c>
      <c r="U1097" s="3">
        <f t="shared" si="398"/>
        <v>1404000</v>
      </c>
      <c r="V1097" s="4">
        <f t="shared" si="399"/>
        <v>311040</v>
      </c>
      <c r="W1097" s="3">
        <f t="shared" si="400"/>
        <v>3168000.0000000005</v>
      </c>
      <c r="X1097" s="3">
        <f t="shared" si="401"/>
        <v>2916000</v>
      </c>
      <c r="Y1097">
        <f t="shared" si="402"/>
        <v>0.21530864197530863</v>
      </c>
      <c r="Z1097">
        <f t="shared" si="403"/>
        <v>0.77846153846153843</v>
      </c>
      <c r="AA1097" t="str">
        <f t="shared" si="404"/>
        <v>Tier 3 - Upgrade Pipeline</v>
      </c>
      <c r="AB1097" s="3">
        <f t="shared" si="405"/>
        <v>31104</v>
      </c>
      <c r="AC1097" s="3">
        <f t="shared" si="406"/>
        <v>316800.00000000006</v>
      </c>
      <c r="AD1097" s="3">
        <f t="shared" si="407"/>
        <v>140400</v>
      </c>
      <c r="AE1097" s="5">
        <f t="shared" si="408"/>
        <v>2.8985507246376816</v>
      </c>
      <c r="AF1097" s="10">
        <f t="shared" si="409"/>
        <v>192844.79999999999</v>
      </c>
      <c r="AG1097" s="10">
        <f t="shared" si="410"/>
        <v>62208</v>
      </c>
      <c r="AH1097" s="10">
        <f t="shared" si="411"/>
        <v>31104</v>
      </c>
      <c r="AI1097" s="10">
        <f t="shared" si="412"/>
        <v>15552</v>
      </c>
      <c r="AJ1097" s="10">
        <f t="shared" si="413"/>
        <v>9331.1999999999989</v>
      </c>
    </row>
    <row r="1098" spans="1:36" x14ac:dyDescent="0.3">
      <c r="A1098" t="s">
        <v>4252</v>
      </c>
      <c r="B1098" t="s">
        <v>4253</v>
      </c>
      <c r="C1098" t="s">
        <v>4254</v>
      </c>
      <c r="D1098" t="s">
        <v>415</v>
      </c>
      <c r="E1098">
        <v>51106</v>
      </c>
      <c r="F1098" t="s">
        <v>15</v>
      </c>
      <c r="G1098">
        <v>8</v>
      </c>
      <c r="H1098">
        <v>250</v>
      </c>
      <c r="I1098" t="str" cm="1">
        <f t="array" ref="I1098">_xlfn.IFS(H1098&lt;=120,"V1",H1098&lt;=150,"V2",H1098&lt;=250,"V3", H1098&lt;=350, "V4")</f>
        <v>V3</v>
      </c>
      <c r="J1098" t="s">
        <v>4255</v>
      </c>
      <c r="K1098" t="str">
        <f t="shared" si="391"/>
        <v>42.440787</v>
      </c>
      <c r="L1098" t="str">
        <f t="shared" si="392"/>
        <v>-96.346112</v>
      </c>
      <c r="M1098">
        <v>385</v>
      </c>
      <c r="N1098" s="1">
        <v>44335</v>
      </c>
      <c r="O1098" s="1">
        <v>46099</v>
      </c>
      <c r="P1098" s="2">
        <f t="shared" si="393"/>
        <v>4.8295687885010263</v>
      </c>
      <c r="Q1098" s="2" t="str">
        <f t="shared" si="394"/>
        <v>Mid</v>
      </c>
      <c r="R1098">
        <f t="shared" si="395"/>
        <v>2000</v>
      </c>
      <c r="S1098" t="str">
        <f t="shared" si="396"/>
        <v>Small</v>
      </c>
      <c r="T1098" t="str">
        <f t="shared" si="397"/>
        <v>Lower EV Adoption Corridor</v>
      </c>
      <c r="U1098" s="3">
        <f t="shared" si="398"/>
        <v>3600000</v>
      </c>
      <c r="V1098" s="4">
        <f t="shared" si="399"/>
        <v>880000.00000000012</v>
      </c>
      <c r="W1098" s="3">
        <f t="shared" si="400"/>
        <v>12000000</v>
      </c>
      <c r="X1098" s="3">
        <f t="shared" si="401"/>
        <v>6600000.0000000009</v>
      </c>
      <c r="Y1098">
        <f t="shared" si="402"/>
        <v>0.31515151515151513</v>
      </c>
      <c r="Z1098">
        <f t="shared" si="403"/>
        <v>0.75555555555555554</v>
      </c>
      <c r="AA1098" t="str">
        <f t="shared" si="404"/>
        <v>Tier 2 - Growth Markets</v>
      </c>
      <c r="AB1098" s="3">
        <f t="shared" si="405"/>
        <v>110000.00000000001</v>
      </c>
      <c r="AC1098" s="3">
        <f t="shared" si="406"/>
        <v>1500000</v>
      </c>
      <c r="AD1098" s="3">
        <f t="shared" si="407"/>
        <v>450000</v>
      </c>
      <c r="AE1098" s="5">
        <f t="shared" si="408"/>
        <v>4.4117647058823533</v>
      </c>
      <c r="AF1098" s="10">
        <f t="shared" si="409"/>
        <v>545600.00000000012</v>
      </c>
      <c r="AG1098" s="10">
        <f t="shared" si="410"/>
        <v>176000.00000000003</v>
      </c>
      <c r="AH1098" s="10">
        <f t="shared" si="411"/>
        <v>88000.000000000015</v>
      </c>
      <c r="AI1098" s="10">
        <f t="shared" si="412"/>
        <v>44000.000000000007</v>
      </c>
      <c r="AJ1098" s="10">
        <f t="shared" si="413"/>
        <v>26400.000000000004</v>
      </c>
    </row>
    <row r="1099" spans="1:36" x14ac:dyDescent="0.3">
      <c r="A1099" t="s">
        <v>4256</v>
      </c>
      <c r="B1099" t="s">
        <v>4257</v>
      </c>
      <c r="C1099" t="s">
        <v>4258</v>
      </c>
      <c r="D1099" t="s">
        <v>14</v>
      </c>
      <c r="E1099">
        <v>92782</v>
      </c>
      <c r="F1099" t="s">
        <v>15</v>
      </c>
      <c r="G1099">
        <v>8</v>
      </c>
      <c r="H1099">
        <v>250</v>
      </c>
      <c r="I1099" t="str" cm="1">
        <f t="array" ref="I1099">_xlfn.IFS(H1099&lt;=120,"V1",H1099&lt;=150,"V2",H1099&lt;=250,"V3", H1099&lt;=350, "V4")</f>
        <v>V3</v>
      </c>
      <c r="J1099" t="s">
        <v>4259</v>
      </c>
      <c r="K1099" t="str">
        <f t="shared" si="391"/>
        <v>33.7123</v>
      </c>
      <c r="L1099" t="str">
        <f t="shared" si="392"/>
        <v>-117.8163</v>
      </c>
      <c r="M1099">
        <v>15</v>
      </c>
      <c r="N1099" s="1">
        <v>44516</v>
      </c>
      <c r="O1099" s="1">
        <v>46099</v>
      </c>
      <c r="P1099" s="2">
        <f t="shared" si="393"/>
        <v>4.3340177960301167</v>
      </c>
      <c r="Q1099" s="2" t="str">
        <f t="shared" si="394"/>
        <v>Mid</v>
      </c>
      <c r="R1099">
        <f t="shared" si="395"/>
        <v>2000</v>
      </c>
      <c r="S1099" t="str">
        <f t="shared" si="396"/>
        <v>Small</v>
      </c>
      <c r="T1099" t="str">
        <f t="shared" si="397"/>
        <v>High EV Adoption Corridor</v>
      </c>
      <c r="U1099" s="3">
        <f t="shared" si="398"/>
        <v>4680000</v>
      </c>
      <c r="V1099" s="4">
        <f t="shared" si="399"/>
        <v>1056000</v>
      </c>
      <c r="W1099" s="3">
        <f t="shared" si="400"/>
        <v>13200000.000000002</v>
      </c>
      <c r="X1099" s="3">
        <f t="shared" si="401"/>
        <v>9900000.0000000019</v>
      </c>
      <c r="Y1099">
        <f t="shared" si="402"/>
        <v>0.23999999999999996</v>
      </c>
      <c r="Z1099">
        <f t="shared" si="403"/>
        <v>0.77435897435897438</v>
      </c>
      <c r="AA1099" t="str">
        <f t="shared" si="404"/>
        <v>Tier 1 - Priority Fleet</v>
      </c>
      <c r="AB1099" s="3">
        <f t="shared" si="405"/>
        <v>132000</v>
      </c>
      <c r="AC1099" s="3">
        <f t="shared" si="406"/>
        <v>1650000.0000000002</v>
      </c>
      <c r="AD1099" s="3">
        <f t="shared" si="407"/>
        <v>585000</v>
      </c>
      <c r="AE1099" s="5">
        <f t="shared" si="408"/>
        <v>3.6423841059602653</v>
      </c>
      <c r="AF1099" s="10">
        <f t="shared" si="409"/>
        <v>654720</v>
      </c>
      <c r="AG1099" s="10">
        <f t="shared" si="410"/>
        <v>211200</v>
      </c>
      <c r="AH1099" s="10">
        <f t="shared" si="411"/>
        <v>105600</v>
      </c>
      <c r="AI1099" s="10">
        <f t="shared" si="412"/>
        <v>52800</v>
      </c>
      <c r="AJ1099" s="10">
        <f t="shared" si="413"/>
        <v>31680</v>
      </c>
    </row>
    <row r="1100" spans="1:36" x14ac:dyDescent="0.3">
      <c r="A1100" t="s">
        <v>4260</v>
      </c>
      <c r="B1100" t="s">
        <v>4261</v>
      </c>
      <c r="C1100" t="s">
        <v>1855</v>
      </c>
      <c r="D1100" t="s">
        <v>153</v>
      </c>
      <c r="E1100">
        <v>19124</v>
      </c>
      <c r="F1100" t="s">
        <v>15</v>
      </c>
      <c r="G1100">
        <v>8</v>
      </c>
      <c r="H1100">
        <v>250</v>
      </c>
      <c r="I1100" t="str" cm="1">
        <f t="array" ref="I1100">_xlfn.IFS(H1100&lt;=120,"V1",H1100&lt;=150,"V2",H1100&lt;=250,"V3", H1100&lt;=350, "V4")</f>
        <v>V3</v>
      </c>
      <c r="J1100" t="s">
        <v>4262</v>
      </c>
      <c r="K1100" t="str">
        <f t="shared" si="391"/>
        <v>40.001987</v>
      </c>
      <c r="L1100" t="str">
        <f t="shared" si="392"/>
        <v>-75.081547</v>
      </c>
      <c r="M1100">
        <v>6</v>
      </c>
      <c r="N1100" s="1">
        <v>44272</v>
      </c>
      <c r="O1100" s="1">
        <v>46099</v>
      </c>
      <c r="P1100" s="2">
        <f t="shared" si="393"/>
        <v>5.0020533880903493</v>
      </c>
      <c r="Q1100" s="2" t="str">
        <f t="shared" si="394"/>
        <v>Mid</v>
      </c>
      <c r="R1100">
        <f t="shared" si="395"/>
        <v>2000</v>
      </c>
      <c r="S1100" t="str">
        <f t="shared" si="396"/>
        <v>Small</v>
      </c>
      <c r="T1100" t="str">
        <f t="shared" si="397"/>
        <v>Lower EV Adoption Corridor</v>
      </c>
      <c r="U1100" s="3">
        <f t="shared" si="398"/>
        <v>3600000</v>
      </c>
      <c r="V1100" s="4">
        <f t="shared" si="399"/>
        <v>880000.00000000012</v>
      </c>
      <c r="W1100" s="3">
        <f t="shared" si="400"/>
        <v>12000000</v>
      </c>
      <c r="X1100" s="3">
        <f t="shared" si="401"/>
        <v>6600000.0000000009</v>
      </c>
      <c r="Y1100">
        <f t="shared" si="402"/>
        <v>0.31515151515151513</v>
      </c>
      <c r="Z1100">
        <f t="shared" si="403"/>
        <v>0.75555555555555554</v>
      </c>
      <c r="AA1100" t="str">
        <f t="shared" si="404"/>
        <v>Tier 2 - Growth Markets</v>
      </c>
      <c r="AB1100" s="3">
        <f t="shared" si="405"/>
        <v>110000.00000000001</v>
      </c>
      <c r="AC1100" s="3">
        <f t="shared" si="406"/>
        <v>1500000</v>
      </c>
      <c r="AD1100" s="3">
        <f t="shared" si="407"/>
        <v>450000</v>
      </c>
      <c r="AE1100" s="5">
        <f t="shared" si="408"/>
        <v>4.4117647058823533</v>
      </c>
      <c r="AF1100" s="10">
        <f t="shared" si="409"/>
        <v>545600.00000000012</v>
      </c>
      <c r="AG1100" s="10">
        <f t="shared" si="410"/>
        <v>176000.00000000003</v>
      </c>
      <c r="AH1100" s="10">
        <f t="shared" si="411"/>
        <v>88000.000000000015</v>
      </c>
      <c r="AI1100" s="10">
        <f t="shared" si="412"/>
        <v>44000.000000000007</v>
      </c>
      <c r="AJ1100" s="10">
        <f t="shared" si="413"/>
        <v>26400.000000000004</v>
      </c>
    </row>
    <row r="1101" spans="1:36" x14ac:dyDescent="0.3">
      <c r="A1101" t="s">
        <v>4263</v>
      </c>
      <c r="B1101" t="s">
        <v>4264</v>
      </c>
      <c r="C1101" t="s">
        <v>441</v>
      </c>
      <c r="D1101" t="s">
        <v>158</v>
      </c>
      <c r="E1101">
        <v>11225</v>
      </c>
      <c r="F1101" t="s">
        <v>15</v>
      </c>
      <c r="G1101">
        <v>10</v>
      </c>
      <c r="H1101">
        <v>72</v>
      </c>
      <c r="I1101" t="str" cm="1">
        <f t="array" ref="I1101">_xlfn.IFS(H1101&lt;=120,"V1",H1101&lt;=150,"V2",H1101&lt;=250,"V3", H1101&lt;=350, "V4")</f>
        <v>V1</v>
      </c>
      <c r="J1101" t="s">
        <v>4265</v>
      </c>
      <c r="K1101" t="str">
        <f t="shared" si="391"/>
        <v>40.670085</v>
      </c>
      <c r="L1101" t="str">
        <f t="shared" si="392"/>
        <v>-73.962826</v>
      </c>
      <c r="M1101">
        <v>45</v>
      </c>
      <c r="N1101" s="1">
        <v>43372</v>
      </c>
      <c r="O1101" s="1">
        <v>46099</v>
      </c>
      <c r="P1101" s="2">
        <f t="shared" si="393"/>
        <v>7.4661190965092405</v>
      </c>
      <c r="Q1101" s="2" t="str">
        <f t="shared" si="394"/>
        <v>Mid</v>
      </c>
      <c r="R1101">
        <f t="shared" si="395"/>
        <v>720</v>
      </c>
      <c r="S1101" t="str">
        <f t="shared" si="396"/>
        <v>Small</v>
      </c>
      <c r="T1101" t="str">
        <f t="shared" si="397"/>
        <v>Lower EV Adoption Corridor</v>
      </c>
      <c r="U1101" s="3">
        <f t="shared" si="398"/>
        <v>1080000</v>
      </c>
      <c r="V1101" s="4">
        <f t="shared" si="399"/>
        <v>259200</v>
      </c>
      <c r="W1101" s="3">
        <f t="shared" si="400"/>
        <v>2880000</v>
      </c>
      <c r="X1101" s="3">
        <f t="shared" si="401"/>
        <v>1944000</v>
      </c>
      <c r="Y1101">
        <f t="shared" si="402"/>
        <v>0.2814814814814815</v>
      </c>
      <c r="Z1101">
        <f t="shared" si="403"/>
        <v>0.76</v>
      </c>
      <c r="AA1101" t="str">
        <f t="shared" si="404"/>
        <v>Tier 5 - Retirement Pipeline</v>
      </c>
      <c r="AB1101" s="3">
        <f t="shared" si="405"/>
        <v>25920</v>
      </c>
      <c r="AC1101" s="3">
        <f t="shared" si="406"/>
        <v>288000</v>
      </c>
      <c r="AD1101" s="3">
        <f t="shared" si="407"/>
        <v>108000</v>
      </c>
      <c r="AE1101" s="5">
        <f t="shared" si="408"/>
        <v>3.5087719298245612</v>
      </c>
      <c r="AF1101" s="10">
        <f t="shared" si="409"/>
        <v>160704</v>
      </c>
      <c r="AG1101" s="10">
        <f t="shared" si="410"/>
        <v>51840</v>
      </c>
      <c r="AH1101" s="10">
        <f t="shared" si="411"/>
        <v>25920</v>
      </c>
      <c r="AI1101" s="10">
        <f t="shared" si="412"/>
        <v>12960</v>
      </c>
      <c r="AJ1101" s="10">
        <f t="shared" si="413"/>
        <v>7776</v>
      </c>
    </row>
    <row r="1102" spans="1:36" x14ac:dyDescent="0.3">
      <c r="A1102" t="s">
        <v>4266</v>
      </c>
      <c r="B1102" t="s">
        <v>4267</v>
      </c>
      <c r="C1102" t="s">
        <v>705</v>
      </c>
      <c r="D1102" t="s">
        <v>14</v>
      </c>
      <c r="E1102">
        <v>93722</v>
      </c>
      <c r="F1102" t="s">
        <v>15</v>
      </c>
      <c r="G1102">
        <v>12</v>
      </c>
      <c r="H1102">
        <v>250</v>
      </c>
      <c r="I1102" t="str" cm="1">
        <f t="array" ref="I1102">_xlfn.IFS(H1102&lt;=120,"V1",H1102&lt;=150,"V2",H1102&lt;=250,"V3", H1102&lt;=350, "V4")</f>
        <v>V3</v>
      </c>
      <c r="J1102" t="s">
        <v>4268</v>
      </c>
      <c r="K1102" t="str">
        <f t="shared" si="391"/>
        <v>36.832164</v>
      </c>
      <c r="L1102" t="str">
        <f t="shared" si="392"/>
        <v>-119.908341</v>
      </c>
      <c r="M1102">
        <v>91</v>
      </c>
      <c r="N1102" s="1">
        <v>44159</v>
      </c>
      <c r="O1102" s="1">
        <v>46099</v>
      </c>
      <c r="P1102" s="2">
        <f t="shared" si="393"/>
        <v>5.3114305270362765</v>
      </c>
      <c r="Q1102" s="2" t="str">
        <f t="shared" si="394"/>
        <v>Mid</v>
      </c>
      <c r="R1102">
        <f t="shared" si="395"/>
        <v>3000</v>
      </c>
      <c r="S1102" t="str">
        <f t="shared" si="396"/>
        <v>Small</v>
      </c>
      <c r="T1102" t="str">
        <f t="shared" si="397"/>
        <v>High EV Adoption Corridor</v>
      </c>
      <c r="U1102" s="3">
        <f t="shared" si="398"/>
        <v>7020000</v>
      </c>
      <c r="V1102" s="4">
        <f t="shared" si="399"/>
        <v>1584000</v>
      </c>
      <c r="W1102" s="3">
        <f t="shared" si="400"/>
        <v>19800000</v>
      </c>
      <c r="X1102" s="3">
        <f t="shared" si="401"/>
        <v>14850000</v>
      </c>
      <c r="Y1102">
        <f t="shared" si="402"/>
        <v>0.24</v>
      </c>
      <c r="Z1102">
        <f t="shared" si="403"/>
        <v>0.77435897435897438</v>
      </c>
      <c r="AA1102" t="str">
        <f t="shared" si="404"/>
        <v>Tier 1 - Priority Fleet</v>
      </c>
      <c r="AB1102" s="3">
        <f t="shared" si="405"/>
        <v>132000</v>
      </c>
      <c r="AC1102" s="3">
        <f t="shared" si="406"/>
        <v>1650000</v>
      </c>
      <c r="AD1102" s="3">
        <f t="shared" si="407"/>
        <v>585000</v>
      </c>
      <c r="AE1102" s="5">
        <f t="shared" si="408"/>
        <v>3.6423841059602649</v>
      </c>
      <c r="AF1102" s="10">
        <f t="shared" si="409"/>
        <v>982080</v>
      </c>
      <c r="AG1102" s="10">
        <f t="shared" si="410"/>
        <v>316800</v>
      </c>
      <c r="AH1102" s="10">
        <f t="shared" si="411"/>
        <v>158400</v>
      </c>
      <c r="AI1102" s="10">
        <f t="shared" si="412"/>
        <v>79200</v>
      </c>
      <c r="AJ1102" s="10">
        <f t="shared" si="413"/>
        <v>47520</v>
      </c>
    </row>
    <row r="1103" spans="1:36" x14ac:dyDescent="0.3">
      <c r="A1103" t="s">
        <v>4269</v>
      </c>
      <c r="B1103" t="s">
        <v>4270</v>
      </c>
      <c r="C1103" t="s">
        <v>4271</v>
      </c>
      <c r="D1103" t="s">
        <v>59</v>
      </c>
      <c r="E1103">
        <v>60008</v>
      </c>
      <c r="F1103" t="s">
        <v>15</v>
      </c>
      <c r="G1103">
        <v>22</v>
      </c>
      <c r="H1103">
        <v>250</v>
      </c>
      <c r="I1103" t="str" cm="1">
        <f t="array" ref="I1103">_xlfn.IFS(H1103&lt;=120,"V1",H1103&lt;=150,"V2",H1103&lt;=250,"V3", H1103&lt;=350, "V4")</f>
        <v>V3</v>
      </c>
      <c r="J1103" t="s">
        <v>4272</v>
      </c>
      <c r="K1103" t="str">
        <f t="shared" si="391"/>
        <v>42.049702</v>
      </c>
      <c r="L1103" t="str">
        <f t="shared" si="392"/>
        <v>-87.994915</v>
      </c>
      <c r="M1103">
        <v>219</v>
      </c>
      <c r="N1103" s="1">
        <v>43026</v>
      </c>
      <c r="O1103" s="1">
        <v>46099</v>
      </c>
      <c r="P1103" s="2">
        <f t="shared" si="393"/>
        <v>8.4134154688569467</v>
      </c>
      <c r="Q1103" s="2" t="str">
        <f t="shared" si="394"/>
        <v>Old</v>
      </c>
      <c r="R1103">
        <f t="shared" si="395"/>
        <v>5500</v>
      </c>
      <c r="S1103" t="str">
        <f t="shared" si="396"/>
        <v>Small</v>
      </c>
      <c r="T1103" t="str">
        <f t="shared" si="397"/>
        <v>Lower EV Adoption Corridor</v>
      </c>
      <c r="U1103" s="3">
        <f t="shared" si="398"/>
        <v>9900000</v>
      </c>
      <c r="V1103" s="4">
        <f t="shared" si="399"/>
        <v>2420000</v>
      </c>
      <c r="W1103" s="3">
        <f t="shared" si="400"/>
        <v>33000000</v>
      </c>
      <c r="X1103" s="3">
        <f t="shared" si="401"/>
        <v>18150000</v>
      </c>
      <c r="Y1103">
        <f t="shared" si="402"/>
        <v>0.31515151515151513</v>
      </c>
      <c r="Z1103">
        <f t="shared" si="403"/>
        <v>0.75555555555555554</v>
      </c>
      <c r="AA1103" t="str">
        <f t="shared" si="404"/>
        <v>Tier 2 - Growth Markets</v>
      </c>
      <c r="AB1103" s="3">
        <f t="shared" si="405"/>
        <v>110000</v>
      </c>
      <c r="AC1103" s="3">
        <f t="shared" si="406"/>
        <v>1500000</v>
      </c>
      <c r="AD1103" s="3">
        <f t="shared" si="407"/>
        <v>450000</v>
      </c>
      <c r="AE1103" s="5">
        <f t="shared" si="408"/>
        <v>4.4117647058823533</v>
      </c>
      <c r="AF1103" s="10">
        <f t="shared" si="409"/>
        <v>1500400</v>
      </c>
      <c r="AG1103" s="10">
        <f t="shared" si="410"/>
        <v>484000</v>
      </c>
      <c r="AH1103" s="10">
        <f t="shared" si="411"/>
        <v>242000</v>
      </c>
      <c r="AI1103" s="10">
        <f t="shared" si="412"/>
        <v>121000</v>
      </c>
      <c r="AJ1103" s="10">
        <f t="shared" si="413"/>
        <v>72600</v>
      </c>
    </row>
    <row r="1104" spans="1:36" x14ac:dyDescent="0.3">
      <c r="A1104" t="s">
        <v>4273</v>
      </c>
      <c r="B1104" t="s">
        <v>4274</v>
      </c>
      <c r="C1104" t="s">
        <v>4275</v>
      </c>
      <c r="D1104" t="s">
        <v>259</v>
      </c>
      <c r="E1104">
        <v>82070</v>
      </c>
      <c r="F1104" t="s">
        <v>15</v>
      </c>
      <c r="G1104">
        <v>8</v>
      </c>
      <c r="H1104">
        <v>150</v>
      </c>
      <c r="I1104" t="str" cm="1">
        <f t="array" ref="I1104">_xlfn.IFS(H1104&lt;=120,"V1",H1104&lt;=150,"V2",H1104&lt;=250,"V3", H1104&lt;=350, "V4")</f>
        <v>V2</v>
      </c>
      <c r="J1104" t="s">
        <v>4276</v>
      </c>
      <c r="K1104" t="str">
        <f t="shared" si="391"/>
        <v>41.32512</v>
      </c>
      <c r="L1104" t="str">
        <f t="shared" si="392"/>
        <v>-105.618117</v>
      </c>
      <c r="M1104">
        <v>2180</v>
      </c>
      <c r="N1104" s="1">
        <v>42978</v>
      </c>
      <c r="O1104" s="1">
        <v>46099</v>
      </c>
      <c r="P1104" s="2">
        <f t="shared" si="393"/>
        <v>8.5448323066392877</v>
      </c>
      <c r="Q1104" s="2" t="str">
        <f t="shared" si="394"/>
        <v>Old</v>
      </c>
      <c r="R1104">
        <f t="shared" si="395"/>
        <v>1200</v>
      </c>
      <c r="S1104" t="str">
        <f t="shared" si="396"/>
        <v>Small</v>
      </c>
      <c r="T1104" t="str">
        <f t="shared" si="397"/>
        <v>Lower EV Adoption Corridor</v>
      </c>
      <c r="U1104" s="3">
        <f t="shared" si="398"/>
        <v>1980000.0000000002</v>
      </c>
      <c r="V1104" s="4">
        <f t="shared" si="399"/>
        <v>480000</v>
      </c>
      <c r="W1104" s="3">
        <f t="shared" si="400"/>
        <v>6000000</v>
      </c>
      <c r="X1104" s="3">
        <f t="shared" si="401"/>
        <v>3600000</v>
      </c>
      <c r="Y1104">
        <f t="shared" si="402"/>
        <v>0.3</v>
      </c>
      <c r="Z1104">
        <f t="shared" si="403"/>
        <v>0.75757575757575757</v>
      </c>
      <c r="AA1104" t="str">
        <f t="shared" si="404"/>
        <v>Tier 4 - Stable Network</v>
      </c>
      <c r="AB1104" s="3">
        <f t="shared" si="405"/>
        <v>60000</v>
      </c>
      <c r="AC1104" s="3">
        <f t="shared" si="406"/>
        <v>750000</v>
      </c>
      <c r="AD1104" s="3">
        <f t="shared" si="407"/>
        <v>247500.00000000003</v>
      </c>
      <c r="AE1104" s="5">
        <f t="shared" si="408"/>
        <v>3.9999999999999996</v>
      </c>
      <c r="AF1104" s="10">
        <f t="shared" si="409"/>
        <v>297600</v>
      </c>
      <c r="AG1104" s="10">
        <f t="shared" si="410"/>
        <v>96000</v>
      </c>
      <c r="AH1104" s="10">
        <f t="shared" si="411"/>
        <v>48000</v>
      </c>
      <c r="AI1104" s="10">
        <f t="shared" si="412"/>
        <v>24000</v>
      </c>
      <c r="AJ1104" s="10">
        <f t="shared" si="413"/>
        <v>14400</v>
      </c>
    </row>
    <row r="1105" spans="1:36" x14ac:dyDescent="0.3">
      <c r="A1105" t="s">
        <v>4277</v>
      </c>
      <c r="B1105" t="s">
        <v>4278</v>
      </c>
      <c r="C1105" t="s">
        <v>1828</v>
      </c>
      <c r="D1105" t="s">
        <v>14</v>
      </c>
      <c r="E1105">
        <v>92604</v>
      </c>
      <c r="F1105" t="s">
        <v>15</v>
      </c>
      <c r="G1105">
        <v>16</v>
      </c>
      <c r="H1105">
        <v>250</v>
      </c>
      <c r="I1105" t="str" cm="1">
        <f t="array" ref="I1105">_xlfn.IFS(H1105&lt;=120,"V1",H1105&lt;=150,"V2",H1105&lt;=250,"V3", H1105&lt;=350, "V4")</f>
        <v>V3</v>
      </c>
      <c r="J1105" t="s">
        <v>4279</v>
      </c>
      <c r="K1105" t="str">
        <f t="shared" si="391"/>
        <v>33.706784</v>
      </c>
      <c r="L1105" t="str">
        <f t="shared" si="392"/>
        <v>-117.785164</v>
      </c>
      <c r="M1105">
        <v>29</v>
      </c>
      <c r="N1105" s="1">
        <v>44303</v>
      </c>
      <c r="O1105" s="1">
        <v>46099</v>
      </c>
      <c r="P1105" s="2">
        <f t="shared" si="393"/>
        <v>4.9171800136892543</v>
      </c>
      <c r="Q1105" s="2" t="str">
        <f t="shared" si="394"/>
        <v>Mid</v>
      </c>
      <c r="R1105">
        <f t="shared" si="395"/>
        <v>4000</v>
      </c>
      <c r="S1105" t="str">
        <f t="shared" si="396"/>
        <v>Small</v>
      </c>
      <c r="T1105" t="str">
        <f t="shared" si="397"/>
        <v>High EV Adoption Corridor</v>
      </c>
      <c r="U1105" s="3">
        <f t="shared" si="398"/>
        <v>9360000</v>
      </c>
      <c r="V1105" s="4">
        <f t="shared" si="399"/>
        <v>2112000</v>
      </c>
      <c r="W1105" s="3">
        <f t="shared" si="400"/>
        <v>26400000.000000004</v>
      </c>
      <c r="X1105" s="3">
        <f t="shared" si="401"/>
        <v>19800000.000000004</v>
      </c>
      <c r="Y1105">
        <f t="shared" si="402"/>
        <v>0.23999999999999996</v>
      </c>
      <c r="Z1105">
        <f t="shared" si="403"/>
        <v>0.77435897435897438</v>
      </c>
      <c r="AA1105" t="str">
        <f t="shared" si="404"/>
        <v>Tier 1 - Priority Fleet</v>
      </c>
      <c r="AB1105" s="3">
        <f t="shared" si="405"/>
        <v>132000</v>
      </c>
      <c r="AC1105" s="3">
        <f t="shared" si="406"/>
        <v>1650000.0000000002</v>
      </c>
      <c r="AD1105" s="3">
        <f t="shared" si="407"/>
        <v>585000</v>
      </c>
      <c r="AE1105" s="5">
        <f t="shared" si="408"/>
        <v>3.6423841059602653</v>
      </c>
      <c r="AF1105" s="10">
        <f t="shared" si="409"/>
        <v>1309440</v>
      </c>
      <c r="AG1105" s="10">
        <f t="shared" si="410"/>
        <v>422400</v>
      </c>
      <c r="AH1105" s="10">
        <f t="shared" si="411"/>
        <v>211200</v>
      </c>
      <c r="AI1105" s="10">
        <f t="shared" si="412"/>
        <v>105600</v>
      </c>
      <c r="AJ1105" s="10">
        <f t="shared" si="413"/>
        <v>63360</v>
      </c>
    </row>
    <row r="1106" spans="1:36" x14ac:dyDescent="0.3">
      <c r="A1106" t="s">
        <v>4280</v>
      </c>
      <c r="B1106" t="s">
        <v>4281</v>
      </c>
      <c r="C1106" t="s">
        <v>4282</v>
      </c>
      <c r="D1106" t="s">
        <v>484</v>
      </c>
      <c r="E1106">
        <v>35094</v>
      </c>
      <c r="F1106" t="s">
        <v>15</v>
      </c>
      <c r="G1106">
        <v>16</v>
      </c>
      <c r="H1106">
        <v>250</v>
      </c>
      <c r="I1106" t="str" cm="1">
        <f t="array" ref="I1106">_xlfn.IFS(H1106&lt;=120,"V1",H1106&lt;=150,"V2",H1106&lt;=250,"V3", H1106&lt;=350, "V4")</f>
        <v>V3</v>
      </c>
      <c r="J1106" t="s">
        <v>4283</v>
      </c>
      <c r="K1106" t="str">
        <f t="shared" si="391"/>
        <v>33.543942</v>
      </c>
      <c r="L1106" t="str">
        <f t="shared" si="392"/>
        <v>-86.588636</v>
      </c>
      <c r="M1106">
        <v>183</v>
      </c>
      <c r="N1106" s="1">
        <v>44638</v>
      </c>
      <c r="O1106" s="1">
        <v>46099</v>
      </c>
      <c r="P1106" s="2">
        <f t="shared" si="393"/>
        <v>4</v>
      </c>
      <c r="Q1106" s="2" t="str">
        <f t="shared" si="394"/>
        <v>Mid</v>
      </c>
      <c r="R1106">
        <f t="shared" si="395"/>
        <v>4000</v>
      </c>
      <c r="S1106" t="str">
        <f t="shared" si="396"/>
        <v>Small</v>
      </c>
      <c r="T1106" t="str">
        <f t="shared" si="397"/>
        <v>Lower EV Adoption Corridor</v>
      </c>
      <c r="U1106" s="3">
        <f t="shared" si="398"/>
        <v>7200000</v>
      </c>
      <c r="V1106" s="4">
        <f t="shared" si="399"/>
        <v>1760000.0000000002</v>
      </c>
      <c r="W1106" s="3">
        <f t="shared" si="400"/>
        <v>24000000</v>
      </c>
      <c r="X1106" s="3">
        <f t="shared" si="401"/>
        <v>13200000.000000002</v>
      </c>
      <c r="Y1106">
        <f t="shared" si="402"/>
        <v>0.31515151515151513</v>
      </c>
      <c r="Z1106">
        <f t="shared" si="403"/>
        <v>0.75555555555555554</v>
      </c>
      <c r="AA1106" t="str">
        <f t="shared" si="404"/>
        <v>Tier 2 - Growth Markets</v>
      </c>
      <c r="AB1106" s="3">
        <f t="shared" si="405"/>
        <v>110000.00000000001</v>
      </c>
      <c r="AC1106" s="3">
        <f t="shared" si="406"/>
        <v>1500000</v>
      </c>
      <c r="AD1106" s="3">
        <f t="shared" si="407"/>
        <v>450000</v>
      </c>
      <c r="AE1106" s="5">
        <f t="shared" si="408"/>
        <v>4.4117647058823533</v>
      </c>
      <c r="AF1106" s="10">
        <f t="shared" si="409"/>
        <v>1091200.0000000002</v>
      </c>
      <c r="AG1106" s="10">
        <f t="shared" si="410"/>
        <v>352000.00000000006</v>
      </c>
      <c r="AH1106" s="10">
        <f t="shared" si="411"/>
        <v>176000.00000000003</v>
      </c>
      <c r="AI1106" s="10">
        <f t="shared" si="412"/>
        <v>88000.000000000015</v>
      </c>
      <c r="AJ1106" s="10">
        <f t="shared" si="413"/>
        <v>52800.000000000007</v>
      </c>
    </row>
    <row r="1107" spans="1:36" x14ac:dyDescent="0.3">
      <c r="A1107" t="s">
        <v>4284</v>
      </c>
      <c r="B1107" t="s">
        <v>4285</v>
      </c>
      <c r="C1107" t="s">
        <v>4286</v>
      </c>
      <c r="D1107" t="s">
        <v>299</v>
      </c>
      <c r="E1107">
        <v>23350</v>
      </c>
      <c r="F1107" t="s">
        <v>15</v>
      </c>
      <c r="G1107">
        <v>4</v>
      </c>
      <c r="H1107">
        <v>250</v>
      </c>
      <c r="I1107" t="str" cm="1">
        <f t="array" ref="I1107">_xlfn.IFS(H1107&lt;=120,"V1",H1107&lt;=150,"V2",H1107&lt;=250,"V3", H1107&lt;=350, "V4")</f>
        <v>V3</v>
      </c>
      <c r="J1107" t="s">
        <v>4287</v>
      </c>
      <c r="K1107" t="str">
        <f t="shared" si="391"/>
        <v>37.516011</v>
      </c>
      <c r="L1107" t="str">
        <f t="shared" si="392"/>
        <v>-75.831544</v>
      </c>
      <c r="M1107">
        <v>11</v>
      </c>
      <c r="N1107" s="1">
        <v>44639</v>
      </c>
      <c r="O1107" s="1">
        <v>46099</v>
      </c>
      <c r="P1107" s="2">
        <f t="shared" si="393"/>
        <v>3.9972621492128679</v>
      </c>
      <c r="Q1107" s="2" t="str">
        <f t="shared" si="394"/>
        <v>Mid</v>
      </c>
      <c r="R1107">
        <f t="shared" si="395"/>
        <v>1000</v>
      </c>
      <c r="S1107" t="str">
        <f t="shared" si="396"/>
        <v>Small</v>
      </c>
      <c r="T1107" t="str">
        <f t="shared" si="397"/>
        <v>Lower EV Adoption Corridor</v>
      </c>
      <c r="U1107" s="3">
        <f t="shared" si="398"/>
        <v>1800000</v>
      </c>
      <c r="V1107" s="4">
        <f t="shared" si="399"/>
        <v>440000.00000000006</v>
      </c>
      <c r="W1107" s="3">
        <f t="shared" si="400"/>
        <v>6000000</v>
      </c>
      <c r="X1107" s="3">
        <f t="shared" si="401"/>
        <v>3300000.0000000005</v>
      </c>
      <c r="Y1107">
        <f t="shared" si="402"/>
        <v>0.31515151515151513</v>
      </c>
      <c r="Z1107">
        <f t="shared" si="403"/>
        <v>0.75555555555555554</v>
      </c>
      <c r="AA1107" t="str">
        <f t="shared" si="404"/>
        <v>Tier 2 - Growth Markets</v>
      </c>
      <c r="AB1107" s="3">
        <f t="shared" si="405"/>
        <v>110000.00000000001</v>
      </c>
      <c r="AC1107" s="3">
        <f t="shared" si="406"/>
        <v>1500000</v>
      </c>
      <c r="AD1107" s="3">
        <f t="shared" si="407"/>
        <v>450000</v>
      </c>
      <c r="AE1107" s="5">
        <f t="shared" si="408"/>
        <v>4.4117647058823533</v>
      </c>
      <c r="AF1107" s="10">
        <f t="shared" si="409"/>
        <v>272800.00000000006</v>
      </c>
      <c r="AG1107" s="10">
        <f t="shared" si="410"/>
        <v>88000.000000000015</v>
      </c>
      <c r="AH1107" s="10">
        <f t="shared" si="411"/>
        <v>44000.000000000007</v>
      </c>
      <c r="AI1107" s="10">
        <f t="shared" si="412"/>
        <v>22000.000000000004</v>
      </c>
      <c r="AJ1107" s="10">
        <f t="shared" si="413"/>
        <v>13200.000000000002</v>
      </c>
    </row>
    <row r="1108" spans="1:36" x14ac:dyDescent="0.3">
      <c r="A1108" t="s">
        <v>4288</v>
      </c>
      <c r="B1108" t="s">
        <v>4289</v>
      </c>
      <c r="C1108" t="s">
        <v>2350</v>
      </c>
      <c r="D1108" t="s">
        <v>294</v>
      </c>
      <c r="E1108">
        <v>37209</v>
      </c>
      <c r="F1108" t="s">
        <v>15</v>
      </c>
      <c r="G1108">
        <v>12</v>
      </c>
      <c r="H1108">
        <v>250</v>
      </c>
      <c r="I1108" t="str" cm="1">
        <f t="array" ref="I1108">_xlfn.IFS(H1108&lt;=120,"V1",H1108&lt;=150,"V2",H1108&lt;=250,"V3", H1108&lt;=350, "V4")</f>
        <v>V3</v>
      </c>
      <c r="J1108" t="s">
        <v>4290</v>
      </c>
      <c r="K1108" t="str">
        <f t="shared" si="391"/>
        <v>36.133938</v>
      </c>
      <c r="L1108" t="str">
        <f t="shared" si="392"/>
        <v>-86.891832</v>
      </c>
      <c r="M1108">
        <v>150</v>
      </c>
      <c r="N1108" s="1">
        <v>44316</v>
      </c>
      <c r="O1108" s="1">
        <v>46099</v>
      </c>
      <c r="P1108" s="2">
        <f t="shared" si="393"/>
        <v>4.8815879534565365</v>
      </c>
      <c r="Q1108" s="2" t="str">
        <f t="shared" si="394"/>
        <v>Mid</v>
      </c>
      <c r="R1108">
        <f t="shared" si="395"/>
        <v>3000</v>
      </c>
      <c r="S1108" t="str">
        <f t="shared" si="396"/>
        <v>Small</v>
      </c>
      <c r="T1108" t="str">
        <f t="shared" si="397"/>
        <v>Lower EV Adoption Corridor</v>
      </c>
      <c r="U1108" s="3">
        <f t="shared" si="398"/>
        <v>5400000</v>
      </c>
      <c r="V1108" s="4">
        <f t="shared" si="399"/>
        <v>1320000</v>
      </c>
      <c r="W1108" s="3">
        <f t="shared" si="400"/>
        <v>18000000</v>
      </c>
      <c r="X1108" s="3">
        <f t="shared" si="401"/>
        <v>9900000</v>
      </c>
      <c r="Y1108">
        <f t="shared" si="402"/>
        <v>0.31515151515151513</v>
      </c>
      <c r="Z1108">
        <f t="shared" si="403"/>
        <v>0.75555555555555554</v>
      </c>
      <c r="AA1108" t="str">
        <f t="shared" si="404"/>
        <v>Tier 2 - Growth Markets</v>
      </c>
      <c r="AB1108" s="3">
        <f t="shared" si="405"/>
        <v>110000</v>
      </c>
      <c r="AC1108" s="3">
        <f t="shared" si="406"/>
        <v>1500000</v>
      </c>
      <c r="AD1108" s="3">
        <f t="shared" si="407"/>
        <v>450000</v>
      </c>
      <c r="AE1108" s="5">
        <f t="shared" si="408"/>
        <v>4.4117647058823533</v>
      </c>
      <c r="AF1108" s="10">
        <f t="shared" si="409"/>
        <v>818400</v>
      </c>
      <c r="AG1108" s="10">
        <f t="shared" si="410"/>
        <v>264000</v>
      </c>
      <c r="AH1108" s="10">
        <f t="shared" si="411"/>
        <v>132000</v>
      </c>
      <c r="AI1108" s="10">
        <f t="shared" si="412"/>
        <v>66000</v>
      </c>
      <c r="AJ1108" s="10">
        <f t="shared" si="413"/>
        <v>39600</v>
      </c>
    </row>
    <row r="1109" spans="1:36" x14ac:dyDescent="0.3">
      <c r="A1109" t="s">
        <v>4291</v>
      </c>
      <c r="B1109" t="s">
        <v>4292</v>
      </c>
      <c r="C1109" t="s">
        <v>216</v>
      </c>
      <c r="D1109" t="s">
        <v>28</v>
      </c>
      <c r="E1109">
        <v>30650</v>
      </c>
      <c r="F1109" t="s">
        <v>15</v>
      </c>
      <c r="G1109">
        <v>8</v>
      </c>
      <c r="H1109">
        <v>250</v>
      </c>
      <c r="I1109" t="str" cm="1">
        <f t="array" ref="I1109">_xlfn.IFS(H1109&lt;=120,"V1",H1109&lt;=150,"V2",H1109&lt;=250,"V3", H1109&lt;=350, "V4")</f>
        <v>V3</v>
      </c>
      <c r="J1109" t="s">
        <v>4293</v>
      </c>
      <c r="K1109" t="str">
        <f t="shared" si="391"/>
        <v>33.558083</v>
      </c>
      <c r="L1109" t="str">
        <f t="shared" si="392"/>
        <v>-83.473861</v>
      </c>
      <c r="M1109">
        <v>202</v>
      </c>
      <c r="N1109" s="1">
        <v>44309</v>
      </c>
      <c r="O1109" s="1">
        <v>46099</v>
      </c>
      <c r="P1109" s="2">
        <f t="shared" si="393"/>
        <v>4.900752908966461</v>
      </c>
      <c r="Q1109" s="2" t="str">
        <f t="shared" si="394"/>
        <v>Mid</v>
      </c>
      <c r="R1109">
        <f t="shared" si="395"/>
        <v>2000</v>
      </c>
      <c r="S1109" t="str">
        <f t="shared" si="396"/>
        <v>Small</v>
      </c>
      <c r="T1109" t="str">
        <f t="shared" si="397"/>
        <v>Lower EV Adoption Corridor</v>
      </c>
      <c r="U1109" s="3">
        <f t="shared" si="398"/>
        <v>3600000</v>
      </c>
      <c r="V1109" s="4">
        <f t="shared" si="399"/>
        <v>880000.00000000012</v>
      </c>
      <c r="W1109" s="3">
        <f t="shared" si="400"/>
        <v>12000000</v>
      </c>
      <c r="X1109" s="3">
        <f t="shared" si="401"/>
        <v>6600000.0000000009</v>
      </c>
      <c r="Y1109">
        <f t="shared" si="402"/>
        <v>0.31515151515151513</v>
      </c>
      <c r="Z1109">
        <f t="shared" si="403"/>
        <v>0.75555555555555554</v>
      </c>
      <c r="AA1109" t="str">
        <f t="shared" si="404"/>
        <v>Tier 2 - Growth Markets</v>
      </c>
      <c r="AB1109" s="3">
        <f t="shared" si="405"/>
        <v>110000.00000000001</v>
      </c>
      <c r="AC1109" s="3">
        <f t="shared" si="406"/>
        <v>1500000</v>
      </c>
      <c r="AD1109" s="3">
        <f t="shared" si="407"/>
        <v>450000</v>
      </c>
      <c r="AE1109" s="5">
        <f t="shared" si="408"/>
        <v>4.4117647058823533</v>
      </c>
      <c r="AF1109" s="10">
        <f t="shared" si="409"/>
        <v>545600.00000000012</v>
      </c>
      <c r="AG1109" s="10">
        <f t="shared" si="410"/>
        <v>176000.00000000003</v>
      </c>
      <c r="AH1109" s="10">
        <f t="shared" si="411"/>
        <v>88000.000000000015</v>
      </c>
      <c r="AI1109" s="10">
        <f t="shared" si="412"/>
        <v>44000.000000000007</v>
      </c>
      <c r="AJ1109" s="10">
        <f t="shared" si="413"/>
        <v>26400.000000000004</v>
      </c>
    </row>
    <row r="1110" spans="1:36" x14ac:dyDescent="0.3">
      <c r="A1110" t="s">
        <v>4294</v>
      </c>
      <c r="B1110" t="s">
        <v>4295</v>
      </c>
      <c r="C1110" t="s">
        <v>4296</v>
      </c>
      <c r="D1110" t="s">
        <v>41</v>
      </c>
      <c r="E1110">
        <v>32703</v>
      </c>
      <c r="F1110" t="s">
        <v>15</v>
      </c>
      <c r="G1110">
        <v>8</v>
      </c>
      <c r="H1110">
        <v>250</v>
      </c>
      <c r="I1110" t="str" cm="1">
        <f t="array" ref="I1110">_xlfn.IFS(H1110&lt;=120,"V1",H1110&lt;=150,"V2",H1110&lt;=250,"V3", H1110&lt;=350, "V4")</f>
        <v>V3</v>
      </c>
      <c r="J1110" t="s">
        <v>4297</v>
      </c>
      <c r="K1110" t="str">
        <f t="shared" si="391"/>
        <v>28.6541</v>
      </c>
      <c r="L1110" t="str">
        <f t="shared" si="392"/>
        <v>-81.4686</v>
      </c>
      <c r="M1110">
        <v>34</v>
      </c>
      <c r="N1110" s="1">
        <v>44676</v>
      </c>
      <c r="O1110" s="1">
        <v>46099</v>
      </c>
      <c r="P1110" s="2">
        <f t="shared" si="393"/>
        <v>3.8959616700889801</v>
      </c>
      <c r="Q1110" s="2" t="str">
        <f t="shared" si="394"/>
        <v>Mid</v>
      </c>
      <c r="R1110">
        <f t="shared" si="395"/>
        <v>2000</v>
      </c>
      <c r="S1110" t="str">
        <f t="shared" si="396"/>
        <v>Small</v>
      </c>
      <c r="T1110" t="str">
        <f t="shared" si="397"/>
        <v>High EV Adoption Corridor</v>
      </c>
      <c r="U1110" s="3">
        <f t="shared" si="398"/>
        <v>4680000</v>
      </c>
      <c r="V1110" s="4">
        <f t="shared" si="399"/>
        <v>1056000</v>
      </c>
      <c r="W1110" s="3">
        <f t="shared" si="400"/>
        <v>13200000.000000002</v>
      </c>
      <c r="X1110" s="3">
        <f t="shared" si="401"/>
        <v>9900000.0000000019</v>
      </c>
      <c r="Y1110">
        <f t="shared" si="402"/>
        <v>0.23999999999999996</v>
      </c>
      <c r="Z1110">
        <f t="shared" si="403"/>
        <v>0.77435897435897438</v>
      </c>
      <c r="AA1110" t="str">
        <f t="shared" si="404"/>
        <v>Tier 1 - Priority Fleet</v>
      </c>
      <c r="AB1110" s="3">
        <f t="shared" si="405"/>
        <v>132000</v>
      </c>
      <c r="AC1110" s="3">
        <f t="shared" si="406"/>
        <v>1650000.0000000002</v>
      </c>
      <c r="AD1110" s="3">
        <f t="shared" si="407"/>
        <v>585000</v>
      </c>
      <c r="AE1110" s="5">
        <f t="shared" si="408"/>
        <v>3.6423841059602653</v>
      </c>
      <c r="AF1110" s="10">
        <f t="shared" si="409"/>
        <v>654720</v>
      </c>
      <c r="AG1110" s="10">
        <f t="shared" si="410"/>
        <v>211200</v>
      </c>
      <c r="AH1110" s="10">
        <f t="shared" si="411"/>
        <v>105600</v>
      </c>
      <c r="AI1110" s="10">
        <f t="shared" si="412"/>
        <v>52800</v>
      </c>
      <c r="AJ1110" s="10">
        <f t="shared" si="413"/>
        <v>31680</v>
      </c>
    </row>
    <row r="1111" spans="1:36" x14ac:dyDescent="0.3">
      <c r="A1111" t="s">
        <v>4298</v>
      </c>
      <c r="B1111" t="s">
        <v>4299</v>
      </c>
      <c r="C1111" t="s">
        <v>4300</v>
      </c>
      <c r="D1111" t="s">
        <v>111</v>
      </c>
      <c r="E1111">
        <v>55362</v>
      </c>
      <c r="F1111" t="s">
        <v>15</v>
      </c>
      <c r="G1111">
        <v>8</v>
      </c>
      <c r="H1111">
        <v>250</v>
      </c>
      <c r="I1111" t="str" cm="1">
        <f t="array" ref="I1111">_xlfn.IFS(H1111&lt;=120,"V1",H1111&lt;=150,"V2",H1111&lt;=250,"V3", H1111&lt;=350, "V4")</f>
        <v>V3</v>
      </c>
      <c r="J1111" t="s">
        <v>4301</v>
      </c>
      <c r="K1111" t="str">
        <f t="shared" si="391"/>
        <v>45.3008</v>
      </c>
      <c r="L1111" t="str">
        <f t="shared" si="392"/>
        <v>-93.7995</v>
      </c>
      <c r="M1111">
        <v>289</v>
      </c>
      <c r="N1111" s="1">
        <v>44838</v>
      </c>
      <c r="O1111" s="1">
        <v>46099</v>
      </c>
      <c r="P1111" s="2">
        <f t="shared" si="393"/>
        <v>3.4524298425735798</v>
      </c>
      <c r="Q1111" s="2" t="str">
        <f t="shared" si="394"/>
        <v>Mid</v>
      </c>
      <c r="R1111">
        <f t="shared" si="395"/>
        <v>2000</v>
      </c>
      <c r="S1111" t="str">
        <f t="shared" si="396"/>
        <v>Small</v>
      </c>
      <c r="T1111" t="str">
        <f t="shared" si="397"/>
        <v>Lower EV Adoption Corridor</v>
      </c>
      <c r="U1111" s="3">
        <f t="shared" si="398"/>
        <v>3600000</v>
      </c>
      <c r="V1111" s="4">
        <f t="shared" si="399"/>
        <v>880000.00000000012</v>
      </c>
      <c r="W1111" s="3">
        <f t="shared" si="400"/>
        <v>12000000</v>
      </c>
      <c r="X1111" s="3">
        <f t="shared" si="401"/>
        <v>6600000.0000000009</v>
      </c>
      <c r="Y1111">
        <f t="shared" si="402"/>
        <v>0.31515151515151513</v>
      </c>
      <c r="Z1111">
        <f t="shared" si="403"/>
        <v>0.75555555555555554</v>
      </c>
      <c r="AA1111" t="str">
        <f t="shared" si="404"/>
        <v>Tier 2 - Growth Markets</v>
      </c>
      <c r="AB1111" s="3">
        <f t="shared" si="405"/>
        <v>110000.00000000001</v>
      </c>
      <c r="AC1111" s="3">
        <f t="shared" si="406"/>
        <v>1500000</v>
      </c>
      <c r="AD1111" s="3">
        <f t="shared" si="407"/>
        <v>450000</v>
      </c>
      <c r="AE1111" s="5">
        <f t="shared" si="408"/>
        <v>4.4117647058823533</v>
      </c>
      <c r="AF1111" s="10">
        <f t="shared" si="409"/>
        <v>545600.00000000012</v>
      </c>
      <c r="AG1111" s="10">
        <f t="shared" si="410"/>
        <v>176000.00000000003</v>
      </c>
      <c r="AH1111" s="10">
        <f t="shared" si="411"/>
        <v>88000.000000000015</v>
      </c>
      <c r="AI1111" s="10">
        <f t="shared" si="412"/>
        <v>44000.000000000007</v>
      </c>
      <c r="AJ1111" s="10">
        <f t="shared" si="413"/>
        <v>26400.000000000004</v>
      </c>
    </row>
    <row r="1112" spans="1:36" x14ac:dyDescent="0.3">
      <c r="A1112" t="s">
        <v>4302</v>
      </c>
      <c r="B1112" t="s">
        <v>4303</v>
      </c>
      <c r="C1112" t="s">
        <v>4304</v>
      </c>
      <c r="D1112" t="s">
        <v>958</v>
      </c>
      <c r="E1112">
        <v>4460</v>
      </c>
      <c r="F1112" t="s">
        <v>15</v>
      </c>
      <c r="G1112">
        <v>6</v>
      </c>
      <c r="H1112">
        <v>150</v>
      </c>
      <c r="I1112" t="str" cm="1">
        <f t="array" ref="I1112">_xlfn.IFS(H1112&lt;=120,"V1",H1112&lt;=150,"V2",H1112&lt;=250,"V3", H1112&lt;=350, "V4")</f>
        <v>V2</v>
      </c>
      <c r="J1112" t="s">
        <v>4305</v>
      </c>
      <c r="K1112" t="str">
        <f t="shared" si="391"/>
        <v>45.609675</v>
      </c>
      <c r="L1112" t="str">
        <f t="shared" si="392"/>
        <v>-68.522956</v>
      </c>
      <c r="M1112">
        <v>103</v>
      </c>
      <c r="N1112" s="1">
        <v>43755</v>
      </c>
      <c r="O1112" s="1">
        <v>46099</v>
      </c>
      <c r="P1112" s="2">
        <f t="shared" si="393"/>
        <v>6.4175222450376452</v>
      </c>
      <c r="Q1112" s="2" t="str">
        <f t="shared" si="394"/>
        <v>Mid</v>
      </c>
      <c r="R1112">
        <f t="shared" si="395"/>
        <v>900</v>
      </c>
      <c r="S1112" t="str">
        <f t="shared" si="396"/>
        <v>Small</v>
      </c>
      <c r="T1112" t="str">
        <f t="shared" si="397"/>
        <v>Lower EV Adoption Corridor</v>
      </c>
      <c r="U1112" s="3">
        <f t="shared" si="398"/>
        <v>1485000.0000000002</v>
      </c>
      <c r="V1112" s="4">
        <f t="shared" si="399"/>
        <v>360000</v>
      </c>
      <c r="W1112" s="3">
        <f t="shared" si="400"/>
        <v>4500000</v>
      </c>
      <c r="X1112" s="3">
        <f t="shared" si="401"/>
        <v>2700000</v>
      </c>
      <c r="Y1112">
        <f t="shared" si="402"/>
        <v>0.3</v>
      </c>
      <c r="Z1112">
        <f t="shared" si="403"/>
        <v>0.75757575757575757</v>
      </c>
      <c r="AA1112" t="str">
        <f t="shared" si="404"/>
        <v>Tier 4 - Stable Network</v>
      </c>
      <c r="AB1112" s="3">
        <f t="shared" si="405"/>
        <v>60000</v>
      </c>
      <c r="AC1112" s="3">
        <f t="shared" si="406"/>
        <v>750000</v>
      </c>
      <c r="AD1112" s="3">
        <f t="shared" si="407"/>
        <v>247500.00000000003</v>
      </c>
      <c r="AE1112" s="5">
        <f t="shared" si="408"/>
        <v>3.9999999999999991</v>
      </c>
      <c r="AF1112" s="10">
        <f t="shared" si="409"/>
        <v>223200</v>
      </c>
      <c r="AG1112" s="10">
        <f t="shared" si="410"/>
        <v>72000</v>
      </c>
      <c r="AH1112" s="10">
        <f t="shared" si="411"/>
        <v>36000</v>
      </c>
      <c r="AI1112" s="10">
        <f t="shared" si="412"/>
        <v>18000</v>
      </c>
      <c r="AJ1112" s="10">
        <f t="shared" si="413"/>
        <v>10800</v>
      </c>
    </row>
    <row r="1113" spans="1:36" x14ac:dyDescent="0.3">
      <c r="A1113" t="s">
        <v>4306</v>
      </c>
      <c r="B1113" t="s">
        <v>4307</v>
      </c>
      <c r="C1113" t="s">
        <v>4308</v>
      </c>
      <c r="D1113" t="s">
        <v>630</v>
      </c>
      <c r="E1113">
        <v>48473</v>
      </c>
      <c r="F1113" t="s">
        <v>15</v>
      </c>
      <c r="G1113">
        <v>10</v>
      </c>
      <c r="H1113">
        <v>150</v>
      </c>
      <c r="I1113" t="str" cm="1">
        <f t="array" ref="I1113">_xlfn.IFS(H1113&lt;=120,"V1",H1113&lt;=150,"V2",H1113&lt;=250,"V3", H1113&lt;=350, "V4")</f>
        <v>V2</v>
      </c>
      <c r="J1113" t="s">
        <v>4309</v>
      </c>
      <c r="K1113" t="str">
        <f t="shared" si="391"/>
        <v>42.96744</v>
      </c>
      <c r="L1113" t="str">
        <f t="shared" si="392"/>
        <v>-83.828794</v>
      </c>
      <c r="M1113">
        <v>239</v>
      </c>
      <c r="N1113" s="1">
        <v>43858</v>
      </c>
      <c r="O1113" s="1">
        <v>46099</v>
      </c>
      <c r="P1113" s="2">
        <f t="shared" si="393"/>
        <v>6.1355236139630387</v>
      </c>
      <c r="Q1113" s="2" t="str">
        <f t="shared" si="394"/>
        <v>Mid</v>
      </c>
      <c r="R1113">
        <f t="shared" si="395"/>
        <v>1500</v>
      </c>
      <c r="S1113" t="str">
        <f t="shared" si="396"/>
        <v>Small</v>
      </c>
      <c r="T1113" t="str">
        <f t="shared" si="397"/>
        <v>Lower EV Adoption Corridor</v>
      </c>
      <c r="U1113" s="3">
        <f t="shared" si="398"/>
        <v>2475000</v>
      </c>
      <c r="V1113" s="4">
        <f t="shared" si="399"/>
        <v>600000</v>
      </c>
      <c r="W1113" s="3">
        <f t="shared" si="400"/>
        <v>7500000</v>
      </c>
      <c r="X1113" s="3">
        <f t="shared" si="401"/>
        <v>4500000</v>
      </c>
      <c r="Y1113">
        <f t="shared" si="402"/>
        <v>0.3</v>
      </c>
      <c r="Z1113">
        <f t="shared" si="403"/>
        <v>0.75757575757575757</v>
      </c>
      <c r="AA1113" t="str">
        <f t="shared" si="404"/>
        <v>Tier 4 - Stable Network</v>
      </c>
      <c r="AB1113" s="3">
        <f t="shared" si="405"/>
        <v>60000</v>
      </c>
      <c r="AC1113" s="3">
        <f t="shared" si="406"/>
        <v>750000</v>
      </c>
      <c r="AD1113" s="3">
        <f t="shared" si="407"/>
        <v>247500</v>
      </c>
      <c r="AE1113" s="5">
        <f t="shared" si="408"/>
        <v>4</v>
      </c>
      <c r="AF1113" s="10">
        <f t="shared" si="409"/>
        <v>372000</v>
      </c>
      <c r="AG1113" s="10">
        <f t="shared" si="410"/>
        <v>120000</v>
      </c>
      <c r="AH1113" s="10">
        <f t="shared" si="411"/>
        <v>60000</v>
      </c>
      <c r="AI1113" s="10">
        <f t="shared" si="412"/>
        <v>30000</v>
      </c>
      <c r="AJ1113" s="10">
        <f t="shared" si="413"/>
        <v>18000</v>
      </c>
    </row>
    <row r="1114" spans="1:36" x14ac:dyDescent="0.3">
      <c r="A1114" t="s">
        <v>4310</v>
      </c>
      <c r="B1114" t="s">
        <v>4311</v>
      </c>
      <c r="C1114" t="s">
        <v>4312</v>
      </c>
      <c r="D1114" t="s">
        <v>158</v>
      </c>
      <c r="E1114">
        <v>11803</v>
      </c>
      <c r="F1114" t="s">
        <v>15</v>
      </c>
      <c r="G1114">
        <v>6</v>
      </c>
      <c r="H1114">
        <v>120</v>
      </c>
      <c r="I1114" t="str" cm="1">
        <f t="array" ref="I1114">_xlfn.IFS(H1114&lt;=120,"V1",H1114&lt;=150,"V2",H1114&lt;=250,"V3", H1114&lt;=350, "V4")</f>
        <v>V1</v>
      </c>
      <c r="J1114" t="s">
        <v>4313</v>
      </c>
      <c r="K1114" t="str">
        <f t="shared" si="391"/>
        <v>40.779989</v>
      </c>
      <c r="L1114" t="str">
        <f t="shared" si="392"/>
        <v>-73.450258</v>
      </c>
      <c r="M1114">
        <v>52</v>
      </c>
      <c r="N1114" s="1">
        <v>43280</v>
      </c>
      <c r="O1114" s="1">
        <v>46099</v>
      </c>
      <c r="P1114" s="2">
        <f t="shared" si="393"/>
        <v>7.7180013689253935</v>
      </c>
      <c r="Q1114" s="2" t="str">
        <f t="shared" si="394"/>
        <v>Mid</v>
      </c>
      <c r="R1114">
        <f t="shared" si="395"/>
        <v>720</v>
      </c>
      <c r="S1114" t="str">
        <f t="shared" si="396"/>
        <v>Small</v>
      </c>
      <c r="T1114" t="str">
        <f t="shared" si="397"/>
        <v>Lower EV Adoption Corridor</v>
      </c>
      <c r="U1114" s="3">
        <f t="shared" si="398"/>
        <v>1080000</v>
      </c>
      <c r="V1114" s="4">
        <f t="shared" si="399"/>
        <v>259200</v>
      </c>
      <c r="W1114" s="3">
        <f t="shared" si="400"/>
        <v>2880000</v>
      </c>
      <c r="X1114" s="3">
        <f t="shared" si="401"/>
        <v>1944000</v>
      </c>
      <c r="Y1114">
        <f t="shared" si="402"/>
        <v>0.2814814814814815</v>
      </c>
      <c r="Z1114">
        <f t="shared" si="403"/>
        <v>0.76</v>
      </c>
      <c r="AA1114" t="str">
        <f t="shared" si="404"/>
        <v>Tier 5 - Retirement Pipeline</v>
      </c>
      <c r="AB1114" s="3">
        <f t="shared" si="405"/>
        <v>43200</v>
      </c>
      <c r="AC1114" s="3">
        <f t="shared" si="406"/>
        <v>480000</v>
      </c>
      <c r="AD1114" s="3">
        <f t="shared" si="407"/>
        <v>180000</v>
      </c>
      <c r="AE1114" s="5">
        <f t="shared" si="408"/>
        <v>3.5087719298245612</v>
      </c>
      <c r="AF1114" s="10">
        <f t="shared" si="409"/>
        <v>160704</v>
      </c>
      <c r="AG1114" s="10">
        <f t="shared" si="410"/>
        <v>51840</v>
      </c>
      <c r="AH1114" s="10">
        <f t="shared" si="411"/>
        <v>25920</v>
      </c>
      <c r="AI1114" s="10">
        <f t="shared" si="412"/>
        <v>12960</v>
      </c>
      <c r="AJ1114" s="10">
        <f t="shared" si="413"/>
        <v>7776</v>
      </c>
    </row>
    <row r="1115" spans="1:36" x14ac:dyDescent="0.3">
      <c r="A1115" t="s">
        <v>4314</v>
      </c>
      <c r="B1115" t="s">
        <v>4315</v>
      </c>
      <c r="C1115" t="s">
        <v>4316</v>
      </c>
      <c r="D1115" t="s">
        <v>158</v>
      </c>
      <c r="E1115">
        <v>11851</v>
      </c>
      <c r="F1115" t="s">
        <v>15</v>
      </c>
      <c r="G1115">
        <v>16</v>
      </c>
      <c r="H1115">
        <v>72</v>
      </c>
      <c r="I1115" t="str" cm="1">
        <f t="array" ref="I1115">_xlfn.IFS(H1115&lt;=120,"V1",H1115&lt;=150,"V2",H1115&lt;=250,"V3", H1115&lt;=350, "V4")</f>
        <v>V1</v>
      </c>
      <c r="J1115" t="s">
        <v>4317</v>
      </c>
      <c r="K1115" t="str">
        <f t="shared" si="391"/>
        <v>40.66402</v>
      </c>
      <c r="L1115" t="str">
        <f t="shared" si="392"/>
        <v>-73.7251</v>
      </c>
      <c r="M1115">
        <v>3</v>
      </c>
      <c r="N1115" s="1">
        <v>43241</v>
      </c>
      <c r="O1115" s="1">
        <v>46099</v>
      </c>
      <c r="P1115" s="2">
        <f t="shared" si="393"/>
        <v>7.8247775496235459</v>
      </c>
      <c r="Q1115" s="2" t="str">
        <f t="shared" si="394"/>
        <v>Mid</v>
      </c>
      <c r="R1115">
        <f t="shared" si="395"/>
        <v>1152</v>
      </c>
      <c r="S1115" t="str">
        <f t="shared" si="396"/>
        <v>Small</v>
      </c>
      <c r="T1115" t="str">
        <f t="shared" si="397"/>
        <v>Lower EV Adoption Corridor</v>
      </c>
      <c r="U1115" s="3">
        <f t="shared" si="398"/>
        <v>1728000</v>
      </c>
      <c r="V1115" s="4">
        <f t="shared" si="399"/>
        <v>414720</v>
      </c>
      <c r="W1115" s="3">
        <f t="shared" si="400"/>
        <v>4608000</v>
      </c>
      <c r="X1115" s="3">
        <f t="shared" si="401"/>
        <v>3110400</v>
      </c>
      <c r="Y1115">
        <f t="shared" si="402"/>
        <v>0.2814814814814815</v>
      </c>
      <c r="Z1115">
        <f t="shared" si="403"/>
        <v>0.76</v>
      </c>
      <c r="AA1115" t="str">
        <f t="shared" si="404"/>
        <v>Tier 5 - Retirement Pipeline</v>
      </c>
      <c r="AB1115" s="3">
        <f t="shared" si="405"/>
        <v>25920</v>
      </c>
      <c r="AC1115" s="3">
        <f t="shared" si="406"/>
        <v>288000</v>
      </c>
      <c r="AD1115" s="3">
        <f t="shared" si="407"/>
        <v>108000</v>
      </c>
      <c r="AE1115" s="5">
        <f t="shared" si="408"/>
        <v>3.5087719298245612</v>
      </c>
      <c r="AF1115" s="10">
        <f t="shared" si="409"/>
        <v>257126.39999999999</v>
      </c>
      <c r="AG1115" s="10">
        <f t="shared" si="410"/>
        <v>82944</v>
      </c>
      <c r="AH1115" s="10">
        <f t="shared" si="411"/>
        <v>41472</v>
      </c>
      <c r="AI1115" s="10">
        <f t="shared" si="412"/>
        <v>20736</v>
      </c>
      <c r="AJ1115" s="10">
        <f t="shared" si="413"/>
        <v>12441.6</v>
      </c>
    </row>
    <row r="1116" spans="1:36" x14ac:dyDescent="0.3">
      <c r="A1116" t="s">
        <v>4318</v>
      </c>
      <c r="B1116" t="s">
        <v>4319</v>
      </c>
      <c r="C1116" t="s">
        <v>2649</v>
      </c>
      <c r="D1116" t="s">
        <v>230</v>
      </c>
      <c r="E1116">
        <v>98685</v>
      </c>
      <c r="F1116" t="s">
        <v>15</v>
      </c>
      <c r="G1116">
        <v>12</v>
      </c>
      <c r="H1116">
        <v>150</v>
      </c>
      <c r="I1116" t="str" cm="1">
        <f t="array" ref="I1116">_xlfn.IFS(H1116&lt;=120,"V1",H1116&lt;=150,"V2",H1116&lt;=250,"V3", H1116&lt;=350, "V4")</f>
        <v>V2</v>
      </c>
      <c r="J1116" t="s">
        <v>4320</v>
      </c>
      <c r="K1116" t="str">
        <f t="shared" si="391"/>
        <v>45.721663</v>
      </c>
      <c r="L1116" t="str">
        <f t="shared" si="392"/>
        <v>-122.663461</v>
      </c>
      <c r="M1116">
        <v>62</v>
      </c>
      <c r="N1116" s="1">
        <v>43144</v>
      </c>
      <c r="O1116" s="1">
        <v>46099</v>
      </c>
      <c r="P1116" s="2">
        <f t="shared" si="393"/>
        <v>8.0903490759753591</v>
      </c>
      <c r="Q1116" s="2" t="str">
        <f t="shared" si="394"/>
        <v>Old</v>
      </c>
      <c r="R1116">
        <f t="shared" si="395"/>
        <v>1800</v>
      </c>
      <c r="S1116" t="str">
        <f t="shared" si="396"/>
        <v>Small</v>
      </c>
      <c r="T1116" t="str">
        <f t="shared" si="397"/>
        <v>High EV Adoption Corridor</v>
      </c>
      <c r="U1116" s="3">
        <f t="shared" si="398"/>
        <v>3861000.0000000009</v>
      </c>
      <c r="V1116" s="4">
        <f t="shared" si="399"/>
        <v>864000</v>
      </c>
      <c r="W1116" s="3">
        <f t="shared" si="400"/>
        <v>9900000</v>
      </c>
      <c r="X1116" s="3">
        <f t="shared" si="401"/>
        <v>8100000</v>
      </c>
      <c r="Y1116">
        <f t="shared" si="402"/>
        <v>0.22888888888888889</v>
      </c>
      <c r="Z1116">
        <f t="shared" si="403"/>
        <v>0.77622377622377625</v>
      </c>
      <c r="AA1116" t="str">
        <f t="shared" si="404"/>
        <v>Tier 3 - Upgrade Pipeline</v>
      </c>
      <c r="AB1116" s="3">
        <f t="shared" si="405"/>
        <v>72000</v>
      </c>
      <c r="AC1116" s="3">
        <f t="shared" si="406"/>
        <v>825000</v>
      </c>
      <c r="AD1116" s="3">
        <f t="shared" si="407"/>
        <v>321750.00000000006</v>
      </c>
      <c r="AE1116" s="5">
        <f t="shared" si="408"/>
        <v>3.3033033033033021</v>
      </c>
      <c r="AF1116" s="10">
        <f t="shared" si="409"/>
        <v>535680</v>
      </c>
      <c r="AG1116" s="10">
        <f t="shared" si="410"/>
        <v>172800</v>
      </c>
      <c r="AH1116" s="10">
        <f t="shared" si="411"/>
        <v>86400</v>
      </c>
      <c r="AI1116" s="10">
        <f t="shared" si="412"/>
        <v>43200</v>
      </c>
      <c r="AJ1116" s="10">
        <f t="shared" si="413"/>
        <v>25920</v>
      </c>
    </row>
    <row r="1117" spans="1:36" x14ac:dyDescent="0.3">
      <c r="A1117" t="s">
        <v>4321</v>
      </c>
      <c r="B1117" t="s">
        <v>4322</v>
      </c>
      <c r="C1117" t="s">
        <v>4323</v>
      </c>
      <c r="D1117" t="s">
        <v>189</v>
      </c>
      <c r="E1117">
        <v>54401</v>
      </c>
      <c r="F1117" t="s">
        <v>15</v>
      </c>
      <c r="G1117">
        <v>8</v>
      </c>
      <c r="H1117">
        <v>150</v>
      </c>
      <c r="I1117" t="str" cm="1">
        <f t="array" ref="I1117">_xlfn.IFS(H1117&lt;=120,"V1",H1117&lt;=150,"V2",H1117&lt;=250,"V3", H1117&lt;=350, "V4")</f>
        <v>V2</v>
      </c>
      <c r="J1117" t="s">
        <v>4324</v>
      </c>
      <c r="K1117" t="str">
        <f t="shared" si="391"/>
        <v>44.931202</v>
      </c>
      <c r="L1117" t="str">
        <f t="shared" si="392"/>
        <v>-89.662213</v>
      </c>
      <c r="M1117">
        <v>362</v>
      </c>
      <c r="N1117" s="1">
        <v>43014</v>
      </c>
      <c r="O1117" s="1">
        <v>46099</v>
      </c>
      <c r="P1117" s="2">
        <f t="shared" si="393"/>
        <v>8.4462696783025333</v>
      </c>
      <c r="Q1117" s="2" t="str">
        <f t="shared" si="394"/>
        <v>Old</v>
      </c>
      <c r="R1117">
        <f t="shared" si="395"/>
        <v>1200</v>
      </c>
      <c r="S1117" t="str">
        <f t="shared" si="396"/>
        <v>Small</v>
      </c>
      <c r="T1117" t="str">
        <f t="shared" si="397"/>
        <v>Lower EV Adoption Corridor</v>
      </c>
      <c r="U1117" s="3">
        <f t="shared" si="398"/>
        <v>1980000.0000000002</v>
      </c>
      <c r="V1117" s="4">
        <f t="shared" si="399"/>
        <v>480000</v>
      </c>
      <c r="W1117" s="3">
        <f t="shared" si="400"/>
        <v>6000000</v>
      </c>
      <c r="X1117" s="3">
        <f t="shared" si="401"/>
        <v>3600000</v>
      </c>
      <c r="Y1117">
        <f t="shared" si="402"/>
        <v>0.3</v>
      </c>
      <c r="Z1117">
        <f t="shared" si="403"/>
        <v>0.75757575757575757</v>
      </c>
      <c r="AA1117" t="str">
        <f t="shared" si="404"/>
        <v>Tier 4 - Stable Network</v>
      </c>
      <c r="AB1117" s="3">
        <f t="shared" si="405"/>
        <v>60000</v>
      </c>
      <c r="AC1117" s="3">
        <f t="shared" si="406"/>
        <v>750000</v>
      </c>
      <c r="AD1117" s="3">
        <f t="shared" si="407"/>
        <v>247500.00000000003</v>
      </c>
      <c r="AE1117" s="5">
        <f t="shared" si="408"/>
        <v>3.9999999999999996</v>
      </c>
      <c r="AF1117" s="10">
        <f t="shared" si="409"/>
        <v>297600</v>
      </c>
      <c r="AG1117" s="10">
        <f t="shared" si="410"/>
        <v>96000</v>
      </c>
      <c r="AH1117" s="10">
        <f t="shared" si="411"/>
        <v>48000</v>
      </c>
      <c r="AI1117" s="10">
        <f t="shared" si="412"/>
        <v>24000</v>
      </c>
      <c r="AJ1117" s="10">
        <f t="shared" si="413"/>
        <v>14400</v>
      </c>
    </row>
    <row r="1118" spans="1:36" x14ac:dyDescent="0.3">
      <c r="A1118" t="s">
        <v>4325</v>
      </c>
      <c r="B1118" t="s">
        <v>4326</v>
      </c>
      <c r="C1118" t="s">
        <v>4172</v>
      </c>
      <c r="D1118" t="s">
        <v>321</v>
      </c>
      <c r="E1118">
        <v>2199</v>
      </c>
      <c r="F1118" t="s">
        <v>15</v>
      </c>
      <c r="G1118">
        <v>8</v>
      </c>
      <c r="H1118">
        <v>72</v>
      </c>
      <c r="I1118" t="str" cm="1">
        <f t="array" ref="I1118">_xlfn.IFS(H1118&lt;=120,"V1",H1118&lt;=150,"V2",H1118&lt;=250,"V3", H1118&lt;=350, "V4")</f>
        <v>V1</v>
      </c>
      <c r="J1118" t="s">
        <v>4327</v>
      </c>
      <c r="K1118" t="str">
        <f t="shared" si="391"/>
        <v>42.34717</v>
      </c>
      <c r="L1118" t="str">
        <f t="shared" si="392"/>
        <v>-71.081003</v>
      </c>
      <c r="M1118">
        <v>7</v>
      </c>
      <c r="N1118" s="1">
        <v>42989</v>
      </c>
      <c r="O1118" s="1">
        <v>46099</v>
      </c>
      <c r="P1118" s="2">
        <f t="shared" si="393"/>
        <v>8.5147159479808359</v>
      </c>
      <c r="Q1118" s="2" t="str">
        <f t="shared" si="394"/>
        <v>Old</v>
      </c>
      <c r="R1118">
        <f t="shared" si="395"/>
        <v>576</v>
      </c>
      <c r="S1118" t="str">
        <f t="shared" si="396"/>
        <v>Small</v>
      </c>
      <c r="T1118" t="str">
        <f t="shared" si="397"/>
        <v>Lower EV Adoption Corridor</v>
      </c>
      <c r="U1118" s="3">
        <f t="shared" si="398"/>
        <v>864000</v>
      </c>
      <c r="V1118" s="4">
        <f t="shared" si="399"/>
        <v>207360</v>
      </c>
      <c r="W1118" s="3">
        <f t="shared" si="400"/>
        <v>2304000</v>
      </c>
      <c r="X1118" s="3">
        <f t="shared" si="401"/>
        <v>1555200</v>
      </c>
      <c r="Y1118">
        <f t="shared" si="402"/>
        <v>0.2814814814814815</v>
      </c>
      <c r="Z1118">
        <f t="shared" si="403"/>
        <v>0.76</v>
      </c>
      <c r="AA1118" t="str">
        <f t="shared" si="404"/>
        <v>Tier 5 - Retirement Pipeline</v>
      </c>
      <c r="AB1118" s="3">
        <f t="shared" si="405"/>
        <v>25920</v>
      </c>
      <c r="AC1118" s="3">
        <f t="shared" si="406"/>
        <v>288000</v>
      </c>
      <c r="AD1118" s="3">
        <f t="shared" si="407"/>
        <v>108000</v>
      </c>
      <c r="AE1118" s="5">
        <f t="shared" si="408"/>
        <v>3.5087719298245612</v>
      </c>
      <c r="AF1118" s="10">
        <f t="shared" si="409"/>
        <v>128563.2</v>
      </c>
      <c r="AG1118" s="10">
        <f t="shared" si="410"/>
        <v>41472</v>
      </c>
      <c r="AH1118" s="10">
        <f t="shared" si="411"/>
        <v>20736</v>
      </c>
      <c r="AI1118" s="10">
        <f t="shared" si="412"/>
        <v>10368</v>
      </c>
      <c r="AJ1118" s="10">
        <f t="shared" si="413"/>
        <v>6220.8</v>
      </c>
    </row>
    <row r="1119" spans="1:36" x14ac:dyDescent="0.3">
      <c r="A1119" t="s">
        <v>4328</v>
      </c>
      <c r="B1119" t="s">
        <v>4329</v>
      </c>
      <c r="C1119" t="s">
        <v>4330</v>
      </c>
      <c r="D1119" t="s">
        <v>630</v>
      </c>
      <c r="E1119">
        <v>49444</v>
      </c>
      <c r="F1119" t="s">
        <v>15</v>
      </c>
      <c r="G1119">
        <v>10</v>
      </c>
      <c r="H1119">
        <v>150</v>
      </c>
      <c r="I1119" t="str" cm="1">
        <f t="array" ref="I1119">_xlfn.IFS(H1119&lt;=120,"V1",H1119&lt;=150,"V2",H1119&lt;=250,"V3", H1119&lt;=350, "V4")</f>
        <v>V2</v>
      </c>
      <c r="J1119" t="s">
        <v>4331</v>
      </c>
      <c r="K1119" t="str">
        <f t="shared" si="391"/>
        <v>43.155333</v>
      </c>
      <c r="L1119" t="str">
        <f t="shared" si="392"/>
        <v>-86.202939</v>
      </c>
      <c r="M1119">
        <v>192</v>
      </c>
      <c r="N1119" s="1">
        <v>43158</v>
      </c>
      <c r="O1119" s="1">
        <v>46099</v>
      </c>
      <c r="P1119" s="2">
        <f t="shared" si="393"/>
        <v>8.0520191649555102</v>
      </c>
      <c r="Q1119" s="2" t="str">
        <f t="shared" si="394"/>
        <v>Old</v>
      </c>
      <c r="R1119">
        <f t="shared" si="395"/>
        <v>1500</v>
      </c>
      <c r="S1119" t="str">
        <f t="shared" si="396"/>
        <v>Small</v>
      </c>
      <c r="T1119" t="str">
        <f t="shared" si="397"/>
        <v>Lower EV Adoption Corridor</v>
      </c>
      <c r="U1119" s="3">
        <f t="shared" si="398"/>
        <v>2475000</v>
      </c>
      <c r="V1119" s="4">
        <f t="shared" si="399"/>
        <v>600000</v>
      </c>
      <c r="W1119" s="3">
        <f t="shared" si="400"/>
        <v>7500000</v>
      </c>
      <c r="X1119" s="3">
        <f t="shared" si="401"/>
        <v>4500000</v>
      </c>
      <c r="Y1119">
        <f t="shared" si="402"/>
        <v>0.3</v>
      </c>
      <c r="Z1119">
        <f t="shared" si="403"/>
        <v>0.75757575757575757</v>
      </c>
      <c r="AA1119" t="str">
        <f t="shared" si="404"/>
        <v>Tier 4 - Stable Network</v>
      </c>
      <c r="AB1119" s="3">
        <f t="shared" si="405"/>
        <v>60000</v>
      </c>
      <c r="AC1119" s="3">
        <f t="shared" si="406"/>
        <v>750000</v>
      </c>
      <c r="AD1119" s="3">
        <f t="shared" si="407"/>
        <v>247500</v>
      </c>
      <c r="AE1119" s="5">
        <f t="shared" si="408"/>
        <v>4</v>
      </c>
      <c r="AF1119" s="10">
        <f t="shared" si="409"/>
        <v>372000</v>
      </c>
      <c r="AG1119" s="10">
        <f t="shared" si="410"/>
        <v>120000</v>
      </c>
      <c r="AH1119" s="10">
        <f t="shared" si="411"/>
        <v>60000</v>
      </c>
      <c r="AI1119" s="10">
        <f t="shared" si="412"/>
        <v>30000</v>
      </c>
      <c r="AJ1119" s="10">
        <f t="shared" si="413"/>
        <v>18000</v>
      </c>
    </row>
    <row r="1120" spans="1:36" x14ac:dyDescent="0.3">
      <c r="A1120" t="s">
        <v>4332</v>
      </c>
      <c r="B1120" t="s">
        <v>4333</v>
      </c>
      <c r="C1120" t="s">
        <v>521</v>
      </c>
      <c r="D1120" t="s">
        <v>522</v>
      </c>
      <c r="E1120">
        <v>63303</v>
      </c>
      <c r="F1120" t="s">
        <v>15</v>
      </c>
      <c r="G1120">
        <v>12</v>
      </c>
      <c r="H1120">
        <v>72</v>
      </c>
      <c r="I1120" t="str" cm="1">
        <f t="array" ref="I1120">_xlfn.IFS(H1120&lt;=120,"V1",H1120&lt;=150,"V2",H1120&lt;=250,"V3", H1120&lt;=350, "V4")</f>
        <v>V1</v>
      </c>
      <c r="J1120" t="s">
        <v>4334</v>
      </c>
      <c r="K1120" t="str">
        <f t="shared" si="391"/>
        <v>38.765655</v>
      </c>
      <c r="L1120" t="str">
        <f t="shared" si="392"/>
        <v>-90.493552</v>
      </c>
      <c r="M1120">
        <v>156</v>
      </c>
      <c r="N1120" s="1">
        <v>43600</v>
      </c>
      <c r="O1120" s="1">
        <v>46099</v>
      </c>
      <c r="P1120" s="2">
        <f t="shared" si="393"/>
        <v>6.8418891170431211</v>
      </c>
      <c r="Q1120" s="2" t="str">
        <f t="shared" si="394"/>
        <v>Mid</v>
      </c>
      <c r="R1120">
        <f t="shared" si="395"/>
        <v>864</v>
      </c>
      <c r="S1120" t="str">
        <f t="shared" si="396"/>
        <v>Small</v>
      </c>
      <c r="T1120" t="str">
        <f t="shared" si="397"/>
        <v>Lower EV Adoption Corridor</v>
      </c>
      <c r="U1120" s="3">
        <f t="shared" si="398"/>
        <v>1296000</v>
      </c>
      <c r="V1120" s="4">
        <f t="shared" si="399"/>
        <v>311040</v>
      </c>
      <c r="W1120" s="3">
        <f t="shared" si="400"/>
        <v>3456000</v>
      </c>
      <c r="X1120" s="3">
        <f t="shared" si="401"/>
        <v>2332800</v>
      </c>
      <c r="Y1120">
        <f t="shared" si="402"/>
        <v>0.2814814814814815</v>
      </c>
      <c r="Z1120">
        <f t="shared" si="403"/>
        <v>0.76</v>
      </c>
      <c r="AA1120" t="str">
        <f t="shared" si="404"/>
        <v>Tier 5 - Retirement Pipeline</v>
      </c>
      <c r="AB1120" s="3">
        <f t="shared" si="405"/>
        <v>25920</v>
      </c>
      <c r="AC1120" s="3">
        <f t="shared" si="406"/>
        <v>288000</v>
      </c>
      <c r="AD1120" s="3">
        <f t="shared" si="407"/>
        <v>108000</v>
      </c>
      <c r="AE1120" s="5">
        <f t="shared" si="408"/>
        <v>3.5087719298245612</v>
      </c>
      <c r="AF1120" s="10">
        <f t="shared" si="409"/>
        <v>192844.79999999999</v>
      </c>
      <c r="AG1120" s="10">
        <f t="shared" si="410"/>
        <v>62208</v>
      </c>
      <c r="AH1120" s="10">
        <f t="shared" si="411"/>
        <v>31104</v>
      </c>
      <c r="AI1120" s="10">
        <f t="shared" si="412"/>
        <v>15552</v>
      </c>
      <c r="AJ1120" s="10">
        <f t="shared" si="413"/>
        <v>9331.1999999999989</v>
      </c>
    </row>
    <row r="1121" spans="1:36" x14ac:dyDescent="0.3">
      <c r="A1121" t="s">
        <v>4335</v>
      </c>
      <c r="B1121" t="s">
        <v>4336</v>
      </c>
      <c r="C1121" t="s">
        <v>2961</v>
      </c>
      <c r="D1121" t="s">
        <v>158</v>
      </c>
      <c r="E1121">
        <v>10017</v>
      </c>
      <c r="F1121" t="s">
        <v>15</v>
      </c>
      <c r="G1121">
        <v>4</v>
      </c>
      <c r="H1121">
        <v>72</v>
      </c>
      <c r="I1121" t="str" cm="1">
        <f t="array" ref="I1121">_xlfn.IFS(H1121&lt;=120,"V1",H1121&lt;=150,"V2",H1121&lt;=250,"V3", H1121&lt;=350, "V4")</f>
        <v>V1</v>
      </c>
      <c r="J1121" t="s">
        <v>4337</v>
      </c>
      <c r="K1121" t="str">
        <f t="shared" si="391"/>
        <v>40.753356</v>
      </c>
      <c r="L1121" t="str">
        <f t="shared" si="392"/>
        <v>-73.971685</v>
      </c>
      <c r="M1121">
        <v>12</v>
      </c>
      <c r="N1121" s="1">
        <v>43214</v>
      </c>
      <c r="O1121" s="1">
        <v>46099</v>
      </c>
      <c r="P1121" s="2">
        <f t="shared" si="393"/>
        <v>7.8986995208761126</v>
      </c>
      <c r="Q1121" s="2" t="str">
        <f t="shared" si="394"/>
        <v>Mid</v>
      </c>
      <c r="R1121">
        <f t="shared" si="395"/>
        <v>288</v>
      </c>
      <c r="S1121" t="str">
        <f t="shared" si="396"/>
        <v>Small</v>
      </c>
      <c r="T1121" t="str">
        <f t="shared" si="397"/>
        <v>Lower EV Adoption Corridor</v>
      </c>
      <c r="U1121" s="3">
        <f t="shared" si="398"/>
        <v>432000</v>
      </c>
      <c r="V1121" s="4">
        <f t="shared" si="399"/>
        <v>103680</v>
      </c>
      <c r="W1121" s="3">
        <f t="shared" si="400"/>
        <v>1152000</v>
      </c>
      <c r="X1121" s="3">
        <f t="shared" si="401"/>
        <v>777600</v>
      </c>
      <c r="Y1121">
        <f t="shared" si="402"/>
        <v>0.2814814814814815</v>
      </c>
      <c r="Z1121">
        <f t="shared" si="403"/>
        <v>0.76</v>
      </c>
      <c r="AA1121" t="str">
        <f t="shared" si="404"/>
        <v>Tier 5 - Retirement Pipeline</v>
      </c>
      <c r="AB1121" s="3">
        <f t="shared" si="405"/>
        <v>25920</v>
      </c>
      <c r="AC1121" s="3">
        <f t="shared" si="406"/>
        <v>288000</v>
      </c>
      <c r="AD1121" s="3">
        <f t="shared" si="407"/>
        <v>108000</v>
      </c>
      <c r="AE1121" s="5">
        <f t="shared" si="408"/>
        <v>3.5087719298245612</v>
      </c>
      <c r="AF1121" s="10">
        <f t="shared" si="409"/>
        <v>64281.599999999999</v>
      </c>
      <c r="AG1121" s="10">
        <f t="shared" si="410"/>
        <v>20736</v>
      </c>
      <c r="AH1121" s="10">
        <f t="shared" si="411"/>
        <v>10368</v>
      </c>
      <c r="AI1121" s="10">
        <f t="shared" si="412"/>
        <v>5184</v>
      </c>
      <c r="AJ1121" s="10">
        <f t="shared" si="413"/>
        <v>3110.4</v>
      </c>
    </row>
    <row r="1122" spans="1:36" x14ac:dyDescent="0.3">
      <c r="A1122" t="s">
        <v>4338</v>
      </c>
      <c r="B1122" t="s">
        <v>4339</v>
      </c>
      <c r="C1122" t="s">
        <v>2961</v>
      </c>
      <c r="D1122" t="s">
        <v>158</v>
      </c>
      <c r="E1122" t="s">
        <v>4340</v>
      </c>
      <c r="F1122" t="s">
        <v>15</v>
      </c>
      <c r="G1122">
        <v>2</v>
      </c>
      <c r="H1122">
        <v>72</v>
      </c>
      <c r="I1122" t="str" cm="1">
        <f t="array" ref="I1122">_xlfn.IFS(H1122&lt;=120,"V1",H1122&lt;=150,"V2",H1122&lt;=250,"V3", H1122&lt;=350, "V4")</f>
        <v>V1</v>
      </c>
      <c r="J1122" t="s">
        <v>4341</v>
      </c>
      <c r="K1122" t="str">
        <f t="shared" si="391"/>
        <v>40.717522</v>
      </c>
      <c r="L1122" t="str">
        <f t="shared" si="392"/>
        <v>-73.997302</v>
      </c>
      <c r="M1122">
        <v>10</v>
      </c>
      <c r="N1122" s="1">
        <v>43152</v>
      </c>
      <c r="O1122" s="1">
        <v>46099</v>
      </c>
      <c r="P1122" s="2">
        <f t="shared" si="393"/>
        <v>8.0684462696783026</v>
      </c>
      <c r="Q1122" s="2" t="str">
        <f t="shared" si="394"/>
        <v>Old</v>
      </c>
      <c r="R1122">
        <f t="shared" si="395"/>
        <v>144</v>
      </c>
      <c r="S1122" t="str">
        <f t="shared" si="396"/>
        <v>Small</v>
      </c>
      <c r="T1122" t="str">
        <f t="shared" si="397"/>
        <v>Lower EV Adoption Corridor</v>
      </c>
      <c r="U1122" s="3">
        <f t="shared" si="398"/>
        <v>216000</v>
      </c>
      <c r="V1122" s="4">
        <f t="shared" si="399"/>
        <v>51840</v>
      </c>
      <c r="W1122" s="3">
        <f t="shared" si="400"/>
        <v>576000</v>
      </c>
      <c r="X1122" s="3">
        <f t="shared" si="401"/>
        <v>388800</v>
      </c>
      <c r="Y1122">
        <f t="shared" si="402"/>
        <v>0.2814814814814815</v>
      </c>
      <c r="Z1122">
        <f t="shared" si="403"/>
        <v>0.76</v>
      </c>
      <c r="AA1122" t="str">
        <f t="shared" si="404"/>
        <v>Tier 5 - Retirement Pipeline</v>
      </c>
      <c r="AB1122" s="3">
        <f t="shared" si="405"/>
        <v>25920</v>
      </c>
      <c r="AC1122" s="3">
        <f t="shared" si="406"/>
        <v>288000</v>
      </c>
      <c r="AD1122" s="3">
        <f t="shared" si="407"/>
        <v>108000</v>
      </c>
      <c r="AE1122" s="5">
        <f t="shared" si="408"/>
        <v>3.5087719298245612</v>
      </c>
      <c r="AF1122" s="10">
        <f t="shared" si="409"/>
        <v>32140.799999999999</v>
      </c>
      <c r="AG1122" s="10">
        <f t="shared" si="410"/>
        <v>10368</v>
      </c>
      <c r="AH1122" s="10">
        <f t="shared" si="411"/>
        <v>5184</v>
      </c>
      <c r="AI1122" s="10">
        <f t="shared" si="412"/>
        <v>2592</v>
      </c>
      <c r="AJ1122" s="10">
        <f t="shared" si="413"/>
        <v>1555.2</v>
      </c>
    </row>
    <row r="1123" spans="1:36" x14ac:dyDescent="0.3">
      <c r="A1123" t="s">
        <v>4342</v>
      </c>
      <c r="B1123" t="s">
        <v>4343</v>
      </c>
      <c r="C1123" t="s">
        <v>2961</v>
      </c>
      <c r="D1123" t="s">
        <v>158</v>
      </c>
      <c r="E1123" t="s">
        <v>4344</v>
      </c>
      <c r="F1123" t="s">
        <v>15</v>
      </c>
      <c r="G1123">
        <v>4</v>
      </c>
      <c r="H1123">
        <v>72</v>
      </c>
      <c r="I1123" t="str" cm="1">
        <f t="array" ref="I1123">_xlfn.IFS(H1123&lt;=120,"V1",H1123&lt;=150,"V2",H1123&lt;=250,"V3", H1123&lt;=350, "V4")</f>
        <v>V1</v>
      </c>
      <c r="J1123" t="s">
        <v>4345</v>
      </c>
      <c r="K1123" t="str">
        <f t="shared" si="391"/>
        <v>40.780976</v>
      </c>
      <c r="L1123" t="str">
        <f t="shared" si="392"/>
        <v>-73.980414</v>
      </c>
      <c r="M1123">
        <v>23</v>
      </c>
      <c r="N1123" s="1">
        <v>43214</v>
      </c>
      <c r="O1123" s="1">
        <v>46099</v>
      </c>
      <c r="P1123" s="2">
        <f t="shared" si="393"/>
        <v>7.8986995208761126</v>
      </c>
      <c r="Q1123" s="2" t="str">
        <f t="shared" si="394"/>
        <v>Mid</v>
      </c>
      <c r="R1123">
        <f t="shared" si="395"/>
        <v>288</v>
      </c>
      <c r="S1123" t="str">
        <f t="shared" si="396"/>
        <v>Small</v>
      </c>
      <c r="T1123" t="str">
        <f t="shared" si="397"/>
        <v>Lower EV Adoption Corridor</v>
      </c>
      <c r="U1123" s="3">
        <f t="shared" si="398"/>
        <v>432000</v>
      </c>
      <c r="V1123" s="4">
        <f t="shared" si="399"/>
        <v>103680</v>
      </c>
      <c r="W1123" s="3">
        <f t="shared" si="400"/>
        <v>1152000</v>
      </c>
      <c r="X1123" s="3">
        <f t="shared" si="401"/>
        <v>777600</v>
      </c>
      <c r="Y1123">
        <f t="shared" si="402"/>
        <v>0.2814814814814815</v>
      </c>
      <c r="Z1123">
        <f t="shared" si="403"/>
        <v>0.76</v>
      </c>
      <c r="AA1123" t="str">
        <f t="shared" si="404"/>
        <v>Tier 5 - Retirement Pipeline</v>
      </c>
      <c r="AB1123" s="3">
        <f t="shared" si="405"/>
        <v>25920</v>
      </c>
      <c r="AC1123" s="3">
        <f t="shared" si="406"/>
        <v>288000</v>
      </c>
      <c r="AD1123" s="3">
        <f t="shared" si="407"/>
        <v>108000</v>
      </c>
      <c r="AE1123" s="5">
        <f t="shared" si="408"/>
        <v>3.5087719298245612</v>
      </c>
      <c r="AF1123" s="10">
        <f t="shared" si="409"/>
        <v>64281.599999999999</v>
      </c>
      <c r="AG1123" s="10">
        <f t="shared" si="410"/>
        <v>20736</v>
      </c>
      <c r="AH1123" s="10">
        <f t="shared" si="411"/>
        <v>10368</v>
      </c>
      <c r="AI1123" s="10">
        <f t="shared" si="412"/>
        <v>5184</v>
      </c>
      <c r="AJ1123" s="10">
        <f t="shared" si="413"/>
        <v>3110.4</v>
      </c>
    </row>
    <row r="1124" spans="1:36" x14ac:dyDescent="0.3">
      <c r="A1124" t="s">
        <v>4346</v>
      </c>
      <c r="B1124" t="s">
        <v>4347</v>
      </c>
      <c r="C1124" t="s">
        <v>4348</v>
      </c>
      <c r="D1124" t="s">
        <v>316</v>
      </c>
      <c r="E1124">
        <v>97342</v>
      </c>
      <c r="F1124" t="s">
        <v>15</v>
      </c>
      <c r="G1124">
        <v>6</v>
      </c>
      <c r="H1124">
        <v>150</v>
      </c>
      <c r="I1124" t="str" cm="1">
        <f t="array" ref="I1124">_xlfn.IFS(H1124&lt;=120,"V1",H1124&lt;=150,"V2",H1124&lt;=250,"V3", H1124&lt;=350, "V4")</f>
        <v>V2</v>
      </c>
      <c r="J1124" t="s">
        <v>4349</v>
      </c>
      <c r="K1124" t="str">
        <f t="shared" si="391"/>
        <v>44.737025</v>
      </c>
      <c r="L1124" t="str">
        <f t="shared" si="392"/>
        <v>-122.152108</v>
      </c>
      <c r="M1124">
        <v>492</v>
      </c>
      <c r="N1124" s="1">
        <v>41631</v>
      </c>
      <c r="O1124" s="1">
        <v>46099</v>
      </c>
      <c r="P1124" s="2">
        <f t="shared" si="393"/>
        <v>12.232717316906228</v>
      </c>
      <c r="Q1124" s="2" t="str">
        <f t="shared" si="394"/>
        <v>Old</v>
      </c>
      <c r="R1124">
        <f t="shared" si="395"/>
        <v>900</v>
      </c>
      <c r="S1124" t="str">
        <f t="shared" si="396"/>
        <v>Small</v>
      </c>
      <c r="T1124" t="str">
        <f t="shared" si="397"/>
        <v>Lower EV Adoption Corridor</v>
      </c>
      <c r="U1124" s="3">
        <f t="shared" si="398"/>
        <v>1485000.0000000002</v>
      </c>
      <c r="V1124" s="4">
        <f t="shared" si="399"/>
        <v>360000</v>
      </c>
      <c r="W1124" s="3">
        <f t="shared" si="400"/>
        <v>4500000</v>
      </c>
      <c r="X1124" s="3">
        <f t="shared" si="401"/>
        <v>2700000</v>
      </c>
      <c r="Y1124">
        <f t="shared" si="402"/>
        <v>0.3</v>
      </c>
      <c r="Z1124">
        <f t="shared" si="403"/>
        <v>0.75757575757575757</v>
      </c>
      <c r="AA1124" t="str">
        <f t="shared" si="404"/>
        <v>Tier 4 - Stable Network</v>
      </c>
      <c r="AB1124" s="3">
        <f t="shared" si="405"/>
        <v>60000</v>
      </c>
      <c r="AC1124" s="3">
        <f t="shared" si="406"/>
        <v>750000</v>
      </c>
      <c r="AD1124" s="3">
        <f t="shared" si="407"/>
        <v>247500.00000000003</v>
      </c>
      <c r="AE1124" s="5">
        <f t="shared" si="408"/>
        <v>3.9999999999999991</v>
      </c>
      <c r="AF1124" s="10">
        <f t="shared" si="409"/>
        <v>223200</v>
      </c>
      <c r="AG1124" s="10">
        <f t="shared" si="410"/>
        <v>72000</v>
      </c>
      <c r="AH1124" s="10">
        <f t="shared" si="411"/>
        <v>36000</v>
      </c>
      <c r="AI1124" s="10">
        <f t="shared" si="412"/>
        <v>18000</v>
      </c>
      <c r="AJ1124" s="10">
        <f t="shared" si="413"/>
        <v>10800</v>
      </c>
    </row>
    <row r="1125" spans="1:36" x14ac:dyDescent="0.3">
      <c r="A1125" t="s">
        <v>4350</v>
      </c>
      <c r="B1125" t="s">
        <v>4351</v>
      </c>
      <c r="C1125" t="s">
        <v>4352</v>
      </c>
      <c r="D1125" t="s">
        <v>50</v>
      </c>
      <c r="E1125">
        <v>78942</v>
      </c>
      <c r="F1125" t="s">
        <v>15</v>
      </c>
      <c r="G1125">
        <v>8</v>
      </c>
      <c r="H1125">
        <v>150</v>
      </c>
      <c r="I1125" t="str" cm="1">
        <f t="array" ref="I1125">_xlfn.IFS(H1125&lt;=120,"V1",H1125&lt;=150,"V2",H1125&lt;=250,"V3", H1125&lt;=350, "V4")</f>
        <v>V2</v>
      </c>
      <c r="J1125" t="s">
        <v>4353</v>
      </c>
      <c r="K1125" t="str">
        <f t="shared" si="391"/>
        <v>30.178912</v>
      </c>
      <c r="L1125" t="str">
        <f t="shared" si="392"/>
        <v>-96.907004</v>
      </c>
      <c r="M1125">
        <v>146</v>
      </c>
      <c r="N1125" s="1">
        <v>43758</v>
      </c>
      <c r="O1125" s="1">
        <v>46099</v>
      </c>
      <c r="P1125" s="2">
        <f t="shared" si="393"/>
        <v>6.409308692676249</v>
      </c>
      <c r="Q1125" s="2" t="str">
        <f t="shared" si="394"/>
        <v>Mid</v>
      </c>
      <c r="R1125">
        <f t="shared" si="395"/>
        <v>1200</v>
      </c>
      <c r="S1125" t="str">
        <f t="shared" si="396"/>
        <v>Small</v>
      </c>
      <c r="T1125" t="str">
        <f t="shared" si="397"/>
        <v>High EV Adoption Corridor</v>
      </c>
      <c r="U1125" s="3">
        <f t="shared" si="398"/>
        <v>2574000.0000000005</v>
      </c>
      <c r="V1125" s="4">
        <f t="shared" si="399"/>
        <v>576000</v>
      </c>
      <c r="W1125" s="3">
        <f t="shared" si="400"/>
        <v>6600000.0000000009</v>
      </c>
      <c r="X1125" s="3">
        <f t="shared" si="401"/>
        <v>5400000</v>
      </c>
      <c r="Y1125">
        <f t="shared" si="402"/>
        <v>0.22888888888888889</v>
      </c>
      <c r="Z1125">
        <f t="shared" si="403"/>
        <v>0.77622377622377625</v>
      </c>
      <c r="AA1125" t="str">
        <f t="shared" si="404"/>
        <v>Tier 3 - Upgrade Pipeline</v>
      </c>
      <c r="AB1125" s="3">
        <f t="shared" si="405"/>
        <v>72000</v>
      </c>
      <c r="AC1125" s="3">
        <f t="shared" si="406"/>
        <v>825000.00000000012</v>
      </c>
      <c r="AD1125" s="3">
        <f t="shared" si="407"/>
        <v>321750.00000000006</v>
      </c>
      <c r="AE1125" s="5">
        <f t="shared" si="408"/>
        <v>3.303303303303303</v>
      </c>
      <c r="AF1125" s="10">
        <f t="shared" si="409"/>
        <v>357120</v>
      </c>
      <c r="AG1125" s="10">
        <f t="shared" si="410"/>
        <v>115200</v>
      </c>
      <c r="AH1125" s="10">
        <f t="shared" si="411"/>
        <v>57600</v>
      </c>
      <c r="AI1125" s="10">
        <f t="shared" si="412"/>
        <v>28800</v>
      </c>
      <c r="AJ1125" s="10">
        <f t="shared" si="413"/>
        <v>17280</v>
      </c>
    </row>
    <row r="1126" spans="1:36" x14ac:dyDescent="0.3">
      <c r="A1126" t="s">
        <v>4354</v>
      </c>
      <c r="B1126" t="s">
        <v>4355</v>
      </c>
      <c r="C1126" t="s">
        <v>912</v>
      </c>
      <c r="D1126" t="s">
        <v>230</v>
      </c>
      <c r="E1126">
        <v>98520</v>
      </c>
      <c r="F1126" t="s">
        <v>15</v>
      </c>
      <c r="G1126">
        <v>8</v>
      </c>
      <c r="H1126">
        <v>150</v>
      </c>
      <c r="I1126" t="str" cm="1">
        <f t="array" ref="I1126">_xlfn.IFS(H1126&lt;=120,"V1",H1126&lt;=150,"V2",H1126&lt;=250,"V3", H1126&lt;=350, "V4")</f>
        <v>V2</v>
      </c>
      <c r="J1126" t="s">
        <v>4356</v>
      </c>
      <c r="K1126" t="str">
        <f t="shared" si="391"/>
        <v>46.976679</v>
      </c>
      <c r="L1126" t="str">
        <f t="shared" si="392"/>
        <v>-123.813485</v>
      </c>
      <c r="M1126">
        <v>132</v>
      </c>
      <c r="N1126" s="1">
        <v>42726</v>
      </c>
      <c r="O1126" s="1">
        <v>46099</v>
      </c>
      <c r="P1126" s="2">
        <f t="shared" si="393"/>
        <v>9.2347707049965777</v>
      </c>
      <c r="Q1126" s="2" t="str">
        <f t="shared" si="394"/>
        <v>Old</v>
      </c>
      <c r="R1126">
        <f t="shared" si="395"/>
        <v>1200</v>
      </c>
      <c r="S1126" t="str">
        <f t="shared" si="396"/>
        <v>Small</v>
      </c>
      <c r="T1126" t="str">
        <f t="shared" si="397"/>
        <v>High EV Adoption Corridor</v>
      </c>
      <c r="U1126" s="3">
        <f t="shared" si="398"/>
        <v>2574000.0000000005</v>
      </c>
      <c r="V1126" s="4">
        <f t="shared" si="399"/>
        <v>576000</v>
      </c>
      <c r="W1126" s="3">
        <f t="shared" si="400"/>
        <v>6600000.0000000009</v>
      </c>
      <c r="X1126" s="3">
        <f t="shared" si="401"/>
        <v>5400000</v>
      </c>
      <c r="Y1126">
        <f t="shared" si="402"/>
        <v>0.22888888888888889</v>
      </c>
      <c r="Z1126">
        <f t="shared" si="403"/>
        <v>0.77622377622377625</v>
      </c>
      <c r="AA1126" t="str">
        <f t="shared" si="404"/>
        <v>Tier 3 - Upgrade Pipeline</v>
      </c>
      <c r="AB1126" s="3">
        <f t="shared" si="405"/>
        <v>72000</v>
      </c>
      <c r="AC1126" s="3">
        <f t="shared" si="406"/>
        <v>825000.00000000012</v>
      </c>
      <c r="AD1126" s="3">
        <f t="shared" si="407"/>
        <v>321750.00000000006</v>
      </c>
      <c r="AE1126" s="5">
        <f t="shared" si="408"/>
        <v>3.303303303303303</v>
      </c>
      <c r="AF1126" s="10">
        <f t="shared" si="409"/>
        <v>357120</v>
      </c>
      <c r="AG1126" s="10">
        <f t="shared" si="410"/>
        <v>115200</v>
      </c>
      <c r="AH1126" s="10">
        <f t="shared" si="411"/>
        <v>57600</v>
      </c>
      <c r="AI1126" s="10">
        <f t="shared" si="412"/>
        <v>28800</v>
      </c>
      <c r="AJ1126" s="10">
        <f t="shared" si="413"/>
        <v>17280</v>
      </c>
    </row>
    <row r="1127" spans="1:36" x14ac:dyDescent="0.3">
      <c r="A1127" t="s">
        <v>4357</v>
      </c>
      <c r="B1127" t="s">
        <v>4358</v>
      </c>
      <c r="C1127" t="s">
        <v>4359</v>
      </c>
      <c r="D1127" t="s">
        <v>230</v>
      </c>
      <c r="E1127">
        <v>98382</v>
      </c>
      <c r="F1127" t="s">
        <v>15</v>
      </c>
      <c r="G1127">
        <v>8</v>
      </c>
      <c r="H1127">
        <v>150</v>
      </c>
      <c r="I1127" t="str" cm="1">
        <f t="array" ref="I1127">_xlfn.IFS(H1127&lt;=120,"V1",H1127&lt;=150,"V2",H1127&lt;=250,"V3", H1127&lt;=350, "V4")</f>
        <v>V2</v>
      </c>
      <c r="J1127" t="s">
        <v>4360</v>
      </c>
      <c r="K1127" t="str">
        <f t="shared" si="391"/>
        <v>48.071232</v>
      </c>
      <c r="L1127" t="str">
        <f t="shared" si="392"/>
        <v>-123.074527</v>
      </c>
      <c r="M1127">
        <v>54</v>
      </c>
      <c r="N1127" s="1">
        <v>42921</v>
      </c>
      <c r="O1127" s="1">
        <v>46099</v>
      </c>
      <c r="P1127" s="2">
        <f t="shared" si="393"/>
        <v>8.7008898015058183</v>
      </c>
      <c r="Q1127" s="2" t="str">
        <f t="shared" si="394"/>
        <v>Old</v>
      </c>
      <c r="R1127">
        <f t="shared" si="395"/>
        <v>1200</v>
      </c>
      <c r="S1127" t="str">
        <f t="shared" si="396"/>
        <v>Small</v>
      </c>
      <c r="T1127" t="str">
        <f t="shared" si="397"/>
        <v>High EV Adoption Corridor</v>
      </c>
      <c r="U1127" s="3">
        <f t="shared" si="398"/>
        <v>2574000.0000000005</v>
      </c>
      <c r="V1127" s="4">
        <f t="shared" si="399"/>
        <v>576000</v>
      </c>
      <c r="W1127" s="3">
        <f t="shared" si="400"/>
        <v>6600000.0000000009</v>
      </c>
      <c r="X1127" s="3">
        <f t="shared" si="401"/>
        <v>5400000</v>
      </c>
      <c r="Y1127">
        <f t="shared" si="402"/>
        <v>0.22888888888888889</v>
      </c>
      <c r="Z1127">
        <f t="shared" si="403"/>
        <v>0.77622377622377625</v>
      </c>
      <c r="AA1127" t="str">
        <f t="shared" si="404"/>
        <v>Tier 3 - Upgrade Pipeline</v>
      </c>
      <c r="AB1127" s="3">
        <f t="shared" si="405"/>
        <v>72000</v>
      </c>
      <c r="AC1127" s="3">
        <f t="shared" si="406"/>
        <v>825000.00000000012</v>
      </c>
      <c r="AD1127" s="3">
        <f t="shared" si="407"/>
        <v>321750.00000000006</v>
      </c>
      <c r="AE1127" s="5">
        <f t="shared" si="408"/>
        <v>3.303303303303303</v>
      </c>
      <c r="AF1127" s="10">
        <f t="shared" si="409"/>
        <v>357120</v>
      </c>
      <c r="AG1127" s="10">
        <f t="shared" si="410"/>
        <v>115200</v>
      </c>
      <c r="AH1127" s="10">
        <f t="shared" si="411"/>
        <v>57600</v>
      </c>
      <c r="AI1127" s="10">
        <f t="shared" si="412"/>
        <v>28800</v>
      </c>
      <c r="AJ1127" s="10">
        <f t="shared" si="413"/>
        <v>17280</v>
      </c>
    </row>
    <row r="1128" spans="1:36" x14ac:dyDescent="0.3">
      <c r="A1128" t="s">
        <v>4361</v>
      </c>
      <c r="B1128" t="s">
        <v>4362</v>
      </c>
      <c r="C1128" t="s">
        <v>4363</v>
      </c>
      <c r="D1128" t="s">
        <v>1189</v>
      </c>
      <c r="E1128">
        <v>25704</v>
      </c>
      <c r="F1128" t="s">
        <v>15</v>
      </c>
      <c r="G1128">
        <v>8</v>
      </c>
      <c r="H1128">
        <v>150</v>
      </c>
      <c r="I1128" t="str" cm="1">
        <f t="array" ref="I1128">_xlfn.IFS(H1128&lt;=120,"V1",H1128&lt;=150,"V2",H1128&lt;=250,"V3", H1128&lt;=350, "V4")</f>
        <v>V2</v>
      </c>
      <c r="J1128" t="s">
        <v>4364</v>
      </c>
      <c r="K1128" t="str">
        <f t="shared" si="391"/>
        <v>38.410941</v>
      </c>
      <c r="L1128" t="str">
        <f t="shared" si="392"/>
        <v>-82.487122</v>
      </c>
      <c r="M1128">
        <v>168</v>
      </c>
      <c r="N1128" s="1">
        <v>43111</v>
      </c>
      <c r="O1128" s="1">
        <v>46099</v>
      </c>
      <c r="P1128" s="2">
        <f t="shared" si="393"/>
        <v>8.1806981519507183</v>
      </c>
      <c r="Q1128" s="2" t="str">
        <f t="shared" si="394"/>
        <v>Old</v>
      </c>
      <c r="R1128">
        <f t="shared" si="395"/>
        <v>1200</v>
      </c>
      <c r="S1128" t="str">
        <f t="shared" si="396"/>
        <v>Small</v>
      </c>
      <c r="T1128" t="str">
        <f t="shared" si="397"/>
        <v>Lower EV Adoption Corridor</v>
      </c>
      <c r="U1128" s="3">
        <f t="shared" si="398"/>
        <v>1980000.0000000002</v>
      </c>
      <c r="V1128" s="4">
        <f t="shared" si="399"/>
        <v>480000</v>
      </c>
      <c r="W1128" s="3">
        <f t="shared" si="400"/>
        <v>6000000</v>
      </c>
      <c r="X1128" s="3">
        <f t="shared" si="401"/>
        <v>3600000</v>
      </c>
      <c r="Y1128">
        <f t="shared" si="402"/>
        <v>0.3</v>
      </c>
      <c r="Z1128">
        <f t="shared" si="403"/>
        <v>0.75757575757575757</v>
      </c>
      <c r="AA1128" t="str">
        <f t="shared" si="404"/>
        <v>Tier 4 - Stable Network</v>
      </c>
      <c r="AB1128" s="3">
        <f t="shared" si="405"/>
        <v>60000</v>
      </c>
      <c r="AC1128" s="3">
        <f t="shared" si="406"/>
        <v>750000</v>
      </c>
      <c r="AD1128" s="3">
        <f t="shared" si="407"/>
        <v>247500.00000000003</v>
      </c>
      <c r="AE1128" s="5">
        <f t="shared" si="408"/>
        <v>3.9999999999999996</v>
      </c>
      <c r="AF1128" s="10">
        <f t="shared" si="409"/>
        <v>297600</v>
      </c>
      <c r="AG1128" s="10">
        <f t="shared" si="410"/>
        <v>96000</v>
      </c>
      <c r="AH1128" s="10">
        <f t="shared" si="411"/>
        <v>48000</v>
      </c>
      <c r="AI1128" s="10">
        <f t="shared" si="412"/>
        <v>24000</v>
      </c>
      <c r="AJ1128" s="10">
        <f t="shared" si="413"/>
        <v>14400</v>
      </c>
    </row>
    <row r="1129" spans="1:36" x14ac:dyDescent="0.3">
      <c r="A1129" t="s">
        <v>4365</v>
      </c>
      <c r="B1129" t="s">
        <v>4366</v>
      </c>
      <c r="C1129" t="s">
        <v>4367</v>
      </c>
      <c r="D1129" t="s">
        <v>259</v>
      </c>
      <c r="E1129">
        <v>82301</v>
      </c>
      <c r="F1129" t="s">
        <v>15</v>
      </c>
      <c r="G1129">
        <v>8</v>
      </c>
      <c r="H1129">
        <v>150</v>
      </c>
      <c r="I1129" t="str" cm="1">
        <f t="array" ref="I1129">_xlfn.IFS(H1129&lt;=120,"V1",H1129&lt;=150,"V2",H1129&lt;=250,"V3", H1129&lt;=350, "V4")</f>
        <v>V2</v>
      </c>
      <c r="J1129" t="s">
        <v>4368</v>
      </c>
      <c r="K1129" t="str">
        <f t="shared" si="391"/>
        <v>41.79082</v>
      </c>
      <c r="L1129" t="str">
        <f t="shared" si="392"/>
        <v>-107.210272</v>
      </c>
      <c r="M1129">
        <v>2042</v>
      </c>
      <c r="N1129" s="1">
        <v>42979</v>
      </c>
      <c r="O1129" s="1">
        <v>46099</v>
      </c>
      <c r="P1129" s="2">
        <f t="shared" si="393"/>
        <v>8.5420944558521565</v>
      </c>
      <c r="Q1129" s="2" t="str">
        <f t="shared" si="394"/>
        <v>Old</v>
      </c>
      <c r="R1129">
        <f t="shared" si="395"/>
        <v>1200</v>
      </c>
      <c r="S1129" t="str">
        <f t="shared" si="396"/>
        <v>Small</v>
      </c>
      <c r="T1129" t="str">
        <f t="shared" si="397"/>
        <v>Lower EV Adoption Corridor</v>
      </c>
      <c r="U1129" s="3">
        <f t="shared" si="398"/>
        <v>1980000.0000000002</v>
      </c>
      <c r="V1129" s="4">
        <f t="shared" si="399"/>
        <v>480000</v>
      </c>
      <c r="W1129" s="3">
        <f t="shared" si="400"/>
        <v>6000000</v>
      </c>
      <c r="X1129" s="3">
        <f t="shared" si="401"/>
        <v>3600000</v>
      </c>
      <c r="Y1129">
        <f t="shared" si="402"/>
        <v>0.3</v>
      </c>
      <c r="Z1129">
        <f t="shared" si="403"/>
        <v>0.75757575757575757</v>
      </c>
      <c r="AA1129" t="str">
        <f t="shared" si="404"/>
        <v>Tier 4 - Stable Network</v>
      </c>
      <c r="AB1129" s="3">
        <f t="shared" si="405"/>
        <v>60000</v>
      </c>
      <c r="AC1129" s="3">
        <f t="shared" si="406"/>
        <v>750000</v>
      </c>
      <c r="AD1129" s="3">
        <f t="shared" si="407"/>
        <v>247500.00000000003</v>
      </c>
      <c r="AE1129" s="5">
        <f t="shared" si="408"/>
        <v>3.9999999999999996</v>
      </c>
      <c r="AF1129" s="10">
        <f t="shared" si="409"/>
        <v>297600</v>
      </c>
      <c r="AG1129" s="10">
        <f t="shared" si="410"/>
        <v>96000</v>
      </c>
      <c r="AH1129" s="10">
        <f t="shared" si="411"/>
        <v>48000</v>
      </c>
      <c r="AI1129" s="10">
        <f t="shared" si="412"/>
        <v>24000</v>
      </c>
      <c r="AJ1129" s="10">
        <f t="shared" si="413"/>
        <v>14400</v>
      </c>
    </row>
    <row r="1130" spans="1:36" x14ac:dyDescent="0.3">
      <c r="A1130" t="s">
        <v>4369</v>
      </c>
      <c r="B1130" t="s">
        <v>4370</v>
      </c>
      <c r="C1130" t="s">
        <v>4371</v>
      </c>
      <c r="D1130" t="s">
        <v>98</v>
      </c>
      <c r="E1130">
        <v>6810</v>
      </c>
      <c r="F1130" t="s">
        <v>15</v>
      </c>
      <c r="G1130">
        <v>10</v>
      </c>
      <c r="H1130">
        <v>150</v>
      </c>
      <c r="I1130" t="str" cm="1">
        <f t="array" ref="I1130">_xlfn.IFS(H1130&lt;=120,"V1",H1130&lt;=150,"V2",H1130&lt;=250,"V3", H1130&lt;=350, "V4")</f>
        <v>V2</v>
      </c>
      <c r="J1130" t="s">
        <v>4372</v>
      </c>
      <c r="K1130" t="str">
        <f t="shared" si="391"/>
        <v>41.379222</v>
      </c>
      <c r="L1130" t="str">
        <f t="shared" si="392"/>
        <v>-73.477689</v>
      </c>
      <c r="M1130">
        <v>140</v>
      </c>
      <c r="N1130" s="1">
        <v>43235</v>
      </c>
      <c r="O1130" s="1">
        <v>46099</v>
      </c>
      <c r="P1130" s="2">
        <f t="shared" si="393"/>
        <v>7.8412046543463383</v>
      </c>
      <c r="Q1130" s="2" t="str">
        <f t="shared" si="394"/>
        <v>Mid</v>
      </c>
      <c r="R1130">
        <f t="shared" si="395"/>
        <v>1500</v>
      </c>
      <c r="S1130" t="str">
        <f t="shared" si="396"/>
        <v>Small</v>
      </c>
      <c r="T1130" t="str">
        <f t="shared" si="397"/>
        <v>Lower EV Adoption Corridor</v>
      </c>
      <c r="U1130" s="3">
        <f t="shared" si="398"/>
        <v>2475000</v>
      </c>
      <c r="V1130" s="4">
        <f t="shared" si="399"/>
        <v>600000</v>
      </c>
      <c r="W1130" s="3">
        <f t="shared" si="400"/>
        <v>7500000</v>
      </c>
      <c r="X1130" s="3">
        <f t="shared" si="401"/>
        <v>4500000</v>
      </c>
      <c r="Y1130">
        <f t="shared" si="402"/>
        <v>0.3</v>
      </c>
      <c r="Z1130">
        <f t="shared" si="403"/>
        <v>0.75757575757575757</v>
      </c>
      <c r="AA1130" t="str">
        <f t="shared" si="404"/>
        <v>Tier 4 - Stable Network</v>
      </c>
      <c r="AB1130" s="3">
        <f t="shared" si="405"/>
        <v>60000</v>
      </c>
      <c r="AC1130" s="3">
        <f t="shared" si="406"/>
        <v>750000</v>
      </c>
      <c r="AD1130" s="3">
        <f t="shared" si="407"/>
        <v>247500</v>
      </c>
      <c r="AE1130" s="5">
        <f t="shared" si="408"/>
        <v>4</v>
      </c>
      <c r="AF1130" s="10">
        <f t="shared" si="409"/>
        <v>372000</v>
      </c>
      <c r="AG1130" s="10">
        <f t="shared" si="410"/>
        <v>120000</v>
      </c>
      <c r="AH1130" s="10">
        <f t="shared" si="411"/>
        <v>60000</v>
      </c>
      <c r="AI1130" s="10">
        <f t="shared" si="412"/>
        <v>30000</v>
      </c>
      <c r="AJ1130" s="10">
        <f t="shared" si="413"/>
        <v>18000</v>
      </c>
    </row>
    <row r="1131" spans="1:36" x14ac:dyDescent="0.3">
      <c r="A1131" t="s">
        <v>4373</v>
      </c>
      <c r="B1131" t="s">
        <v>4374</v>
      </c>
      <c r="C1131" t="s">
        <v>152</v>
      </c>
      <c r="D1131" t="s">
        <v>153</v>
      </c>
      <c r="E1131">
        <v>15501</v>
      </c>
      <c r="F1131" t="s">
        <v>15</v>
      </c>
      <c r="G1131">
        <v>8</v>
      </c>
      <c r="H1131">
        <v>250</v>
      </c>
      <c r="I1131" t="str" cm="1">
        <f t="array" ref="I1131">_xlfn.IFS(H1131&lt;=120,"V1",H1131&lt;=150,"V2",H1131&lt;=250,"V3", H1131&lt;=350, "V4")</f>
        <v>V3</v>
      </c>
      <c r="J1131" t="s">
        <v>4375</v>
      </c>
      <c r="K1131" t="str">
        <f t="shared" si="391"/>
        <v>39.999603</v>
      </c>
      <c r="L1131" t="str">
        <f t="shared" si="392"/>
        <v>-79.043673</v>
      </c>
      <c r="M1131">
        <v>707</v>
      </c>
      <c r="N1131" s="1">
        <v>44340</v>
      </c>
      <c r="O1131" s="1">
        <v>46099</v>
      </c>
      <c r="P1131" s="2">
        <f t="shared" si="393"/>
        <v>4.815879534565366</v>
      </c>
      <c r="Q1131" s="2" t="str">
        <f t="shared" si="394"/>
        <v>Mid</v>
      </c>
      <c r="R1131">
        <f t="shared" si="395"/>
        <v>2000</v>
      </c>
      <c r="S1131" t="str">
        <f t="shared" si="396"/>
        <v>Small</v>
      </c>
      <c r="T1131" t="str">
        <f t="shared" si="397"/>
        <v>Lower EV Adoption Corridor</v>
      </c>
      <c r="U1131" s="3">
        <f t="shared" si="398"/>
        <v>3600000</v>
      </c>
      <c r="V1131" s="4">
        <f t="shared" si="399"/>
        <v>880000.00000000012</v>
      </c>
      <c r="W1131" s="3">
        <f t="shared" si="400"/>
        <v>12000000</v>
      </c>
      <c r="X1131" s="3">
        <f t="shared" si="401"/>
        <v>6600000.0000000009</v>
      </c>
      <c r="Y1131">
        <f t="shared" si="402"/>
        <v>0.31515151515151513</v>
      </c>
      <c r="Z1131">
        <f t="shared" si="403"/>
        <v>0.75555555555555554</v>
      </c>
      <c r="AA1131" t="str">
        <f t="shared" si="404"/>
        <v>Tier 2 - Growth Markets</v>
      </c>
      <c r="AB1131" s="3">
        <f t="shared" si="405"/>
        <v>110000.00000000001</v>
      </c>
      <c r="AC1131" s="3">
        <f t="shared" si="406"/>
        <v>1500000</v>
      </c>
      <c r="AD1131" s="3">
        <f t="shared" si="407"/>
        <v>450000</v>
      </c>
      <c r="AE1131" s="5">
        <f t="shared" si="408"/>
        <v>4.4117647058823533</v>
      </c>
      <c r="AF1131" s="10">
        <f t="shared" si="409"/>
        <v>545600.00000000012</v>
      </c>
      <c r="AG1131" s="10">
        <f t="shared" si="410"/>
        <v>176000.00000000003</v>
      </c>
      <c r="AH1131" s="10">
        <f t="shared" si="411"/>
        <v>88000.000000000015</v>
      </c>
      <c r="AI1131" s="10">
        <f t="shared" si="412"/>
        <v>44000.000000000007</v>
      </c>
      <c r="AJ1131" s="10">
        <f t="shared" si="413"/>
        <v>26400.000000000004</v>
      </c>
    </row>
    <row r="1132" spans="1:36" x14ac:dyDescent="0.3">
      <c r="A1132" t="s">
        <v>4376</v>
      </c>
      <c r="B1132" t="s">
        <v>4377</v>
      </c>
      <c r="C1132" t="s">
        <v>1519</v>
      </c>
      <c r="D1132" t="s">
        <v>14</v>
      </c>
      <c r="E1132">
        <v>94538</v>
      </c>
      <c r="F1132" t="s">
        <v>15</v>
      </c>
      <c r="G1132">
        <v>12</v>
      </c>
      <c r="H1132">
        <v>150</v>
      </c>
      <c r="I1132" t="str" cm="1">
        <f t="array" ref="I1132">_xlfn.IFS(H1132&lt;=120,"V1",H1132&lt;=150,"V2",H1132&lt;=250,"V3", H1132&lt;=350, "V4")</f>
        <v>V2</v>
      </c>
      <c r="J1132" t="s">
        <v>4378</v>
      </c>
      <c r="K1132" t="str">
        <f t="shared" si="391"/>
        <v>37.544506</v>
      </c>
      <c r="L1132" t="str">
        <f t="shared" si="392"/>
        <v>-121.983822</v>
      </c>
      <c r="M1132">
        <v>16</v>
      </c>
      <c r="N1132" s="1">
        <v>43217</v>
      </c>
      <c r="O1132" s="1">
        <v>46099</v>
      </c>
      <c r="P1132" s="2">
        <f t="shared" si="393"/>
        <v>7.8904859685147155</v>
      </c>
      <c r="Q1132" s="2" t="str">
        <f t="shared" si="394"/>
        <v>Mid</v>
      </c>
      <c r="R1132">
        <f t="shared" si="395"/>
        <v>1800</v>
      </c>
      <c r="S1132" t="str">
        <f t="shared" si="396"/>
        <v>Small</v>
      </c>
      <c r="T1132" t="str">
        <f t="shared" si="397"/>
        <v>High EV Adoption Corridor</v>
      </c>
      <c r="U1132" s="3">
        <f t="shared" si="398"/>
        <v>3861000.0000000009</v>
      </c>
      <c r="V1132" s="4">
        <f t="shared" si="399"/>
        <v>864000</v>
      </c>
      <c r="W1132" s="3">
        <f t="shared" si="400"/>
        <v>9900000</v>
      </c>
      <c r="X1132" s="3">
        <f t="shared" si="401"/>
        <v>8100000</v>
      </c>
      <c r="Y1132">
        <f t="shared" si="402"/>
        <v>0.22888888888888889</v>
      </c>
      <c r="Z1132">
        <f t="shared" si="403"/>
        <v>0.77622377622377625</v>
      </c>
      <c r="AA1132" t="str">
        <f t="shared" si="404"/>
        <v>Tier 3 - Upgrade Pipeline</v>
      </c>
      <c r="AB1132" s="3">
        <f t="shared" si="405"/>
        <v>72000</v>
      </c>
      <c r="AC1132" s="3">
        <f t="shared" si="406"/>
        <v>825000</v>
      </c>
      <c r="AD1132" s="3">
        <f t="shared" si="407"/>
        <v>321750.00000000006</v>
      </c>
      <c r="AE1132" s="5">
        <f t="shared" si="408"/>
        <v>3.3033033033033021</v>
      </c>
      <c r="AF1132" s="10">
        <f t="shared" si="409"/>
        <v>535680</v>
      </c>
      <c r="AG1132" s="10">
        <f t="shared" si="410"/>
        <v>172800</v>
      </c>
      <c r="AH1132" s="10">
        <f t="shared" si="411"/>
        <v>86400</v>
      </c>
      <c r="AI1132" s="10">
        <f t="shared" si="412"/>
        <v>43200</v>
      </c>
      <c r="AJ1132" s="10">
        <f t="shared" si="413"/>
        <v>25920</v>
      </c>
    </row>
    <row r="1133" spans="1:36" x14ac:dyDescent="0.3">
      <c r="A1133" t="s">
        <v>4379</v>
      </c>
      <c r="B1133" t="s">
        <v>4380</v>
      </c>
      <c r="C1133" t="s">
        <v>4381</v>
      </c>
      <c r="D1133" t="s">
        <v>14</v>
      </c>
      <c r="E1133">
        <v>91709</v>
      </c>
      <c r="F1133" t="s">
        <v>15</v>
      </c>
      <c r="G1133">
        <v>16</v>
      </c>
      <c r="H1133">
        <v>250</v>
      </c>
      <c r="I1133" t="str" cm="1">
        <f t="array" ref="I1133">_xlfn.IFS(H1133&lt;=120,"V1",H1133&lt;=150,"V2",H1133&lt;=250,"V3", H1133&lt;=350, "V4")</f>
        <v>V3</v>
      </c>
      <c r="J1133" t="s">
        <v>4382</v>
      </c>
      <c r="K1133" t="str">
        <f t="shared" si="391"/>
        <v>34.002163</v>
      </c>
      <c r="L1133" t="str">
        <f t="shared" si="392"/>
        <v>-117.731326</v>
      </c>
      <c r="M1133">
        <v>217</v>
      </c>
      <c r="N1133" s="1">
        <v>44398</v>
      </c>
      <c r="O1133" s="1">
        <v>46099</v>
      </c>
      <c r="P1133" s="2">
        <f t="shared" si="393"/>
        <v>4.6570841889117043</v>
      </c>
      <c r="Q1133" s="2" t="str">
        <f t="shared" si="394"/>
        <v>Mid</v>
      </c>
      <c r="R1133">
        <f t="shared" si="395"/>
        <v>4000</v>
      </c>
      <c r="S1133" t="str">
        <f t="shared" si="396"/>
        <v>Small</v>
      </c>
      <c r="T1133" t="str">
        <f t="shared" si="397"/>
        <v>High EV Adoption Corridor</v>
      </c>
      <c r="U1133" s="3">
        <f t="shared" si="398"/>
        <v>9360000</v>
      </c>
      <c r="V1133" s="4">
        <f t="shared" si="399"/>
        <v>2112000</v>
      </c>
      <c r="W1133" s="3">
        <f t="shared" si="400"/>
        <v>26400000.000000004</v>
      </c>
      <c r="X1133" s="3">
        <f t="shared" si="401"/>
        <v>19800000.000000004</v>
      </c>
      <c r="Y1133">
        <f t="shared" si="402"/>
        <v>0.23999999999999996</v>
      </c>
      <c r="Z1133">
        <f t="shared" si="403"/>
        <v>0.77435897435897438</v>
      </c>
      <c r="AA1133" t="str">
        <f t="shared" si="404"/>
        <v>Tier 1 - Priority Fleet</v>
      </c>
      <c r="AB1133" s="3">
        <f t="shared" si="405"/>
        <v>132000</v>
      </c>
      <c r="AC1133" s="3">
        <f t="shared" si="406"/>
        <v>1650000.0000000002</v>
      </c>
      <c r="AD1133" s="3">
        <f t="shared" si="407"/>
        <v>585000</v>
      </c>
      <c r="AE1133" s="5">
        <f t="shared" si="408"/>
        <v>3.6423841059602653</v>
      </c>
      <c r="AF1133" s="10">
        <f t="shared" si="409"/>
        <v>1309440</v>
      </c>
      <c r="AG1133" s="10">
        <f t="shared" si="410"/>
        <v>422400</v>
      </c>
      <c r="AH1133" s="10">
        <f t="shared" si="411"/>
        <v>211200</v>
      </c>
      <c r="AI1133" s="10">
        <f t="shared" si="412"/>
        <v>105600</v>
      </c>
      <c r="AJ1133" s="10">
        <f t="shared" si="413"/>
        <v>63360</v>
      </c>
    </row>
    <row r="1134" spans="1:36" x14ac:dyDescent="0.3">
      <c r="A1134" t="s">
        <v>4383</v>
      </c>
      <c r="B1134" t="s">
        <v>4384</v>
      </c>
      <c r="C1134" t="s">
        <v>4385</v>
      </c>
      <c r="D1134" t="s">
        <v>14</v>
      </c>
      <c r="E1134">
        <v>94590</v>
      </c>
      <c r="F1134" t="s">
        <v>15</v>
      </c>
      <c r="G1134">
        <v>20</v>
      </c>
      <c r="H1134">
        <v>250</v>
      </c>
      <c r="I1134" t="str" cm="1">
        <f t="array" ref="I1134">_xlfn.IFS(H1134&lt;=120,"V1",H1134&lt;=150,"V2",H1134&lt;=250,"V3", H1134&lt;=350, "V4")</f>
        <v>V3</v>
      </c>
      <c r="J1134" t="s">
        <v>4386</v>
      </c>
      <c r="K1134" t="str">
        <f t="shared" si="391"/>
        <v>38.104444</v>
      </c>
      <c r="L1134" t="str">
        <f t="shared" si="392"/>
        <v>-122.230234</v>
      </c>
      <c r="M1134">
        <v>11</v>
      </c>
      <c r="N1134" s="1">
        <v>44812</v>
      </c>
      <c r="O1134" s="1">
        <v>46099</v>
      </c>
      <c r="P1134" s="2">
        <f t="shared" si="393"/>
        <v>3.5236139630390144</v>
      </c>
      <c r="Q1134" s="2" t="str">
        <f t="shared" si="394"/>
        <v>Mid</v>
      </c>
      <c r="R1134">
        <f t="shared" si="395"/>
        <v>5000</v>
      </c>
      <c r="S1134" t="str">
        <f t="shared" si="396"/>
        <v>Small</v>
      </c>
      <c r="T1134" t="str">
        <f t="shared" si="397"/>
        <v>High EV Adoption Corridor</v>
      </c>
      <c r="U1134" s="3">
        <f t="shared" si="398"/>
        <v>11700000</v>
      </c>
      <c r="V1134" s="4">
        <f t="shared" si="399"/>
        <v>2640000</v>
      </c>
      <c r="W1134" s="3">
        <f t="shared" si="400"/>
        <v>33000000.000000004</v>
      </c>
      <c r="X1134" s="3">
        <f t="shared" si="401"/>
        <v>24750000.000000004</v>
      </c>
      <c r="Y1134">
        <f t="shared" si="402"/>
        <v>0.23999999999999996</v>
      </c>
      <c r="Z1134">
        <f t="shared" si="403"/>
        <v>0.77435897435897438</v>
      </c>
      <c r="AA1134" t="str">
        <f t="shared" si="404"/>
        <v>Tier 1 - Priority Fleet</v>
      </c>
      <c r="AB1134" s="3">
        <f t="shared" si="405"/>
        <v>132000</v>
      </c>
      <c r="AC1134" s="3">
        <f t="shared" si="406"/>
        <v>1650000.0000000002</v>
      </c>
      <c r="AD1134" s="3">
        <f t="shared" si="407"/>
        <v>585000</v>
      </c>
      <c r="AE1134" s="5">
        <f t="shared" si="408"/>
        <v>3.6423841059602653</v>
      </c>
      <c r="AF1134" s="10">
        <f t="shared" si="409"/>
        <v>1636800</v>
      </c>
      <c r="AG1134" s="10">
        <f t="shared" si="410"/>
        <v>528000</v>
      </c>
      <c r="AH1134" s="10">
        <f t="shared" si="411"/>
        <v>264000</v>
      </c>
      <c r="AI1134" s="10">
        <f t="shared" si="412"/>
        <v>132000</v>
      </c>
      <c r="AJ1134" s="10">
        <f t="shared" si="413"/>
        <v>79200</v>
      </c>
    </row>
    <row r="1135" spans="1:36" x14ac:dyDescent="0.3">
      <c r="A1135" t="s">
        <v>4387</v>
      </c>
      <c r="B1135" t="s">
        <v>4388</v>
      </c>
      <c r="C1135" t="s">
        <v>4389</v>
      </c>
      <c r="D1135" t="s">
        <v>158</v>
      </c>
      <c r="E1135">
        <v>95123</v>
      </c>
      <c r="F1135" t="s">
        <v>15</v>
      </c>
      <c r="G1135">
        <v>4</v>
      </c>
      <c r="H1135">
        <v>72</v>
      </c>
      <c r="I1135" t="str" cm="1">
        <f t="array" ref="I1135">_xlfn.IFS(H1135&lt;=120,"V1",H1135&lt;=150,"V2",H1135&lt;=250,"V3", H1135&lt;=350, "V4")</f>
        <v>V1</v>
      </c>
      <c r="J1135" t="s">
        <v>4390</v>
      </c>
      <c r="K1135" t="str">
        <f t="shared" si="391"/>
        <v>40.717153</v>
      </c>
      <c r="L1135" t="str">
        <f t="shared" si="392"/>
        <v>-73.991869</v>
      </c>
      <c r="M1135">
        <v>12</v>
      </c>
      <c r="N1135" s="1">
        <v>43306</v>
      </c>
      <c r="O1135" s="1">
        <v>46099</v>
      </c>
      <c r="P1135" s="2">
        <f t="shared" si="393"/>
        <v>7.6468172484599588</v>
      </c>
      <c r="Q1135" s="2" t="str">
        <f t="shared" si="394"/>
        <v>Mid</v>
      </c>
      <c r="R1135">
        <f t="shared" si="395"/>
        <v>288</v>
      </c>
      <c r="S1135" t="str">
        <f t="shared" si="396"/>
        <v>Small</v>
      </c>
      <c r="T1135" t="str">
        <f t="shared" si="397"/>
        <v>Lower EV Adoption Corridor</v>
      </c>
      <c r="U1135" s="3">
        <f t="shared" si="398"/>
        <v>432000</v>
      </c>
      <c r="V1135" s="4">
        <f t="shared" si="399"/>
        <v>103680</v>
      </c>
      <c r="W1135" s="3">
        <f t="shared" si="400"/>
        <v>1152000</v>
      </c>
      <c r="X1135" s="3">
        <f t="shared" si="401"/>
        <v>777600</v>
      </c>
      <c r="Y1135">
        <f t="shared" si="402"/>
        <v>0.2814814814814815</v>
      </c>
      <c r="Z1135">
        <f t="shared" si="403"/>
        <v>0.76</v>
      </c>
      <c r="AA1135" t="str">
        <f t="shared" si="404"/>
        <v>Tier 5 - Retirement Pipeline</v>
      </c>
      <c r="AB1135" s="3">
        <f t="shared" si="405"/>
        <v>25920</v>
      </c>
      <c r="AC1135" s="3">
        <f t="shared" si="406"/>
        <v>288000</v>
      </c>
      <c r="AD1135" s="3">
        <f t="shared" si="407"/>
        <v>108000</v>
      </c>
      <c r="AE1135" s="5">
        <f t="shared" si="408"/>
        <v>3.5087719298245612</v>
      </c>
      <c r="AF1135" s="10">
        <f t="shared" si="409"/>
        <v>64281.599999999999</v>
      </c>
      <c r="AG1135" s="10">
        <f t="shared" si="410"/>
        <v>20736</v>
      </c>
      <c r="AH1135" s="10">
        <f t="shared" si="411"/>
        <v>10368</v>
      </c>
      <c r="AI1135" s="10">
        <f t="shared" si="412"/>
        <v>5184</v>
      </c>
      <c r="AJ1135" s="10">
        <f t="shared" si="413"/>
        <v>3110.4</v>
      </c>
    </row>
    <row r="1136" spans="1:36" x14ac:dyDescent="0.3">
      <c r="A1136" t="s">
        <v>4391</v>
      </c>
      <c r="B1136" t="s">
        <v>4392</v>
      </c>
      <c r="C1136" t="s">
        <v>4393</v>
      </c>
      <c r="D1136" t="s">
        <v>852</v>
      </c>
      <c r="E1136">
        <v>7302</v>
      </c>
      <c r="F1136" t="s">
        <v>15</v>
      </c>
      <c r="G1136">
        <v>6</v>
      </c>
      <c r="H1136">
        <v>72</v>
      </c>
      <c r="I1136" t="str" cm="1">
        <f t="array" ref="I1136">_xlfn.IFS(H1136&lt;=120,"V1",H1136&lt;=150,"V2",H1136&lt;=250,"V3", H1136&lt;=350, "V4")</f>
        <v>V1</v>
      </c>
      <c r="J1136" t="s">
        <v>4394</v>
      </c>
      <c r="K1136" t="str">
        <f t="shared" si="391"/>
        <v>40.721595</v>
      </c>
      <c r="L1136" t="str">
        <f t="shared" si="392"/>
        <v>-74.040469</v>
      </c>
      <c r="M1136">
        <v>2</v>
      </c>
      <c r="N1136" s="1">
        <v>43144</v>
      </c>
      <c r="O1136" s="1">
        <v>46099</v>
      </c>
      <c r="P1136" s="2">
        <f t="shared" si="393"/>
        <v>8.0903490759753591</v>
      </c>
      <c r="Q1136" s="2" t="str">
        <f t="shared" si="394"/>
        <v>Old</v>
      </c>
      <c r="R1136">
        <f t="shared" si="395"/>
        <v>432</v>
      </c>
      <c r="S1136" t="str">
        <f t="shared" si="396"/>
        <v>Small</v>
      </c>
      <c r="T1136" t="str">
        <f t="shared" si="397"/>
        <v>High EV Adoption Corridor</v>
      </c>
      <c r="U1136" s="3">
        <f t="shared" si="398"/>
        <v>842400</v>
      </c>
      <c r="V1136" s="4">
        <f t="shared" si="399"/>
        <v>186624</v>
      </c>
      <c r="W1136" s="3">
        <f t="shared" si="400"/>
        <v>1900800.0000000002</v>
      </c>
      <c r="X1136" s="3">
        <f t="shared" si="401"/>
        <v>1749600</v>
      </c>
      <c r="Y1136">
        <f t="shared" si="402"/>
        <v>0.21530864197530863</v>
      </c>
      <c r="Z1136">
        <f t="shared" si="403"/>
        <v>0.77846153846153843</v>
      </c>
      <c r="AA1136" t="str">
        <f t="shared" si="404"/>
        <v>Tier 3 - Upgrade Pipeline</v>
      </c>
      <c r="AB1136" s="3">
        <f t="shared" si="405"/>
        <v>31104</v>
      </c>
      <c r="AC1136" s="3">
        <f t="shared" si="406"/>
        <v>316800.00000000006</v>
      </c>
      <c r="AD1136" s="3">
        <f t="shared" si="407"/>
        <v>140400</v>
      </c>
      <c r="AE1136" s="5">
        <f t="shared" si="408"/>
        <v>2.8985507246376816</v>
      </c>
      <c r="AF1136" s="10">
        <f t="shared" si="409"/>
        <v>115706.88</v>
      </c>
      <c r="AG1136" s="10">
        <f t="shared" si="410"/>
        <v>37324.800000000003</v>
      </c>
      <c r="AH1136" s="10">
        <f t="shared" si="411"/>
        <v>18662.400000000001</v>
      </c>
      <c r="AI1136" s="10">
        <f t="shared" si="412"/>
        <v>9331.2000000000007</v>
      </c>
      <c r="AJ1136" s="10">
        <f t="shared" si="413"/>
        <v>5598.7199999999993</v>
      </c>
    </row>
    <row r="1137" spans="1:36" x14ac:dyDescent="0.3">
      <c r="A1137" t="s">
        <v>4395</v>
      </c>
      <c r="B1137" t="s">
        <v>4396</v>
      </c>
      <c r="C1137" t="s">
        <v>3590</v>
      </c>
      <c r="D1137" t="s">
        <v>1412</v>
      </c>
      <c r="E1137">
        <v>19703</v>
      </c>
      <c r="F1137" t="s">
        <v>15</v>
      </c>
      <c r="G1137">
        <v>8</v>
      </c>
      <c r="H1137">
        <v>150</v>
      </c>
      <c r="I1137" t="str" cm="1">
        <f t="array" ref="I1137">_xlfn.IFS(H1137&lt;=120,"V1",H1137&lt;=150,"V2",H1137&lt;=250,"V3", H1137&lt;=350, "V4")</f>
        <v>V2</v>
      </c>
      <c r="J1137" t="s">
        <v>4397</v>
      </c>
      <c r="K1137" t="str">
        <f t="shared" si="391"/>
        <v>39.817478</v>
      </c>
      <c r="L1137" t="str">
        <f t="shared" si="392"/>
        <v>-75.457282</v>
      </c>
      <c r="M1137">
        <v>33</v>
      </c>
      <c r="N1137" s="1">
        <v>43257</v>
      </c>
      <c r="O1137" s="1">
        <v>46099</v>
      </c>
      <c r="P1137" s="2">
        <f t="shared" si="393"/>
        <v>7.7809719370294319</v>
      </c>
      <c r="Q1137" s="2" t="str">
        <f t="shared" si="394"/>
        <v>Mid</v>
      </c>
      <c r="R1137">
        <f t="shared" si="395"/>
        <v>1200</v>
      </c>
      <c r="S1137" t="str">
        <f t="shared" si="396"/>
        <v>Small</v>
      </c>
      <c r="T1137" t="str">
        <f t="shared" si="397"/>
        <v>Lower EV Adoption Corridor</v>
      </c>
      <c r="U1137" s="3">
        <f t="shared" si="398"/>
        <v>1980000.0000000002</v>
      </c>
      <c r="V1137" s="4">
        <f t="shared" si="399"/>
        <v>480000</v>
      </c>
      <c r="W1137" s="3">
        <f t="shared" si="400"/>
        <v>6000000</v>
      </c>
      <c r="X1137" s="3">
        <f t="shared" si="401"/>
        <v>3600000</v>
      </c>
      <c r="Y1137">
        <f t="shared" si="402"/>
        <v>0.3</v>
      </c>
      <c r="Z1137">
        <f t="shared" si="403"/>
        <v>0.75757575757575757</v>
      </c>
      <c r="AA1137" t="str">
        <f t="shared" si="404"/>
        <v>Tier 4 - Stable Network</v>
      </c>
      <c r="AB1137" s="3">
        <f t="shared" si="405"/>
        <v>60000</v>
      </c>
      <c r="AC1137" s="3">
        <f t="shared" si="406"/>
        <v>750000</v>
      </c>
      <c r="AD1137" s="3">
        <f t="shared" si="407"/>
        <v>247500.00000000003</v>
      </c>
      <c r="AE1137" s="5">
        <f t="shared" si="408"/>
        <v>3.9999999999999996</v>
      </c>
      <c r="AF1137" s="10">
        <f t="shared" si="409"/>
        <v>297600</v>
      </c>
      <c r="AG1137" s="10">
        <f t="shared" si="410"/>
        <v>96000</v>
      </c>
      <c r="AH1137" s="10">
        <f t="shared" si="411"/>
        <v>48000</v>
      </c>
      <c r="AI1137" s="10">
        <f t="shared" si="412"/>
        <v>24000</v>
      </c>
      <c r="AJ1137" s="10">
        <f t="shared" si="413"/>
        <v>14400</v>
      </c>
    </row>
    <row r="1138" spans="1:36" x14ac:dyDescent="0.3">
      <c r="A1138" t="s">
        <v>4398</v>
      </c>
      <c r="B1138" t="s">
        <v>4399</v>
      </c>
      <c r="C1138" t="s">
        <v>1208</v>
      </c>
      <c r="D1138" t="s">
        <v>28</v>
      </c>
      <c r="E1138">
        <v>30606</v>
      </c>
      <c r="F1138" t="s">
        <v>15</v>
      </c>
      <c r="G1138">
        <v>10</v>
      </c>
      <c r="H1138">
        <v>150</v>
      </c>
      <c r="I1138" t="str" cm="1">
        <f t="array" ref="I1138">_xlfn.IFS(H1138&lt;=120,"V1",H1138&lt;=150,"V2",H1138&lt;=250,"V3", H1138&lt;=350, "V4")</f>
        <v>V2</v>
      </c>
      <c r="J1138" t="s">
        <v>4400</v>
      </c>
      <c r="K1138" t="str">
        <f t="shared" si="391"/>
        <v>33.916675</v>
      </c>
      <c r="L1138" t="str">
        <f t="shared" si="392"/>
        <v>-83.452965</v>
      </c>
      <c r="M1138">
        <v>224</v>
      </c>
      <c r="N1138" s="1">
        <v>43238</v>
      </c>
      <c r="O1138" s="1">
        <v>46099</v>
      </c>
      <c r="P1138" s="2">
        <f t="shared" si="393"/>
        <v>7.8329911019849421</v>
      </c>
      <c r="Q1138" s="2" t="str">
        <f t="shared" si="394"/>
        <v>Mid</v>
      </c>
      <c r="R1138">
        <f t="shared" si="395"/>
        <v>1500</v>
      </c>
      <c r="S1138" t="str">
        <f t="shared" si="396"/>
        <v>Small</v>
      </c>
      <c r="T1138" t="str">
        <f t="shared" si="397"/>
        <v>Lower EV Adoption Corridor</v>
      </c>
      <c r="U1138" s="3">
        <f t="shared" si="398"/>
        <v>2475000</v>
      </c>
      <c r="V1138" s="4">
        <f t="shared" si="399"/>
        <v>600000</v>
      </c>
      <c r="W1138" s="3">
        <f t="shared" si="400"/>
        <v>7500000</v>
      </c>
      <c r="X1138" s="3">
        <f t="shared" si="401"/>
        <v>4500000</v>
      </c>
      <c r="Y1138">
        <f t="shared" si="402"/>
        <v>0.3</v>
      </c>
      <c r="Z1138">
        <f t="shared" si="403"/>
        <v>0.75757575757575757</v>
      </c>
      <c r="AA1138" t="str">
        <f t="shared" si="404"/>
        <v>Tier 4 - Stable Network</v>
      </c>
      <c r="AB1138" s="3">
        <f t="shared" si="405"/>
        <v>60000</v>
      </c>
      <c r="AC1138" s="3">
        <f t="shared" si="406"/>
        <v>750000</v>
      </c>
      <c r="AD1138" s="3">
        <f t="shared" si="407"/>
        <v>247500</v>
      </c>
      <c r="AE1138" s="5">
        <f t="shared" si="408"/>
        <v>4</v>
      </c>
      <c r="AF1138" s="10">
        <f t="shared" si="409"/>
        <v>372000</v>
      </c>
      <c r="AG1138" s="10">
        <f t="shared" si="410"/>
        <v>120000</v>
      </c>
      <c r="AH1138" s="10">
        <f t="shared" si="411"/>
        <v>60000</v>
      </c>
      <c r="AI1138" s="10">
        <f t="shared" si="412"/>
        <v>30000</v>
      </c>
      <c r="AJ1138" s="10">
        <f t="shared" si="413"/>
        <v>18000</v>
      </c>
    </row>
    <row r="1139" spans="1:36" x14ac:dyDescent="0.3">
      <c r="A1139" t="s">
        <v>4401</v>
      </c>
      <c r="B1139" t="s">
        <v>4402</v>
      </c>
      <c r="C1139" t="s">
        <v>4403</v>
      </c>
      <c r="D1139" t="s">
        <v>130</v>
      </c>
      <c r="E1139">
        <v>46032</v>
      </c>
      <c r="F1139" t="s">
        <v>15</v>
      </c>
      <c r="G1139">
        <v>10</v>
      </c>
      <c r="H1139">
        <v>150</v>
      </c>
      <c r="I1139" t="str" cm="1">
        <f t="array" ref="I1139">_xlfn.IFS(H1139&lt;=120,"V1",H1139&lt;=150,"V2",H1139&lt;=250,"V3", H1139&lt;=350, "V4")</f>
        <v>V2</v>
      </c>
      <c r="J1139" t="s">
        <v>4404</v>
      </c>
      <c r="K1139" t="str">
        <f t="shared" si="391"/>
        <v>39.97193</v>
      </c>
      <c r="L1139" t="str">
        <f t="shared" si="392"/>
        <v>-86.152619</v>
      </c>
      <c r="M1139">
        <v>262</v>
      </c>
      <c r="N1139" s="1">
        <v>43272</v>
      </c>
      <c r="O1139" s="1">
        <v>46099</v>
      </c>
      <c r="P1139" s="2">
        <f t="shared" si="393"/>
        <v>7.73990417522245</v>
      </c>
      <c r="Q1139" s="2" t="str">
        <f t="shared" si="394"/>
        <v>Mid</v>
      </c>
      <c r="R1139">
        <f t="shared" si="395"/>
        <v>1500</v>
      </c>
      <c r="S1139" t="str">
        <f t="shared" si="396"/>
        <v>Small</v>
      </c>
      <c r="T1139" t="str">
        <f t="shared" si="397"/>
        <v>Lower EV Adoption Corridor</v>
      </c>
      <c r="U1139" s="3">
        <f t="shared" si="398"/>
        <v>2475000</v>
      </c>
      <c r="V1139" s="4">
        <f t="shared" si="399"/>
        <v>600000</v>
      </c>
      <c r="W1139" s="3">
        <f t="shared" si="400"/>
        <v>7500000</v>
      </c>
      <c r="X1139" s="3">
        <f t="shared" si="401"/>
        <v>4500000</v>
      </c>
      <c r="Y1139">
        <f t="shared" si="402"/>
        <v>0.3</v>
      </c>
      <c r="Z1139">
        <f t="shared" si="403"/>
        <v>0.75757575757575757</v>
      </c>
      <c r="AA1139" t="str">
        <f t="shared" si="404"/>
        <v>Tier 4 - Stable Network</v>
      </c>
      <c r="AB1139" s="3">
        <f t="shared" si="405"/>
        <v>60000</v>
      </c>
      <c r="AC1139" s="3">
        <f t="shared" si="406"/>
        <v>750000</v>
      </c>
      <c r="AD1139" s="3">
        <f t="shared" si="407"/>
        <v>247500</v>
      </c>
      <c r="AE1139" s="5">
        <f t="shared" si="408"/>
        <v>4</v>
      </c>
      <c r="AF1139" s="10">
        <f t="shared" si="409"/>
        <v>372000</v>
      </c>
      <c r="AG1139" s="10">
        <f t="shared" si="410"/>
        <v>120000</v>
      </c>
      <c r="AH1139" s="10">
        <f t="shared" si="411"/>
        <v>60000</v>
      </c>
      <c r="AI1139" s="10">
        <f t="shared" si="412"/>
        <v>30000</v>
      </c>
      <c r="AJ1139" s="10">
        <f t="shared" si="413"/>
        <v>18000</v>
      </c>
    </row>
    <row r="1140" spans="1:36" x14ac:dyDescent="0.3">
      <c r="A1140" t="s">
        <v>4405</v>
      </c>
      <c r="B1140" t="s">
        <v>4406</v>
      </c>
      <c r="C1140" t="s">
        <v>4407</v>
      </c>
      <c r="D1140" t="s">
        <v>14</v>
      </c>
      <c r="E1140">
        <v>94015</v>
      </c>
      <c r="F1140" t="s">
        <v>15</v>
      </c>
      <c r="G1140">
        <v>40</v>
      </c>
      <c r="H1140">
        <v>72</v>
      </c>
      <c r="I1140" t="str" cm="1">
        <f t="array" ref="I1140">_xlfn.IFS(H1140&lt;=120,"V1",H1140&lt;=150,"V2",H1140&lt;=250,"V3", H1140&lt;=350, "V4")</f>
        <v>V1</v>
      </c>
      <c r="J1140" t="s">
        <v>4408</v>
      </c>
      <c r="K1140" t="str">
        <f t="shared" si="391"/>
        <v>37.673998</v>
      </c>
      <c r="L1140" t="str">
        <f t="shared" si="392"/>
        <v>-122.472257</v>
      </c>
      <c r="M1140">
        <v>89</v>
      </c>
      <c r="N1140" s="1">
        <v>43378</v>
      </c>
      <c r="O1140" s="1">
        <v>46099</v>
      </c>
      <c r="P1140" s="2">
        <f t="shared" si="393"/>
        <v>7.4496919917864473</v>
      </c>
      <c r="Q1140" s="2" t="str">
        <f t="shared" si="394"/>
        <v>Mid</v>
      </c>
      <c r="R1140">
        <f t="shared" si="395"/>
        <v>2880</v>
      </c>
      <c r="S1140" t="str">
        <f t="shared" si="396"/>
        <v>Medium</v>
      </c>
      <c r="T1140" t="str">
        <f t="shared" si="397"/>
        <v>High EV Adoption Corridor</v>
      </c>
      <c r="U1140" s="3">
        <f t="shared" si="398"/>
        <v>5616000</v>
      </c>
      <c r="V1140" s="4">
        <f t="shared" si="399"/>
        <v>1244160</v>
      </c>
      <c r="W1140" s="3">
        <f t="shared" si="400"/>
        <v>12672000.000000002</v>
      </c>
      <c r="X1140" s="3">
        <f t="shared" si="401"/>
        <v>11664000</v>
      </c>
      <c r="Y1140">
        <f t="shared" si="402"/>
        <v>0.21530864197530863</v>
      </c>
      <c r="Z1140">
        <f t="shared" si="403"/>
        <v>0.77846153846153843</v>
      </c>
      <c r="AA1140" t="str">
        <f t="shared" si="404"/>
        <v>Tier 3 - Upgrade Pipeline</v>
      </c>
      <c r="AB1140" s="3">
        <f t="shared" si="405"/>
        <v>31104</v>
      </c>
      <c r="AC1140" s="3">
        <f t="shared" si="406"/>
        <v>316800.00000000006</v>
      </c>
      <c r="AD1140" s="3">
        <f t="shared" si="407"/>
        <v>140400</v>
      </c>
      <c r="AE1140" s="5">
        <f t="shared" si="408"/>
        <v>2.8985507246376816</v>
      </c>
      <c r="AF1140" s="10">
        <f t="shared" si="409"/>
        <v>771379.19999999995</v>
      </c>
      <c r="AG1140" s="10">
        <f t="shared" si="410"/>
        <v>248832</v>
      </c>
      <c r="AH1140" s="10">
        <f t="shared" si="411"/>
        <v>124416</v>
      </c>
      <c r="AI1140" s="10">
        <f t="shared" si="412"/>
        <v>62208</v>
      </c>
      <c r="AJ1140" s="10">
        <f t="shared" si="413"/>
        <v>37324.799999999996</v>
      </c>
    </row>
    <row r="1141" spans="1:36" x14ac:dyDescent="0.3">
      <c r="A1141" t="s">
        <v>4409</v>
      </c>
      <c r="B1141" t="s">
        <v>4410</v>
      </c>
      <c r="C1141" t="s">
        <v>4411</v>
      </c>
      <c r="D1141" t="s">
        <v>230</v>
      </c>
      <c r="E1141">
        <v>98029</v>
      </c>
      <c r="F1141" t="s">
        <v>15</v>
      </c>
      <c r="G1141">
        <v>8</v>
      </c>
      <c r="H1141">
        <v>72</v>
      </c>
      <c r="I1141" t="str" cm="1">
        <f t="array" ref="I1141">_xlfn.IFS(H1141&lt;=120,"V1",H1141&lt;=150,"V2",H1141&lt;=250,"V3", H1141&lt;=350, "V4")</f>
        <v>V1</v>
      </c>
      <c r="J1141" t="s">
        <v>4412</v>
      </c>
      <c r="K1141" t="str">
        <f t="shared" si="391"/>
        <v>47.548026</v>
      </c>
      <c r="L1141" t="str">
        <f t="shared" si="392"/>
        <v>-122.040026</v>
      </c>
      <c r="M1141">
        <v>23</v>
      </c>
      <c r="N1141" s="1">
        <v>43393</v>
      </c>
      <c r="O1141" s="1">
        <v>46099</v>
      </c>
      <c r="P1141" s="2">
        <f t="shared" si="393"/>
        <v>7.4086242299794662</v>
      </c>
      <c r="Q1141" s="2" t="str">
        <f t="shared" si="394"/>
        <v>Mid</v>
      </c>
      <c r="R1141">
        <f t="shared" si="395"/>
        <v>576</v>
      </c>
      <c r="S1141" t="str">
        <f t="shared" si="396"/>
        <v>Small</v>
      </c>
      <c r="T1141" t="str">
        <f t="shared" si="397"/>
        <v>High EV Adoption Corridor</v>
      </c>
      <c r="U1141" s="3">
        <f t="shared" si="398"/>
        <v>1123200</v>
      </c>
      <c r="V1141" s="4">
        <f t="shared" si="399"/>
        <v>248832</v>
      </c>
      <c r="W1141" s="3">
        <f t="shared" si="400"/>
        <v>2534400</v>
      </c>
      <c r="X1141" s="3">
        <f t="shared" si="401"/>
        <v>2332800</v>
      </c>
      <c r="Y1141">
        <f t="shared" si="402"/>
        <v>0.21530864197530863</v>
      </c>
      <c r="Z1141">
        <f t="shared" si="403"/>
        <v>0.77846153846153843</v>
      </c>
      <c r="AA1141" t="str">
        <f t="shared" si="404"/>
        <v>Tier 3 - Upgrade Pipeline</v>
      </c>
      <c r="AB1141" s="3">
        <f t="shared" si="405"/>
        <v>31104</v>
      </c>
      <c r="AC1141" s="3">
        <f t="shared" si="406"/>
        <v>316800</v>
      </c>
      <c r="AD1141" s="3">
        <f t="shared" si="407"/>
        <v>140400</v>
      </c>
      <c r="AE1141" s="5">
        <f t="shared" si="408"/>
        <v>2.8985507246376812</v>
      </c>
      <c r="AF1141" s="10">
        <f t="shared" si="409"/>
        <v>154275.84</v>
      </c>
      <c r="AG1141" s="10">
        <f t="shared" si="410"/>
        <v>49766.400000000001</v>
      </c>
      <c r="AH1141" s="10">
        <f t="shared" si="411"/>
        <v>24883.200000000001</v>
      </c>
      <c r="AI1141" s="10">
        <f t="shared" si="412"/>
        <v>12441.6</v>
      </c>
      <c r="AJ1141" s="10">
        <f t="shared" si="413"/>
        <v>7464.96</v>
      </c>
    </row>
    <row r="1142" spans="1:36" x14ac:dyDescent="0.3">
      <c r="A1142" t="s">
        <v>4413</v>
      </c>
      <c r="B1142" t="s">
        <v>4414</v>
      </c>
      <c r="C1142" t="s">
        <v>4415</v>
      </c>
      <c r="D1142" t="s">
        <v>28</v>
      </c>
      <c r="E1142">
        <v>30519</v>
      </c>
      <c r="F1142" t="s">
        <v>15</v>
      </c>
      <c r="G1142">
        <v>10</v>
      </c>
      <c r="H1142">
        <v>150</v>
      </c>
      <c r="I1142" t="str" cm="1">
        <f t="array" ref="I1142">_xlfn.IFS(H1142&lt;=120,"V1",H1142&lt;=150,"V2",H1142&lt;=250,"V3", H1142&lt;=350, "V4")</f>
        <v>V2</v>
      </c>
      <c r="J1142" t="s">
        <v>4416</v>
      </c>
      <c r="K1142" t="str">
        <f t="shared" si="391"/>
        <v>34.061572</v>
      </c>
      <c r="L1142" t="str">
        <f t="shared" si="392"/>
        <v>-83.994606</v>
      </c>
      <c r="M1142">
        <v>327</v>
      </c>
      <c r="N1142" s="1">
        <v>43410</v>
      </c>
      <c r="O1142" s="1">
        <v>46099</v>
      </c>
      <c r="P1142" s="2">
        <f t="shared" si="393"/>
        <v>7.3620807665982202</v>
      </c>
      <c r="Q1142" s="2" t="str">
        <f t="shared" si="394"/>
        <v>Mid</v>
      </c>
      <c r="R1142">
        <f t="shared" si="395"/>
        <v>1500</v>
      </c>
      <c r="S1142" t="str">
        <f t="shared" si="396"/>
        <v>Small</v>
      </c>
      <c r="T1142" t="str">
        <f t="shared" si="397"/>
        <v>Lower EV Adoption Corridor</v>
      </c>
      <c r="U1142" s="3">
        <f t="shared" si="398"/>
        <v>2475000</v>
      </c>
      <c r="V1142" s="4">
        <f t="shared" si="399"/>
        <v>600000</v>
      </c>
      <c r="W1142" s="3">
        <f t="shared" si="400"/>
        <v>7500000</v>
      </c>
      <c r="X1142" s="3">
        <f t="shared" si="401"/>
        <v>4500000</v>
      </c>
      <c r="Y1142">
        <f t="shared" si="402"/>
        <v>0.3</v>
      </c>
      <c r="Z1142">
        <f t="shared" si="403"/>
        <v>0.75757575757575757</v>
      </c>
      <c r="AA1142" t="str">
        <f t="shared" si="404"/>
        <v>Tier 4 - Stable Network</v>
      </c>
      <c r="AB1142" s="3">
        <f t="shared" si="405"/>
        <v>60000</v>
      </c>
      <c r="AC1142" s="3">
        <f t="shared" si="406"/>
        <v>750000</v>
      </c>
      <c r="AD1142" s="3">
        <f t="shared" si="407"/>
        <v>247500</v>
      </c>
      <c r="AE1142" s="5">
        <f t="shared" si="408"/>
        <v>4</v>
      </c>
      <c r="AF1142" s="10">
        <f t="shared" si="409"/>
        <v>372000</v>
      </c>
      <c r="AG1142" s="10">
        <f t="shared" si="410"/>
        <v>120000</v>
      </c>
      <c r="AH1142" s="10">
        <f t="shared" si="411"/>
        <v>60000</v>
      </c>
      <c r="AI1142" s="10">
        <f t="shared" si="412"/>
        <v>30000</v>
      </c>
      <c r="AJ1142" s="10">
        <f t="shared" si="413"/>
        <v>18000</v>
      </c>
    </row>
    <row r="1143" spans="1:36" x14ac:dyDescent="0.3">
      <c r="A1143" t="s">
        <v>4417</v>
      </c>
      <c r="B1143" t="s">
        <v>4418</v>
      </c>
      <c r="C1143" t="s">
        <v>3807</v>
      </c>
      <c r="D1143" t="s">
        <v>41</v>
      </c>
      <c r="E1143">
        <v>33027</v>
      </c>
      <c r="F1143" t="s">
        <v>15</v>
      </c>
      <c r="G1143">
        <v>16</v>
      </c>
      <c r="H1143">
        <v>150</v>
      </c>
      <c r="I1143" t="str" cm="1">
        <f t="array" ref="I1143">_xlfn.IFS(H1143&lt;=120,"V1",H1143&lt;=150,"V2",H1143&lt;=250,"V3", H1143&lt;=350, "V4")</f>
        <v>V2</v>
      </c>
      <c r="J1143" t="s">
        <v>4419</v>
      </c>
      <c r="K1143" t="str">
        <f t="shared" si="391"/>
        <v>26.006948</v>
      </c>
      <c r="L1143" t="str">
        <f t="shared" si="392"/>
        <v>-80.348953</v>
      </c>
      <c r="M1143">
        <v>1</v>
      </c>
      <c r="N1143" s="1">
        <v>43385</v>
      </c>
      <c r="O1143" s="1">
        <v>46099</v>
      </c>
      <c r="P1143" s="2">
        <f t="shared" si="393"/>
        <v>7.4305270362765228</v>
      </c>
      <c r="Q1143" s="2" t="str">
        <f t="shared" si="394"/>
        <v>Mid</v>
      </c>
      <c r="R1143">
        <f t="shared" si="395"/>
        <v>2400</v>
      </c>
      <c r="S1143" t="str">
        <f t="shared" si="396"/>
        <v>Small</v>
      </c>
      <c r="T1143" t="str">
        <f t="shared" si="397"/>
        <v>High EV Adoption Corridor</v>
      </c>
      <c r="U1143" s="3">
        <f t="shared" si="398"/>
        <v>5148000.0000000009</v>
      </c>
      <c r="V1143" s="4">
        <f t="shared" si="399"/>
        <v>1152000</v>
      </c>
      <c r="W1143" s="3">
        <f t="shared" si="400"/>
        <v>13200000.000000002</v>
      </c>
      <c r="X1143" s="3">
        <f t="shared" si="401"/>
        <v>10800000</v>
      </c>
      <c r="Y1143">
        <f t="shared" si="402"/>
        <v>0.22888888888888889</v>
      </c>
      <c r="Z1143">
        <f t="shared" si="403"/>
        <v>0.77622377622377625</v>
      </c>
      <c r="AA1143" t="str">
        <f t="shared" si="404"/>
        <v>Tier 3 - Upgrade Pipeline</v>
      </c>
      <c r="AB1143" s="3">
        <f t="shared" si="405"/>
        <v>72000</v>
      </c>
      <c r="AC1143" s="3">
        <f t="shared" si="406"/>
        <v>825000.00000000012</v>
      </c>
      <c r="AD1143" s="3">
        <f t="shared" si="407"/>
        <v>321750.00000000006</v>
      </c>
      <c r="AE1143" s="5">
        <f t="shared" si="408"/>
        <v>3.303303303303303</v>
      </c>
      <c r="AF1143" s="10">
        <f t="shared" si="409"/>
        <v>714240</v>
      </c>
      <c r="AG1143" s="10">
        <f t="shared" si="410"/>
        <v>230400</v>
      </c>
      <c r="AH1143" s="10">
        <f t="shared" si="411"/>
        <v>115200</v>
      </c>
      <c r="AI1143" s="10">
        <f t="shared" si="412"/>
        <v>57600</v>
      </c>
      <c r="AJ1143" s="10">
        <f t="shared" si="413"/>
        <v>34560</v>
      </c>
    </row>
    <row r="1144" spans="1:36" x14ac:dyDescent="0.3">
      <c r="A1144" t="s">
        <v>4420</v>
      </c>
      <c r="B1144" t="s">
        <v>4421</v>
      </c>
      <c r="C1144" t="s">
        <v>4422</v>
      </c>
      <c r="D1144" t="s">
        <v>41</v>
      </c>
      <c r="E1144">
        <v>33180</v>
      </c>
      <c r="F1144" t="s">
        <v>15</v>
      </c>
      <c r="G1144">
        <v>35</v>
      </c>
      <c r="H1144">
        <v>72</v>
      </c>
      <c r="I1144" t="str" cm="1">
        <f t="array" ref="I1144">_xlfn.IFS(H1144&lt;=120,"V1",H1144&lt;=150,"V2",H1144&lt;=250,"V3", H1144&lt;=350, "V4")</f>
        <v>V1</v>
      </c>
      <c r="J1144" t="s">
        <v>4423</v>
      </c>
      <c r="K1144" t="str">
        <f t="shared" si="391"/>
        <v>25.956403</v>
      </c>
      <c r="L1144" t="str">
        <f t="shared" si="392"/>
        <v>-80.143001</v>
      </c>
      <c r="M1144">
        <v>6</v>
      </c>
      <c r="N1144" s="1">
        <v>43237</v>
      </c>
      <c r="O1144" s="1">
        <v>46099</v>
      </c>
      <c r="P1144" s="2">
        <f t="shared" si="393"/>
        <v>7.8357289527720742</v>
      </c>
      <c r="Q1144" s="2" t="str">
        <f t="shared" si="394"/>
        <v>Mid</v>
      </c>
      <c r="R1144">
        <f t="shared" si="395"/>
        <v>2520</v>
      </c>
      <c r="S1144" t="str">
        <f t="shared" si="396"/>
        <v>Medium</v>
      </c>
      <c r="T1144" t="str">
        <f t="shared" si="397"/>
        <v>High EV Adoption Corridor</v>
      </c>
      <c r="U1144" s="3">
        <f t="shared" si="398"/>
        <v>4914000</v>
      </c>
      <c r="V1144" s="4">
        <f t="shared" si="399"/>
        <v>1088640</v>
      </c>
      <c r="W1144" s="3">
        <f t="shared" si="400"/>
        <v>11088000</v>
      </c>
      <c r="X1144" s="3">
        <f t="shared" si="401"/>
        <v>10206000</v>
      </c>
      <c r="Y1144">
        <f t="shared" si="402"/>
        <v>0.21530864197530863</v>
      </c>
      <c r="Z1144">
        <f t="shared" si="403"/>
        <v>0.77846153846153843</v>
      </c>
      <c r="AA1144" t="str">
        <f t="shared" si="404"/>
        <v>Tier 3 - Upgrade Pipeline</v>
      </c>
      <c r="AB1144" s="3">
        <f t="shared" si="405"/>
        <v>31104</v>
      </c>
      <c r="AC1144" s="3">
        <f t="shared" si="406"/>
        <v>316800</v>
      </c>
      <c r="AD1144" s="3">
        <f t="shared" si="407"/>
        <v>140400</v>
      </c>
      <c r="AE1144" s="5">
        <f t="shared" si="408"/>
        <v>2.8985507246376812</v>
      </c>
      <c r="AF1144" s="10">
        <f t="shared" si="409"/>
        <v>674956.80000000005</v>
      </c>
      <c r="AG1144" s="10">
        <f t="shared" si="410"/>
        <v>217728</v>
      </c>
      <c r="AH1144" s="10">
        <f t="shared" si="411"/>
        <v>108864</v>
      </c>
      <c r="AI1144" s="10">
        <f t="shared" si="412"/>
        <v>54432</v>
      </c>
      <c r="AJ1144" s="10">
        <f t="shared" si="413"/>
        <v>32659.199999999997</v>
      </c>
    </row>
    <row r="1145" spans="1:36" x14ac:dyDescent="0.3">
      <c r="A1145" t="s">
        <v>4424</v>
      </c>
      <c r="B1145" t="s">
        <v>4425</v>
      </c>
      <c r="C1145" t="s">
        <v>4426</v>
      </c>
      <c r="D1145" t="s">
        <v>41</v>
      </c>
      <c r="E1145">
        <v>33913</v>
      </c>
      <c r="F1145" t="s">
        <v>15</v>
      </c>
      <c r="G1145">
        <v>12</v>
      </c>
      <c r="H1145">
        <v>250</v>
      </c>
      <c r="I1145" t="str" cm="1">
        <f t="array" ref="I1145">_xlfn.IFS(H1145&lt;=120,"V1",H1145&lt;=150,"V2",H1145&lt;=250,"V3", H1145&lt;=350, "V4")</f>
        <v>V3</v>
      </c>
      <c r="J1145" t="s">
        <v>4427</v>
      </c>
      <c r="K1145" t="str">
        <f t="shared" si="391"/>
        <v>26.488531</v>
      </c>
      <c r="L1145" t="str">
        <f t="shared" si="392"/>
        <v>-81.787028</v>
      </c>
      <c r="M1145">
        <v>6</v>
      </c>
      <c r="N1145" s="1">
        <v>44704</v>
      </c>
      <c r="O1145" s="1">
        <v>46099</v>
      </c>
      <c r="P1145" s="2">
        <f t="shared" si="393"/>
        <v>3.8193018480492813</v>
      </c>
      <c r="Q1145" s="2" t="str">
        <f t="shared" si="394"/>
        <v>Mid</v>
      </c>
      <c r="R1145">
        <f t="shared" si="395"/>
        <v>3000</v>
      </c>
      <c r="S1145" t="str">
        <f t="shared" si="396"/>
        <v>Small</v>
      </c>
      <c r="T1145" t="str">
        <f t="shared" si="397"/>
        <v>High EV Adoption Corridor</v>
      </c>
      <c r="U1145" s="3">
        <f t="shared" si="398"/>
        <v>7020000</v>
      </c>
      <c r="V1145" s="4">
        <f t="shared" si="399"/>
        <v>1584000</v>
      </c>
      <c r="W1145" s="3">
        <f t="shared" si="400"/>
        <v>19800000</v>
      </c>
      <c r="X1145" s="3">
        <f t="shared" si="401"/>
        <v>14850000</v>
      </c>
      <c r="Y1145">
        <f t="shared" si="402"/>
        <v>0.24</v>
      </c>
      <c r="Z1145">
        <f t="shared" si="403"/>
        <v>0.77435897435897438</v>
      </c>
      <c r="AA1145" t="str">
        <f t="shared" si="404"/>
        <v>Tier 1 - Priority Fleet</v>
      </c>
      <c r="AB1145" s="3">
        <f t="shared" si="405"/>
        <v>132000</v>
      </c>
      <c r="AC1145" s="3">
        <f t="shared" si="406"/>
        <v>1650000</v>
      </c>
      <c r="AD1145" s="3">
        <f t="shared" si="407"/>
        <v>585000</v>
      </c>
      <c r="AE1145" s="5">
        <f t="shared" si="408"/>
        <v>3.6423841059602649</v>
      </c>
      <c r="AF1145" s="10">
        <f t="shared" si="409"/>
        <v>982080</v>
      </c>
      <c r="AG1145" s="10">
        <f t="shared" si="410"/>
        <v>316800</v>
      </c>
      <c r="AH1145" s="10">
        <f t="shared" si="411"/>
        <v>158400</v>
      </c>
      <c r="AI1145" s="10">
        <f t="shared" si="412"/>
        <v>79200</v>
      </c>
      <c r="AJ1145" s="10">
        <f t="shared" si="413"/>
        <v>47520</v>
      </c>
    </row>
    <row r="1146" spans="1:36" x14ac:dyDescent="0.3">
      <c r="A1146" t="s">
        <v>4428</v>
      </c>
      <c r="B1146" t="s">
        <v>4429</v>
      </c>
      <c r="C1146" t="s">
        <v>4430</v>
      </c>
      <c r="D1146" t="s">
        <v>125</v>
      </c>
      <c r="E1146">
        <v>29673</v>
      </c>
      <c r="F1146" t="s">
        <v>15</v>
      </c>
      <c r="G1146">
        <v>8</v>
      </c>
      <c r="H1146">
        <v>250</v>
      </c>
      <c r="I1146" t="str" cm="1">
        <f t="array" ref="I1146">_xlfn.IFS(H1146&lt;=120,"V1",H1146&lt;=150,"V2",H1146&lt;=250,"V3", H1146&lt;=350, "V4")</f>
        <v>V3</v>
      </c>
      <c r="J1146" t="s">
        <v>4431</v>
      </c>
      <c r="K1146" t="str">
        <f t="shared" si="391"/>
        <v>34.757187</v>
      </c>
      <c r="L1146" t="str">
        <f t="shared" si="392"/>
        <v>-82.474101</v>
      </c>
      <c r="M1146">
        <v>280</v>
      </c>
      <c r="N1146" s="1">
        <v>44630</v>
      </c>
      <c r="O1146" s="1">
        <v>46099</v>
      </c>
      <c r="P1146" s="2">
        <f t="shared" si="393"/>
        <v>4.0219028062970565</v>
      </c>
      <c r="Q1146" s="2" t="str">
        <f t="shared" si="394"/>
        <v>Mid</v>
      </c>
      <c r="R1146">
        <f t="shared" si="395"/>
        <v>2000</v>
      </c>
      <c r="S1146" t="str">
        <f t="shared" si="396"/>
        <v>Small</v>
      </c>
      <c r="T1146" t="str">
        <f t="shared" si="397"/>
        <v>Lower EV Adoption Corridor</v>
      </c>
      <c r="U1146" s="3">
        <f t="shared" si="398"/>
        <v>3600000</v>
      </c>
      <c r="V1146" s="4">
        <f t="shared" si="399"/>
        <v>880000.00000000012</v>
      </c>
      <c r="W1146" s="3">
        <f t="shared" si="400"/>
        <v>12000000</v>
      </c>
      <c r="X1146" s="3">
        <f t="shared" si="401"/>
        <v>6600000.0000000009</v>
      </c>
      <c r="Y1146">
        <f t="shared" si="402"/>
        <v>0.31515151515151513</v>
      </c>
      <c r="Z1146">
        <f t="shared" si="403"/>
        <v>0.75555555555555554</v>
      </c>
      <c r="AA1146" t="str">
        <f t="shared" si="404"/>
        <v>Tier 2 - Growth Markets</v>
      </c>
      <c r="AB1146" s="3">
        <f t="shared" si="405"/>
        <v>110000.00000000001</v>
      </c>
      <c r="AC1146" s="3">
        <f t="shared" si="406"/>
        <v>1500000</v>
      </c>
      <c r="AD1146" s="3">
        <f t="shared" si="407"/>
        <v>450000</v>
      </c>
      <c r="AE1146" s="5">
        <f t="shared" si="408"/>
        <v>4.4117647058823533</v>
      </c>
      <c r="AF1146" s="10">
        <f t="shared" si="409"/>
        <v>545600.00000000012</v>
      </c>
      <c r="AG1146" s="10">
        <f t="shared" si="410"/>
        <v>176000.00000000003</v>
      </c>
      <c r="AH1146" s="10">
        <f t="shared" si="411"/>
        <v>88000.000000000015</v>
      </c>
      <c r="AI1146" s="10">
        <f t="shared" si="412"/>
        <v>44000.000000000007</v>
      </c>
      <c r="AJ1146" s="10">
        <f t="shared" si="413"/>
        <v>26400.000000000004</v>
      </c>
    </row>
    <row r="1147" spans="1:36" x14ac:dyDescent="0.3">
      <c r="A1147" t="s">
        <v>4432</v>
      </c>
      <c r="B1147" t="s">
        <v>4433</v>
      </c>
      <c r="C1147" t="s">
        <v>4434</v>
      </c>
      <c r="D1147" t="s">
        <v>41</v>
      </c>
      <c r="E1147">
        <v>33015</v>
      </c>
      <c r="F1147" t="s">
        <v>15</v>
      </c>
      <c r="G1147">
        <v>12</v>
      </c>
      <c r="H1147">
        <v>250</v>
      </c>
      <c r="I1147" t="str" cm="1">
        <f t="array" ref="I1147">_xlfn.IFS(H1147&lt;=120,"V1",H1147&lt;=150,"V2",H1147&lt;=250,"V3", H1147&lt;=350, "V4")</f>
        <v>V3</v>
      </c>
      <c r="J1147" t="s">
        <v>4435</v>
      </c>
      <c r="K1147" t="str">
        <f t="shared" si="391"/>
        <v>25.942859</v>
      </c>
      <c r="L1147" t="str">
        <f t="shared" si="392"/>
        <v>-80.344869</v>
      </c>
      <c r="M1147">
        <v>2</v>
      </c>
      <c r="N1147" s="1">
        <v>44729</v>
      </c>
      <c r="O1147" s="1">
        <v>46099</v>
      </c>
      <c r="P1147" s="2">
        <f t="shared" si="393"/>
        <v>3.7508555783709787</v>
      </c>
      <c r="Q1147" s="2" t="str">
        <f t="shared" si="394"/>
        <v>Mid</v>
      </c>
      <c r="R1147">
        <f t="shared" si="395"/>
        <v>3000</v>
      </c>
      <c r="S1147" t="str">
        <f t="shared" si="396"/>
        <v>Small</v>
      </c>
      <c r="T1147" t="str">
        <f t="shared" si="397"/>
        <v>High EV Adoption Corridor</v>
      </c>
      <c r="U1147" s="3">
        <f t="shared" si="398"/>
        <v>7020000</v>
      </c>
      <c r="V1147" s="4">
        <f t="shared" si="399"/>
        <v>1584000</v>
      </c>
      <c r="W1147" s="3">
        <f t="shared" si="400"/>
        <v>19800000</v>
      </c>
      <c r="X1147" s="3">
        <f t="shared" si="401"/>
        <v>14850000</v>
      </c>
      <c r="Y1147">
        <f t="shared" si="402"/>
        <v>0.24</v>
      </c>
      <c r="Z1147">
        <f t="shared" si="403"/>
        <v>0.77435897435897438</v>
      </c>
      <c r="AA1147" t="str">
        <f t="shared" si="404"/>
        <v>Tier 1 - Priority Fleet</v>
      </c>
      <c r="AB1147" s="3">
        <f t="shared" si="405"/>
        <v>132000</v>
      </c>
      <c r="AC1147" s="3">
        <f t="shared" si="406"/>
        <v>1650000</v>
      </c>
      <c r="AD1147" s="3">
        <f t="shared" si="407"/>
        <v>585000</v>
      </c>
      <c r="AE1147" s="5">
        <f t="shared" si="408"/>
        <v>3.6423841059602649</v>
      </c>
      <c r="AF1147" s="10">
        <f t="shared" si="409"/>
        <v>982080</v>
      </c>
      <c r="AG1147" s="10">
        <f t="shared" si="410"/>
        <v>316800</v>
      </c>
      <c r="AH1147" s="10">
        <f t="shared" si="411"/>
        <v>158400</v>
      </c>
      <c r="AI1147" s="10">
        <f t="shared" si="412"/>
        <v>79200</v>
      </c>
      <c r="AJ1147" s="10">
        <f t="shared" si="413"/>
        <v>47520</v>
      </c>
    </row>
    <row r="1148" spans="1:36" x14ac:dyDescent="0.3">
      <c r="A1148" t="s">
        <v>4436</v>
      </c>
      <c r="B1148" t="s">
        <v>4437</v>
      </c>
      <c r="C1148" t="s">
        <v>1946</v>
      </c>
      <c r="D1148" t="s">
        <v>14</v>
      </c>
      <c r="E1148">
        <v>90241</v>
      </c>
      <c r="F1148" t="s">
        <v>15</v>
      </c>
      <c r="G1148">
        <v>12</v>
      </c>
      <c r="H1148">
        <v>72</v>
      </c>
      <c r="I1148" t="str" cm="1">
        <f t="array" ref="I1148">_xlfn.IFS(H1148&lt;=120,"V1",H1148&lt;=150,"V2",H1148&lt;=250,"V3", H1148&lt;=350, "V4")</f>
        <v>V1</v>
      </c>
      <c r="J1148" t="s">
        <v>4438</v>
      </c>
      <c r="K1148" t="str">
        <f t="shared" si="391"/>
        <v>33.934643</v>
      </c>
      <c r="L1148" t="str">
        <f t="shared" si="392"/>
        <v>-118.12117</v>
      </c>
      <c r="M1148">
        <v>35</v>
      </c>
      <c r="N1148" s="1">
        <v>43281</v>
      </c>
      <c r="O1148" s="1">
        <v>46099</v>
      </c>
      <c r="P1148" s="2">
        <f t="shared" si="393"/>
        <v>7.7152635181382614</v>
      </c>
      <c r="Q1148" s="2" t="str">
        <f t="shared" si="394"/>
        <v>Mid</v>
      </c>
      <c r="R1148">
        <f t="shared" si="395"/>
        <v>864</v>
      </c>
      <c r="S1148" t="str">
        <f t="shared" si="396"/>
        <v>Small</v>
      </c>
      <c r="T1148" t="str">
        <f t="shared" si="397"/>
        <v>High EV Adoption Corridor</v>
      </c>
      <c r="U1148" s="3">
        <f t="shared" si="398"/>
        <v>1684800</v>
      </c>
      <c r="V1148" s="4">
        <f t="shared" si="399"/>
        <v>373248</v>
      </c>
      <c r="W1148" s="3">
        <f t="shared" si="400"/>
        <v>3801600.0000000005</v>
      </c>
      <c r="X1148" s="3">
        <f t="shared" si="401"/>
        <v>3499200</v>
      </c>
      <c r="Y1148">
        <f t="shared" si="402"/>
        <v>0.21530864197530863</v>
      </c>
      <c r="Z1148">
        <f t="shared" si="403"/>
        <v>0.77846153846153843</v>
      </c>
      <c r="AA1148" t="str">
        <f t="shared" si="404"/>
        <v>Tier 3 - Upgrade Pipeline</v>
      </c>
      <c r="AB1148" s="3">
        <f t="shared" si="405"/>
        <v>31104</v>
      </c>
      <c r="AC1148" s="3">
        <f t="shared" si="406"/>
        <v>316800.00000000006</v>
      </c>
      <c r="AD1148" s="3">
        <f t="shared" si="407"/>
        <v>140400</v>
      </c>
      <c r="AE1148" s="5">
        <f t="shared" si="408"/>
        <v>2.8985507246376816</v>
      </c>
      <c r="AF1148" s="10">
        <f t="shared" si="409"/>
        <v>231413.76000000001</v>
      </c>
      <c r="AG1148" s="10">
        <f t="shared" si="410"/>
        <v>74649.600000000006</v>
      </c>
      <c r="AH1148" s="10">
        <f t="shared" si="411"/>
        <v>37324.800000000003</v>
      </c>
      <c r="AI1148" s="10">
        <f t="shared" si="412"/>
        <v>18662.400000000001</v>
      </c>
      <c r="AJ1148" s="10">
        <f t="shared" si="413"/>
        <v>11197.439999999999</v>
      </c>
    </row>
    <row r="1149" spans="1:36" x14ac:dyDescent="0.3">
      <c r="A1149" t="s">
        <v>4439</v>
      </c>
      <c r="B1149" t="s">
        <v>4440</v>
      </c>
      <c r="C1149" t="s">
        <v>4441</v>
      </c>
      <c r="D1149" t="s">
        <v>958</v>
      </c>
      <c r="E1149">
        <v>4043</v>
      </c>
      <c r="F1149" t="s">
        <v>15</v>
      </c>
      <c r="G1149">
        <v>8</v>
      </c>
      <c r="H1149">
        <v>150</v>
      </c>
      <c r="I1149" t="str" cm="1">
        <f t="array" ref="I1149">_xlfn.IFS(H1149&lt;=120,"V1",H1149&lt;=150,"V2",H1149&lt;=250,"V3", H1149&lt;=350, "V4")</f>
        <v>V2</v>
      </c>
      <c r="J1149" t="s">
        <v>4442</v>
      </c>
      <c r="K1149" t="str">
        <f t="shared" si="391"/>
        <v>43.409493</v>
      </c>
      <c r="L1149" t="str">
        <f t="shared" si="392"/>
        <v>-70.558551</v>
      </c>
      <c r="M1149">
        <v>29</v>
      </c>
      <c r="N1149" s="1">
        <v>43265</v>
      </c>
      <c r="O1149" s="1">
        <v>46099</v>
      </c>
      <c r="P1149" s="2">
        <f t="shared" si="393"/>
        <v>7.7590691307323754</v>
      </c>
      <c r="Q1149" s="2" t="str">
        <f t="shared" si="394"/>
        <v>Mid</v>
      </c>
      <c r="R1149">
        <f t="shared" si="395"/>
        <v>1200</v>
      </c>
      <c r="S1149" t="str">
        <f t="shared" si="396"/>
        <v>Small</v>
      </c>
      <c r="T1149" t="str">
        <f t="shared" si="397"/>
        <v>Lower EV Adoption Corridor</v>
      </c>
      <c r="U1149" s="3">
        <f t="shared" si="398"/>
        <v>1980000.0000000002</v>
      </c>
      <c r="V1149" s="4">
        <f t="shared" si="399"/>
        <v>480000</v>
      </c>
      <c r="W1149" s="3">
        <f t="shared" si="400"/>
        <v>6000000</v>
      </c>
      <c r="X1149" s="3">
        <f t="shared" si="401"/>
        <v>3600000</v>
      </c>
      <c r="Y1149">
        <f t="shared" si="402"/>
        <v>0.3</v>
      </c>
      <c r="Z1149">
        <f t="shared" si="403"/>
        <v>0.75757575757575757</v>
      </c>
      <c r="AA1149" t="str">
        <f t="shared" si="404"/>
        <v>Tier 4 - Stable Network</v>
      </c>
      <c r="AB1149" s="3">
        <f t="shared" si="405"/>
        <v>60000</v>
      </c>
      <c r="AC1149" s="3">
        <f t="shared" si="406"/>
        <v>750000</v>
      </c>
      <c r="AD1149" s="3">
        <f t="shared" si="407"/>
        <v>247500.00000000003</v>
      </c>
      <c r="AE1149" s="5">
        <f t="shared" si="408"/>
        <v>3.9999999999999996</v>
      </c>
      <c r="AF1149" s="10">
        <f t="shared" si="409"/>
        <v>297600</v>
      </c>
      <c r="AG1149" s="10">
        <f t="shared" si="410"/>
        <v>96000</v>
      </c>
      <c r="AH1149" s="10">
        <f t="shared" si="411"/>
        <v>48000</v>
      </c>
      <c r="AI1149" s="10">
        <f t="shared" si="412"/>
        <v>24000</v>
      </c>
      <c r="AJ1149" s="10">
        <f t="shared" si="413"/>
        <v>14400</v>
      </c>
    </row>
    <row r="1150" spans="1:36" x14ac:dyDescent="0.3">
      <c r="A1150" t="s">
        <v>4443</v>
      </c>
      <c r="B1150" t="s">
        <v>4444</v>
      </c>
      <c r="C1150" t="s">
        <v>4441</v>
      </c>
      <c r="D1150" t="s">
        <v>958</v>
      </c>
      <c r="E1150">
        <v>4043</v>
      </c>
      <c r="F1150" t="s">
        <v>15</v>
      </c>
      <c r="G1150">
        <v>8</v>
      </c>
      <c r="H1150">
        <v>150</v>
      </c>
      <c r="I1150" t="str" cm="1">
        <f t="array" ref="I1150">_xlfn.IFS(H1150&lt;=120,"V1",H1150&lt;=150,"V2",H1150&lt;=250,"V3", H1150&lt;=350, "V4")</f>
        <v>V2</v>
      </c>
      <c r="J1150" t="s">
        <v>4445</v>
      </c>
      <c r="K1150" t="str">
        <f t="shared" si="391"/>
        <v>43.410693</v>
      </c>
      <c r="L1150" t="str">
        <f t="shared" si="392"/>
        <v>-70.560923</v>
      </c>
      <c r="M1150">
        <v>33</v>
      </c>
      <c r="N1150" s="1">
        <v>43280</v>
      </c>
      <c r="O1150" s="1">
        <v>46099</v>
      </c>
      <c r="P1150" s="2">
        <f t="shared" si="393"/>
        <v>7.7180013689253935</v>
      </c>
      <c r="Q1150" s="2" t="str">
        <f t="shared" si="394"/>
        <v>Mid</v>
      </c>
      <c r="R1150">
        <f t="shared" si="395"/>
        <v>1200</v>
      </c>
      <c r="S1150" t="str">
        <f t="shared" si="396"/>
        <v>Small</v>
      </c>
      <c r="T1150" t="str">
        <f t="shared" si="397"/>
        <v>Lower EV Adoption Corridor</v>
      </c>
      <c r="U1150" s="3">
        <f t="shared" si="398"/>
        <v>1980000.0000000002</v>
      </c>
      <c r="V1150" s="4">
        <f t="shared" si="399"/>
        <v>480000</v>
      </c>
      <c r="W1150" s="3">
        <f t="shared" si="400"/>
        <v>6000000</v>
      </c>
      <c r="X1150" s="3">
        <f t="shared" si="401"/>
        <v>3600000</v>
      </c>
      <c r="Y1150">
        <f t="shared" si="402"/>
        <v>0.3</v>
      </c>
      <c r="Z1150">
        <f t="shared" si="403"/>
        <v>0.75757575757575757</v>
      </c>
      <c r="AA1150" t="str">
        <f t="shared" si="404"/>
        <v>Tier 4 - Stable Network</v>
      </c>
      <c r="AB1150" s="3">
        <f t="shared" si="405"/>
        <v>60000</v>
      </c>
      <c r="AC1150" s="3">
        <f t="shared" si="406"/>
        <v>750000</v>
      </c>
      <c r="AD1150" s="3">
        <f t="shared" si="407"/>
        <v>247500.00000000003</v>
      </c>
      <c r="AE1150" s="5">
        <f t="shared" si="408"/>
        <v>3.9999999999999996</v>
      </c>
      <c r="AF1150" s="10">
        <f t="shared" si="409"/>
        <v>297600</v>
      </c>
      <c r="AG1150" s="10">
        <f t="shared" si="410"/>
        <v>96000</v>
      </c>
      <c r="AH1150" s="10">
        <f t="shared" si="411"/>
        <v>48000</v>
      </c>
      <c r="AI1150" s="10">
        <f t="shared" si="412"/>
        <v>24000</v>
      </c>
      <c r="AJ1150" s="10">
        <f t="shared" si="413"/>
        <v>14400</v>
      </c>
    </row>
    <row r="1151" spans="1:36" x14ac:dyDescent="0.3">
      <c r="A1151" t="s">
        <v>4446</v>
      </c>
      <c r="B1151" t="s">
        <v>4447</v>
      </c>
      <c r="C1151" t="s">
        <v>4448</v>
      </c>
      <c r="D1151" t="s">
        <v>14</v>
      </c>
      <c r="E1151">
        <v>94303</v>
      </c>
      <c r="F1151" t="s">
        <v>15</v>
      </c>
      <c r="G1151">
        <v>20</v>
      </c>
      <c r="H1151">
        <v>72</v>
      </c>
      <c r="I1151" t="str" cm="1">
        <f t="array" ref="I1151">_xlfn.IFS(H1151&lt;=120,"V1",H1151&lt;=150,"V2",H1151&lt;=250,"V3", H1151&lt;=350, "V4")</f>
        <v>V1</v>
      </c>
      <c r="J1151" t="s">
        <v>4449</v>
      </c>
      <c r="K1151" t="str">
        <f t="shared" si="391"/>
        <v>37.459659</v>
      </c>
      <c r="L1151" t="str">
        <f t="shared" si="392"/>
        <v>-122.137651</v>
      </c>
      <c r="M1151">
        <v>6</v>
      </c>
      <c r="N1151" s="1">
        <v>43283</v>
      </c>
      <c r="O1151" s="1">
        <v>46099</v>
      </c>
      <c r="P1151" s="2">
        <f t="shared" si="393"/>
        <v>7.7097878165639973</v>
      </c>
      <c r="Q1151" s="2" t="str">
        <f t="shared" si="394"/>
        <v>Mid</v>
      </c>
      <c r="R1151">
        <f t="shared" si="395"/>
        <v>1440</v>
      </c>
      <c r="S1151" t="str">
        <f t="shared" si="396"/>
        <v>Small</v>
      </c>
      <c r="T1151" t="str">
        <f t="shared" si="397"/>
        <v>High EV Adoption Corridor</v>
      </c>
      <c r="U1151" s="3">
        <f t="shared" si="398"/>
        <v>2808000</v>
      </c>
      <c r="V1151" s="4">
        <f t="shared" si="399"/>
        <v>622080</v>
      </c>
      <c r="W1151" s="3">
        <f t="shared" si="400"/>
        <v>6336000.0000000009</v>
      </c>
      <c r="X1151" s="3">
        <f t="shared" si="401"/>
        <v>5832000</v>
      </c>
      <c r="Y1151">
        <f t="shared" si="402"/>
        <v>0.21530864197530863</v>
      </c>
      <c r="Z1151">
        <f t="shared" si="403"/>
        <v>0.77846153846153843</v>
      </c>
      <c r="AA1151" t="str">
        <f t="shared" si="404"/>
        <v>Tier 3 - Upgrade Pipeline</v>
      </c>
      <c r="AB1151" s="3">
        <f t="shared" si="405"/>
        <v>31104</v>
      </c>
      <c r="AC1151" s="3">
        <f t="shared" si="406"/>
        <v>316800.00000000006</v>
      </c>
      <c r="AD1151" s="3">
        <f t="shared" si="407"/>
        <v>140400</v>
      </c>
      <c r="AE1151" s="5">
        <f t="shared" si="408"/>
        <v>2.8985507246376816</v>
      </c>
      <c r="AF1151" s="10">
        <f t="shared" si="409"/>
        <v>385689.59999999998</v>
      </c>
      <c r="AG1151" s="10">
        <f t="shared" si="410"/>
        <v>124416</v>
      </c>
      <c r="AH1151" s="10">
        <f t="shared" si="411"/>
        <v>62208</v>
      </c>
      <c r="AI1151" s="10">
        <f t="shared" si="412"/>
        <v>31104</v>
      </c>
      <c r="AJ1151" s="10">
        <f t="shared" si="413"/>
        <v>18662.399999999998</v>
      </c>
    </row>
    <row r="1152" spans="1:36" x14ac:dyDescent="0.3">
      <c r="A1152" t="s">
        <v>4450</v>
      </c>
      <c r="B1152" t="s">
        <v>4451</v>
      </c>
      <c r="C1152" t="s">
        <v>4452</v>
      </c>
      <c r="D1152" t="s">
        <v>484</v>
      </c>
      <c r="E1152">
        <v>36203</v>
      </c>
      <c r="F1152" t="s">
        <v>15</v>
      </c>
      <c r="G1152">
        <v>12</v>
      </c>
      <c r="H1152">
        <v>150</v>
      </c>
      <c r="I1152" t="str" cm="1">
        <f t="array" ref="I1152">_xlfn.IFS(H1152&lt;=120,"V1",H1152&lt;=150,"V2",H1152&lt;=250,"V3", H1152&lt;=350, "V4")</f>
        <v>V2</v>
      </c>
      <c r="J1152" t="s">
        <v>4453</v>
      </c>
      <c r="K1152" t="str">
        <f t="shared" si="391"/>
        <v>33.610651</v>
      </c>
      <c r="L1152" t="str">
        <f t="shared" si="392"/>
        <v>-85.782355</v>
      </c>
      <c r="M1152">
        <v>190</v>
      </c>
      <c r="N1152" s="1">
        <v>43023</v>
      </c>
      <c r="O1152" s="1">
        <v>46099</v>
      </c>
      <c r="P1152" s="2">
        <f t="shared" si="393"/>
        <v>8.4216290212183438</v>
      </c>
      <c r="Q1152" s="2" t="str">
        <f t="shared" si="394"/>
        <v>Old</v>
      </c>
      <c r="R1152">
        <f t="shared" si="395"/>
        <v>1800</v>
      </c>
      <c r="S1152" t="str">
        <f t="shared" si="396"/>
        <v>Small</v>
      </c>
      <c r="T1152" t="str">
        <f t="shared" si="397"/>
        <v>Lower EV Adoption Corridor</v>
      </c>
      <c r="U1152" s="3">
        <f t="shared" si="398"/>
        <v>2970000.0000000005</v>
      </c>
      <c r="V1152" s="4">
        <f t="shared" si="399"/>
        <v>720000</v>
      </c>
      <c r="W1152" s="3">
        <f t="shared" si="400"/>
        <v>9000000</v>
      </c>
      <c r="X1152" s="3">
        <f t="shared" si="401"/>
        <v>5400000</v>
      </c>
      <c r="Y1152">
        <f t="shared" si="402"/>
        <v>0.3</v>
      </c>
      <c r="Z1152">
        <f t="shared" si="403"/>
        <v>0.75757575757575757</v>
      </c>
      <c r="AA1152" t="str">
        <f t="shared" si="404"/>
        <v>Tier 4 - Stable Network</v>
      </c>
      <c r="AB1152" s="3">
        <f t="shared" si="405"/>
        <v>60000</v>
      </c>
      <c r="AC1152" s="3">
        <f t="shared" si="406"/>
        <v>750000</v>
      </c>
      <c r="AD1152" s="3">
        <f t="shared" si="407"/>
        <v>247500.00000000003</v>
      </c>
      <c r="AE1152" s="5">
        <f t="shared" si="408"/>
        <v>3.9999999999999991</v>
      </c>
      <c r="AF1152" s="10">
        <f t="shared" si="409"/>
        <v>446400</v>
      </c>
      <c r="AG1152" s="10">
        <f t="shared" si="410"/>
        <v>144000</v>
      </c>
      <c r="AH1152" s="10">
        <f t="shared" si="411"/>
        <v>72000</v>
      </c>
      <c r="AI1152" s="10">
        <f t="shared" si="412"/>
        <v>36000</v>
      </c>
      <c r="AJ1152" s="10">
        <f t="shared" si="413"/>
        <v>21600</v>
      </c>
    </row>
    <row r="1153" spans="1:36" x14ac:dyDescent="0.3">
      <c r="A1153" t="s">
        <v>4454</v>
      </c>
      <c r="B1153" t="s">
        <v>4455</v>
      </c>
      <c r="C1153" t="s">
        <v>4456</v>
      </c>
      <c r="D1153" t="s">
        <v>158</v>
      </c>
      <c r="E1153">
        <v>11749</v>
      </c>
      <c r="F1153" t="s">
        <v>15</v>
      </c>
      <c r="G1153">
        <v>10</v>
      </c>
      <c r="H1153">
        <v>150</v>
      </c>
      <c r="I1153" t="str" cm="1">
        <f t="array" ref="I1153">_xlfn.IFS(H1153&lt;=120,"V1",H1153&lt;=150,"V2",H1153&lt;=250,"V3", H1153&lt;=350, "V4")</f>
        <v>V2</v>
      </c>
      <c r="J1153" t="s">
        <v>4457</v>
      </c>
      <c r="K1153" t="str">
        <f t="shared" si="391"/>
        <v>40.805079</v>
      </c>
      <c r="L1153" t="str">
        <f t="shared" si="392"/>
        <v>-73.180528</v>
      </c>
      <c r="M1153">
        <v>22</v>
      </c>
      <c r="N1153" s="1">
        <v>43323</v>
      </c>
      <c r="O1153" s="1">
        <v>46099</v>
      </c>
      <c r="P1153" s="2">
        <f t="shared" si="393"/>
        <v>7.6002737850787137</v>
      </c>
      <c r="Q1153" s="2" t="str">
        <f t="shared" si="394"/>
        <v>Mid</v>
      </c>
      <c r="R1153">
        <f t="shared" si="395"/>
        <v>1500</v>
      </c>
      <c r="S1153" t="str">
        <f t="shared" si="396"/>
        <v>Small</v>
      </c>
      <c r="T1153" t="str">
        <f t="shared" si="397"/>
        <v>Lower EV Adoption Corridor</v>
      </c>
      <c r="U1153" s="3">
        <f t="shared" si="398"/>
        <v>2475000</v>
      </c>
      <c r="V1153" s="4">
        <f t="shared" si="399"/>
        <v>600000</v>
      </c>
      <c r="W1153" s="3">
        <f t="shared" si="400"/>
        <v>7500000</v>
      </c>
      <c r="X1153" s="3">
        <f t="shared" si="401"/>
        <v>4500000</v>
      </c>
      <c r="Y1153">
        <f t="shared" si="402"/>
        <v>0.3</v>
      </c>
      <c r="Z1153">
        <f t="shared" si="403"/>
        <v>0.75757575757575757</v>
      </c>
      <c r="AA1153" t="str">
        <f t="shared" si="404"/>
        <v>Tier 4 - Stable Network</v>
      </c>
      <c r="AB1153" s="3">
        <f t="shared" si="405"/>
        <v>60000</v>
      </c>
      <c r="AC1153" s="3">
        <f t="shared" si="406"/>
        <v>750000</v>
      </c>
      <c r="AD1153" s="3">
        <f t="shared" si="407"/>
        <v>247500</v>
      </c>
      <c r="AE1153" s="5">
        <f t="shared" si="408"/>
        <v>4</v>
      </c>
      <c r="AF1153" s="10">
        <f t="shared" si="409"/>
        <v>372000</v>
      </c>
      <c r="AG1153" s="10">
        <f t="shared" si="410"/>
        <v>120000</v>
      </c>
      <c r="AH1153" s="10">
        <f t="shared" si="411"/>
        <v>60000</v>
      </c>
      <c r="AI1153" s="10">
        <f t="shared" si="412"/>
        <v>30000</v>
      </c>
      <c r="AJ1153" s="10">
        <f t="shared" si="413"/>
        <v>18000</v>
      </c>
    </row>
    <row r="1154" spans="1:36" x14ac:dyDescent="0.3">
      <c r="A1154" t="s">
        <v>4458</v>
      </c>
      <c r="B1154" t="s">
        <v>4459</v>
      </c>
      <c r="C1154" t="s">
        <v>4460</v>
      </c>
      <c r="D1154" t="s">
        <v>852</v>
      </c>
      <c r="E1154">
        <v>8902</v>
      </c>
      <c r="F1154" t="s">
        <v>15</v>
      </c>
      <c r="G1154">
        <v>10</v>
      </c>
      <c r="H1154">
        <v>150</v>
      </c>
      <c r="I1154" t="str" cm="1">
        <f t="array" ref="I1154">_xlfn.IFS(H1154&lt;=120,"V1",H1154&lt;=150,"V2",H1154&lt;=250,"V3", H1154&lt;=350, "V4")</f>
        <v>V2</v>
      </c>
      <c r="J1154" t="s">
        <v>4461</v>
      </c>
      <c r="K1154" t="str">
        <f t="shared" si="391"/>
        <v>40.439373</v>
      </c>
      <c r="L1154" t="str">
        <f t="shared" si="392"/>
        <v>-74.504769</v>
      </c>
      <c r="M1154">
        <v>35</v>
      </c>
      <c r="N1154" s="1">
        <v>43300</v>
      </c>
      <c r="O1154" s="1">
        <v>46099</v>
      </c>
      <c r="P1154" s="2">
        <f t="shared" si="393"/>
        <v>7.6632443531827512</v>
      </c>
      <c r="Q1154" s="2" t="str">
        <f t="shared" si="394"/>
        <v>Mid</v>
      </c>
      <c r="R1154">
        <f t="shared" si="395"/>
        <v>1500</v>
      </c>
      <c r="S1154" t="str">
        <f t="shared" si="396"/>
        <v>Small</v>
      </c>
      <c r="T1154" t="str">
        <f t="shared" si="397"/>
        <v>High EV Adoption Corridor</v>
      </c>
      <c r="U1154" s="3">
        <f t="shared" si="398"/>
        <v>3217500</v>
      </c>
      <c r="V1154" s="4">
        <f t="shared" si="399"/>
        <v>720000</v>
      </c>
      <c r="W1154" s="3">
        <f t="shared" si="400"/>
        <v>8250000.0000000009</v>
      </c>
      <c r="X1154" s="3">
        <f t="shared" si="401"/>
        <v>6750000</v>
      </c>
      <c r="Y1154">
        <f t="shared" si="402"/>
        <v>0.22888888888888889</v>
      </c>
      <c r="Z1154">
        <f t="shared" si="403"/>
        <v>0.77622377622377625</v>
      </c>
      <c r="AA1154" t="str">
        <f t="shared" si="404"/>
        <v>Tier 3 - Upgrade Pipeline</v>
      </c>
      <c r="AB1154" s="3">
        <f t="shared" si="405"/>
        <v>72000</v>
      </c>
      <c r="AC1154" s="3">
        <f t="shared" si="406"/>
        <v>825000.00000000012</v>
      </c>
      <c r="AD1154" s="3">
        <f t="shared" si="407"/>
        <v>321750</v>
      </c>
      <c r="AE1154" s="5">
        <f t="shared" si="408"/>
        <v>3.3033033033033035</v>
      </c>
      <c r="AF1154" s="10">
        <f t="shared" si="409"/>
        <v>446400</v>
      </c>
      <c r="AG1154" s="10">
        <f t="shared" si="410"/>
        <v>144000</v>
      </c>
      <c r="AH1154" s="10">
        <f t="shared" si="411"/>
        <v>72000</v>
      </c>
      <c r="AI1154" s="10">
        <f t="shared" si="412"/>
        <v>36000</v>
      </c>
      <c r="AJ1154" s="10">
        <f t="shared" si="413"/>
        <v>21600</v>
      </c>
    </row>
    <row r="1155" spans="1:36" x14ac:dyDescent="0.3">
      <c r="A1155" t="s">
        <v>4462</v>
      </c>
      <c r="B1155" t="s">
        <v>4463</v>
      </c>
      <c r="C1155" t="s">
        <v>4464</v>
      </c>
      <c r="D1155" t="s">
        <v>153</v>
      </c>
      <c r="E1155">
        <v>19406</v>
      </c>
      <c r="F1155" t="s">
        <v>15</v>
      </c>
      <c r="G1155">
        <v>16</v>
      </c>
      <c r="H1155">
        <v>250</v>
      </c>
      <c r="I1155" t="str" cm="1">
        <f t="array" ref="I1155">_xlfn.IFS(H1155&lt;=120,"V1",H1155&lt;=150,"V2",H1155&lt;=250,"V3", H1155&lt;=350, "V4")</f>
        <v>V3</v>
      </c>
      <c r="J1155" t="s">
        <v>4465</v>
      </c>
      <c r="K1155" t="str">
        <f t="shared" ref="K1155:K1218" si="414">TRIM(LEFT(J1155, FIND(",", J1155) - 1))</f>
        <v>40.092333</v>
      </c>
      <c r="L1155" t="str">
        <f t="shared" ref="L1155:L1218" si="415">TRIM(MID(J1155, FIND(",", J1155) + 1, LEN(J1155)))</f>
        <v>-75.359222</v>
      </c>
      <c r="M1155">
        <v>48</v>
      </c>
      <c r="N1155" s="1">
        <v>44337</v>
      </c>
      <c r="O1155" s="1">
        <v>46099</v>
      </c>
      <c r="P1155" s="2">
        <f t="shared" ref="P1155:P1218" si="416">(O1155-N1155)/365.25</f>
        <v>4.8240930869267622</v>
      </c>
      <c r="Q1155" s="2" t="str">
        <f t="shared" ref="Q1155:Q1218" si="417">IF(P1155&lt;3,"New",IF(P1155&lt;=8,"Mid","Old"))</f>
        <v>Mid</v>
      </c>
      <c r="R1155">
        <f t="shared" ref="R1155:R1218" si="418">G1155*H1155</f>
        <v>4000</v>
      </c>
      <c r="S1155" t="str">
        <f t="shared" ref="S1155:S1218" si="419">IF(G1155&lt;=30,"Small",IF(G1155&lt;=60,"Medium","Large"))</f>
        <v>Small</v>
      </c>
      <c r="T1155" t="str">
        <f t="shared" ref="T1155:T1218" si="420">IF(OR(D1155="CA",D1155="FL",D1155="WA",D1155="CO",D1155="TX",D1155="NJ"),"High EV Adoption Corridor","Lower EV Adoption Corridor")</f>
        <v>Lower EV Adoption Corridor</v>
      </c>
      <c r="U1155" s="3">
        <f t="shared" ref="U1155:U1218" si="421" xml:space="preserve"> R1155 * 1500 *
  IF(I1155="V1",1,
     IF(I1155="V2",1.1,1.2)) *
  IF(T1155="High EV Adoption Corridor",1.3,1)</f>
        <v>7200000</v>
      </c>
      <c r="V1155" s="4">
        <f t="shared" ref="V1155:V1218" si="422" xml:space="preserve"> R1155 * 400 *
  IF(I1155="V1",0.9,
     IF(I1155="V2",1,1.1)) *
  IF(T1155="High EV Adoption Corridor",1.2,1)</f>
        <v>1760000.0000000002</v>
      </c>
      <c r="W1155" s="3">
        <f t="shared" ref="W1155:W1218" si="423" xml:space="preserve"> R1155 * 5000 *
  IF(I1155="V1",0.8,
     IF(I1155="V2",1,1.2)) *
  IF(T1155="High EV Adoption Corridor",1.1,1)</f>
        <v>24000000</v>
      </c>
      <c r="X1155" s="3">
        <f t="shared" ref="X1155:X1218" si="424" xml:space="preserve"> R1155 * 3000 *
  IF(I1155="V1",0.9,
     IF(I1155="V2",1,1.1)) *
  IF(T1155="High EV Adoption Corridor",1.5,1)</f>
        <v>13200000.000000002</v>
      </c>
      <c r="Y1155">
        <f t="shared" ref="Y1155:Y1218" si="425" xml:space="preserve"> ((W1155/10) + V1155) / X1155</f>
        <v>0.31515151515151513</v>
      </c>
      <c r="Z1155">
        <f t="shared" ref="Z1155:Z1218" si="426">(U1155-V1155)/U1155</f>
        <v>0.75555555555555554</v>
      </c>
      <c r="AA1155" t="str">
        <f t="shared" ref="AA1155:AA1218" si="427">IF(AND(I1155="V3",T1155="High EV Adoption Corridor"),
"Tier 1 - Priority Fleet",
IF(AND(I1155="V3",T1155="Lower EV Adoption Corridor"),
"Tier 2 - Growth Markets",
IF(AND(OR(I1155="V1",I1155="V2"),T1155="High EV Adoption Corridor"),
"Tier 3 - Upgrade Pipeline",
IF(AND(I1155="V2",T1155="Lower EV Adoption Corridor"),
"Tier 4 - Stable Network",
"Tier 5 - Retirement Pipeline"))))</f>
        <v>Tier 2 - Growth Markets</v>
      </c>
      <c r="AB1155" s="3">
        <f t="shared" ref="AB1155:AB1218" si="428">V1155/G1155</f>
        <v>110000.00000000001</v>
      </c>
      <c r="AC1155" s="3">
        <f t="shared" ref="AC1155:AC1218" si="429">W1155/G1155</f>
        <v>1500000</v>
      </c>
      <c r="AD1155" s="3">
        <f t="shared" ref="AD1155:AD1218" si="430">U1155/G1155</f>
        <v>450000</v>
      </c>
      <c r="AE1155" s="5">
        <f t="shared" ref="AE1155:AE1218" si="431">W1155/(U1155-V1155)</f>
        <v>4.4117647058823533</v>
      </c>
      <c r="AF1155" s="10">
        <f t="shared" ref="AF1155:AF1218" si="432">V1155*0.62</f>
        <v>1091200.0000000002</v>
      </c>
      <c r="AG1155" s="10">
        <f t="shared" ref="AG1155:AG1218" si="433">V1155*0.2</f>
        <v>352000.00000000006</v>
      </c>
      <c r="AH1155" s="10">
        <f t="shared" ref="AH1155:AH1218" si="434">V1155*0.1</f>
        <v>176000.00000000003</v>
      </c>
      <c r="AI1155" s="10">
        <f t="shared" ref="AI1155:AI1218" si="435">V1155*0.05</f>
        <v>88000.000000000015</v>
      </c>
      <c r="AJ1155" s="10">
        <f t="shared" ref="AJ1155:AJ1218" si="436">V1155*0.03</f>
        <v>52800.000000000007</v>
      </c>
    </row>
    <row r="1156" spans="1:36" x14ac:dyDescent="0.3">
      <c r="A1156" t="s">
        <v>4466</v>
      </c>
      <c r="B1156" t="s">
        <v>4467</v>
      </c>
      <c r="C1156" t="s">
        <v>4468</v>
      </c>
      <c r="D1156" t="s">
        <v>230</v>
      </c>
      <c r="E1156">
        <v>98003</v>
      </c>
      <c r="F1156" t="s">
        <v>15</v>
      </c>
      <c r="G1156">
        <v>12</v>
      </c>
      <c r="H1156">
        <v>250</v>
      </c>
      <c r="I1156" t="str" cm="1">
        <f t="array" ref="I1156">_xlfn.IFS(H1156&lt;=120,"V1",H1156&lt;=150,"V2",H1156&lt;=250,"V3", H1156&lt;=350, "V4")</f>
        <v>V3</v>
      </c>
      <c r="J1156" t="s">
        <v>4469</v>
      </c>
      <c r="K1156" t="str">
        <f t="shared" si="414"/>
        <v>47.314917</v>
      </c>
      <c r="L1156" t="str">
        <f t="shared" si="415"/>
        <v>-122.315972</v>
      </c>
      <c r="M1156">
        <v>134</v>
      </c>
      <c r="N1156" s="1">
        <v>44278</v>
      </c>
      <c r="O1156" s="1">
        <v>46099</v>
      </c>
      <c r="P1156" s="2">
        <f t="shared" si="416"/>
        <v>4.9856262833675569</v>
      </c>
      <c r="Q1156" s="2" t="str">
        <f t="shared" si="417"/>
        <v>Mid</v>
      </c>
      <c r="R1156">
        <f t="shared" si="418"/>
        <v>3000</v>
      </c>
      <c r="S1156" t="str">
        <f t="shared" si="419"/>
        <v>Small</v>
      </c>
      <c r="T1156" t="str">
        <f t="shared" si="420"/>
        <v>High EV Adoption Corridor</v>
      </c>
      <c r="U1156" s="3">
        <f t="shared" si="421"/>
        <v>7020000</v>
      </c>
      <c r="V1156" s="4">
        <f t="shared" si="422"/>
        <v>1584000</v>
      </c>
      <c r="W1156" s="3">
        <f t="shared" si="423"/>
        <v>19800000</v>
      </c>
      <c r="X1156" s="3">
        <f t="shared" si="424"/>
        <v>14850000</v>
      </c>
      <c r="Y1156">
        <f t="shared" si="425"/>
        <v>0.24</v>
      </c>
      <c r="Z1156">
        <f t="shared" si="426"/>
        <v>0.77435897435897438</v>
      </c>
      <c r="AA1156" t="str">
        <f t="shared" si="427"/>
        <v>Tier 1 - Priority Fleet</v>
      </c>
      <c r="AB1156" s="3">
        <f t="shared" si="428"/>
        <v>132000</v>
      </c>
      <c r="AC1156" s="3">
        <f t="shared" si="429"/>
        <v>1650000</v>
      </c>
      <c r="AD1156" s="3">
        <f t="shared" si="430"/>
        <v>585000</v>
      </c>
      <c r="AE1156" s="5">
        <f t="shared" si="431"/>
        <v>3.6423841059602649</v>
      </c>
      <c r="AF1156" s="10">
        <f t="shared" si="432"/>
        <v>982080</v>
      </c>
      <c r="AG1156" s="10">
        <f t="shared" si="433"/>
        <v>316800</v>
      </c>
      <c r="AH1156" s="10">
        <f t="shared" si="434"/>
        <v>158400</v>
      </c>
      <c r="AI1156" s="10">
        <f t="shared" si="435"/>
        <v>79200</v>
      </c>
      <c r="AJ1156" s="10">
        <f t="shared" si="436"/>
        <v>47520</v>
      </c>
    </row>
    <row r="1157" spans="1:36" x14ac:dyDescent="0.3">
      <c r="A1157" t="s">
        <v>4470</v>
      </c>
      <c r="B1157" t="s">
        <v>4471</v>
      </c>
      <c r="C1157" t="s">
        <v>2747</v>
      </c>
      <c r="D1157" t="s">
        <v>14</v>
      </c>
      <c r="E1157">
        <v>94513</v>
      </c>
      <c r="F1157" t="s">
        <v>15</v>
      </c>
      <c r="G1157">
        <v>16</v>
      </c>
      <c r="H1157">
        <v>250</v>
      </c>
      <c r="I1157" t="str" cm="1">
        <f t="array" ref="I1157">_xlfn.IFS(H1157&lt;=120,"V1",H1157&lt;=150,"V2",H1157&lt;=250,"V3", H1157&lt;=350, "V4")</f>
        <v>V3</v>
      </c>
      <c r="J1157" t="s">
        <v>4472</v>
      </c>
      <c r="K1157" t="str">
        <f t="shared" si="414"/>
        <v>37.9466789</v>
      </c>
      <c r="L1157" t="str">
        <f t="shared" si="415"/>
        <v>-121.7409128</v>
      </c>
      <c r="M1157">
        <v>41</v>
      </c>
      <c r="N1157" s="1">
        <v>44286</v>
      </c>
      <c r="O1157" s="1">
        <v>46099</v>
      </c>
      <c r="P1157" s="2">
        <f t="shared" si="416"/>
        <v>4.9637234770704994</v>
      </c>
      <c r="Q1157" s="2" t="str">
        <f t="shared" si="417"/>
        <v>Mid</v>
      </c>
      <c r="R1157">
        <f t="shared" si="418"/>
        <v>4000</v>
      </c>
      <c r="S1157" t="str">
        <f t="shared" si="419"/>
        <v>Small</v>
      </c>
      <c r="T1157" t="str">
        <f t="shared" si="420"/>
        <v>High EV Adoption Corridor</v>
      </c>
      <c r="U1157" s="3">
        <f t="shared" si="421"/>
        <v>9360000</v>
      </c>
      <c r="V1157" s="4">
        <f t="shared" si="422"/>
        <v>2112000</v>
      </c>
      <c r="W1157" s="3">
        <f t="shared" si="423"/>
        <v>26400000.000000004</v>
      </c>
      <c r="X1157" s="3">
        <f t="shared" si="424"/>
        <v>19800000.000000004</v>
      </c>
      <c r="Y1157">
        <f t="shared" si="425"/>
        <v>0.23999999999999996</v>
      </c>
      <c r="Z1157">
        <f t="shared" si="426"/>
        <v>0.77435897435897438</v>
      </c>
      <c r="AA1157" t="str">
        <f t="shared" si="427"/>
        <v>Tier 1 - Priority Fleet</v>
      </c>
      <c r="AB1157" s="3">
        <f t="shared" si="428"/>
        <v>132000</v>
      </c>
      <c r="AC1157" s="3">
        <f t="shared" si="429"/>
        <v>1650000.0000000002</v>
      </c>
      <c r="AD1157" s="3">
        <f t="shared" si="430"/>
        <v>585000</v>
      </c>
      <c r="AE1157" s="5">
        <f t="shared" si="431"/>
        <v>3.6423841059602653</v>
      </c>
      <c r="AF1157" s="10">
        <f t="shared" si="432"/>
        <v>1309440</v>
      </c>
      <c r="AG1157" s="10">
        <f t="shared" si="433"/>
        <v>422400</v>
      </c>
      <c r="AH1157" s="10">
        <f t="shared" si="434"/>
        <v>211200</v>
      </c>
      <c r="AI1157" s="10">
        <f t="shared" si="435"/>
        <v>105600</v>
      </c>
      <c r="AJ1157" s="10">
        <f t="shared" si="436"/>
        <v>63360</v>
      </c>
    </row>
    <row r="1158" spans="1:36" x14ac:dyDescent="0.3">
      <c r="A1158" t="s">
        <v>4473</v>
      </c>
      <c r="B1158" t="s">
        <v>4474</v>
      </c>
      <c r="C1158" t="s">
        <v>4426</v>
      </c>
      <c r="D1158" t="s">
        <v>41</v>
      </c>
      <c r="E1158">
        <v>33966</v>
      </c>
      <c r="F1158" t="s">
        <v>15</v>
      </c>
      <c r="G1158">
        <v>14</v>
      </c>
      <c r="H1158">
        <v>150</v>
      </c>
      <c r="I1158" t="str" cm="1">
        <f t="array" ref="I1158">_xlfn.IFS(H1158&lt;=120,"V1",H1158&lt;=150,"V2",H1158&lt;=250,"V3", H1158&lt;=350, "V4")</f>
        <v>V2</v>
      </c>
      <c r="J1158" t="s">
        <v>4475</v>
      </c>
      <c r="K1158" t="str">
        <f t="shared" si="414"/>
        <v>26.608585</v>
      </c>
      <c r="L1158" t="str">
        <f t="shared" si="415"/>
        <v>-81.809444</v>
      </c>
      <c r="M1158">
        <v>7</v>
      </c>
      <c r="N1158" s="1">
        <v>43283</v>
      </c>
      <c r="O1158" s="1">
        <v>46099</v>
      </c>
      <c r="P1158" s="2">
        <f t="shared" si="416"/>
        <v>7.7097878165639973</v>
      </c>
      <c r="Q1158" s="2" t="str">
        <f t="shared" si="417"/>
        <v>Mid</v>
      </c>
      <c r="R1158">
        <f t="shared" si="418"/>
        <v>2100</v>
      </c>
      <c r="S1158" t="str">
        <f t="shared" si="419"/>
        <v>Small</v>
      </c>
      <c r="T1158" t="str">
        <f t="shared" si="420"/>
        <v>High EV Adoption Corridor</v>
      </c>
      <c r="U1158" s="3">
        <f t="shared" si="421"/>
        <v>4504500.0000000009</v>
      </c>
      <c r="V1158" s="4">
        <f t="shared" si="422"/>
        <v>1008000</v>
      </c>
      <c r="W1158" s="3">
        <f t="shared" si="423"/>
        <v>11550000.000000002</v>
      </c>
      <c r="X1158" s="3">
        <f t="shared" si="424"/>
        <v>9450000</v>
      </c>
      <c r="Y1158">
        <f t="shared" si="425"/>
        <v>0.22888888888888889</v>
      </c>
      <c r="Z1158">
        <f t="shared" si="426"/>
        <v>0.77622377622377625</v>
      </c>
      <c r="AA1158" t="str">
        <f t="shared" si="427"/>
        <v>Tier 3 - Upgrade Pipeline</v>
      </c>
      <c r="AB1158" s="3">
        <f t="shared" si="428"/>
        <v>72000</v>
      </c>
      <c r="AC1158" s="3">
        <f t="shared" si="429"/>
        <v>825000.00000000012</v>
      </c>
      <c r="AD1158" s="3">
        <f t="shared" si="430"/>
        <v>321750.00000000006</v>
      </c>
      <c r="AE1158" s="5">
        <f t="shared" si="431"/>
        <v>3.303303303303303</v>
      </c>
      <c r="AF1158" s="10">
        <f t="shared" si="432"/>
        <v>624960</v>
      </c>
      <c r="AG1158" s="10">
        <f t="shared" si="433"/>
        <v>201600</v>
      </c>
      <c r="AH1158" s="10">
        <f t="shared" si="434"/>
        <v>100800</v>
      </c>
      <c r="AI1158" s="10">
        <f t="shared" si="435"/>
        <v>50400</v>
      </c>
      <c r="AJ1158" s="10">
        <f t="shared" si="436"/>
        <v>30240</v>
      </c>
    </row>
    <row r="1159" spans="1:36" x14ac:dyDescent="0.3">
      <c r="A1159" t="s">
        <v>4476</v>
      </c>
      <c r="B1159" t="s">
        <v>4477</v>
      </c>
      <c r="C1159" t="s">
        <v>4478</v>
      </c>
      <c r="D1159" t="s">
        <v>230</v>
      </c>
      <c r="E1159">
        <v>98004</v>
      </c>
      <c r="F1159" t="s">
        <v>15</v>
      </c>
      <c r="G1159">
        <v>8</v>
      </c>
      <c r="H1159">
        <v>72</v>
      </c>
      <c r="I1159" t="str" cm="1">
        <f t="array" ref="I1159">_xlfn.IFS(H1159&lt;=120,"V1",H1159&lt;=150,"V2",H1159&lt;=250,"V3", H1159&lt;=350, "V4")</f>
        <v>V1</v>
      </c>
      <c r="J1159" t="s">
        <v>4479</v>
      </c>
      <c r="K1159" t="str">
        <f t="shared" si="414"/>
        <v>47.610717</v>
      </c>
      <c r="L1159" t="str">
        <f t="shared" si="415"/>
        <v>-122.202226</v>
      </c>
      <c r="M1159">
        <v>28</v>
      </c>
      <c r="N1159" s="1">
        <v>44285</v>
      </c>
      <c r="O1159" s="1">
        <v>46099</v>
      </c>
      <c r="P1159" s="2">
        <f t="shared" si="416"/>
        <v>4.9664613278576315</v>
      </c>
      <c r="Q1159" s="2" t="str">
        <f t="shared" si="417"/>
        <v>Mid</v>
      </c>
      <c r="R1159">
        <f t="shared" si="418"/>
        <v>576</v>
      </c>
      <c r="S1159" t="str">
        <f t="shared" si="419"/>
        <v>Small</v>
      </c>
      <c r="T1159" t="str">
        <f t="shared" si="420"/>
        <v>High EV Adoption Corridor</v>
      </c>
      <c r="U1159" s="3">
        <f t="shared" si="421"/>
        <v>1123200</v>
      </c>
      <c r="V1159" s="4">
        <f t="shared" si="422"/>
        <v>248832</v>
      </c>
      <c r="W1159" s="3">
        <f t="shared" si="423"/>
        <v>2534400</v>
      </c>
      <c r="X1159" s="3">
        <f t="shared" si="424"/>
        <v>2332800</v>
      </c>
      <c r="Y1159">
        <f t="shared" si="425"/>
        <v>0.21530864197530863</v>
      </c>
      <c r="Z1159">
        <f t="shared" si="426"/>
        <v>0.77846153846153843</v>
      </c>
      <c r="AA1159" t="str">
        <f t="shared" si="427"/>
        <v>Tier 3 - Upgrade Pipeline</v>
      </c>
      <c r="AB1159" s="3">
        <f t="shared" si="428"/>
        <v>31104</v>
      </c>
      <c r="AC1159" s="3">
        <f t="shared" si="429"/>
        <v>316800</v>
      </c>
      <c r="AD1159" s="3">
        <f t="shared" si="430"/>
        <v>140400</v>
      </c>
      <c r="AE1159" s="5">
        <f t="shared" si="431"/>
        <v>2.8985507246376812</v>
      </c>
      <c r="AF1159" s="10">
        <f t="shared" si="432"/>
        <v>154275.84</v>
      </c>
      <c r="AG1159" s="10">
        <f t="shared" si="433"/>
        <v>49766.400000000001</v>
      </c>
      <c r="AH1159" s="10">
        <f t="shared" si="434"/>
        <v>24883.200000000001</v>
      </c>
      <c r="AI1159" s="10">
        <f t="shared" si="435"/>
        <v>12441.6</v>
      </c>
      <c r="AJ1159" s="10">
        <f t="shared" si="436"/>
        <v>7464.96</v>
      </c>
    </row>
    <row r="1160" spans="1:36" x14ac:dyDescent="0.3">
      <c r="A1160" t="s">
        <v>4480</v>
      </c>
      <c r="B1160" t="s">
        <v>4481</v>
      </c>
      <c r="C1160" t="s">
        <v>4482</v>
      </c>
      <c r="D1160" t="s">
        <v>522</v>
      </c>
      <c r="E1160">
        <v>63401</v>
      </c>
      <c r="F1160" t="s">
        <v>15</v>
      </c>
      <c r="G1160">
        <v>8</v>
      </c>
      <c r="H1160">
        <v>250</v>
      </c>
      <c r="I1160" t="str" cm="1">
        <f t="array" ref="I1160">_xlfn.IFS(H1160&lt;=120,"V1",H1160&lt;=150,"V2",H1160&lt;=250,"V3", H1160&lt;=350, "V4")</f>
        <v>V3</v>
      </c>
      <c r="J1160" t="s">
        <v>4483</v>
      </c>
      <c r="K1160" t="str">
        <f t="shared" si="414"/>
        <v>39.718198</v>
      </c>
      <c r="L1160" t="str">
        <f t="shared" si="415"/>
        <v>-91.392441</v>
      </c>
      <c r="M1160">
        <v>180</v>
      </c>
      <c r="N1160" s="1">
        <v>44330</v>
      </c>
      <c r="O1160" s="1">
        <v>46099</v>
      </c>
      <c r="P1160" s="2">
        <f t="shared" si="416"/>
        <v>4.8432580424366876</v>
      </c>
      <c r="Q1160" s="2" t="str">
        <f t="shared" si="417"/>
        <v>Mid</v>
      </c>
      <c r="R1160">
        <f t="shared" si="418"/>
        <v>2000</v>
      </c>
      <c r="S1160" t="str">
        <f t="shared" si="419"/>
        <v>Small</v>
      </c>
      <c r="T1160" t="str">
        <f t="shared" si="420"/>
        <v>Lower EV Adoption Corridor</v>
      </c>
      <c r="U1160" s="3">
        <f t="shared" si="421"/>
        <v>3600000</v>
      </c>
      <c r="V1160" s="4">
        <f t="shared" si="422"/>
        <v>880000.00000000012</v>
      </c>
      <c r="W1160" s="3">
        <f t="shared" si="423"/>
        <v>12000000</v>
      </c>
      <c r="X1160" s="3">
        <f t="shared" si="424"/>
        <v>6600000.0000000009</v>
      </c>
      <c r="Y1160">
        <f t="shared" si="425"/>
        <v>0.31515151515151513</v>
      </c>
      <c r="Z1160">
        <f t="shared" si="426"/>
        <v>0.75555555555555554</v>
      </c>
      <c r="AA1160" t="str">
        <f t="shared" si="427"/>
        <v>Tier 2 - Growth Markets</v>
      </c>
      <c r="AB1160" s="3">
        <f t="shared" si="428"/>
        <v>110000.00000000001</v>
      </c>
      <c r="AC1160" s="3">
        <f t="shared" si="429"/>
        <v>1500000</v>
      </c>
      <c r="AD1160" s="3">
        <f t="shared" si="430"/>
        <v>450000</v>
      </c>
      <c r="AE1160" s="5">
        <f t="shared" si="431"/>
        <v>4.4117647058823533</v>
      </c>
      <c r="AF1160" s="10">
        <f t="shared" si="432"/>
        <v>545600.00000000012</v>
      </c>
      <c r="AG1160" s="10">
        <f t="shared" si="433"/>
        <v>176000.00000000003</v>
      </c>
      <c r="AH1160" s="10">
        <f t="shared" si="434"/>
        <v>88000.000000000015</v>
      </c>
      <c r="AI1160" s="10">
        <f t="shared" si="435"/>
        <v>44000.000000000007</v>
      </c>
      <c r="AJ1160" s="10">
        <f t="shared" si="436"/>
        <v>26400.000000000004</v>
      </c>
    </row>
    <row r="1161" spans="1:36" x14ac:dyDescent="0.3">
      <c r="A1161" t="s">
        <v>4484</v>
      </c>
      <c r="B1161" t="s">
        <v>4485</v>
      </c>
      <c r="C1161" t="s">
        <v>1747</v>
      </c>
      <c r="D1161" t="s">
        <v>28</v>
      </c>
      <c r="E1161">
        <v>30907</v>
      </c>
      <c r="F1161" t="s">
        <v>15</v>
      </c>
      <c r="G1161">
        <v>8</v>
      </c>
      <c r="H1161">
        <v>150</v>
      </c>
      <c r="I1161" t="str" cm="1">
        <f t="array" ref="I1161">_xlfn.IFS(H1161&lt;=120,"V1",H1161&lt;=150,"V2",H1161&lt;=250,"V3", H1161&lt;=350, "V4")</f>
        <v>V2</v>
      </c>
      <c r="J1161" t="s">
        <v>4486</v>
      </c>
      <c r="K1161" t="str">
        <f t="shared" si="414"/>
        <v>33.515004</v>
      </c>
      <c r="L1161" t="str">
        <f t="shared" si="415"/>
        <v>-82.044443</v>
      </c>
      <c r="M1161">
        <v>89</v>
      </c>
      <c r="N1161" s="1">
        <v>42533</v>
      </c>
      <c r="O1161" s="1">
        <v>46099</v>
      </c>
      <c r="P1161" s="2">
        <f t="shared" si="416"/>
        <v>9.763175906913073</v>
      </c>
      <c r="Q1161" s="2" t="str">
        <f t="shared" si="417"/>
        <v>Old</v>
      </c>
      <c r="R1161">
        <f t="shared" si="418"/>
        <v>1200</v>
      </c>
      <c r="S1161" t="str">
        <f t="shared" si="419"/>
        <v>Small</v>
      </c>
      <c r="T1161" t="str">
        <f t="shared" si="420"/>
        <v>Lower EV Adoption Corridor</v>
      </c>
      <c r="U1161" s="3">
        <f t="shared" si="421"/>
        <v>1980000.0000000002</v>
      </c>
      <c r="V1161" s="4">
        <f t="shared" si="422"/>
        <v>480000</v>
      </c>
      <c r="W1161" s="3">
        <f t="shared" si="423"/>
        <v>6000000</v>
      </c>
      <c r="X1161" s="3">
        <f t="shared" si="424"/>
        <v>3600000</v>
      </c>
      <c r="Y1161">
        <f t="shared" si="425"/>
        <v>0.3</v>
      </c>
      <c r="Z1161">
        <f t="shared" si="426"/>
        <v>0.75757575757575757</v>
      </c>
      <c r="AA1161" t="str">
        <f t="shared" si="427"/>
        <v>Tier 4 - Stable Network</v>
      </c>
      <c r="AB1161" s="3">
        <f t="shared" si="428"/>
        <v>60000</v>
      </c>
      <c r="AC1161" s="3">
        <f t="shared" si="429"/>
        <v>750000</v>
      </c>
      <c r="AD1161" s="3">
        <f t="shared" si="430"/>
        <v>247500.00000000003</v>
      </c>
      <c r="AE1161" s="5">
        <f t="shared" si="431"/>
        <v>3.9999999999999996</v>
      </c>
      <c r="AF1161" s="10">
        <f t="shared" si="432"/>
        <v>297600</v>
      </c>
      <c r="AG1161" s="10">
        <f t="shared" si="433"/>
        <v>96000</v>
      </c>
      <c r="AH1161" s="10">
        <f t="shared" si="434"/>
        <v>48000</v>
      </c>
      <c r="AI1161" s="10">
        <f t="shared" si="435"/>
        <v>24000</v>
      </c>
      <c r="AJ1161" s="10">
        <f t="shared" si="436"/>
        <v>14400</v>
      </c>
    </row>
    <row r="1162" spans="1:36" x14ac:dyDescent="0.3">
      <c r="A1162" t="s">
        <v>4487</v>
      </c>
      <c r="B1162" t="s">
        <v>4488</v>
      </c>
      <c r="C1162" t="s">
        <v>4489</v>
      </c>
      <c r="D1162" t="s">
        <v>1189</v>
      </c>
      <c r="E1162">
        <v>26554</v>
      </c>
      <c r="F1162" t="s">
        <v>15</v>
      </c>
      <c r="G1162">
        <v>8</v>
      </c>
      <c r="H1162">
        <v>250</v>
      </c>
      <c r="I1162" t="str" cm="1">
        <f t="array" ref="I1162">_xlfn.IFS(H1162&lt;=120,"V1",H1162&lt;=150,"V2",H1162&lt;=250,"V3", H1162&lt;=350, "V4")</f>
        <v>V3</v>
      </c>
      <c r="J1162" t="s">
        <v>4490</v>
      </c>
      <c r="K1162" t="str">
        <f t="shared" si="414"/>
        <v>39.471945</v>
      </c>
      <c r="L1162" t="str">
        <f t="shared" si="415"/>
        <v>-80.153302</v>
      </c>
      <c r="M1162">
        <v>322</v>
      </c>
      <c r="N1162" s="1">
        <v>44659</v>
      </c>
      <c r="O1162" s="1">
        <v>46099</v>
      </c>
      <c r="P1162" s="2">
        <f t="shared" si="416"/>
        <v>3.9425051334702257</v>
      </c>
      <c r="Q1162" s="2" t="str">
        <f t="shared" si="417"/>
        <v>Mid</v>
      </c>
      <c r="R1162">
        <f t="shared" si="418"/>
        <v>2000</v>
      </c>
      <c r="S1162" t="str">
        <f t="shared" si="419"/>
        <v>Small</v>
      </c>
      <c r="T1162" t="str">
        <f t="shared" si="420"/>
        <v>Lower EV Adoption Corridor</v>
      </c>
      <c r="U1162" s="3">
        <f t="shared" si="421"/>
        <v>3600000</v>
      </c>
      <c r="V1162" s="4">
        <f t="shared" si="422"/>
        <v>880000.00000000012</v>
      </c>
      <c r="W1162" s="3">
        <f t="shared" si="423"/>
        <v>12000000</v>
      </c>
      <c r="X1162" s="3">
        <f t="shared" si="424"/>
        <v>6600000.0000000009</v>
      </c>
      <c r="Y1162">
        <f t="shared" si="425"/>
        <v>0.31515151515151513</v>
      </c>
      <c r="Z1162">
        <f t="shared" si="426"/>
        <v>0.75555555555555554</v>
      </c>
      <c r="AA1162" t="str">
        <f t="shared" si="427"/>
        <v>Tier 2 - Growth Markets</v>
      </c>
      <c r="AB1162" s="3">
        <f t="shared" si="428"/>
        <v>110000.00000000001</v>
      </c>
      <c r="AC1162" s="3">
        <f t="shared" si="429"/>
        <v>1500000</v>
      </c>
      <c r="AD1162" s="3">
        <f t="shared" si="430"/>
        <v>450000</v>
      </c>
      <c r="AE1162" s="5">
        <f t="shared" si="431"/>
        <v>4.4117647058823533</v>
      </c>
      <c r="AF1162" s="10">
        <f t="shared" si="432"/>
        <v>545600.00000000012</v>
      </c>
      <c r="AG1162" s="10">
        <f t="shared" si="433"/>
        <v>176000.00000000003</v>
      </c>
      <c r="AH1162" s="10">
        <f t="shared" si="434"/>
        <v>88000.000000000015</v>
      </c>
      <c r="AI1162" s="10">
        <f t="shared" si="435"/>
        <v>44000.000000000007</v>
      </c>
      <c r="AJ1162" s="10">
        <f t="shared" si="436"/>
        <v>26400.000000000004</v>
      </c>
    </row>
    <row r="1163" spans="1:36" x14ac:dyDescent="0.3">
      <c r="A1163" t="s">
        <v>4491</v>
      </c>
      <c r="B1163" t="s">
        <v>4492</v>
      </c>
      <c r="C1163" t="s">
        <v>3583</v>
      </c>
      <c r="D1163" t="s">
        <v>98</v>
      </c>
      <c r="E1163">
        <v>6103</v>
      </c>
      <c r="F1163" t="s">
        <v>15</v>
      </c>
      <c r="G1163">
        <v>6</v>
      </c>
      <c r="H1163">
        <v>72</v>
      </c>
      <c r="I1163" t="str" cm="1">
        <f t="array" ref="I1163">_xlfn.IFS(H1163&lt;=120,"V1",H1163&lt;=150,"V2",H1163&lt;=250,"V3", H1163&lt;=350, "V4")</f>
        <v>V1</v>
      </c>
      <c r="J1163" t="s">
        <v>4493</v>
      </c>
      <c r="K1163" t="str">
        <f t="shared" si="414"/>
        <v>41.766116</v>
      </c>
      <c r="L1163" t="str">
        <f t="shared" si="415"/>
        <v>-72.673977</v>
      </c>
      <c r="M1163">
        <v>19</v>
      </c>
      <c r="N1163" s="1">
        <v>43229</v>
      </c>
      <c r="O1163" s="1">
        <v>46099</v>
      </c>
      <c r="P1163" s="2">
        <f t="shared" si="416"/>
        <v>7.8576317590691307</v>
      </c>
      <c r="Q1163" s="2" t="str">
        <f t="shared" si="417"/>
        <v>Mid</v>
      </c>
      <c r="R1163">
        <f t="shared" si="418"/>
        <v>432</v>
      </c>
      <c r="S1163" t="str">
        <f t="shared" si="419"/>
        <v>Small</v>
      </c>
      <c r="T1163" t="str">
        <f t="shared" si="420"/>
        <v>Lower EV Adoption Corridor</v>
      </c>
      <c r="U1163" s="3">
        <f t="shared" si="421"/>
        <v>648000</v>
      </c>
      <c r="V1163" s="4">
        <f t="shared" si="422"/>
        <v>155520</v>
      </c>
      <c r="W1163" s="3">
        <f t="shared" si="423"/>
        <v>1728000</v>
      </c>
      <c r="X1163" s="3">
        <f t="shared" si="424"/>
        <v>1166400</v>
      </c>
      <c r="Y1163">
        <f t="shared" si="425"/>
        <v>0.2814814814814815</v>
      </c>
      <c r="Z1163">
        <f t="shared" si="426"/>
        <v>0.76</v>
      </c>
      <c r="AA1163" t="str">
        <f t="shared" si="427"/>
        <v>Tier 5 - Retirement Pipeline</v>
      </c>
      <c r="AB1163" s="3">
        <f t="shared" si="428"/>
        <v>25920</v>
      </c>
      <c r="AC1163" s="3">
        <f t="shared" si="429"/>
        <v>288000</v>
      </c>
      <c r="AD1163" s="3">
        <f t="shared" si="430"/>
        <v>108000</v>
      </c>
      <c r="AE1163" s="5">
        <f t="shared" si="431"/>
        <v>3.5087719298245612</v>
      </c>
      <c r="AF1163" s="10">
        <f t="shared" si="432"/>
        <v>96422.399999999994</v>
      </c>
      <c r="AG1163" s="10">
        <f t="shared" si="433"/>
        <v>31104</v>
      </c>
      <c r="AH1163" s="10">
        <f t="shared" si="434"/>
        <v>15552</v>
      </c>
      <c r="AI1163" s="10">
        <f t="shared" si="435"/>
        <v>7776</v>
      </c>
      <c r="AJ1163" s="10">
        <f t="shared" si="436"/>
        <v>4665.5999999999995</v>
      </c>
    </row>
    <row r="1164" spans="1:36" x14ac:dyDescent="0.3">
      <c r="A1164" t="s">
        <v>4494</v>
      </c>
      <c r="B1164" t="s">
        <v>4495</v>
      </c>
      <c r="C1164" t="s">
        <v>4496</v>
      </c>
      <c r="D1164" t="s">
        <v>484</v>
      </c>
      <c r="E1164">
        <v>35987</v>
      </c>
      <c r="F1164" t="s">
        <v>15</v>
      </c>
      <c r="G1164">
        <v>8</v>
      </c>
      <c r="H1164">
        <v>150</v>
      </c>
      <c r="I1164" t="str" cm="1">
        <f t="array" ref="I1164">_xlfn.IFS(H1164&lt;=120,"V1",H1164&lt;=150,"V2",H1164&lt;=250,"V3", H1164&lt;=350, "V4")</f>
        <v>V2</v>
      </c>
      <c r="J1164" t="s">
        <v>4497</v>
      </c>
      <c r="K1164" t="str">
        <f t="shared" si="414"/>
        <v>33.933824</v>
      </c>
      <c r="L1164" t="str">
        <f t="shared" si="415"/>
        <v>-86.191611</v>
      </c>
      <c r="M1164">
        <v>171</v>
      </c>
      <c r="N1164" s="1">
        <v>42956</v>
      </c>
      <c r="O1164" s="1">
        <v>46099</v>
      </c>
      <c r="P1164" s="2">
        <f t="shared" si="416"/>
        <v>8.605065023956195</v>
      </c>
      <c r="Q1164" s="2" t="str">
        <f t="shared" si="417"/>
        <v>Old</v>
      </c>
      <c r="R1164">
        <f t="shared" si="418"/>
        <v>1200</v>
      </c>
      <c r="S1164" t="str">
        <f t="shared" si="419"/>
        <v>Small</v>
      </c>
      <c r="T1164" t="str">
        <f t="shared" si="420"/>
        <v>Lower EV Adoption Corridor</v>
      </c>
      <c r="U1164" s="3">
        <f t="shared" si="421"/>
        <v>1980000.0000000002</v>
      </c>
      <c r="V1164" s="4">
        <f t="shared" si="422"/>
        <v>480000</v>
      </c>
      <c r="W1164" s="3">
        <f t="shared" si="423"/>
        <v>6000000</v>
      </c>
      <c r="X1164" s="3">
        <f t="shared" si="424"/>
        <v>3600000</v>
      </c>
      <c r="Y1164">
        <f t="shared" si="425"/>
        <v>0.3</v>
      </c>
      <c r="Z1164">
        <f t="shared" si="426"/>
        <v>0.75757575757575757</v>
      </c>
      <c r="AA1164" t="str">
        <f t="shared" si="427"/>
        <v>Tier 4 - Stable Network</v>
      </c>
      <c r="AB1164" s="3">
        <f t="shared" si="428"/>
        <v>60000</v>
      </c>
      <c r="AC1164" s="3">
        <f t="shared" si="429"/>
        <v>750000</v>
      </c>
      <c r="AD1164" s="3">
        <f t="shared" si="430"/>
        <v>247500.00000000003</v>
      </c>
      <c r="AE1164" s="5">
        <f t="shared" si="431"/>
        <v>3.9999999999999996</v>
      </c>
      <c r="AF1164" s="10">
        <f t="shared" si="432"/>
        <v>297600</v>
      </c>
      <c r="AG1164" s="10">
        <f t="shared" si="433"/>
        <v>96000</v>
      </c>
      <c r="AH1164" s="10">
        <f t="shared" si="434"/>
        <v>48000</v>
      </c>
      <c r="AI1164" s="10">
        <f t="shared" si="435"/>
        <v>24000</v>
      </c>
      <c r="AJ1164" s="10">
        <f t="shared" si="436"/>
        <v>14400</v>
      </c>
    </row>
    <row r="1165" spans="1:36" x14ac:dyDescent="0.3">
      <c r="A1165" t="s">
        <v>4498</v>
      </c>
      <c r="B1165" t="s">
        <v>4499</v>
      </c>
      <c r="C1165" t="s">
        <v>4500</v>
      </c>
      <c r="D1165" t="s">
        <v>153</v>
      </c>
      <c r="E1165">
        <v>18901</v>
      </c>
      <c r="F1165" t="s">
        <v>15</v>
      </c>
      <c r="G1165">
        <v>8</v>
      </c>
      <c r="H1165">
        <v>250</v>
      </c>
      <c r="I1165" t="str" cm="1">
        <f t="array" ref="I1165">_xlfn.IFS(H1165&lt;=120,"V1",H1165&lt;=150,"V2",H1165&lt;=250,"V3", H1165&lt;=350, "V4")</f>
        <v>V3</v>
      </c>
      <c r="J1165" t="s">
        <v>4501</v>
      </c>
      <c r="K1165" t="str">
        <f t="shared" si="414"/>
        <v>40.300112</v>
      </c>
      <c r="L1165" t="str">
        <f t="shared" si="415"/>
        <v>-75.127537</v>
      </c>
      <c r="M1165">
        <v>90</v>
      </c>
      <c r="N1165" s="1">
        <v>44281</v>
      </c>
      <c r="O1165" s="1">
        <v>46099</v>
      </c>
      <c r="P1165" s="2">
        <f t="shared" si="416"/>
        <v>4.9774127310061598</v>
      </c>
      <c r="Q1165" s="2" t="str">
        <f t="shared" si="417"/>
        <v>Mid</v>
      </c>
      <c r="R1165">
        <f t="shared" si="418"/>
        <v>2000</v>
      </c>
      <c r="S1165" t="str">
        <f t="shared" si="419"/>
        <v>Small</v>
      </c>
      <c r="T1165" t="str">
        <f t="shared" si="420"/>
        <v>Lower EV Adoption Corridor</v>
      </c>
      <c r="U1165" s="3">
        <f t="shared" si="421"/>
        <v>3600000</v>
      </c>
      <c r="V1165" s="4">
        <f t="shared" si="422"/>
        <v>880000.00000000012</v>
      </c>
      <c r="W1165" s="3">
        <f t="shared" si="423"/>
        <v>12000000</v>
      </c>
      <c r="X1165" s="3">
        <f t="shared" si="424"/>
        <v>6600000.0000000009</v>
      </c>
      <c r="Y1165">
        <f t="shared" si="425"/>
        <v>0.31515151515151513</v>
      </c>
      <c r="Z1165">
        <f t="shared" si="426"/>
        <v>0.75555555555555554</v>
      </c>
      <c r="AA1165" t="str">
        <f t="shared" si="427"/>
        <v>Tier 2 - Growth Markets</v>
      </c>
      <c r="AB1165" s="3">
        <f t="shared" si="428"/>
        <v>110000.00000000001</v>
      </c>
      <c r="AC1165" s="3">
        <f t="shared" si="429"/>
        <v>1500000</v>
      </c>
      <c r="AD1165" s="3">
        <f t="shared" si="430"/>
        <v>450000</v>
      </c>
      <c r="AE1165" s="5">
        <f t="shared" si="431"/>
        <v>4.4117647058823533</v>
      </c>
      <c r="AF1165" s="10">
        <f t="shared" si="432"/>
        <v>545600.00000000012</v>
      </c>
      <c r="AG1165" s="10">
        <f t="shared" si="433"/>
        <v>176000.00000000003</v>
      </c>
      <c r="AH1165" s="10">
        <f t="shared" si="434"/>
        <v>88000.000000000015</v>
      </c>
      <c r="AI1165" s="10">
        <f t="shared" si="435"/>
        <v>44000.000000000007</v>
      </c>
      <c r="AJ1165" s="10">
        <f t="shared" si="436"/>
        <v>26400.000000000004</v>
      </c>
    </row>
    <row r="1166" spans="1:36" x14ac:dyDescent="0.3">
      <c r="A1166" t="s">
        <v>4502</v>
      </c>
      <c r="B1166" t="s">
        <v>4503</v>
      </c>
      <c r="C1166" t="s">
        <v>209</v>
      </c>
      <c r="D1166" t="s">
        <v>41</v>
      </c>
      <c r="E1166">
        <v>32092</v>
      </c>
      <c r="F1166" t="s">
        <v>15</v>
      </c>
      <c r="G1166">
        <v>6</v>
      </c>
      <c r="H1166">
        <v>120</v>
      </c>
      <c r="I1166" t="str" cm="1">
        <f t="array" ref="I1166">_xlfn.IFS(H1166&lt;=120,"V1",H1166&lt;=150,"V2",H1166&lt;=250,"V3", H1166&lt;=350, "V4")</f>
        <v>V1</v>
      </c>
      <c r="J1166" t="s">
        <v>4504</v>
      </c>
      <c r="K1166" t="str">
        <f t="shared" si="414"/>
        <v>29.924286</v>
      </c>
      <c r="L1166" t="str">
        <f t="shared" si="415"/>
        <v>-81.416018</v>
      </c>
      <c r="M1166">
        <v>14</v>
      </c>
      <c r="N1166" s="1">
        <v>41642</v>
      </c>
      <c r="O1166" s="1">
        <v>46099</v>
      </c>
      <c r="P1166" s="2">
        <f t="shared" si="416"/>
        <v>12.202600958247775</v>
      </c>
      <c r="Q1166" s="2" t="str">
        <f t="shared" si="417"/>
        <v>Old</v>
      </c>
      <c r="R1166">
        <f t="shared" si="418"/>
        <v>720</v>
      </c>
      <c r="S1166" t="str">
        <f t="shared" si="419"/>
        <v>Small</v>
      </c>
      <c r="T1166" t="str">
        <f t="shared" si="420"/>
        <v>High EV Adoption Corridor</v>
      </c>
      <c r="U1166" s="3">
        <f t="shared" si="421"/>
        <v>1404000</v>
      </c>
      <c r="V1166" s="4">
        <f t="shared" si="422"/>
        <v>311040</v>
      </c>
      <c r="W1166" s="3">
        <f t="shared" si="423"/>
        <v>3168000.0000000005</v>
      </c>
      <c r="X1166" s="3">
        <f t="shared" si="424"/>
        <v>2916000</v>
      </c>
      <c r="Y1166">
        <f t="shared" si="425"/>
        <v>0.21530864197530863</v>
      </c>
      <c r="Z1166">
        <f t="shared" si="426"/>
        <v>0.77846153846153843</v>
      </c>
      <c r="AA1166" t="str">
        <f t="shared" si="427"/>
        <v>Tier 3 - Upgrade Pipeline</v>
      </c>
      <c r="AB1166" s="3">
        <f t="shared" si="428"/>
        <v>51840</v>
      </c>
      <c r="AC1166" s="3">
        <f t="shared" si="429"/>
        <v>528000.00000000012</v>
      </c>
      <c r="AD1166" s="3">
        <f t="shared" si="430"/>
        <v>234000</v>
      </c>
      <c r="AE1166" s="5">
        <f t="shared" si="431"/>
        <v>2.8985507246376816</v>
      </c>
      <c r="AF1166" s="10">
        <f t="shared" si="432"/>
        <v>192844.79999999999</v>
      </c>
      <c r="AG1166" s="10">
        <f t="shared" si="433"/>
        <v>62208</v>
      </c>
      <c r="AH1166" s="10">
        <f t="shared" si="434"/>
        <v>31104</v>
      </c>
      <c r="AI1166" s="10">
        <f t="shared" si="435"/>
        <v>15552</v>
      </c>
      <c r="AJ1166" s="10">
        <f t="shared" si="436"/>
        <v>9331.1999999999989</v>
      </c>
    </row>
    <row r="1167" spans="1:36" x14ac:dyDescent="0.3">
      <c r="A1167" t="s">
        <v>4505</v>
      </c>
      <c r="B1167" t="s">
        <v>4506</v>
      </c>
      <c r="C1167" t="s">
        <v>1747</v>
      </c>
      <c r="D1167" t="s">
        <v>958</v>
      </c>
      <c r="E1167">
        <v>4330</v>
      </c>
      <c r="F1167" t="s">
        <v>15</v>
      </c>
      <c r="G1167">
        <v>8</v>
      </c>
      <c r="H1167">
        <v>150</v>
      </c>
      <c r="I1167" t="str" cm="1">
        <f t="array" ref="I1167">_xlfn.IFS(H1167&lt;=120,"V1",H1167&lt;=150,"V2",H1167&lt;=250,"V3", H1167&lt;=350, "V4")</f>
        <v>V2</v>
      </c>
      <c r="J1167" t="s">
        <v>4507</v>
      </c>
      <c r="K1167" t="str">
        <f t="shared" si="414"/>
        <v>44.34787</v>
      </c>
      <c r="L1167" t="str">
        <f t="shared" si="415"/>
        <v>-69.786088</v>
      </c>
      <c r="M1167">
        <v>96</v>
      </c>
      <c r="N1167" s="1">
        <v>42342</v>
      </c>
      <c r="O1167" s="1">
        <v>46099</v>
      </c>
      <c r="P1167" s="2">
        <f t="shared" si="416"/>
        <v>10.286105407255304</v>
      </c>
      <c r="Q1167" s="2" t="str">
        <f t="shared" si="417"/>
        <v>Old</v>
      </c>
      <c r="R1167">
        <f t="shared" si="418"/>
        <v>1200</v>
      </c>
      <c r="S1167" t="str">
        <f t="shared" si="419"/>
        <v>Small</v>
      </c>
      <c r="T1167" t="str">
        <f t="shared" si="420"/>
        <v>Lower EV Adoption Corridor</v>
      </c>
      <c r="U1167" s="3">
        <f t="shared" si="421"/>
        <v>1980000.0000000002</v>
      </c>
      <c r="V1167" s="4">
        <f t="shared" si="422"/>
        <v>480000</v>
      </c>
      <c r="W1167" s="3">
        <f t="shared" si="423"/>
        <v>6000000</v>
      </c>
      <c r="X1167" s="3">
        <f t="shared" si="424"/>
        <v>3600000</v>
      </c>
      <c r="Y1167">
        <f t="shared" si="425"/>
        <v>0.3</v>
      </c>
      <c r="Z1167">
        <f t="shared" si="426"/>
        <v>0.75757575757575757</v>
      </c>
      <c r="AA1167" t="str">
        <f t="shared" si="427"/>
        <v>Tier 4 - Stable Network</v>
      </c>
      <c r="AB1167" s="3">
        <f t="shared" si="428"/>
        <v>60000</v>
      </c>
      <c r="AC1167" s="3">
        <f t="shared" si="429"/>
        <v>750000</v>
      </c>
      <c r="AD1167" s="3">
        <f t="shared" si="430"/>
        <v>247500.00000000003</v>
      </c>
      <c r="AE1167" s="5">
        <f t="shared" si="431"/>
        <v>3.9999999999999996</v>
      </c>
      <c r="AF1167" s="10">
        <f t="shared" si="432"/>
        <v>297600</v>
      </c>
      <c r="AG1167" s="10">
        <f t="shared" si="433"/>
        <v>96000</v>
      </c>
      <c r="AH1167" s="10">
        <f t="shared" si="434"/>
        <v>48000</v>
      </c>
      <c r="AI1167" s="10">
        <f t="shared" si="435"/>
        <v>24000</v>
      </c>
      <c r="AJ1167" s="10">
        <f t="shared" si="436"/>
        <v>14400</v>
      </c>
    </row>
    <row r="1168" spans="1:36" x14ac:dyDescent="0.3">
      <c r="A1168" t="s">
        <v>4508</v>
      </c>
      <c r="B1168" t="s">
        <v>4509</v>
      </c>
      <c r="C1168" t="s">
        <v>1546</v>
      </c>
      <c r="D1168" t="s">
        <v>14</v>
      </c>
      <c r="E1168">
        <v>92230</v>
      </c>
      <c r="F1168" t="s">
        <v>15</v>
      </c>
      <c r="G1168">
        <v>12</v>
      </c>
      <c r="H1168">
        <v>250</v>
      </c>
      <c r="I1168" t="str" cm="1">
        <f t="array" ref="I1168">_xlfn.IFS(H1168&lt;=120,"V1",H1168&lt;=150,"V2",H1168&lt;=250,"V3", H1168&lt;=350, "V4")</f>
        <v>V3</v>
      </c>
      <c r="J1168" t="s">
        <v>4510</v>
      </c>
      <c r="K1168" t="str">
        <f t="shared" si="414"/>
        <v>33.923726</v>
      </c>
      <c r="L1168" t="str">
        <f t="shared" si="415"/>
        <v>-116.803246</v>
      </c>
      <c r="M1168">
        <v>608</v>
      </c>
      <c r="N1168" s="1">
        <v>44601</v>
      </c>
      <c r="O1168" s="1">
        <v>46099</v>
      </c>
      <c r="P1168" s="2">
        <f t="shared" si="416"/>
        <v>4.1013004791238874</v>
      </c>
      <c r="Q1168" s="2" t="str">
        <f t="shared" si="417"/>
        <v>Mid</v>
      </c>
      <c r="R1168">
        <f t="shared" si="418"/>
        <v>3000</v>
      </c>
      <c r="S1168" t="str">
        <f t="shared" si="419"/>
        <v>Small</v>
      </c>
      <c r="T1168" t="str">
        <f t="shared" si="420"/>
        <v>High EV Adoption Corridor</v>
      </c>
      <c r="U1168" s="3">
        <f t="shared" si="421"/>
        <v>7020000</v>
      </c>
      <c r="V1168" s="4">
        <f t="shared" si="422"/>
        <v>1584000</v>
      </c>
      <c r="W1168" s="3">
        <f t="shared" si="423"/>
        <v>19800000</v>
      </c>
      <c r="X1168" s="3">
        <f t="shared" si="424"/>
        <v>14850000</v>
      </c>
      <c r="Y1168">
        <f t="shared" si="425"/>
        <v>0.24</v>
      </c>
      <c r="Z1168">
        <f t="shared" si="426"/>
        <v>0.77435897435897438</v>
      </c>
      <c r="AA1168" t="str">
        <f t="shared" si="427"/>
        <v>Tier 1 - Priority Fleet</v>
      </c>
      <c r="AB1168" s="3">
        <f t="shared" si="428"/>
        <v>132000</v>
      </c>
      <c r="AC1168" s="3">
        <f t="shared" si="429"/>
        <v>1650000</v>
      </c>
      <c r="AD1168" s="3">
        <f t="shared" si="430"/>
        <v>585000</v>
      </c>
      <c r="AE1168" s="5">
        <f t="shared" si="431"/>
        <v>3.6423841059602649</v>
      </c>
      <c r="AF1168" s="10">
        <f t="shared" si="432"/>
        <v>982080</v>
      </c>
      <c r="AG1168" s="10">
        <f t="shared" si="433"/>
        <v>316800</v>
      </c>
      <c r="AH1168" s="10">
        <f t="shared" si="434"/>
        <v>158400</v>
      </c>
      <c r="AI1168" s="10">
        <f t="shared" si="435"/>
        <v>79200</v>
      </c>
      <c r="AJ1168" s="10">
        <f t="shared" si="436"/>
        <v>47520</v>
      </c>
    </row>
    <row r="1169" spans="1:36" x14ac:dyDescent="0.3">
      <c r="A1169" t="s">
        <v>4511</v>
      </c>
      <c r="B1169" t="s">
        <v>4512</v>
      </c>
      <c r="C1169" t="s">
        <v>3080</v>
      </c>
      <c r="D1169" t="s">
        <v>415</v>
      </c>
      <c r="E1169">
        <v>50702</v>
      </c>
      <c r="F1169" t="s">
        <v>15</v>
      </c>
      <c r="G1169">
        <v>8</v>
      </c>
      <c r="H1169">
        <v>250</v>
      </c>
      <c r="I1169" t="str" cm="1">
        <f t="array" ref="I1169">_xlfn.IFS(H1169&lt;=120,"V1",H1169&lt;=150,"V2",H1169&lt;=250,"V3", H1169&lt;=350, "V4")</f>
        <v>V3</v>
      </c>
      <c r="J1169" t="s">
        <v>4513</v>
      </c>
      <c r="K1169" t="str">
        <f t="shared" si="414"/>
        <v>42.459333</v>
      </c>
      <c r="L1169" t="str">
        <f t="shared" si="415"/>
        <v>-92.328806</v>
      </c>
      <c r="M1169">
        <v>265</v>
      </c>
      <c r="N1169" s="1">
        <v>44334</v>
      </c>
      <c r="O1169" s="1">
        <v>46099</v>
      </c>
      <c r="P1169" s="2">
        <f t="shared" si="416"/>
        <v>4.8323066392881584</v>
      </c>
      <c r="Q1169" s="2" t="str">
        <f t="shared" si="417"/>
        <v>Mid</v>
      </c>
      <c r="R1169">
        <f t="shared" si="418"/>
        <v>2000</v>
      </c>
      <c r="S1169" t="str">
        <f t="shared" si="419"/>
        <v>Small</v>
      </c>
      <c r="T1169" t="str">
        <f t="shared" si="420"/>
        <v>Lower EV Adoption Corridor</v>
      </c>
      <c r="U1169" s="3">
        <f t="shared" si="421"/>
        <v>3600000</v>
      </c>
      <c r="V1169" s="4">
        <f t="shared" si="422"/>
        <v>880000.00000000012</v>
      </c>
      <c r="W1169" s="3">
        <f t="shared" si="423"/>
        <v>12000000</v>
      </c>
      <c r="X1169" s="3">
        <f t="shared" si="424"/>
        <v>6600000.0000000009</v>
      </c>
      <c r="Y1169">
        <f t="shared" si="425"/>
        <v>0.31515151515151513</v>
      </c>
      <c r="Z1169">
        <f t="shared" si="426"/>
        <v>0.75555555555555554</v>
      </c>
      <c r="AA1169" t="str">
        <f t="shared" si="427"/>
        <v>Tier 2 - Growth Markets</v>
      </c>
      <c r="AB1169" s="3">
        <f t="shared" si="428"/>
        <v>110000.00000000001</v>
      </c>
      <c r="AC1169" s="3">
        <f t="shared" si="429"/>
        <v>1500000</v>
      </c>
      <c r="AD1169" s="3">
        <f t="shared" si="430"/>
        <v>450000</v>
      </c>
      <c r="AE1169" s="5">
        <f t="shared" si="431"/>
        <v>4.4117647058823533</v>
      </c>
      <c r="AF1169" s="10">
        <f t="shared" si="432"/>
        <v>545600.00000000012</v>
      </c>
      <c r="AG1169" s="10">
        <f t="shared" si="433"/>
        <v>176000.00000000003</v>
      </c>
      <c r="AH1169" s="10">
        <f t="shared" si="434"/>
        <v>88000.000000000015</v>
      </c>
      <c r="AI1169" s="10">
        <f t="shared" si="435"/>
        <v>44000.000000000007</v>
      </c>
      <c r="AJ1169" s="10">
        <f t="shared" si="436"/>
        <v>26400.000000000004</v>
      </c>
    </row>
    <row r="1170" spans="1:36" x14ac:dyDescent="0.3">
      <c r="A1170" t="s">
        <v>4514</v>
      </c>
      <c r="B1170" t="s">
        <v>4515</v>
      </c>
      <c r="C1170" t="s">
        <v>4516</v>
      </c>
      <c r="D1170" t="s">
        <v>59</v>
      </c>
      <c r="E1170">
        <v>62959</v>
      </c>
      <c r="F1170" t="s">
        <v>15</v>
      </c>
      <c r="G1170">
        <v>8</v>
      </c>
      <c r="H1170">
        <v>250</v>
      </c>
      <c r="I1170" t="str" cm="1">
        <f t="array" ref="I1170">_xlfn.IFS(H1170&lt;=120,"V1",H1170&lt;=150,"V2",H1170&lt;=250,"V3", H1170&lt;=350, "V4")</f>
        <v>V3</v>
      </c>
      <c r="J1170" t="s">
        <v>4517</v>
      </c>
      <c r="K1170" t="str">
        <f t="shared" si="414"/>
        <v>37.744427</v>
      </c>
      <c r="L1170" t="str">
        <f t="shared" si="415"/>
        <v>-88.962303</v>
      </c>
      <c r="M1170">
        <v>141</v>
      </c>
      <c r="N1170" s="1">
        <v>44638</v>
      </c>
      <c r="O1170" s="1">
        <v>46099</v>
      </c>
      <c r="P1170" s="2">
        <f t="shared" si="416"/>
        <v>4</v>
      </c>
      <c r="Q1170" s="2" t="str">
        <f t="shared" si="417"/>
        <v>Mid</v>
      </c>
      <c r="R1170">
        <f t="shared" si="418"/>
        <v>2000</v>
      </c>
      <c r="S1170" t="str">
        <f t="shared" si="419"/>
        <v>Small</v>
      </c>
      <c r="T1170" t="str">
        <f t="shared" si="420"/>
        <v>Lower EV Adoption Corridor</v>
      </c>
      <c r="U1170" s="3">
        <f t="shared" si="421"/>
        <v>3600000</v>
      </c>
      <c r="V1170" s="4">
        <f t="shared" si="422"/>
        <v>880000.00000000012</v>
      </c>
      <c r="W1170" s="3">
        <f t="shared" si="423"/>
        <v>12000000</v>
      </c>
      <c r="X1170" s="3">
        <f t="shared" si="424"/>
        <v>6600000.0000000009</v>
      </c>
      <c r="Y1170">
        <f t="shared" si="425"/>
        <v>0.31515151515151513</v>
      </c>
      <c r="Z1170">
        <f t="shared" si="426"/>
        <v>0.75555555555555554</v>
      </c>
      <c r="AA1170" t="str">
        <f t="shared" si="427"/>
        <v>Tier 2 - Growth Markets</v>
      </c>
      <c r="AB1170" s="3">
        <f t="shared" si="428"/>
        <v>110000.00000000001</v>
      </c>
      <c r="AC1170" s="3">
        <f t="shared" si="429"/>
        <v>1500000</v>
      </c>
      <c r="AD1170" s="3">
        <f t="shared" si="430"/>
        <v>450000</v>
      </c>
      <c r="AE1170" s="5">
        <f t="shared" si="431"/>
        <v>4.4117647058823533</v>
      </c>
      <c r="AF1170" s="10">
        <f t="shared" si="432"/>
        <v>545600.00000000012</v>
      </c>
      <c r="AG1170" s="10">
        <f t="shared" si="433"/>
        <v>176000.00000000003</v>
      </c>
      <c r="AH1170" s="10">
        <f t="shared" si="434"/>
        <v>88000.000000000015</v>
      </c>
      <c r="AI1170" s="10">
        <f t="shared" si="435"/>
        <v>44000.000000000007</v>
      </c>
      <c r="AJ1170" s="10">
        <f t="shared" si="436"/>
        <v>26400.000000000004</v>
      </c>
    </row>
    <row r="1171" spans="1:36" x14ac:dyDescent="0.3">
      <c r="A1171" t="s">
        <v>4518</v>
      </c>
      <c r="B1171" t="s">
        <v>4519</v>
      </c>
      <c r="C1171" t="s">
        <v>4520</v>
      </c>
      <c r="D1171" t="s">
        <v>522</v>
      </c>
      <c r="E1171">
        <v>63110</v>
      </c>
      <c r="F1171" t="s">
        <v>15</v>
      </c>
      <c r="G1171">
        <v>12</v>
      </c>
      <c r="H1171">
        <v>250</v>
      </c>
      <c r="I1171" t="str" cm="1">
        <f t="array" ref="I1171">_xlfn.IFS(H1171&lt;=120,"V1",H1171&lt;=150,"V2",H1171&lt;=250,"V3", H1171&lt;=350, "V4")</f>
        <v>V3</v>
      </c>
      <c r="J1171" t="s">
        <v>4521</v>
      </c>
      <c r="K1171" t="str">
        <f t="shared" si="414"/>
        <v>38.620823</v>
      </c>
      <c r="L1171" t="str">
        <f t="shared" si="415"/>
        <v>-90.260954</v>
      </c>
      <c r="M1171">
        <v>148</v>
      </c>
      <c r="N1171" s="1">
        <v>44758</v>
      </c>
      <c r="O1171" s="1">
        <v>46099</v>
      </c>
      <c r="P1171" s="2">
        <f t="shared" si="416"/>
        <v>3.6714579055441479</v>
      </c>
      <c r="Q1171" s="2" t="str">
        <f t="shared" si="417"/>
        <v>Mid</v>
      </c>
      <c r="R1171">
        <f t="shared" si="418"/>
        <v>3000</v>
      </c>
      <c r="S1171" t="str">
        <f t="shared" si="419"/>
        <v>Small</v>
      </c>
      <c r="T1171" t="str">
        <f t="shared" si="420"/>
        <v>Lower EV Adoption Corridor</v>
      </c>
      <c r="U1171" s="3">
        <f t="shared" si="421"/>
        <v>5400000</v>
      </c>
      <c r="V1171" s="4">
        <f t="shared" si="422"/>
        <v>1320000</v>
      </c>
      <c r="W1171" s="3">
        <f t="shared" si="423"/>
        <v>18000000</v>
      </c>
      <c r="X1171" s="3">
        <f t="shared" si="424"/>
        <v>9900000</v>
      </c>
      <c r="Y1171">
        <f t="shared" si="425"/>
        <v>0.31515151515151513</v>
      </c>
      <c r="Z1171">
        <f t="shared" si="426"/>
        <v>0.75555555555555554</v>
      </c>
      <c r="AA1171" t="str">
        <f t="shared" si="427"/>
        <v>Tier 2 - Growth Markets</v>
      </c>
      <c r="AB1171" s="3">
        <f t="shared" si="428"/>
        <v>110000</v>
      </c>
      <c r="AC1171" s="3">
        <f t="shared" si="429"/>
        <v>1500000</v>
      </c>
      <c r="AD1171" s="3">
        <f t="shared" si="430"/>
        <v>450000</v>
      </c>
      <c r="AE1171" s="5">
        <f t="shared" si="431"/>
        <v>4.4117647058823533</v>
      </c>
      <c r="AF1171" s="10">
        <f t="shared" si="432"/>
        <v>818400</v>
      </c>
      <c r="AG1171" s="10">
        <f t="shared" si="433"/>
        <v>264000</v>
      </c>
      <c r="AH1171" s="10">
        <f t="shared" si="434"/>
        <v>132000</v>
      </c>
      <c r="AI1171" s="10">
        <f t="shared" si="435"/>
        <v>66000</v>
      </c>
      <c r="AJ1171" s="10">
        <f t="shared" si="436"/>
        <v>39600</v>
      </c>
    </row>
    <row r="1172" spans="1:36" x14ac:dyDescent="0.3">
      <c r="A1172" t="s">
        <v>4522</v>
      </c>
      <c r="B1172" t="s">
        <v>4523</v>
      </c>
      <c r="C1172" t="s">
        <v>4524</v>
      </c>
      <c r="D1172" t="s">
        <v>14</v>
      </c>
      <c r="E1172">
        <v>95304</v>
      </c>
      <c r="F1172" t="s">
        <v>15</v>
      </c>
      <c r="G1172">
        <v>12</v>
      </c>
      <c r="H1172">
        <v>250</v>
      </c>
      <c r="I1172" t="str" cm="1">
        <f t="array" ref="I1172">_xlfn.IFS(H1172&lt;=120,"V1",H1172&lt;=150,"V2",H1172&lt;=250,"V3", H1172&lt;=350, "V4")</f>
        <v>V3</v>
      </c>
      <c r="J1172" t="s">
        <v>4525</v>
      </c>
      <c r="K1172" t="str">
        <f t="shared" si="414"/>
        <v>37.753054</v>
      </c>
      <c r="L1172" t="str">
        <f t="shared" si="415"/>
        <v>-121.467549</v>
      </c>
      <c r="M1172">
        <v>7</v>
      </c>
      <c r="N1172" s="1">
        <v>44672</v>
      </c>
      <c r="O1172" s="1">
        <v>46099</v>
      </c>
      <c r="P1172" s="2">
        <f t="shared" si="416"/>
        <v>3.9069130732375084</v>
      </c>
      <c r="Q1172" s="2" t="str">
        <f t="shared" si="417"/>
        <v>Mid</v>
      </c>
      <c r="R1172">
        <f t="shared" si="418"/>
        <v>3000</v>
      </c>
      <c r="S1172" t="str">
        <f t="shared" si="419"/>
        <v>Small</v>
      </c>
      <c r="T1172" t="str">
        <f t="shared" si="420"/>
        <v>High EV Adoption Corridor</v>
      </c>
      <c r="U1172" s="3">
        <f t="shared" si="421"/>
        <v>7020000</v>
      </c>
      <c r="V1172" s="4">
        <f t="shared" si="422"/>
        <v>1584000</v>
      </c>
      <c r="W1172" s="3">
        <f t="shared" si="423"/>
        <v>19800000</v>
      </c>
      <c r="X1172" s="3">
        <f t="shared" si="424"/>
        <v>14850000</v>
      </c>
      <c r="Y1172">
        <f t="shared" si="425"/>
        <v>0.24</v>
      </c>
      <c r="Z1172">
        <f t="shared" si="426"/>
        <v>0.77435897435897438</v>
      </c>
      <c r="AA1172" t="str">
        <f t="shared" si="427"/>
        <v>Tier 1 - Priority Fleet</v>
      </c>
      <c r="AB1172" s="3">
        <f t="shared" si="428"/>
        <v>132000</v>
      </c>
      <c r="AC1172" s="3">
        <f t="shared" si="429"/>
        <v>1650000</v>
      </c>
      <c r="AD1172" s="3">
        <f t="shared" si="430"/>
        <v>585000</v>
      </c>
      <c r="AE1172" s="5">
        <f t="shared" si="431"/>
        <v>3.6423841059602649</v>
      </c>
      <c r="AF1172" s="10">
        <f t="shared" si="432"/>
        <v>982080</v>
      </c>
      <c r="AG1172" s="10">
        <f t="shared" si="433"/>
        <v>316800</v>
      </c>
      <c r="AH1172" s="10">
        <f t="shared" si="434"/>
        <v>158400</v>
      </c>
      <c r="AI1172" s="10">
        <f t="shared" si="435"/>
        <v>79200</v>
      </c>
      <c r="AJ1172" s="10">
        <f t="shared" si="436"/>
        <v>47520</v>
      </c>
    </row>
    <row r="1173" spans="1:36" x14ac:dyDescent="0.3">
      <c r="A1173" t="s">
        <v>4526</v>
      </c>
      <c r="B1173" t="s">
        <v>4527</v>
      </c>
      <c r="C1173" t="s">
        <v>4528</v>
      </c>
      <c r="D1173" t="s">
        <v>130</v>
      </c>
      <c r="E1173">
        <v>46176</v>
      </c>
      <c r="F1173" t="s">
        <v>15</v>
      </c>
      <c r="G1173">
        <v>8</v>
      </c>
      <c r="H1173">
        <v>250</v>
      </c>
      <c r="I1173" t="str" cm="1">
        <f t="array" ref="I1173">_xlfn.IFS(H1173&lt;=120,"V1",H1173&lt;=150,"V2",H1173&lt;=250,"V3", H1173&lt;=350, "V4")</f>
        <v>V3</v>
      </c>
      <c r="J1173" t="s">
        <v>4529</v>
      </c>
      <c r="K1173" t="str">
        <f t="shared" si="414"/>
        <v>39.5539</v>
      </c>
      <c r="L1173" t="str">
        <f t="shared" si="415"/>
        <v>-85.7745</v>
      </c>
      <c r="M1173">
        <v>244</v>
      </c>
      <c r="N1173" s="1">
        <v>44729</v>
      </c>
      <c r="O1173" s="1">
        <v>46099</v>
      </c>
      <c r="P1173" s="2">
        <f t="shared" si="416"/>
        <v>3.7508555783709787</v>
      </c>
      <c r="Q1173" s="2" t="str">
        <f t="shared" si="417"/>
        <v>Mid</v>
      </c>
      <c r="R1173">
        <f t="shared" si="418"/>
        <v>2000</v>
      </c>
      <c r="S1173" t="str">
        <f t="shared" si="419"/>
        <v>Small</v>
      </c>
      <c r="T1173" t="str">
        <f t="shared" si="420"/>
        <v>Lower EV Adoption Corridor</v>
      </c>
      <c r="U1173" s="3">
        <f t="shared" si="421"/>
        <v>3600000</v>
      </c>
      <c r="V1173" s="4">
        <f t="shared" si="422"/>
        <v>880000.00000000012</v>
      </c>
      <c r="W1173" s="3">
        <f t="shared" si="423"/>
        <v>12000000</v>
      </c>
      <c r="X1173" s="3">
        <f t="shared" si="424"/>
        <v>6600000.0000000009</v>
      </c>
      <c r="Y1173">
        <f t="shared" si="425"/>
        <v>0.31515151515151513</v>
      </c>
      <c r="Z1173">
        <f t="shared" si="426"/>
        <v>0.75555555555555554</v>
      </c>
      <c r="AA1173" t="str">
        <f t="shared" si="427"/>
        <v>Tier 2 - Growth Markets</v>
      </c>
      <c r="AB1173" s="3">
        <f t="shared" si="428"/>
        <v>110000.00000000001</v>
      </c>
      <c r="AC1173" s="3">
        <f t="shared" si="429"/>
        <v>1500000</v>
      </c>
      <c r="AD1173" s="3">
        <f t="shared" si="430"/>
        <v>450000</v>
      </c>
      <c r="AE1173" s="5">
        <f t="shared" si="431"/>
        <v>4.4117647058823533</v>
      </c>
      <c r="AF1173" s="10">
        <f t="shared" si="432"/>
        <v>545600.00000000012</v>
      </c>
      <c r="AG1173" s="10">
        <f t="shared" si="433"/>
        <v>176000.00000000003</v>
      </c>
      <c r="AH1173" s="10">
        <f t="shared" si="434"/>
        <v>88000.000000000015</v>
      </c>
      <c r="AI1173" s="10">
        <f t="shared" si="435"/>
        <v>44000.000000000007</v>
      </c>
      <c r="AJ1173" s="10">
        <f t="shared" si="436"/>
        <v>26400.000000000004</v>
      </c>
    </row>
    <row r="1174" spans="1:36" x14ac:dyDescent="0.3">
      <c r="A1174" t="s">
        <v>4530</v>
      </c>
      <c r="B1174" t="s">
        <v>4531</v>
      </c>
      <c r="C1174" t="s">
        <v>4532</v>
      </c>
      <c r="D1174" t="s">
        <v>153</v>
      </c>
      <c r="E1174">
        <v>19047</v>
      </c>
      <c r="F1174" t="s">
        <v>15</v>
      </c>
      <c r="G1174">
        <v>8</v>
      </c>
      <c r="H1174">
        <v>250</v>
      </c>
      <c r="I1174" t="str" cm="1">
        <f t="array" ref="I1174">_xlfn.IFS(H1174&lt;=120,"V1",H1174&lt;=150,"V2",H1174&lt;=250,"V3", H1174&lt;=350, "V4")</f>
        <v>V3</v>
      </c>
      <c r="J1174" t="s">
        <v>4533</v>
      </c>
      <c r="K1174" t="str">
        <f t="shared" si="414"/>
        <v>40.163345</v>
      </c>
      <c r="L1174" t="str">
        <f t="shared" si="415"/>
        <v>-74.904428</v>
      </c>
      <c r="M1174">
        <v>33</v>
      </c>
      <c r="N1174" s="1">
        <v>44763</v>
      </c>
      <c r="O1174" s="1">
        <v>46099</v>
      </c>
      <c r="P1174" s="2">
        <f t="shared" si="416"/>
        <v>3.6577686516084875</v>
      </c>
      <c r="Q1174" s="2" t="str">
        <f t="shared" si="417"/>
        <v>Mid</v>
      </c>
      <c r="R1174">
        <f t="shared" si="418"/>
        <v>2000</v>
      </c>
      <c r="S1174" t="str">
        <f t="shared" si="419"/>
        <v>Small</v>
      </c>
      <c r="T1174" t="str">
        <f t="shared" si="420"/>
        <v>Lower EV Adoption Corridor</v>
      </c>
      <c r="U1174" s="3">
        <f t="shared" si="421"/>
        <v>3600000</v>
      </c>
      <c r="V1174" s="4">
        <f t="shared" si="422"/>
        <v>880000.00000000012</v>
      </c>
      <c r="W1174" s="3">
        <f t="shared" si="423"/>
        <v>12000000</v>
      </c>
      <c r="X1174" s="3">
        <f t="shared" si="424"/>
        <v>6600000.0000000009</v>
      </c>
      <c r="Y1174">
        <f t="shared" si="425"/>
        <v>0.31515151515151513</v>
      </c>
      <c r="Z1174">
        <f t="shared" si="426"/>
        <v>0.75555555555555554</v>
      </c>
      <c r="AA1174" t="str">
        <f t="shared" si="427"/>
        <v>Tier 2 - Growth Markets</v>
      </c>
      <c r="AB1174" s="3">
        <f t="shared" si="428"/>
        <v>110000.00000000001</v>
      </c>
      <c r="AC1174" s="3">
        <f t="shared" si="429"/>
        <v>1500000</v>
      </c>
      <c r="AD1174" s="3">
        <f t="shared" si="430"/>
        <v>450000</v>
      </c>
      <c r="AE1174" s="5">
        <f t="shared" si="431"/>
        <v>4.4117647058823533</v>
      </c>
      <c r="AF1174" s="10">
        <f t="shared" si="432"/>
        <v>545600.00000000012</v>
      </c>
      <c r="AG1174" s="10">
        <f t="shared" si="433"/>
        <v>176000.00000000003</v>
      </c>
      <c r="AH1174" s="10">
        <f t="shared" si="434"/>
        <v>88000.000000000015</v>
      </c>
      <c r="AI1174" s="10">
        <f t="shared" si="435"/>
        <v>44000.000000000007</v>
      </c>
      <c r="AJ1174" s="10">
        <f t="shared" si="436"/>
        <v>26400.000000000004</v>
      </c>
    </row>
    <row r="1175" spans="1:36" x14ac:dyDescent="0.3">
      <c r="A1175" t="s">
        <v>4534</v>
      </c>
      <c r="B1175" t="s">
        <v>4535</v>
      </c>
      <c r="C1175" t="s">
        <v>1813</v>
      </c>
      <c r="D1175" t="s">
        <v>111</v>
      </c>
      <c r="E1175">
        <v>55902</v>
      </c>
      <c r="F1175" t="s">
        <v>15</v>
      </c>
      <c r="G1175">
        <v>8</v>
      </c>
      <c r="H1175">
        <v>150</v>
      </c>
      <c r="I1175" t="str" cm="1">
        <f t="array" ref="I1175">_xlfn.IFS(H1175&lt;=120,"V1",H1175&lt;=150,"V2",H1175&lt;=250,"V3", H1175&lt;=350, "V4")</f>
        <v>V2</v>
      </c>
      <c r="J1175" t="s">
        <v>4536</v>
      </c>
      <c r="K1175" t="str">
        <f t="shared" si="414"/>
        <v>44.006329</v>
      </c>
      <c r="L1175" t="str">
        <f t="shared" si="415"/>
        <v>-92.470902</v>
      </c>
      <c r="M1175">
        <v>306</v>
      </c>
      <c r="N1175" s="1">
        <v>43029</v>
      </c>
      <c r="O1175" s="1">
        <v>46099</v>
      </c>
      <c r="P1175" s="2">
        <f t="shared" si="416"/>
        <v>8.4052019164955514</v>
      </c>
      <c r="Q1175" s="2" t="str">
        <f t="shared" si="417"/>
        <v>Old</v>
      </c>
      <c r="R1175">
        <f t="shared" si="418"/>
        <v>1200</v>
      </c>
      <c r="S1175" t="str">
        <f t="shared" si="419"/>
        <v>Small</v>
      </c>
      <c r="T1175" t="str">
        <f t="shared" si="420"/>
        <v>Lower EV Adoption Corridor</v>
      </c>
      <c r="U1175" s="3">
        <f t="shared" si="421"/>
        <v>1980000.0000000002</v>
      </c>
      <c r="V1175" s="4">
        <f t="shared" si="422"/>
        <v>480000</v>
      </c>
      <c r="W1175" s="3">
        <f t="shared" si="423"/>
        <v>6000000</v>
      </c>
      <c r="X1175" s="3">
        <f t="shared" si="424"/>
        <v>3600000</v>
      </c>
      <c r="Y1175">
        <f t="shared" si="425"/>
        <v>0.3</v>
      </c>
      <c r="Z1175">
        <f t="shared" si="426"/>
        <v>0.75757575757575757</v>
      </c>
      <c r="AA1175" t="str">
        <f t="shared" si="427"/>
        <v>Tier 4 - Stable Network</v>
      </c>
      <c r="AB1175" s="3">
        <f t="shared" si="428"/>
        <v>60000</v>
      </c>
      <c r="AC1175" s="3">
        <f t="shared" si="429"/>
        <v>750000</v>
      </c>
      <c r="AD1175" s="3">
        <f t="shared" si="430"/>
        <v>247500.00000000003</v>
      </c>
      <c r="AE1175" s="5">
        <f t="shared" si="431"/>
        <v>3.9999999999999996</v>
      </c>
      <c r="AF1175" s="10">
        <f t="shared" si="432"/>
        <v>297600</v>
      </c>
      <c r="AG1175" s="10">
        <f t="shared" si="433"/>
        <v>96000</v>
      </c>
      <c r="AH1175" s="10">
        <f t="shared" si="434"/>
        <v>48000</v>
      </c>
      <c r="AI1175" s="10">
        <f t="shared" si="435"/>
        <v>24000</v>
      </c>
      <c r="AJ1175" s="10">
        <f t="shared" si="436"/>
        <v>14400</v>
      </c>
    </row>
    <row r="1176" spans="1:36" x14ac:dyDescent="0.3">
      <c r="A1176" t="s">
        <v>4537</v>
      </c>
      <c r="B1176" t="s">
        <v>4538</v>
      </c>
      <c r="C1176" t="s">
        <v>4539</v>
      </c>
      <c r="D1176" t="s">
        <v>77</v>
      </c>
      <c r="E1176">
        <v>28405</v>
      </c>
      <c r="F1176" t="s">
        <v>15</v>
      </c>
      <c r="G1176">
        <v>10</v>
      </c>
      <c r="H1176">
        <v>150</v>
      </c>
      <c r="I1176" t="str" cm="1">
        <f t="array" ref="I1176">_xlfn.IFS(H1176&lt;=120,"V1",H1176&lt;=150,"V2",H1176&lt;=250,"V3", H1176&lt;=350, "V4")</f>
        <v>V2</v>
      </c>
      <c r="J1176" t="s">
        <v>4540</v>
      </c>
      <c r="K1176" t="str">
        <f t="shared" si="414"/>
        <v>34.240825</v>
      </c>
      <c r="L1176" t="str">
        <f t="shared" si="415"/>
        <v>-77.829189</v>
      </c>
      <c r="M1176">
        <v>7</v>
      </c>
      <c r="N1176" s="1">
        <v>42871</v>
      </c>
      <c r="O1176" s="1">
        <v>46099</v>
      </c>
      <c r="P1176" s="2">
        <f t="shared" si="416"/>
        <v>8.8377823408624234</v>
      </c>
      <c r="Q1176" s="2" t="str">
        <f t="shared" si="417"/>
        <v>Old</v>
      </c>
      <c r="R1176">
        <f t="shared" si="418"/>
        <v>1500</v>
      </c>
      <c r="S1176" t="str">
        <f t="shared" si="419"/>
        <v>Small</v>
      </c>
      <c r="T1176" t="str">
        <f t="shared" si="420"/>
        <v>Lower EV Adoption Corridor</v>
      </c>
      <c r="U1176" s="3">
        <f t="shared" si="421"/>
        <v>2475000</v>
      </c>
      <c r="V1176" s="4">
        <f t="shared" si="422"/>
        <v>600000</v>
      </c>
      <c r="W1176" s="3">
        <f t="shared" si="423"/>
        <v>7500000</v>
      </c>
      <c r="X1176" s="3">
        <f t="shared" si="424"/>
        <v>4500000</v>
      </c>
      <c r="Y1176">
        <f t="shared" si="425"/>
        <v>0.3</v>
      </c>
      <c r="Z1176">
        <f t="shared" si="426"/>
        <v>0.75757575757575757</v>
      </c>
      <c r="AA1176" t="str">
        <f t="shared" si="427"/>
        <v>Tier 4 - Stable Network</v>
      </c>
      <c r="AB1176" s="3">
        <f t="shared" si="428"/>
        <v>60000</v>
      </c>
      <c r="AC1176" s="3">
        <f t="shared" si="429"/>
        <v>750000</v>
      </c>
      <c r="AD1176" s="3">
        <f t="shared" si="430"/>
        <v>247500</v>
      </c>
      <c r="AE1176" s="5">
        <f t="shared" si="431"/>
        <v>4</v>
      </c>
      <c r="AF1176" s="10">
        <f t="shared" si="432"/>
        <v>372000</v>
      </c>
      <c r="AG1176" s="10">
        <f t="shared" si="433"/>
        <v>120000</v>
      </c>
      <c r="AH1176" s="10">
        <f t="shared" si="434"/>
        <v>60000</v>
      </c>
      <c r="AI1176" s="10">
        <f t="shared" si="435"/>
        <v>30000</v>
      </c>
      <c r="AJ1176" s="10">
        <f t="shared" si="436"/>
        <v>18000</v>
      </c>
    </row>
    <row r="1177" spans="1:36" x14ac:dyDescent="0.3">
      <c r="A1177" t="s">
        <v>4541</v>
      </c>
      <c r="B1177" t="s">
        <v>4542</v>
      </c>
      <c r="C1177" t="s">
        <v>4543</v>
      </c>
      <c r="D1177" t="s">
        <v>949</v>
      </c>
      <c r="E1177">
        <v>69162</v>
      </c>
      <c r="F1177" t="s">
        <v>15</v>
      </c>
      <c r="G1177">
        <v>8</v>
      </c>
      <c r="H1177">
        <v>150</v>
      </c>
      <c r="I1177" t="str" cm="1">
        <f t="array" ref="I1177">_xlfn.IFS(H1177&lt;=120,"V1",H1177&lt;=150,"V2",H1177&lt;=250,"V3", H1177&lt;=350, "V4")</f>
        <v>V2</v>
      </c>
      <c r="J1177" t="s">
        <v>4544</v>
      </c>
      <c r="K1177" t="str">
        <f t="shared" si="414"/>
        <v>41.115424</v>
      </c>
      <c r="L1177" t="str">
        <f t="shared" si="415"/>
        <v>-102.949694</v>
      </c>
      <c r="M1177">
        <v>1291</v>
      </c>
      <c r="N1177" s="1">
        <v>42865</v>
      </c>
      <c r="O1177" s="1">
        <v>46099</v>
      </c>
      <c r="P1177" s="2">
        <f t="shared" si="416"/>
        <v>8.8542094455852158</v>
      </c>
      <c r="Q1177" s="2" t="str">
        <f t="shared" si="417"/>
        <v>Old</v>
      </c>
      <c r="R1177">
        <f t="shared" si="418"/>
        <v>1200</v>
      </c>
      <c r="S1177" t="str">
        <f t="shared" si="419"/>
        <v>Small</v>
      </c>
      <c r="T1177" t="str">
        <f t="shared" si="420"/>
        <v>Lower EV Adoption Corridor</v>
      </c>
      <c r="U1177" s="3">
        <f t="shared" si="421"/>
        <v>1980000.0000000002</v>
      </c>
      <c r="V1177" s="4">
        <f t="shared" si="422"/>
        <v>480000</v>
      </c>
      <c r="W1177" s="3">
        <f t="shared" si="423"/>
        <v>6000000</v>
      </c>
      <c r="X1177" s="3">
        <f t="shared" si="424"/>
        <v>3600000</v>
      </c>
      <c r="Y1177">
        <f t="shared" si="425"/>
        <v>0.3</v>
      </c>
      <c r="Z1177">
        <f t="shared" si="426"/>
        <v>0.75757575757575757</v>
      </c>
      <c r="AA1177" t="str">
        <f t="shared" si="427"/>
        <v>Tier 4 - Stable Network</v>
      </c>
      <c r="AB1177" s="3">
        <f t="shared" si="428"/>
        <v>60000</v>
      </c>
      <c r="AC1177" s="3">
        <f t="shared" si="429"/>
        <v>750000</v>
      </c>
      <c r="AD1177" s="3">
        <f t="shared" si="430"/>
        <v>247500.00000000003</v>
      </c>
      <c r="AE1177" s="5">
        <f t="shared" si="431"/>
        <v>3.9999999999999996</v>
      </c>
      <c r="AF1177" s="10">
        <f t="shared" si="432"/>
        <v>297600</v>
      </c>
      <c r="AG1177" s="10">
        <f t="shared" si="433"/>
        <v>96000</v>
      </c>
      <c r="AH1177" s="10">
        <f t="shared" si="434"/>
        <v>48000</v>
      </c>
      <c r="AI1177" s="10">
        <f t="shared" si="435"/>
        <v>24000</v>
      </c>
      <c r="AJ1177" s="10">
        <f t="shared" si="436"/>
        <v>14400</v>
      </c>
    </row>
    <row r="1178" spans="1:36" x14ac:dyDescent="0.3">
      <c r="A1178" t="s">
        <v>4545</v>
      </c>
      <c r="B1178" t="s">
        <v>4546</v>
      </c>
      <c r="C1178" t="s">
        <v>4393</v>
      </c>
      <c r="D1178" t="s">
        <v>852</v>
      </c>
      <c r="E1178">
        <v>7310</v>
      </c>
      <c r="F1178" t="s">
        <v>15</v>
      </c>
      <c r="G1178">
        <v>20</v>
      </c>
      <c r="H1178">
        <v>72</v>
      </c>
      <c r="I1178" t="str" cm="1">
        <f t="array" ref="I1178">_xlfn.IFS(H1178&lt;=120,"V1",H1178&lt;=150,"V2",H1178&lt;=250,"V3", H1178&lt;=350, "V4")</f>
        <v>V1</v>
      </c>
      <c r="J1178" t="s">
        <v>4547</v>
      </c>
      <c r="K1178" t="str">
        <f t="shared" si="414"/>
        <v>40.727327</v>
      </c>
      <c r="L1178" t="str">
        <f t="shared" si="415"/>
        <v>-74.039344</v>
      </c>
      <c r="M1178">
        <v>3</v>
      </c>
      <c r="N1178" s="1">
        <v>43154</v>
      </c>
      <c r="O1178" s="1">
        <v>46099</v>
      </c>
      <c r="P1178" s="2">
        <f t="shared" si="416"/>
        <v>8.0629705681040384</v>
      </c>
      <c r="Q1178" s="2" t="str">
        <f t="shared" si="417"/>
        <v>Old</v>
      </c>
      <c r="R1178">
        <f t="shared" si="418"/>
        <v>1440</v>
      </c>
      <c r="S1178" t="str">
        <f t="shared" si="419"/>
        <v>Small</v>
      </c>
      <c r="T1178" t="str">
        <f t="shared" si="420"/>
        <v>High EV Adoption Corridor</v>
      </c>
      <c r="U1178" s="3">
        <f t="shared" si="421"/>
        <v>2808000</v>
      </c>
      <c r="V1178" s="4">
        <f t="shared" si="422"/>
        <v>622080</v>
      </c>
      <c r="W1178" s="3">
        <f t="shared" si="423"/>
        <v>6336000.0000000009</v>
      </c>
      <c r="X1178" s="3">
        <f t="shared" si="424"/>
        <v>5832000</v>
      </c>
      <c r="Y1178">
        <f t="shared" si="425"/>
        <v>0.21530864197530863</v>
      </c>
      <c r="Z1178">
        <f t="shared" si="426"/>
        <v>0.77846153846153843</v>
      </c>
      <c r="AA1178" t="str">
        <f t="shared" si="427"/>
        <v>Tier 3 - Upgrade Pipeline</v>
      </c>
      <c r="AB1178" s="3">
        <f t="shared" si="428"/>
        <v>31104</v>
      </c>
      <c r="AC1178" s="3">
        <f t="shared" si="429"/>
        <v>316800.00000000006</v>
      </c>
      <c r="AD1178" s="3">
        <f t="shared" si="430"/>
        <v>140400</v>
      </c>
      <c r="AE1178" s="5">
        <f t="shared" si="431"/>
        <v>2.8985507246376816</v>
      </c>
      <c r="AF1178" s="10">
        <f t="shared" si="432"/>
        <v>385689.59999999998</v>
      </c>
      <c r="AG1178" s="10">
        <f t="shared" si="433"/>
        <v>124416</v>
      </c>
      <c r="AH1178" s="10">
        <f t="shared" si="434"/>
        <v>62208</v>
      </c>
      <c r="AI1178" s="10">
        <f t="shared" si="435"/>
        <v>31104</v>
      </c>
      <c r="AJ1178" s="10">
        <f t="shared" si="436"/>
        <v>18662.399999999998</v>
      </c>
    </row>
    <row r="1179" spans="1:36" x14ac:dyDescent="0.3">
      <c r="A1179" t="s">
        <v>4548</v>
      </c>
      <c r="B1179" t="s">
        <v>4549</v>
      </c>
      <c r="C1179" t="s">
        <v>4550</v>
      </c>
      <c r="D1179" t="s">
        <v>158</v>
      </c>
      <c r="E1179">
        <v>10994</v>
      </c>
      <c r="F1179" t="s">
        <v>15</v>
      </c>
      <c r="G1179">
        <v>20</v>
      </c>
      <c r="H1179">
        <v>150</v>
      </c>
      <c r="I1179" t="str" cm="1">
        <f t="array" ref="I1179">_xlfn.IFS(H1179&lt;=120,"V1",H1179&lt;=150,"V2",H1179&lt;=250,"V3", H1179&lt;=350, "V4")</f>
        <v>V2</v>
      </c>
      <c r="J1179" t="s">
        <v>4551</v>
      </c>
      <c r="K1179" t="str">
        <f t="shared" si="414"/>
        <v>41.094692</v>
      </c>
      <c r="L1179" t="str">
        <f t="shared" si="415"/>
        <v>-73.955497</v>
      </c>
      <c r="M1179">
        <v>19</v>
      </c>
      <c r="N1179" s="1">
        <v>43662</v>
      </c>
      <c r="O1179" s="1">
        <v>46099</v>
      </c>
      <c r="P1179" s="2">
        <f t="shared" si="416"/>
        <v>6.6721423682409311</v>
      </c>
      <c r="Q1179" s="2" t="str">
        <f t="shared" si="417"/>
        <v>Mid</v>
      </c>
      <c r="R1179">
        <f t="shared" si="418"/>
        <v>3000</v>
      </c>
      <c r="S1179" t="str">
        <f t="shared" si="419"/>
        <v>Small</v>
      </c>
      <c r="T1179" t="str">
        <f t="shared" si="420"/>
        <v>Lower EV Adoption Corridor</v>
      </c>
      <c r="U1179" s="3">
        <f t="shared" si="421"/>
        <v>4950000</v>
      </c>
      <c r="V1179" s="4">
        <f t="shared" si="422"/>
        <v>1200000</v>
      </c>
      <c r="W1179" s="3">
        <f t="shared" si="423"/>
        <v>15000000</v>
      </c>
      <c r="X1179" s="3">
        <f t="shared" si="424"/>
        <v>9000000</v>
      </c>
      <c r="Y1179">
        <f t="shared" si="425"/>
        <v>0.3</v>
      </c>
      <c r="Z1179">
        <f t="shared" si="426"/>
        <v>0.75757575757575757</v>
      </c>
      <c r="AA1179" t="str">
        <f t="shared" si="427"/>
        <v>Tier 4 - Stable Network</v>
      </c>
      <c r="AB1179" s="3">
        <f t="shared" si="428"/>
        <v>60000</v>
      </c>
      <c r="AC1179" s="3">
        <f t="shared" si="429"/>
        <v>750000</v>
      </c>
      <c r="AD1179" s="3">
        <f t="shared" si="430"/>
        <v>247500</v>
      </c>
      <c r="AE1179" s="5">
        <f t="shared" si="431"/>
        <v>4</v>
      </c>
      <c r="AF1179" s="10">
        <f t="shared" si="432"/>
        <v>744000</v>
      </c>
      <c r="AG1179" s="10">
        <f t="shared" si="433"/>
        <v>240000</v>
      </c>
      <c r="AH1179" s="10">
        <f t="shared" si="434"/>
        <v>120000</v>
      </c>
      <c r="AI1179" s="10">
        <f t="shared" si="435"/>
        <v>60000</v>
      </c>
      <c r="AJ1179" s="10">
        <f t="shared" si="436"/>
        <v>36000</v>
      </c>
    </row>
    <row r="1180" spans="1:36" x14ac:dyDescent="0.3">
      <c r="A1180" t="s">
        <v>4552</v>
      </c>
      <c r="B1180" t="s">
        <v>4553</v>
      </c>
      <c r="C1180" t="s">
        <v>3973</v>
      </c>
      <c r="D1180" t="s">
        <v>316</v>
      </c>
      <c r="E1180">
        <v>97138</v>
      </c>
      <c r="F1180" t="s">
        <v>15</v>
      </c>
      <c r="G1180">
        <v>8</v>
      </c>
      <c r="H1180">
        <v>150</v>
      </c>
      <c r="I1180" t="str" cm="1">
        <f t="array" ref="I1180">_xlfn.IFS(H1180&lt;=120,"V1",H1180&lt;=150,"V2",H1180&lt;=250,"V3", H1180&lt;=350, "V4")</f>
        <v>V2</v>
      </c>
      <c r="J1180" t="s">
        <v>4554</v>
      </c>
      <c r="K1180" t="str">
        <f t="shared" si="414"/>
        <v>46.00101</v>
      </c>
      <c r="L1180" t="str">
        <f t="shared" si="415"/>
        <v>-123.91683</v>
      </c>
      <c r="M1180">
        <v>5</v>
      </c>
      <c r="N1180" s="1">
        <v>42552</v>
      </c>
      <c r="O1180" s="1">
        <v>46099</v>
      </c>
      <c r="P1180" s="2">
        <f t="shared" si="416"/>
        <v>9.7111567419575628</v>
      </c>
      <c r="Q1180" s="2" t="str">
        <f t="shared" si="417"/>
        <v>Old</v>
      </c>
      <c r="R1180">
        <f t="shared" si="418"/>
        <v>1200</v>
      </c>
      <c r="S1180" t="str">
        <f t="shared" si="419"/>
        <v>Small</v>
      </c>
      <c r="T1180" t="str">
        <f t="shared" si="420"/>
        <v>Lower EV Adoption Corridor</v>
      </c>
      <c r="U1180" s="3">
        <f t="shared" si="421"/>
        <v>1980000.0000000002</v>
      </c>
      <c r="V1180" s="4">
        <f t="shared" si="422"/>
        <v>480000</v>
      </c>
      <c r="W1180" s="3">
        <f t="shared" si="423"/>
        <v>6000000</v>
      </c>
      <c r="X1180" s="3">
        <f t="shared" si="424"/>
        <v>3600000</v>
      </c>
      <c r="Y1180">
        <f t="shared" si="425"/>
        <v>0.3</v>
      </c>
      <c r="Z1180">
        <f t="shared" si="426"/>
        <v>0.75757575757575757</v>
      </c>
      <c r="AA1180" t="str">
        <f t="shared" si="427"/>
        <v>Tier 4 - Stable Network</v>
      </c>
      <c r="AB1180" s="3">
        <f t="shared" si="428"/>
        <v>60000</v>
      </c>
      <c r="AC1180" s="3">
        <f t="shared" si="429"/>
        <v>750000</v>
      </c>
      <c r="AD1180" s="3">
        <f t="shared" si="430"/>
        <v>247500.00000000003</v>
      </c>
      <c r="AE1180" s="5">
        <f t="shared" si="431"/>
        <v>3.9999999999999996</v>
      </c>
      <c r="AF1180" s="10">
        <f t="shared" si="432"/>
        <v>297600</v>
      </c>
      <c r="AG1180" s="10">
        <f t="shared" si="433"/>
        <v>96000</v>
      </c>
      <c r="AH1180" s="10">
        <f t="shared" si="434"/>
        <v>48000</v>
      </c>
      <c r="AI1180" s="10">
        <f t="shared" si="435"/>
        <v>24000</v>
      </c>
      <c r="AJ1180" s="10">
        <f t="shared" si="436"/>
        <v>14400</v>
      </c>
    </row>
    <row r="1181" spans="1:36" x14ac:dyDescent="0.3">
      <c r="A1181" t="s">
        <v>4555</v>
      </c>
      <c r="B1181" t="s">
        <v>4556</v>
      </c>
      <c r="C1181" t="s">
        <v>4557</v>
      </c>
      <c r="D1181" t="s">
        <v>299</v>
      </c>
      <c r="E1181">
        <v>20152</v>
      </c>
      <c r="F1181" t="s">
        <v>15</v>
      </c>
      <c r="G1181">
        <v>8</v>
      </c>
      <c r="H1181">
        <v>250</v>
      </c>
      <c r="I1181" t="str" cm="1">
        <f t="array" ref="I1181">_xlfn.IFS(H1181&lt;=120,"V1",H1181&lt;=150,"V2",H1181&lt;=250,"V3", H1181&lt;=350, "V4")</f>
        <v>V3</v>
      </c>
      <c r="J1181" t="s">
        <v>4558</v>
      </c>
      <c r="K1181" t="str">
        <f t="shared" si="414"/>
        <v>38.9137222</v>
      </c>
      <c r="L1181" t="str">
        <f t="shared" si="415"/>
        <v>-77.4869722</v>
      </c>
      <c r="M1181">
        <v>95</v>
      </c>
      <c r="N1181" s="1">
        <v>44027</v>
      </c>
      <c r="O1181" s="1">
        <v>46099</v>
      </c>
      <c r="P1181" s="2">
        <f t="shared" si="416"/>
        <v>5.6728268309377139</v>
      </c>
      <c r="Q1181" s="2" t="str">
        <f t="shared" si="417"/>
        <v>Mid</v>
      </c>
      <c r="R1181">
        <f t="shared" si="418"/>
        <v>2000</v>
      </c>
      <c r="S1181" t="str">
        <f t="shared" si="419"/>
        <v>Small</v>
      </c>
      <c r="T1181" t="str">
        <f t="shared" si="420"/>
        <v>Lower EV Adoption Corridor</v>
      </c>
      <c r="U1181" s="3">
        <f t="shared" si="421"/>
        <v>3600000</v>
      </c>
      <c r="V1181" s="4">
        <f t="shared" si="422"/>
        <v>880000.00000000012</v>
      </c>
      <c r="W1181" s="3">
        <f t="shared" si="423"/>
        <v>12000000</v>
      </c>
      <c r="X1181" s="3">
        <f t="shared" si="424"/>
        <v>6600000.0000000009</v>
      </c>
      <c r="Y1181">
        <f t="shared" si="425"/>
        <v>0.31515151515151513</v>
      </c>
      <c r="Z1181">
        <f t="shared" si="426"/>
        <v>0.75555555555555554</v>
      </c>
      <c r="AA1181" t="str">
        <f t="shared" si="427"/>
        <v>Tier 2 - Growth Markets</v>
      </c>
      <c r="AB1181" s="3">
        <f t="shared" si="428"/>
        <v>110000.00000000001</v>
      </c>
      <c r="AC1181" s="3">
        <f t="shared" si="429"/>
        <v>1500000</v>
      </c>
      <c r="AD1181" s="3">
        <f t="shared" si="430"/>
        <v>450000</v>
      </c>
      <c r="AE1181" s="5">
        <f t="shared" si="431"/>
        <v>4.4117647058823533</v>
      </c>
      <c r="AF1181" s="10">
        <f t="shared" si="432"/>
        <v>545600.00000000012</v>
      </c>
      <c r="AG1181" s="10">
        <f t="shared" si="433"/>
        <v>176000.00000000003</v>
      </c>
      <c r="AH1181" s="10">
        <f t="shared" si="434"/>
        <v>88000.000000000015</v>
      </c>
      <c r="AI1181" s="10">
        <f t="shared" si="435"/>
        <v>44000.000000000007</v>
      </c>
      <c r="AJ1181" s="10">
        <f t="shared" si="436"/>
        <v>26400.000000000004</v>
      </c>
    </row>
    <row r="1182" spans="1:36" x14ac:dyDescent="0.3">
      <c r="A1182" t="s">
        <v>4559</v>
      </c>
      <c r="B1182" t="s">
        <v>4560</v>
      </c>
      <c r="C1182" t="s">
        <v>4561</v>
      </c>
      <c r="D1182" t="s">
        <v>50</v>
      </c>
      <c r="E1182">
        <v>76651</v>
      </c>
      <c r="F1182" t="s">
        <v>15</v>
      </c>
      <c r="G1182">
        <v>10</v>
      </c>
      <c r="H1182">
        <v>150</v>
      </c>
      <c r="I1182" t="str" cm="1">
        <f t="array" ref="I1182">_xlfn.IFS(H1182&lt;=120,"V1",H1182&lt;=150,"V2",H1182&lt;=250,"V3", H1182&lt;=350, "V4")</f>
        <v>V2</v>
      </c>
      <c r="J1182" t="s">
        <v>4562</v>
      </c>
      <c r="K1182" t="str">
        <f t="shared" si="414"/>
        <v>32.194947</v>
      </c>
      <c r="L1182" t="str">
        <f t="shared" si="415"/>
        <v>-96.89875</v>
      </c>
      <c r="M1182">
        <v>182</v>
      </c>
      <c r="N1182" s="1">
        <v>43003</v>
      </c>
      <c r="O1182" s="1">
        <v>46099</v>
      </c>
      <c r="P1182" s="2">
        <f t="shared" si="416"/>
        <v>8.4763860369609851</v>
      </c>
      <c r="Q1182" s="2" t="str">
        <f t="shared" si="417"/>
        <v>Old</v>
      </c>
      <c r="R1182">
        <f t="shared" si="418"/>
        <v>1500</v>
      </c>
      <c r="S1182" t="str">
        <f t="shared" si="419"/>
        <v>Small</v>
      </c>
      <c r="T1182" t="str">
        <f t="shared" si="420"/>
        <v>High EV Adoption Corridor</v>
      </c>
      <c r="U1182" s="3">
        <f t="shared" si="421"/>
        <v>3217500</v>
      </c>
      <c r="V1182" s="4">
        <f t="shared" si="422"/>
        <v>720000</v>
      </c>
      <c r="W1182" s="3">
        <f t="shared" si="423"/>
        <v>8250000.0000000009</v>
      </c>
      <c r="X1182" s="3">
        <f t="shared" si="424"/>
        <v>6750000</v>
      </c>
      <c r="Y1182">
        <f t="shared" si="425"/>
        <v>0.22888888888888889</v>
      </c>
      <c r="Z1182">
        <f t="shared" si="426"/>
        <v>0.77622377622377625</v>
      </c>
      <c r="AA1182" t="str">
        <f t="shared" si="427"/>
        <v>Tier 3 - Upgrade Pipeline</v>
      </c>
      <c r="AB1182" s="3">
        <f t="shared" si="428"/>
        <v>72000</v>
      </c>
      <c r="AC1182" s="3">
        <f t="shared" si="429"/>
        <v>825000.00000000012</v>
      </c>
      <c r="AD1182" s="3">
        <f t="shared" si="430"/>
        <v>321750</v>
      </c>
      <c r="AE1182" s="5">
        <f t="shared" si="431"/>
        <v>3.3033033033033035</v>
      </c>
      <c r="AF1182" s="10">
        <f t="shared" si="432"/>
        <v>446400</v>
      </c>
      <c r="AG1182" s="10">
        <f t="shared" si="433"/>
        <v>144000</v>
      </c>
      <c r="AH1182" s="10">
        <f t="shared" si="434"/>
        <v>72000</v>
      </c>
      <c r="AI1182" s="10">
        <f t="shared" si="435"/>
        <v>36000</v>
      </c>
      <c r="AJ1182" s="10">
        <f t="shared" si="436"/>
        <v>21600</v>
      </c>
    </row>
    <row r="1183" spans="1:36" x14ac:dyDescent="0.3">
      <c r="A1183" t="s">
        <v>4563</v>
      </c>
      <c r="B1183" t="s">
        <v>4564</v>
      </c>
      <c r="C1183" t="s">
        <v>4565</v>
      </c>
      <c r="D1183" t="s">
        <v>852</v>
      </c>
      <c r="E1183">
        <v>8067</v>
      </c>
      <c r="F1183" t="s">
        <v>15</v>
      </c>
      <c r="G1183">
        <v>8</v>
      </c>
      <c r="H1183">
        <v>250</v>
      </c>
      <c r="I1183" t="str" cm="1">
        <f t="array" ref="I1183">_xlfn.IFS(H1183&lt;=120,"V1",H1183&lt;=150,"V2",H1183&lt;=250,"V3", H1183&lt;=350, "V4")</f>
        <v>V3</v>
      </c>
      <c r="J1183" t="s">
        <v>4566</v>
      </c>
      <c r="K1183" t="str">
        <f t="shared" si="414"/>
        <v>39.696093</v>
      </c>
      <c r="L1183" t="str">
        <f t="shared" si="415"/>
        <v>-75.395823</v>
      </c>
      <c r="M1183">
        <v>14</v>
      </c>
      <c r="N1183" s="1">
        <v>44285</v>
      </c>
      <c r="O1183" s="1">
        <v>46099</v>
      </c>
      <c r="P1183" s="2">
        <f t="shared" si="416"/>
        <v>4.9664613278576315</v>
      </c>
      <c r="Q1183" s="2" t="str">
        <f t="shared" si="417"/>
        <v>Mid</v>
      </c>
      <c r="R1183">
        <f t="shared" si="418"/>
        <v>2000</v>
      </c>
      <c r="S1183" t="str">
        <f t="shared" si="419"/>
        <v>Small</v>
      </c>
      <c r="T1183" t="str">
        <f t="shared" si="420"/>
        <v>High EV Adoption Corridor</v>
      </c>
      <c r="U1183" s="3">
        <f t="shared" si="421"/>
        <v>4680000</v>
      </c>
      <c r="V1183" s="4">
        <f t="shared" si="422"/>
        <v>1056000</v>
      </c>
      <c r="W1183" s="3">
        <f t="shared" si="423"/>
        <v>13200000.000000002</v>
      </c>
      <c r="X1183" s="3">
        <f t="shared" si="424"/>
        <v>9900000.0000000019</v>
      </c>
      <c r="Y1183">
        <f t="shared" si="425"/>
        <v>0.23999999999999996</v>
      </c>
      <c r="Z1183">
        <f t="shared" si="426"/>
        <v>0.77435897435897438</v>
      </c>
      <c r="AA1183" t="str">
        <f t="shared" si="427"/>
        <v>Tier 1 - Priority Fleet</v>
      </c>
      <c r="AB1183" s="3">
        <f t="shared" si="428"/>
        <v>132000</v>
      </c>
      <c r="AC1183" s="3">
        <f t="shared" si="429"/>
        <v>1650000.0000000002</v>
      </c>
      <c r="AD1183" s="3">
        <f t="shared" si="430"/>
        <v>585000</v>
      </c>
      <c r="AE1183" s="5">
        <f t="shared" si="431"/>
        <v>3.6423841059602653</v>
      </c>
      <c r="AF1183" s="10">
        <f t="shared" si="432"/>
        <v>654720</v>
      </c>
      <c r="AG1183" s="10">
        <f t="shared" si="433"/>
        <v>211200</v>
      </c>
      <c r="AH1183" s="10">
        <f t="shared" si="434"/>
        <v>105600</v>
      </c>
      <c r="AI1183" s="10">
        <f t="shared" si="435"/>
        <v>52800</v>
      </c>
      <c r="AJ1183" s="10">
        <f t="shared" si="436"/>
        <v>31680</v>
      </c>
    </row>
    <row r="1184" spans="1:36" x14ac:dyDescent="0.3">
      <c r="A1184" t="s">
        <v>4567</v>
      </c>
      <c r="B1184" t="s">
        <v>4568</v>
      </c>
      <c r="C1184" t="s">
        <v>4569</v>
      </c>
      <c r="D1184" t="s">
        <v>14</v>
      </c>
      <c r="E1184">
        <v>90069</v>
      </c>
      <c r="F1184" t="s">
        <v>15</v>
      </c>
      <c r="G1184">
        <v>8</v>
      </c>
      <c r="H1184">
        <v>250</v>
      </c>
      <c r="I1184" t="str" cm="1">
        <f t="array" ref="I1184">_xlfn.IFS(H1184&lt;=120,"V1",H1184&lt;=150,"V2",H1184&lt;=250,"V3", H1184&lt;=350, "V4")</f>
        <v>V3</v>
      </c>
      <c r="J1184" t="s">
        <v>4570</v>
      </c>
      <c r="K1184" t="str">
        <f t="shared" si="414"/>
        <v>34.091635</v>
      </c>
      <c r="L1184" t="str">
        <f t="shared" si="415"/>
        <v>-118.382241</v>
      </c>
      <c r="M1184">
        <v>109</v>
      </c>
      <c r="N1184" s="1">
        <v>44806</v>
      </c>
      <c r="O1184" s="1">
        <v>46099</v>
      </c>
      <c r="P1184" s="2">
        <f t="shared" si="416"/>
        <v>3.5400410677618068</v>
      </c>
      <c r="Q1184" s="2" t="str">
        <f t="shared" si="417"/>
        <v>Mid</v>
      </c>
      <c r="R1184">
        <f t="shared" si="418"/>
        <v>2000</v>
      </c>
      <c r="S1184" t="str">
        <f t="shared" si="419"/>
        <v>Small</v>
      </c>
      <c r="T1184" t="str">
        <f t="shared" si="420"/>
        <v>High EV Adoption Corridor</v>
      </c>
      <c r="U1184" s="3">
        <f t="shared" si="421"/>
        <v>4680000</v>
      </c>
      <c r="V1184" s="4">
        <f t="shared" si="422"/>
        <v>1056000</v>
      </c>
      <c r="W1184" s="3">
        <f t="shared" si="423"/>
        <v>13200000.000000002</v>
      </c>
      <c r="X1184" s="3">
        <f t="shared" si="424"/>
        <v>9900000.0000000019</v>
      </c>
      <c r="Y1184">
        <f t="shared" si="425"/>
        <v>0.23999999999999996</v>
      </c>
      <c r="Z1184">
        <f t="shared" si="426"/>
        <v>0.77435897435897438</v>
      </c>
      <c r="AA1184" t="str">
        <f t="shared" si="427"/>
        <v>Tier 1 - Priority Fleet</v>
      </c>
      <c r="AB1184" s="3">
        <f t="shared" si="428"/>
        <v>132000</v>
      </c>
      <c r="AC1184" s="3">
        <f t="shared" si="429"/>
        <v>1650000.0000000002</v>
      </c>
      <c r="AD1184" s="3">
        <f t="shared" si="430"/>
        <v>585000</v>
      </c>
      <c r="AE1184" s="5">
        <f t="shared" si="431"/>
        <v>3.6423841059602653</v>
      </c>
      <c r="AF1184" s="10">
        <f t="shared" si="432"/>
        <v>654720</v>
      </c>
      <c r="AG1184" s="10">
        <f t="shared" si="433"/>
        <v>211200</v>
      </c>
      <c r="AH1184" s="10">
        <f t="shared" si="434"/>
        <v>105600</v>
      </c>
      <c r="AI1184" s="10">
        <f t="shared" si="435"/>
        <v>52800</v>
      </c>
      <c r="AJ1184" s="10">
        <f t="shared" si="436"/>
        <v>31680</v>
      </c>
    </row>
    <row r="1185" spans="1:36" x14ac:dyDescent="0.3">
      <c r="A1185" t="s">
        <v>4571</v>
      </c>
      <c r="B1185" t="s">
        <v>4572</v>
      </c>
      <c r="C1185" t="s">
        <v>4573</v>
      </c>
      <c r="D1185" t="s">
        <v>158</v>
      </c>
      <c r="E1185">
        <v>11706</v>
      </c>
      <c r="F1185" t="s">
        <v>15</v>
      </c>
      <c r="G1185">
        <v>12</v>
      </c>
      <c r="H1185">
        <v>250</v>
      </c>
      <c r="I1185" t="str" cm="1">
        <f t="array" ref="I1185">_xlfn.IFS(H1185&lt;=120,"V1",H1185&lt;=150,"V2",H1185&lt;=250,"V3", H1185&lt;=350, "V4")</f>
        <v>V3</v>
      </c>
      <c r="J1185" t="s">
        <v>4574</v>
      </c>
      <c r="K1185" t="str">
        <f t="shared" si="414"/>
        <v>40.727358</v>
      </c>
      <c r="L1185" t="str">
        <f t="shared" si="415"/>
        <v>-73.276843</v>
      </c>
      <c r="M1185">
        <v>11</v>
      </c>
      <c r="N1185" s="1">
        <v>44891</v>
      </c>
      <c r="O1185" s="1">
        <v>46099</v>
      </c>
      <c r="P1185" s="2">
        <f t="shared" si="416"/>
        <v>3.3073237508555784</v>
      </c>
      <c r="Q1185" s="2" t="str">
        <f t="shared" si="417"/>
        <v>Mid</v>
      </c>
      <c r="R1185">
        <f t="shared" si="418"/>
        <v>3000</v>
      </c>
      <c r="S1185" t="str">
        <f t="shared" si="419"/>
        <v>Small</v>
      </c>
      <c r="T1185" t="str">
        <f t="shared" si="420"/>
        <v>Lower EV Adoption Corridor</v>
      </c>
      <c r="U1185" s="3">
        <f t="shared" si="421"/>
        <v>5400000</v>
      </c>
      <c r="V1185" s="4">
        <f t="shared" si="422"/>
        <v>1320000</v>
      </c>
      <c r="W1185" s="3">
        <f t="shared" si="423"/>
        <v>18000000</v>
      </c>
      <c r="X1185" s="3">
        <f t="shared" si="424"/>
        <v>9900000</v>
      </c>
      <c r="Y1185">
        <f t="shared" si="425"/>
        <v>0.31515151515151513</v>
      </c>
      <c r="Z1185">
        <f t="shared" si="426"/>
        <v>0.75555555555555554</v>
      </c>
      <c r="AA1185" t="str">
        <f t="shared" si="427"/>
        <v>Tier 2 - Growth Markets</v>
      </c>
      <c r="AB1185" s="3">
        <f t="shared" si="428"/>
        <v>110000</v>
      </c>
      <c r="AC1185" s="3">
        <f t="shared" si="429"/>
        <v>1500000</v>
      </c>
      <c r="AD1185" s="3">
        <f t="shared" si="430"/>
        <v>450000</v>
      </c>
      <c r="AE1185" s="5">
        <f t="shared" si="431"/>
        <v>4.4117647058823533</v>
      </c>
      <c r="AF1185" s="10">
        <f t="shared" si="432"/>
        <v>818400</v>
      </c>
      <c r="AG1185" s="10">
        <f t="shared" si="433"/>
        <v>264000</v>
      </c>
      <c r="AH1185" s="10">
        <f t="shared" si="434"/>
        <v>132000</v>
      </c>
      <c r="AI1185" s="10">
        <f t="shared" si="435"/>
        <v>66000</v>
      </c>
      <c r="AJ1185" s="10">
        <f t="shared" si="436"/>
        <v>39600</v>
      </c>
    </row>
    <row r="1186" spans="1:36" x14ac:dyDescent="0.3">
      <c r="A1186" t="s">
        <v>4575</v>
      </c>
      <c r="B1186" t="s">
        <v>4576</v>
      </c>
      <c r="C1186" t="s">
        <v>1316</v>
      </c>
      <c r="D1186" t="s">
        <v>321</v>
      </c>
      <c r="E1186">
        <v>2141</v>
      </c>
      <c r="F1186" t="s">
        <v>15</v>
      </c>
      <c r="G1186">
        <v>8</v>
      </c>
      <c r="H1186">
        <v>72</v>
      </c>
      <c r="I1186" t="str" cm="1">
        <f t="array" ref="I1186">_xlfn.IFS(H1186&lt;=120,"V1",H1186&lt;=150,"V2",H1186&lt;=250,"V3", H1186&lt;=350, "V4")</f>
        <v>V1</v>
      </c>
      <c r="J1186" t="s">
        <v>4577</v>
      </c>
      <c r="K1186" t="str">
        <f t="shared" si="414"/>
        <v>42.368483</v>
      </c>
      <c r="L1186" t="str">
        <f t="shared" si="415"/>
        <v>-71.076189</v>
      </c>
      <c r="M1186">
        <v>1</v>
      </c>
      <c r="N1186" s="1">
        <v>43098</v>
      </c>
      <c r="O1186" s="1">
        <v>46099</v>
      </c>
      <c r="P1186" s="2">
        <f t="shared" si="416"/>
        <v>8.216290212183436</v>
      </c>
      <c r="Q1186" s="2" t="str">
        <f t="shared" si="417"/>
        <v>Old</v>
      </c>
      <c r="R1186">
        <f t="shared" si="418"/>
        <v>576</v>
      </c>
      <c r="S1186" t="str">
        <f t="shared" si="419"/>
        <v>Small</v>
      </c>
      <c r="T1186" t="str">
        <f t="shared" si="420"/>
        <v>Lower EV Adoption Corridor</v>
      </c>
      <c r="U1186" s="3">
        <f t="shared" si="421"/>
        <v>864000</v>
      </c>
      <c r="V1186" s="4">
        <f t="shared" si="422"/>
        <v>207360</v>
      </c>
      <c r="W1186" s="3">
        <f t="shared" si="423"/>
        <v>2304000</v>
      </c>
      <c r="X1186" s="3">
        <f t="shared" si="424"/>
        <v>1555200</v>
      </c>
      <c r="Y1186">
        <f t="shared" si="425"/>
        <v>0.2814814814814815</v>
      </c>
      <c r="Z1186">
        <f t="shared" si="426"/>
        <v>0.76</v>
      </c>
      <c r="AA1186" t="str">
        <f t="shared" si="427"/>
        <v>Tier 5 - Retirement Pipeline</v>
      </c>
      <c r="AB1186" s="3">
        <f t="shared" si="428"/>
        <v>25920</v>
      </c>
      <c r="AC1186" s="3">
        <f t="shared" si="429"/>
        <v>288000</v>
      </c>
      <c r="AD1186" s="3">
        <f t="shared" si="430"/>
        <v>108000</v>
      </c>
      <c r="AE1186" s="5">
        <f t="shared" si="431"/>
        <v>3.5087719298245612</v>
      </c>
      <c r="AF1186" s="10">
        <f t="shared" si="432"/>
        <v>128563.2</v>
      </c>
      <c r="AG1186" s="10">
        <f t="shared" si="433"/>
        <v>41472</v>
      </c>
      <c r="AH1186" s="10">
        <f t="shared" si="434"/>
        <v>20736</v>
      </c>
      <c r="AI1186" s="10">
        <f t="shared" si="435"/>
        <v>10368</v>
      </c>
      <c r="AJ1186" s="10">
        <f t="shared" si="436"/>
        <v>6220.8</v>
      </c>
    </row>
    <row r="1187" spans="1:36" x14ac:dyDescent="0.3">
      <c r="A1187" t="s">
        <v>4578</v>
      </c>
      <c r="B1187" t="s">
        <v>4579</v>
      </c>
      <c r="C1187" t="s">
        <v>4580</v>
      </c>
      <c r="D1187" t="s">
        <v>630</v>
      </c>
      <c r="E1187">
        <v>48108</v>
      </c>
      <c r="F1187" t="s">
        <v>15</v>
      </c>
      <c r="G1187">
        <v>8</v>
      </c>
      <c r="H1187">
        <v>150</v>
      </c>
      <c r="I1187" t="str" cm="1">
        <f t="array" ref="I1187">_xlfn.IFS(H1187&lt;=120,"V1",H1187&lt;=150,"V2",H1187&lt;=250,"V3", H1187&lt;=350, "V4")</f>
        <v>V2</v>
      </c>
      <c r="J1187" t="s">
        <v>4581</v>
      </c>
      <c r="K1187" t="str">
        <f t="shared" si="414"/>
        <v>42.240687</v>
      </c>
      <c r="L1187" t="str">
        <f t="shared" si="415"/>
        <v>-83.766265</v>
      </c>
      <c r="M1187">
        <v>282</v>
      </c>
      <c r="N1187" s="1">
        <v>42236</v>
      </c>
      <c r="O1187" s="1">
        <v>46099</v>
      </c>
      <c r="P1187" s="2">
        <f t="shared" si="416"/>
        <v>10.576317590691307</v>
      </c>
      <c r="Q1187" s="2" t="str">
        <f t="shared" si="417"/>
        <v>Old</v>
      </c>
      <c r="R1187">
        <f t="shared" si="418"/>
        <v>1200</v>
      </c>
      <c r="S1187" t="str">
        <f t="shared" si="419"/>
        <v>Small</v>
      </c>
      <c r="T1187" t="str">
        <f t="shared" si="420"/>
        <v>Lower EV Adoption Corridor</v>
      </c>
      <c r="U1187" s="3">
        <f t="shared" si="421"/>
        <v>1980000.0000000002</v>
      </c>
      <c r="V1187" s="4">
        <f t="shared" si="422"/>
        <v>480000</v>
      </c>
      <c r="W1187" s="3">
        <f t="shared" si="423"/>
        <v>6000000</v>
      </c>
      <c r="X1187" s="3">
        <f t="shared" si="424"/>
        <v>3600000</v>
      </c>
      <c r="Y1187">
        <f t="shared" si="425"/>
        <v>0.3</v>
      </c>
      <c r="Z1187">
        <f t="shared" si="426"/>
        <v>0.75757575757575757</v>
      </c>
      <c r="AA1187" t="str">
        <f t="shared" si="427"/>
        <v>Tier 4 - Stable Network</v>
      </c>
      <c r="AB1187" s="3">
        <f t="shared" si="428"/>
        <v>60000</v>
      </c>
      <c r="AC1187" s="3">
        <f t="shared" si="429"/>
        <v>750000</v>
      </c>
      <c r="AD1187" s="3">
        <f t="shared" si="430"/>
        <v>247500.00000000003</v>
      </c>
      <c r="AE1187" s="5">
        <f t="shared" si="431"/>
        <v>3.9999999999999996</v>
      </c>
      <c r="AF1187" s="10">
        <f t="shared" si="432"/>
        <v>297600</v>
      </c>
      <c r="AG1187" s="10">
        <f t="shared" si="433"/>
        <v>96000</v>
      </c>
      <c r="AH1187" s="10">
        <f t="shared" si="434"/>
        <v>48000</v>
      </c>
      <c r="AI1187" s="10">
        <f t="shared" si="435"/>
        <v>24000</v>
      </c>
      <c r="AJ1187" s="10">
        <f t="shared" si="436"/>
        <v>14400</v>
      </c>
    </row>
    <row r="1188" spans="1:36" x14ac:dyDescent="0.3">
      <c r="A1188" t="s">
        <v>4582</v>
      </c>
      <c r="B1188" t="s">
        <v>4583</v>
      </c>
      <c r="C1188" t="s">
        <v>4584</v>
      </c>
      <c r="D1188" t="s">
        <v>14</v>
      </c>
      <c r="E1188">
        <v>93420</v>
      </c>
      <c r="F1188" t="s">
        <v>15</v>
      </c>
      <c r="G1188">
        <v>8</v>
      </c>
      <c r="H1188">
        <v>250</v>
      </c>
      <c r="I1188" t="str" cm="1">
        <f t="array" ref="I1188">_xlfn.IFS(H1188&lt;=120,"V1",H1188&lt;=150,"V2",H1188&lt;=250,"V3", H1188&lt;=350, "V4")</f>
        <v>V3</v>
      </c>
      <c r="J1188" t="s">
        <v>4585</v>
      </c>
      <c r="K1188" t="str">
        <f t="shared" si="414"/>
        <v>35.126833</v>
      </c>
      <c r="L1188" t="str">
        <f t="shared" si="415"/>
        <v>-120.595972</v>
      </c>
      <c r="M1188">
        <v>56</v>
      </c>
      <c r="N1188" s="1">
        <v>44370</v>
      </c>
      <c r="O1188" s="1">
        <v>46099</v>
      </c>
      <c r="P1188" s="2">
        <f t="shared" si="416"/>
        <v>4.7337440109514031</v>
      </c>
      <c r="Q1188" s="2" t="str">
        <f t="shared" si="417"/>
        <v>Mid</v>
      </c>
      <c r="R1188">
        <f t="shared" si="418"/>
        <v>2000</v>
      </c>
      <c r="S1188" t="str">
        <f t="shared" si="419"/>
        <v>Small</v>
      </c>
      <c r="T1188" t="str">
        <f t="shared" si="420"/>
        <v>High EV Adoption Corridor</v>
      </c>
      <c r="U1188" s="3">
        <f t="shared" si="421"/>
        <v>4680000</v>
      </c>
      <c r="V1188" s="4">
        <f t="shared" si="422"/>
        <v>1056000</v>
      </c>
      <c r="W1188" s="3">
        <f t="shared" si="423"/>
        <v>13200000.000000002</v>
      </c>
      <c r="X1188" s="3">
        <f t="shared" si="424"/>
        <v>9900000.0000000019</v>
      </c>
      <c r="Y1188">
        <f t="shared" si="425"/>
        <v>0.23999999999999996</v>
      </c>
      <c r="Z1188">
        <f t="shared" si="426"/>
        <v>0.77435897435897438</v>
      </c>
      <c r="AA1188" t="str">
        <f t="shared" si="427"/>
        <v>Tier 1 - Priority Fleet</v>
      </c>
      <c r="AB1188" s="3">
        <f t="shared" si="428"/>
        <v>132000</v>
      </c>
      <c r="AC1188" s="3">
        <f t="shared" si="429"/>
        <v>1650000.0000000002</v>
      </c>
      <c r="AD1188" s="3">
        <f t="shared" si="430"/>
        <v>585000</v>
      </c>
      <c r="AE1188" s="5">
        <f t="shared" si="431"/>
        <v>3.6423841059602653</v>
      </c>
      <c r="AF1188" s="10">
        <f t="shared" si="432"/>
        <v>654720</v>
      </c>
      <c r="AG1188" s="10">
        <f t="shared" si="433"/>
        <v>211200</v>
      </c>
      <c r="AH1188" s="10">
        <f t="shared" si="434"/>
        <v>105600</v>
      </c>
      <c r="AI1188" s="10">
        <f t="shared" si="435"/>
        <v>52800</v>
      </c>
      <c r="AJ1188" s="10">
        <f t="shared" si="436"/>
        <v>31680</v>
      </c>
    </row>
    <row r="1189" spans="1:36" x14ac:dyDescent="0.3">
      <c r="A1189" t="s">
        <v>4586</v>
      </c>
      <c r="B1189" t="s">
        <v>4587</v>
      </c>
      <c r="C1189" t="s">
        <v>4588</v>
      </c>
      <c r="D1189" t="s">
        <v>14</v>
      </c>
      <c r="E1189">
        <v>93454</v>
      </c>
      <c r="F1189" t="s">
        <v>15</v>
      </c>
      <c r="G1189">
        <v>20</v>
      </c>
      <c r="H1189">
        <v>250</v>
      </c>
      <c r="I1189" t="str" cm="1">
        <f t="array" ref="I1189">_xlfn.IFS(H1189&lt;=120,"V1",H1189&lt;=150,"V2",H1189&lt;=250,"V3", H1189&lt;=350, "V4")</f>
        <v>V3</v>
      </c>
      <c r="J1189" t="s">
        <v>4589</v>
      </c>
      <c r="K1189" t="str">
        <f t="shared" si="414"/>
        <v>34.952928</v>
      </c>
      <c r="L1189" t="str">
        <f t="shared" si="415"/>
        <v>-120.434555</v>
      </c>
      <c r="M1189">
        <v>67</v>
      </c>
      <c r="N1189" s="1">
        <v>44699</v>
      </c>
      <c r="O1189" s="1">
        <v>46099</v>
      </c>
      <c r="P1189" s="2">
        <f t="shared" si="416"/>
        <v>3.8329911019849416</v>
      </c>
      <c r="Q1189" s="2" t="str">
        <f t="shared" si="417"/>
        <v>Mid</v>
      </c>
      <c r="R1189">
        <f t="shared" si="418"/>
        <v>5000</v>
      </c>
      <c r="S1189" t="str">
        <f t="shared" si="419"/>
        <v>Small</v>
      </c>
      <c r="T1189" t="str">
        <f t="shared" si="420"/>
        <v>High EV Adoption Corridor</v>
      </c>
      <c r="U1189" s="3">
        <f t="shared" si="421"/>
        <v>11700000</v>
      </c>
      <c r="V1189" s="4">
        <f t="shared" si="422"/>
        <v>2640000</v>
      </c>
      <c r="W1189" s="3">
        <f t="shared" si="423"/>
        <v>33000000.000000004</v>
      </c>
      <c r="X1189" s="3">
        <f t="shared" si="424"/>
        <v>24750000.000000004</v>
      </c>
      <c r="Y1189">
        <f t="shared" si="425"/>
        <v>0.23999999999999996</v>
      </c>
      <c r="Z1189">
        <f t="shared" si="426"/>
        <v>0.77435897435897438</v>
      </c>
      <c r="AA1189" t="str">
        <f t="shared" si="427"/>
        <v>Tier 1 - Priority Fleet</v>
      </c>
      <c r="AB1189" s="3">
        <f t="shared" si="428"/>
        <v>132000</v>
      </c>
      <c r="AC1189" s="3">
        <f t="shared" si="429"/>
        <v>1650000.0000000002</v>
      </c>
      <c r="AD1189" s="3">
        <f t="shared" si="430"/>
        <v>585000</v>
      </c>
      <c r="AE1189" s="5">
        <f t="shared" si="431"/>
        <v>3.6423841059602653</v>
      </c>
      <c r="AF1189" s="10">
        <f t="shared" si="432"/>
        <v>1636800</v>
      </c>
      <c r="AG1189" s="10">
        <f t="shared" si="433"/>
        <v>528000</v>
      </c>
      <c r="AH1189" s="10">
        <f t="shared" si="434"/>
        <v>264000</v>
      </c>
      <c r="AI1189" s="10">
        <f t="shared" si="435"/>
        <v>132000</v>
      </c>
      <c r="AJ1189" s="10">
        <f t="shared" si="436"/>
        <v>79200</v>
      </c>
    </row>
    <row r="1190" spans="1:36" x14ac:dyDescent="0.3">
      <c r="A1190" t="s">
        <v>4590</v>
      </c>
      <c r="B1190" t="s">
        <v>4591</v>
      </c>
      <c r="C1190" t="s">
        <v>1193</v>
      </c>
      <c r="D1190" t="s">
        <v>130</v>
      </c>
      <c r="E1190">
        <v>46203</v>
      </c>
      <c r="F1190" t="s">
        <v>15</v>
      </c>
      <c r="G1190">
        <v>8</v>
      </c>
      <c r="H1190">
        <v>150</v>
      </c>
      <c r="I1190" t="str" cm="1">
        <f t="array" ref="I1190">_xlfn.IFS(H1190&lt;=120,"V1",H1190&lt;=150,"V2",H1190&lt;=250,"V3", H1190&lt;=350, "V4")</f>
        <v>V2</v>
      </c>
      <c r="J1190" t="s">
        <v>4592</v>
      </c>
      <c r="K1190" t="str">
        <f t="shared" si="414"/>
        <v>39.702444</v>
      </c>
      <c r="L1190" t="str">
        <f t="shared" si="415"/>
        <v>-86.079687</v>
      </c>
      <c r="M1190">
        <v>253</v>
      </c>
      <c r="N1190" s="1">
        <v>41942</v>
      </c>
      <c r="O1190" s="1">
        <v>46099</v>
      </c>
      <c r="P1190" s="2">
        <f t="shared" si="416"/>
        <v>11.381245722108146</v>
      </c>
      <c r="Q1190" s="2" t="str">
        <f t="shared" si="417"/>
        <v>Old</v>
      </c>
      <c r="R1190">
        <f t="shared" si="418"/>
        <v>1200</v>
      </c>
      <c r="S1190" t="str">
        <f t="shared" si="419"/>
        <v>Small</v>
      </c>
      <c r="T1190" t="str">
        <f t="shared" si="420"/>
        <v>Lower EV Adoption Corridor</v>
      </c>
      <c r="U1190" s="3">
        <f t="shared" si="421"/>
        <v>1980000.0000000002</v>
      </c>
      <c r="V1190" s="4">
        <f t="shared" si="422"/>
        <v>480000</v>
      </c>
      <c r="W1190" s="3">
        <f t="shared" si="423"/>
        <v>6000000</v>
      </c>
      <c r="X1190" s="3">
        <f t="shared" si="424"/>
        <v>3600000</v>
      </c>
      <c r="Y1190">
        <f t="shared" si="425"/>
        <v>0.3</v>
      </c>
      <c r="Z1190">
        <f t="shared" si="426"/>
        <v>0.75757575757575757</v>
      </c>
      <c r="AA1190" t="str">
        <f t="shared" si="427"/>
        <v>Tier 4 - Stable Network</v>
      </c>
      <c r="AB1190" s="3">
        <f t="shared" si="428"/>
        <v>60000</v>
      </c>
      <c r="AC1190" s="3">
        <f t="shared" si="429"/>
        <v>750000</v>
      </c>
      <c r="AD1190" s="3">
        <f t="shared" si="430"/>
        <v>247500.00000000003</v>
      </c>
      <c r="AE1190" s="5">
        <f t="shared" si="431"/>
        <v>3.9999999999999996</v>
      </c>
      <c r="AF1190" s="10">
        <f t="shared" si="432"/>
        <v>297600</v>
      </c>
      <c r="AG1190" s="10">
        <f t="shared" si="433"/>
        <v>96000</v>
      </c>
      <c r="AH1190" s="10">
        <f t="shared" si="434"/>
        <v>48000</v>
      </c>
      <c r="AI1190" s="10">
        <f t="shared" si="435"/>
        <v>24000</v>
      </c>
      <c r="AJ1190" s="10">
        <f t="shared" si="436"/>
        <v>14400</v>
      </c>
    </row>
    <row r="1191" spans="1:36" x14ac:dyDescent="0.3">
      <c r="A1191" t="s">
        <v>4593</v>
      </c>
      <c r="B1191" t="s">
        <v>4594</v>
      </c>
      <c r="C1191" t="s">
        <v>166</v>
      </c>
      <c r="D1191" t="s">
        <v>28</v>
      </c>
      <c r="E1191">
        <v>31904</v>
      </c>
      <c r="F1191" t="s">
        <v>15</v>
      </c>
      <c r="G1191">
        <v>12</v>
      </c>
      <c r="H1191">
        <v>250</v>
      </c>
      <c r="I1191" t="str" cm="1">
        <f t="array" ref="I1191">_xlfn.IFS(H1191&lt;=120,"V1",H1191&lt;=150,"V2",H1191&lt;=250,"V3", H1191&lt;=350, "V4")</f>
        <v>V3</v>
      </c>
      <c r="J1191" t="s">
        <v>4595</v>
      </c>
      <c r="K1191" t="str">
        <f t="shared" si="414"/>
        <v>32.533485</v>
      </c>
      <c r="L1191" t="str">
        <f t="shared" si="415"/>
        <v>-84.971362</v>
      </c>
      <c r="M1191">
        <v>129</v>
      </c>
      <c r="N1191" s="1">
        <v>44306</v>
      </c>
      <c r="O1191" s="1">
        <v>46099</v>
      </c>
      <c r="P1191" s="2">
        <f t="shared" si="416"/>
        <v>4.9089664613278572</v>
      </c>
      <c r="Q1191" s="2" t="str">
        <f t="shared" si="417"/>
        <v>Mid</v>
      </c>
      <c r="R1191">
        <f t="shared" si="418"/>
        <v>3000</v>
      </c>
      <c r="S1191" t="str">
        <f t="shared" si="419"/>
        <v>Small</v>
      </c>
      <c r="T1191" t="str">
        <f t="shared" si="420"/>
        <v>Lower EV Adoption Corridor</v>
      </c>
      <c r="U1191" s="3">
        <f t="shared" si="421"/>
        <v>5400000</v>
      </c>
      <c r="V1191" s="4">
        <f t="shared" si="422"/>
        <v>1320000</v>
      </c>
      <c r="W1191" s="3">
        <f t="shared" si="423"/>
        <v>18000000</v>
      </c>
      <c r="X1191" s="3">
        <f t="shared" si="424"/>
        <v>9900000</v>
      </c>
      <c r="Y1191">
        <f t="shared" si="425"/>
        <v>0.31515151515151513</v>
      </c>
      <c r="Z1191">
        <f t="shared" si="426"/>
        <v>0.75555555555555554</v>
      </c>
      <c r="AA1191" t="str">
        <f t="shared" si="427"/>
        <v>Tier 2 - Growth Markets</v>
      </c>
      <c r="AB1191" s="3">
        <f t="shared" si="428"/>
        <v>110000</v>
      </c>
      <c r="AC1191" s="3">
        <f t="shared" si="429"/>
        <v>1500000</v>
      </c>
      <c r="AD1191" s="3">
        <f t="shared" si="430"/>
        <v>450000</v>
      </c>
      <c r="AE1191" s="5">
        <f t="shared" si="431"/>
        <v>4.4117647058823533</v>
      </c>
      <c r="AF1191" s="10">
        <f t="shared" si="432"/>
        <v>818400</v>
      </c>
      <c r="AG1191" s="10">
        <f t="shared" si="433"/>
        <v>264000</v>
      </c>
      <c r="AH1191" s="10">
        <f t="shared" si="434"/>
        <v>132000</v>
      </c>
      <c r="AI1191" s="10">
        <f t="shared" si="435"/>
        <v>66000</v>
      </c>
      <c r="AJ1191" s="10">
        <f t="shared" si="436"/>
        <v>39600</v>
      </c>
    </row>
    <row r="1192" spans="1:36" x14ac:dyDescent="0.3">
      <c r="A1192" t="s">
        <v>4596</v>
      </c>
      <c r="B1192" t="s">
        <v>4597</v>
      </c>
      <c r="C1192" t="s">
        <v>4598</v>
      </c>
      <c r="D1192" t="s">
        <v>765</v>
      </c>
      <c r="E1192">
        <v>39540</v>
      </c>
      <c r="F1192" t="s">
        <v>15</v>
      </c>
      <c r="G1192">
        <v>12</v>
      </c>
      <c r="H1192">
        <v>250</v>
      </c>
      <c r="I1192" t="str" cm="1">
        <f t="array" ref="I1192">_xlfn.IFS(H1192&lt;=120,"V1",H1192&lt;=150,"V2",H1192&lt;=250,"V3", H1192&lt;=350, "V4")</f>
        <v>V3</v>
      </c>
      <c r="J1192" t="s">
        <v>4599</v>
      </c>
      <c r="K1192" t="str">
        <f t="shared" si="414"/>
        <v>30.459066</v>
      </c>
      <c r="L1192" t="str">
        <f t="shared" si="415"/>
        <v>-88.893288</v>
      </c>
      <c r="M1192">
        <v>3</v>
      </c>
      <c r="N1192" s="1">
        <v>44292</v>
      </c>
      <c r="O1192" s="1">
        <v>46099</v>
      </c>
      <c r="P1192" s="2">
        <f t="shared" si="416"/>
        <v>4.947296372347707</v>
      </c>
      <c r="Q1192" s="2" t="str">
        <f t="shared" si="417"/>
        <v>Mid</v>
      </c>
      <c r="R1192">
        <f t="shared" si="418"/>
        <v>3000</v>
      </c>
      <c r="S1192" t="str">
        <f t="shared" si="419"/>
        <v>Small</v>
      </c>
      <c r="T1192" t="str">
        <f t="shared" si="420"/>
        <v>Lower EV Adoption Corridor</v>
      </c>
      <c r="U1192" s="3">
        <f t="shared" si="421"/>
        <v>5400000</v>
      </c>
      <c r="V1192" s="4">
        <f t="shared" si="422"/>
        <v>1320000</v>
      </c>
      <c r="W1192" s="3">
        <f t="shared" si="423"/>
        <v>18000000</v>
      </c>
      <c r="X1192" s="3">
        <f t="shared" si="424"/>
        <v>9900000</v>
      </c>
      <c r="Y1192">
        <f t="shared" si="425"/>
        <v>0.31515151515151513</v>
      </c>
      <c r="Z1192">
        <f t="shared" si="426"/>
        <v>0.75555555555555554</v>
      </c>
      <c r="AA1192" t="str">
        <f t="shared" si="427"/>
        <v>Tier 2 - Growth Markets</v>
      </c>
      <c r="AB1192" s="3">
        <f t="shared" si="428"/>
        <v>110000</v>
      </c>
      <c r="AC1192" s="3">
        <f t="shared" si="429"/>
        <v>1500000</v>
      </c>
      <c r="AD1192" s="3">
        <f t="shared" si="430"/>
        <v>450000</v>
      </c>
      <c r="AE1192" s="5">
        <f t="shared" si="431"/>
        <v>4.4117647058823533</v>
      </c>
      <c r="AF1192" s="10">
        <f t="shared" si="432"/>
        <v>818400</v>
      </c>
      <c r="AG1192" s="10">
        <f t="shared" si="433"/>
        <v>264000</v>
      </c>
      <c r="AH1192" s="10">
        <f t="shared" si="434"/>
        <v>132000</v>
      </c>
      <c r="AI1192" s="10">
        <f t="shared" si="435"/>
        <v>66000</v>
      </c>
      <c r="AJ1192" s="10">
        <f t="shared" si="436"/>
        <v>39600</v>
      </c>
    </row>
    <row r="1193" spans="1:36" x14ac:dyDescent="0.3">
      <c r="A1193" t="s">
        <v>4600</v>
      </c>
      <c r="B1193" t="s">
        <v>4601</v>
      </c>
      <c r="C1193" t="s">
        <v>4602</v>
      </c>
      <c r="D1193" t="s">
        <v>14</v>
      </c>
      <c r="E1193">
        <v>91403</v>
      </c>
      <c r="F1193" t="s">
        <v>15</v>
      </c>
      <c r="G1193">
        <v>40</v>
      </c>
      <c r="H1193">
        <v>250</v>
      </c>
      <c r="I1193" t="str" cm="1">
        <f t="array" ref="I1193">_xlfn.IFS(H1193&lt;=120,"V1",H1193&lt;=150,"V2",H1193&lt;=250,"V3", H1193&lt;=350, "V4")</f>
        <v>V3</v>
      </c>
      <c r="J1193" t="s">
        <v>4603</v>
      </c>
      <c r="K1193" t="str">
        <f t="shared" si="414"/>
        <v>34.156902</v>
      </c>
      <c r="L1193" t="str">
        <f t="shared" si="415"/>
        <v>-118.467539</v>
      </c>
      <c r="M1193">
        <v>212</v>
      </c>
      <c r="N1193" s="1">
        <v>44908</v>
      </c>
      <c r="O1193" s="1">
        <v>46099</v>
      </c>
      <c r="P1193" s="2">
        <f t="shared" si="416"/>
        <v>3.2607802874743328</v>
      </c>
      <c r="Q1193" s="2" t="str">
        <f t="shared" si="417"/>
        <v>Mid</v>
      </c>
      <c r="R1193">
        <f t="shared" si="418"/>
        <v>10000</v>
      </c>
      <c r="S1193" t="str">
        <f t="shared" si="419"/>
        <v>Medium</v>
      </c>
      <c r="T1193" t="str">
        <f t="shared" si="420"/>
        <v>High EV Adoption Corridor</v>
      </c>
      <c r="U1193" s="3">
        <f t="shared" si="421"/>
        <v>23400000</v>
      </c>
      <c r="V1193" s="4">
        <f t="shared" si="422"/>
        <v>5280000</v>
      </c>
      <c r="W1193" s="3">
        <f t="shared" si="423"/>
        <v>66000000.000000007</v>
      </c>
      <c r="X1193" s="3">
        <f t="shared" si="424"/>
        <v>49500000.000000007</v>
      </c>
      <c r="Y1193">
        <f t="shared" si="425"/>
        <v>0.23999999999999996</v>
      </c>
      <c r="Z1193">
        <f t="shared" si="426"/>
        <v>0.77435897435897438</v>
      </c>
      <c r="AA1193" t="str">
        <f t="shared" si="427"/>
        <v>Tier 1 - Priority Fleet</v>
      </c>
      <c r="AB1193" s="3">
        <f t="shared" si="428"/>
        <v>132000</v>
      </c>
      <c r="AC1193" s="3">
        <f t="shared" si="429"/>
        <v>1650000.0000000002</v>
      </c>
      <c r="AD1193" s="3">
        <f t="shared" si="430"/>
        <v>585000</v>
      </c>
      <c r="AE1193" s="5">
        <f t="shared" si="431"/>
        <v>3.6423841059602653</v>
      </c>
      <c r="AF1193" s="10">
        <f t="shared" si="432"/>
        <v>3273600</v>
      </c>
      <c r="AG1193" s="10">
        <f t="shared" si="433"/>
        <v>1056000</v>
      </c>
      <c r="AH1193" s="10">
        <f t="shared" si="434"/>
        <v>528000</v>
      </c>
      <c r="AI1193" s="10">
        <f t="shared" si="435"/>
        <v>264000</v>
      </c>
      <c r="AJ1193" s="10">
        <f t="shared" si="436"/>
        <v>158400</v>
      </c>
    </row>
    <row r="1194" spans="1:36" x14ac:dyDescent="0.3">
      <c r="A1194" t="s">
        <v>4604</v>
      </c>
      <c r="B1194" t="s">
        <v>4605</v>
      </c>
      <c r="C1194" t="s">
        <v>4606</v>
      </c>
      <c r="D1194" t="s">
        <v>852</v>
      </c>
      <c r="E1194">
        <v>7083</v>
      </c>
      <c r="F1194" t="s">
        <v>15</v>
      </c>
      <c r="G1194">
        <v>12</v>
      </c>
      <c r="H1194">
        <v>250</v>
      </c>
      <c r="I1194" t="str" cm="1">
        <f t="array" ref="I1194">_xlfn.IFS(H1194&lt;=120,"V1",H1194&lt;=150,"V2",H1194&lt;=250,"V3", H1194&lt;=350, "V4")</f>
        <v>V3</v>
      </c>
      <c r="J1194" t="s">
        <v>4607</v>
      </c>
      <c r="K1194" t="str">
        <f t="shared" si="414"/>
        <v>40.695914</v>
      </c>
      <c r="L1194" t="str">
        <f t="shared" si="415"/>
        <v>-74.254049</v>
      </c>
      <c r="M1194">
        <v>19</v>
      </c>
      <c r="N1194" s="1">
        <v>45006</v>
      </c>
      <c r="O1194" s="1">
        <v>46099</v>
      </c>
      <c r="P1194" s="2">
        <f t="shared" si="416"/>
        <v>2.9924709103353866</v>
      </c>
      <c r="Q1194" s="2" t="str">
        <f t="shared" si="417"/>
        <v>New</v>
      </c>
      <c r="R1194">
        <f t="shared" si="418"/>
        <v>3000</v>
      </c>
      <c r="S1194" t="str">
        <f t="shared" si="419"/>
        <v>Small</v>
      </c>
      <c r="T1194" t="str">
        <f t="shared" si="420"/>
        <v>High EV Adoption Corridor</v>
      </c>
      <c r="U1194" s="3">
        <f t="shared" si="421"/>
        <v>7020000</v>
      </c>
      <c r="V1194" s="4">
        <f t="shared" si="422"/>
        <v>1584000</v>
      </c>
      <c r="W1194" s="3">
        <f t="shared" si="423"/>
        <v>19800000</v>
      </c>
      <c r="X1194" s="3">
        <f t="shared" si="424"/>
        <v>14850000</v>
      </c>
      <c r="Y1194">
        <f t="shared" si="425"/>
        <v>0.24</v>
      </c>
      <c r="Z1194">
        <f t="shared" si="426"/>
        <v>0.77435897435897438</v>
      </c>
      <c r="AA1194" t="str">
        <f t="shared" si="427"/>
        <v>Tier 1 - Priority Fleet</v>
      </c>
      <c r="AB1194" s="3">
        <f t="shared" si="428"/>
        <v>132000</v>
      </c>
      <c r="AC1194" s="3">
        <f t="shared" si="429"/>
        <v>1650000</v>
      </c>
      <c r="AD1194" s="3">
        <f t="shared" si="430"/>
        <v>585000</v>
      </c>
      <c r="AE1194" s="5">
        <f t="shared" si="431"/>
        <v>3.6423841059602649</v>
      </c>
      <c r="AF1194" s="10">
        <f t="shared" si="432"/>
        <v>982080</v>
      </c>
      <c r="AG1194" s="10">
        <f t="shared" si="433"/>
        <v>316800</v>
      </c>
      <c r="AH1194" s="10">
        <f t="shared" si="434"/>
        <v>158400</v>
      </c>
      <c r="AI1194" s="10">
        <f t="shared" si="435"/>
        <v>79200</v>
      </c>
      <c r="AJ1194" s="10">
        <f t="shared" si="436"/>
        <v>47520</v>
      </c>
    </row>
    <row r="1195" spans="1:36" x14ac:dyDescent="0.3">
      <c r="A1195" t="s">
        <v>4608</v>
      </c>
      <c r="B1195" t="s">
        <v>4609</v>
      </c>
      <c r="C1195" t="s">
        <v>4565</v>
      </c>
      <c r="D1195" t="s">
        <v>852</v>
      </c>
      <c r="E1195">
        <v>8067</v>
      </c>
      <c r="F1195" t="s">
        <v>15</v>
      </c>
      <c r="G1195">
        <v>8</v>
      </c>
      <c r="H1195">
        <v>250</v>
      </c>
      <c r="I1195" t="str" cm="1">
        <f t="array" ref="I1195">_xlfn.IFS(H1195&lt;=120,"V1",H1195&lt;=150,"V2",H1195&lt;=250,"V3", H1195&lt;=350, "V4")</f>
        <v>V3</v>
      </c>
      <c r="J1195" t="s">
        <v>4610</v>
      </c>
      <c r="K1195" t="str">
        <f t="shared" si="414"/>
        <v>39.697702</v>
      </c>
      <c r="L1195" t="str">
        <f t="shared" si="415"/>
        <v>-75.39773</v>
      </c>
      <c r="M1195">
        <v>13</v>
      </c>
      <c r="N1195" s="1">
        <v>44292</v>
      </c>
      <c r="O1195" s="1">
        <v>46099</v>
      </c>
      <c r="P1195" s="2">
        <f t="shared" si="416"/>
        <v>4.947296372347707</v>
      </c>
      <c r="Q1195" s="2" t="str">
        <f t="shared" si="417"/>
        <v>Mid</v>
      </c>
      <c r="R1195">
        <f t="shared" si="418"/>
        <v>2000</v>
      </c>
      <c r="S1195" t="str">
        <f t="shared" si="419"/>
        <v>Small</v>
      </c>
      <c r="T1195" t="str">
        <f t="shared" si="420"/>
        <v>High EV Adoption Corridor</v>
      </c>
      <c r="U1195" s="3">
        <f t="shared" si="421"/>
        <v>4680000</v>
      </c>
      <c r="V1195" s="4">
        <f t="shared" si="422"/>
        <v>1056000</v>
      </c>
      <c r="W1195" s="3">
        <f t="shared" si="423"/>
        <v>13200000.000000002</v>
      </c>
      <c r="X1195" s="3">
        <f t="shared" si="424"/>
        <v>9900000.0000000019</v>
      </c>
      <c r="Y1195">
        <f t="shared" si="425"/>
        <v>0.23999999999999996</v>
      </c>
      <c r="Z1195">
        <f t="shared" si="426"/>
        <v>0.77435897435897438</v>
      </c>
      <c r="AA1195" t="str">
        <f t="shared" si="427"/>
        <v>Tier 1 - Priority Fleet</v>
      </c>
      <c r="AB1195" s="3">
        <f t="shared" si="428"/>
        <v>132000</v>
      </c>
      <c r="AC1195" s="3">
        <f t="shared" si="429"/>
        <v>1650000.0000000002</v>
      </c>
      <c r="AD1195" s="3">
        <f t="shared" si="430"/>
        <v>585000</v>
      </c>
      <c r="AE1195" s="5">
        <f t="shared" si="431"/>
        <v>3.6423841059602653</v>
      </c>
      <c r="AF1195" s="10">
        <f t="shared" si="432"/>
        <v>654720</v>
      </c>
      <c r="AG1195" s="10">
        <f t="shared" si="433"/>
        <v>211200</v>
      </c>
      <c r="AH1195" s="10">
        <f t="shared" si="434"/>
        <v>105600</v>
      </c>
      <c r="AI1195" s="10">
        <f t="shared" si="435"/>
        <v>52800</v>
      </c>
      <c r="AJ1195" s="10">
        <f t="shared" si="436"/>
        <v>31680</v>
      </c>
    </row>
    <row r="1196" spans="1:36" x14ac:dyDescent="0.3">
      <c r="A1196" t="s">
        <v>4611</v>
      </c>
      <c r="B1196" t="s">
        <v>4612</v>
      </c>
      <c r="C1196" t="s">
        <v>4613</v>
      </c>
      <c r="D1196" t="s">
        <v>14</v>
      </c>
      <c r="E1196">
        <v>93644</v>
      </c>
      <c r="F1196" t="s">
        <v>15</v>
      </c>
      <c r="G1196">
        <v>8</v>
      </c>
      <c r="H1196">
        <v>250</v>
      </c>
      <c r="I1196" t="str" cm="1">
        <f t="array" ref="I1196">_xlfn.IFS(H1196&lt;=120,"V1",H1196&lt;=150,"V2",H1196&lt;=250,"V3", H1196&lt;=350, "V4")</f>
        <v>V3</v>
      </c>
      <c r="J1196" t="s">
        <v>4614</v>
      </c>
      <c r="K1196" t="str">
        <f t="shared" si="414"/>
        <v>37.333611</v>
      </c>
      <c r="L1196" t="str">
        <f t="shared" si="415"/>
        <v>-119.645191</v>
      </c>
      <c r="M1196">
        <v>723</v>
      </c>
      <c r="N1196" s="1">
        <v>44595</v>
      </c>
      <c r="O1196" s="1">
        <v>46099</v>
      </c>
      <c r="P1196" s="2">
        <f t="shared" si="416"/>
        <v>4.1177275838466807</v>
      </c>
      <c r="Q1196" s="2" t="str">
        <f t="shared" si="417"/>
        <v>Mid</v>
      </c>
      <c r="R1196">
        <f t="shared" si="418"/>
        <v>2000</v>
      </c>
      <c r="S1196" t="str">
        <f t="shared" si="419"/>
        <v>Small</v>
      </c>
      <c r="T1196" t="str">
        <f t="shared" si="420"/>
        <v>High EV Adoption Corridor</v>
      </c>
      <c r="U1196" s="3">
        <f t="shared" si="421"/>
        <v>4680000</v>
      </c>
      <c r="V1196" s="4">
        <f t="shared" si="422"/>
        <v>1056000</v>
      </c>
      <c r="W1196" s="3">
        <f t="shared" si="423"/>
        <v>13200000.000000002</v>
      </c>
      <c r="X1196" s="3">
        <f t="shared" si="424"/>
        <v>9900000.0000000019</v>
      </c>
      <c r="Y1196">
        <f t="shared" si="425"/>
        <v>0.23999999999999996</v>
      </c>
      <c r="Z1196">
        <f t="shared" si="426"/>
        <v>0.77435897435897438</v>
      </c>
      <c r="AA1196" t="str">
        <f t="shared" si="427"/>
        <v>Tier 1 - Priority Fleet</v>
      </c>
      <c r="AB1196" s="3">
        <f t="shared" si="428"/>
        <v>132000</v>
      </c>
      <c r="AC1196" s="3">
        <f t="shared" si="429"/>
        <v>1650000.0000000002</v>
      </c>
      <c r="AD1196" s="3">
        <f t="shared" si="430"/>
        <v>585000</v>
      </c>
      <c r="AE1196" s="5">
        <f t="shared" si="431"/>
        <v>3.6423841059602653</v>
      </c>
      <c r="AF1196" s="10">
        <f t="shared" si="432"/>
        <v>654720</v>
      </c>
      <c r="AG1196" s="10">
        <f t="shared" si="433"/>
        <v>211200</v>
      </c>
      <c r="AH1196" s="10">
        <f t="shared" si="434"/>
        <v>105600</v>
      </c>
      <c r="AI1196" s="10">
        <f t="shared" si="435"/>
        <v>52800</v>
      </c>
      <c r="AJ1196" s="10">
        <f t="shared" si="436"/>
        <v>31680</v>
      </c>
    </row>
    <row r="1197" spans="1:36" x14ac:dyDescent="0.3">
      <c r="A1197" t="s">
        <v>4615</v>
      </c>
      <c r="B1197" t="s">
        <v>4616</v>
      </c>
      <c r="C1197" t="s">
        <v>4617</v>
      </c>
      <c r="D1197" t="s">
        <v>225</v>
      </c>
      <c r="E1197">
        <v>84511</v>
      </c>
      <c r="F1197" t="s">
        <v>15</v>
      </c>
      <c r="G1197">
        <v>4</v>
      </c>
      <c r="H1197">
        <v>120</v>
      </c>
      <c r="I1197" t="str" cm="1">
        <f t="array" ref="I1197">_xlfn.IFS(H1197&lt;=120,"V1",H1197&lt;=150,"V2",H1197&lt;=250,"V3", H1197&lt;=350, "V4")</f>
        <v>V1</v>
      </c>
      <c r="J1197" t="s">
        <v>4618</v>
      </c>
      <c r="K1197" t="str">
        <f t="shared" si="414"/>
        <v>38.573122</v>
      </c>
      <c r="L1197" t="str">
        <f t="shared" si="415"/>
        <v>-109.552368</v>
      </c>
      <c r="M1197">
        <v>1224</v>
      </c>
      <c r="N1197" s="1">
        <v>41661</v>
      </c>
      <c r="O1197" s="1">
        <v>46099</v>
      </c>
      <c r="P1197" s="2">
        <f t="shared" si="416"/>
        <v>12.150581793292266</v>
      </c>
      <c r="Q1197" s="2" t="str">
        <f t="shared" si="417"/>
        <v>Old</v>
      </c>
      <c r="R1197">
        <f t="shared" si="418"/>
        <v>480</v>
      </c>
      <c r="S1197" t="str">
        <f t="shared" si="419"/>
        <v>Small</v>
      </c>
      <c r="T1197" t="str">
        <f t="shared" si="420"/>
        <v>Lower EV Adoption Corridor</v>
      </c>
      <c r="U1197" s="3">
        <f t="shared" si="421"/>
        <v>720000</v>
      </c>
      <c r="V1197" s="4">
        <f t="shared" si="422"/>
        <v>172800</v>
      </c>
      <c r="W1197" s="3">
        <f t="shared" si="423"/>
        <v>1920000</v>
      </c>
      <c r="X1197" s="3">
        <f t="shared" si="424"/>
        <v>1296000</v>
      </c>
      <c r="Y1197">
        <f t="shared" si="425"/>
        <v>0.2814814814814815</v>
      </c>
      <c r="Z1197">
        <f t="shared" si="426"/>
        <v>0.76</v>
      </c>
      <c r="AA1197" t="str">
        <f t="shared" si="427"/>
        <v>Tier 5 - Retirement Pipeline</v>
      </c>
      <c r="AB1197" s="3">
        <f t="shared" si="428"/>
        <v>43200</v>
      </c>
      <c r="AC1197" s="3">
        <f t="shared" si="429"/>
        <v>480000</v>
      </c>
      <c r="AD1197" s="3">
        <f t="shared" si="430"/>
        <v>180000</v>
      </c>
      <c r="AE1197" s="5">
        <f t="shared" si="431"/>
        <v>3.5087719298245612</v>
      </c>
      <c r="AF1197" s="10">
        <f t="shared" si="432"/>
        <v>107136</v>
      </c>
      <c r="AG1197" s="10">
        <f t="shared" si="433"/>
        <v>34560</v>
      </c>
      <c r="AH1197" s="10">
        <f t="shared" si="434"/>
        <v>17280</v>
      </c>
      <c r="AI1197" s="10">
        <f t="shared" si="435"/>
        <v>8640</v>
      </c>
      <c r="AJ1197" s="10">
        <f t="shared" si="436"/>
        <v>5184</v>
      </c>
    </row>
    <row r="1198" spans="1:36" x14ac:dyDescent="0.3">
      <c r="A1198" t="s">
        <v>4619</v>
      </c>
      <c r="B1198" t="s">
        <v>4620</v>
      </c>
      <c r="C1198" t="s">
        <v>4621</v>
      </c>
      <c r="D1198" t="s">
        <v>41</v>
      </c>
      <c r="E1198">
        <v>34292</v>
      </c>
      <c r="F1198" t="s">
        <v>15</v>
      </c>
      <c r="G1198">
        <v>8</v>
      </c>
      <c r="H1198">
        <v>250</v>
      </c>
      <c r="I1198" t="str" cm="1">
        <f t="array" ref="I1198">_xlfn.IFS(H1198&lt;=120,"V1",H1198&lt;=150,"V2",H1198&lt;=250,"V3", H1198&lt;=350, "V4")</f>
        <v>V3</v>
      </c>
      <c r="J1198" t="s">
        <v>4622</v>
      </c>
      <c r="K1198" t="str">
        <f t="shared" si="414"/>
        <v>27.107859</v>
      </c>
      <c r="L1198" t="str">
        <f t="shared" si="415"/>
        <v>-82.385275</v>
      </c>
      <c r="M1198">
        <v>4</v>
      </c>
      <c r="N1198" s="1">
        <v>44606</v>
      </c>
      <c r="O1198" s="1">
        <v>46099</v>
      </c>
      <c r="P1198" s="2">
        <f t="shared" si="416"/>
        <v>4.0876112251882271</v>
      </c>
      <c r="Q1198" s="2" t="str">
        <f t="shared" si="417"/>
        <v>Mid</v>
      </c>
      <c r="R1198">
        <f t="shared" si="418"/>
        <v>2000</v>
      </c>
      <c r="S1198" t="str">
        <f t="shared" si="419"/>
        <v>Small</v>
      </c>
      <c r="T1198" t="str">
        <f t="shared" si="420"/>
        <v>High EV Adoption Corridor</v>
      </c>
      <c r="U1198" s="3">
        <f t="shared" si="421"/>
        <v>4680000</v>
      </c>
      <c r="V1198" s="4">
        <f t="shared" si="422"/>
        <v>1056000</v>
      </c>
      <c r="W1198" s="3">
        <f t="shared" si="423"/>
        <v>13200000.000000002</v>
      </c>
      <c r="X1198" s="3">
        <f t="shared" si="424"/>
        <v>9900000.0000000019</v>
      </c>
      <c r="Y1198">
        <f t="shared" si="425"/>
        <v>0.23999999999999996</v>
      </c>
      <c r="Z1198">
        <f t="shared" si="426"/>
        <v>0.77435897435897438</v>
      </c>
      <c r="AA1198" t="str">
        <f t="shared" si="427"/>
        <v>Tier 1 - Priority Fleet</v>
      </c>
      <c r="AB1198" s="3">
        <f t="shared" si="428"/>
        <v>132000</v>
      </c>
      <c r="AC1198" s="3">
        <f t="shared" si="429"/>
        <v>1650000.0000000002</v>
      </c>
      <c r="AD1198" s="3">
        <f t="shared" si="430"/>
        <v>585000</v>
      </c>
      <c r="AE1198" s="5">
        <f t="shared" si="431"/>
        <v>3.6423841059602653</v>
      </c>
      <c r="AF1198" s="10">
        <f t="shared" si="432"/>
        <v>654720</v>
      </c>
      <c r="AG1198" s="10">
        <f t="shared" si="433"/>
        <v>211200</v>
      </c>
      <c r="AH1198" s="10">
        <f t="shared" si="434"/>
        <v>105600</v>
      </c>
      <c r="AI1198" s="10">
        <f t="shared" si="435"/>
        <v>52800</v>
      </c>
      <c r="AJ1198" s="10">
        <f t="shared" si="436"/>
        <v>31680</v>
      </c>
    </row>
    <row r="1199" spans="1:36" x14ac:dyDescent="0.3">
      <c r="A1199" t="s">
        <v>4623</v>
      </c>
      <c r="B1199" t="s">
        <v>4624</v>
      </c>
      <c r="C1199" t="s">
        <v>4625</v>
      </c>
      <c r="D1199" t="s">
        <v>415</v>
      </c>
      <c r="E1199">
        <v>52773</v>
      </c>
      <c r="F1199" t="s">
        <v>15</v>
      </c>
      <c r="G1199">
        <v>8</v>
      </c>
      <c r="H1199">
        <v>250</v>
      </c>
      <c r="I1199" t="str" cm="1">
        <f t="array" ref="I1199">_xlfn.IFS(H1199&lt;=120,"V1",H1199&lt;=150,"V2",H1199&lt;=250,"V3", H1199&lt;=350, "V4")</f>
        <v>V3</v>
      </c>
      <c r="J1199" t="s">
        <v>4626</v>
      </c>
      <c r="K1199" t="str">
        <f t="shared" si="414"/>
        <v>41.619789</v>
      </c>
      <c r="L1199" t="str">
        <f t="shared" si="415"/>
        <v>-90.782433</v>
      </c>
      <c r="M1199">
        <v>234</v>
      </c>
      <c r="N1199" s="1">
        <v>44638</v>
      </c>
      <c r="O1199" s="1">
        <v>46099</v>
      </c>
      <c r="P1199" s="2">
        <f t="shared" si="416"/>
        <v>4</v>
      </c>
      <c r="Q1199" s="2" t="str">
        <f t="shared" si="417"/>
        <v>Mid</v>
      </c>
      <c r="R1199">
        <f t="shared" si="418"/>
        <v>2000</v>
      </c>
      <c r="S1199" t="str">
        <f t="shared" si="419"/>
        <v>Small</v>
      </c>
      <c r="T1199" t="str">
        <f t="shared" si="420"/>
        <v>Lower EV Adoption Corridor</v>
      </c>
      <c r="U1199" s="3">
        <f t="shared" si="421"/>
        <v>3600000</v>
      </c>
      <c r="V1199" s="4">
        <f t="shared" si="422"/>
        <v>880000.00000000012</v>
      </c>
      <c r="W1199" s="3">
        <f t="shared" si="423"/>
        <v>12000000</v>
      </c>
      <c r="X1199" s="3">
        <f t="shared" si="424"/>
        <v>6600000.0000000009</v>
      </c>
      <c r="Y1199">
        <f t="shared" si="425"/>
        <v>0.31515151515151513</v>
      </c>
      <c r="Z1199">
        <f t="shared" si="426"/>
        <v>0.75555555555555554</v>
      </c>
      <c r="AA1199" t="str">
        <f t="shared" si="427"/>
        <v>Tier 2 - Growth Markets</v>
      </c>
      <c r="AB1199" s="3">
        <f t="shared" si="428"/>
        <v>110000.00000000001</v>
      </c>
      <c r="AC1199" s="3">
        <f t="shared" si="429"/>
        <v>1500000</v>
      </c>
      <c r="AD1199" s="3">
        <f t="shared" si="430"/>
        <v>450000</v>
      </c>
      <c r="AE1199" s="5">
        <f t="shared" si="431"/>
        <v>4.4117647058823533</v>
      </c>
      <c r="AF1199" s="10">
        <f t="shared" si="432"/>
        <v>545600.00000000012</v>
      </c>
      <c r="AG1199" s="10">
        <f t="shared" si="433"/>
        <v>176000.00000000003</v>
      </c>
      <c r="AH1199" s="10">
        <f t="shared" si="434"/>
        <v>88000.000000000015</v>
      </c>
      <c r="AI1199" s="10">
        <f t="shared" si="435"/>
        <v>44000.000000000007</v>
      </c>
      <c r="AJ1199" s="10">
        <f t="shared" si="436"/>
        <v>26400.000000000004</v>
      </c>
    </row>
    <row r="1200" spans="1:36" x14ac:dyDescent="0.3">
      <c r="A1200" t="s">
        <v>4627</v>
      </c>
      <c r="B1200" t="s">
        <v>4628</v>
      </c>
      <c r="C1200" t="s">
        <v>4629</v>
      </c>
      <c r="D1200" t="s">
        <v>852</v>
      </c>
      <c r="E1200">
        <v>8620</v>
      </c>
      <c r="F1200" t="s">
        <v>15</v>
      </c>
      <c r="G1200">
        <v>8</v>
      </c>
      <c r="H1200">
        <v>250</v>
      </c>
      <c r="I1200" t="str" cm="1">
        <f t="array" ref="I1200">_xlfn.IFS(H1200&lt;=120,"V1",H1200&lt;=150,"V2",H1200&lt;=250,"V3", H1200&lt;=350, "V4")</f>
        <v>V3</v>
      </c>
      <c r="J1200" t="s">
        <v>4630</v>
      </c>
      <c r="K1200" t="str">
        <f t="shared" si="414"/>
        <v>40.175932</v>
      </c>
      <c r="L1200" t="str">
        <f t="shared" si="415"/>
        <v>-74.630183</v>
      </c>
      <c r="M1200">
        <v>29</v>
      </c>
      <c r="N1200" s="1">
        <v>44758</v>
      </c>
      <c r="O1200" s="1">
        <v>46099</v>
      </c>
      <c r="P1200" s="2">
        <f t="shared" si="416"/>
        <v>3.6714579055441479</v>
      </c>
      <c r="Q1200" s="2" t="str">
        <f t="shared" si="417"/>
        <v>Mid</v>
      </c>
      <c r="R1200">
        <f t="shared" si="418"/>
        <v>2000</v>
      </c>
      <c r="S1200" t="str">
        <f t="shared" si="419"/>
        <v>Small</v>
      </c>
      <c r="T1200" t="str">
        <f t="shared" si="420"/>
        <v>High EV Adoption Corridor</v>
      </c>
      <c r="U1200" s="3">
        <f t="shared" si="421"/>
        <v>4680000</v>
      </c>
      <c r="V1200" s="4">
        <f t="shared" si="422"/>
        <v>1056000</v>
      </c>
      <c r="W1200" s="3">
        <f t="shared" si="423"/>
        <v>13200000.000000002</v>
      </c>
      <c r="X1200" s="3">
        <f t="shared" si="424"/>
        <v>9900000.0000000019</v>
      </c>
      <c r="Y1200">
        <f t="shared" si="425"/>
        <v>0.23999999999999996</v>
      </c>
      <c r="Z1200">
        <f t="shared" si="426"/>
        <v>0.77435897435897438</v>
      </c>
      <c r="AA1200" t="str">
        <f t="shared" si="427"/>
        <v>Tier 1 - Priority Fleet</v>
      </c>
      <c r="AB1200" s="3">
        <f t="shared" si="428"/>
        <v>132000</v>
      </c>
      <c r="AC1200" s="3">
        <f t="shared" si="429"/>
        <v>1650000.0000000002</v>
      </c>
      <c r="AD1200" s="3">
        <f t="shared" si="430"/>
        <v>585000</v>
      </c>
      <c r="AE1200" s="5">
        <f t="shared" si="431"/>
        <v>3.6423841059602653</v>
      </c>
      <c r="AF1200" s="10">
        <f t="shared" si="432"/>
        <v>654720</v>
      </c>
      <c r="AG1200" s="10">
        <f t="shared" si="433"/>
        <v>211200</v>
      </c>
      <c r="AH1200" s="10">
        <f t="shared" si="434"/>
        <v>105600</v>
      </c>
      <c r="AI1200" s="10">
        <f t="shared" si="435"/>
        <v>52800</v>
      </c>
      <c r="AJ1200" s="10">
        <f t="shared" si="436"/>
        <v>31680</v>
      </c>
    </row>
    <row r="1201" spans="1:36" x14ac:dyDescent="0.3">
      <c r="A1201" t="s">
        <v>4631</v>
      </c>
      <c r="B1201" t="s">
        <v>4632</v>
      </c>
      <c r="C1201" t="s">
        <v>4633</v>
      </c>
      <c r="D1201" t="s">
        <v>41</v>
      </c>
      <c r="E1201">
        <v>32428</v>
      </c>
      <c r="F1201" t="s">
        <v>15</v>
      </c>
      <c r="G1201">
        <v>8</v>
      </c>
      <c r="H1201">
        <v>250</v>
      </c>
      <c r="I1201" t="str" cm="1">
        <f t="array" ref="I1201">_xlfn.IFS(H1201&lt;=120,"V1",H1201&lt;=150,"V2",H1201&lt;=250,"V3", H1201&lt;=350, "V4")</f>
        <v>V3</v>
      </c>
      <c r="J1201" t="s">
        <v>4634</v>
      </c>
      <c r="K1201" t="str">
        <f t="shared" si="414"/>
        <v>30.751833</v>
      </c>
      <c r="L1201" t="str">
        <f t="shared" si="415"/>
        <v>-85.551682</v>
      </c>
      <c r="M1201">
        <v>43</v>
      </c>
      <c r="N1201" s="1">
        <v>45035</v>
      </c>
      <c r="O1201" s="1">
        <v>46099</v>
      </c>
      <c r="P1201" s="2">
        <f t="shared" si="416"/>
        <v>2.9130732375085557</v>
      </c>
      <c r="Q1201" s="2" t="str">
        <f t="shared" si="417"/>
        <v>New</v>
      </c>
      <c r="R1201">
        <f t="shared" si="418"/>
        <v>2000</v>
      </c>
      <c r="S1201" t="str">
        <f t="shared" si="419"/>
        <v>Small</v>
      </c>
      <c r="T1201" t="str">
        <f t="shared" si="420"/>
        <v>High EV Adoption Corridor</v>
      </c>
      <c r="U1201" s="3">
        <f t="shared" si="421"/>
        <v>4680000</v>
      </c>
      <c r="V1201" s="4">
        <f t="shared" si="422"/>
        <v>1056000</v>
      </c>
      <c r="W1201" s="3">
        <f t="shared" si="423"/>
        <v>13200000.000000002</v>
      </c>
      <c r="X1201" s="3">
        <f t="shared" si="424"/>
        <v>9900000.0000000019</v>
      </c>
      <c r="Y1201">
        <f t="shared" si="425"/>
        <v>0.23999999999999996</v>
      </c>
      <c r="Z1201">
        <f t="shared" si="426"/>
        <v>0.77435897435897438</v>
      </c>
      <c r="AA1201" t="str">
        <f t="shared" si="427"/>
        <v>Tier 1 - Priority Fleet</v>
      </c>
      <c r="AB1201" s="3">
        <f t="shared" si="428"/>
        <v>132000</v>
      </c>
      <c r="AC1201" s="3">
        <f t="shared" si="429"/>
        <v>1650000.0000000002</v>
      </c>
      <c r="AD1201" s="3">
        <f t="shared" si="430"/>
        <v>585000</v>
      </c>
      <c r="AE1201" s="5">
        <f t="shared" si="431"/>
        <v>3.6423841059602653</v>
      </c>
      <c r="AF1201" s="10">
        <f t="shared" si="432"/>
        <v>654720</v>
      </c>
      <c r="AG1201" s="10">
        <f t="shared" si="433"/>
        <v>211200</v>
      </c>
      <c r="AH1201" s="10">
        <f t="shared" si="434"/>
        <v>105600</v>
      </c>
      <c r="AI1201" s="10">
        <f t="shared" si="435"/>
        <v>52800</v>
      </c>
      <c r="AJ1201" s="10">
        <f t="shared" si="436"/>
        <v>31680</v>
      </c>
    </row>
    <row r="1202" spans="1:36" x14ac:dyDescent="0.3">
      <c r="A1202" t="s">
        <v>4635</v>
      </c>
      <c r="B1202" t="s">
        <v>4636</v>
      </c>
      <c r="C1202" t="s">
        <v>4637</v>
      </c>
      <c r="D1202" t="s">
        <v>484</v>
      </c>
      <c r="E1202">
        <v>35453</v>
      </c>
      <c r="F1202" t="s">
        <v>15</v>
      </c>
      <c r="G1202">
        <v>8</v>
      </c>
      <c r="H1202">
        <v>250</v>
      </c>
      <c r="I1202" t="str" cm="1">
        <f t="array" ref="I1202">_xlfn.IFS(H1202&lt;=120,"V1",H1202&lt;=150,"V2",H1202&lt;=250,"V3", H1202&lt;=350, "V4")</f>
        <v>V3</v>
      </c>
      <c r="J1202" t="s">
        <v>4638</v>
      </c>
      <c r="K1202" t="str">
        <f t="shared" si="414"/>
        <v>33.175259</v>
      </c>
      <c r="L1202" t="str">
        <f t="shared" si="415"/>
        <v>-87.449694</v>
      </c>
      <c r="M1202">
        <v>91</v>
      </c>
      <c r="N1202" s="1">
        <v>44610</v>
      </c>
      <c r="O1202" s="1">
        <v>46099</v>
      </c>
      <c r="P1202" s="2">
        <f t="shared" si="416"/>
        <v>4.0766598220396988</v>
      </c>
      <c r="Q1202" s="2" t="str">
        <f t="shared" si="417"/>
        <v>Mid</v>
      </c>
      <c r="R1202">
        <f t="shared" si="418"/>
        <v>2000</v>
      </c>
      <c r="S1202" t="str">
        <f t="shared" si="419"/>
        <v>Small</v>
      </c>
      <c r="T1202" t="str">
        <f t="shared" si="420"/>
        <v>Lower EV Adoption Corridor</v>
      </c>
      <c r="U1202" s="3">
        <f t="shared" si="421"/>
        <v>3600000</v>
      </c>
      <c r="V1202" s="4">
        <f t="shared" si="422"/>
        <v>880000.00000000012</v>
      </c>
      <c r="W1202" s="3">
        <f t="shared" si="423"/>
        <v>12000000</v>
      </c>
      <c r="X1202" s="3">
        <f t="shared" si="424"/>
        <v>6600000.0000000009</v>
      </c>
      <c r="Y1202">
        <f t="shared" si="425"/>
        <v>0.31515151515151513</v>
      </c>
      <c r="Z1202">
        <f t="shared" si="426"/>
        <v>0.75555555555555554</v>
      </c>
      <c r="AA1202" t="str">
        <f t="shared" si="427"/>
        <v>Tier 2 - Growth Markets</v>
      </c>
      <c r="AB1202" s="3">
        <f t="shared" si="428"/>
        <v>110000.00000000001</v>
      </c>
      <c r="AC1202" s="3">
        <f t="shared" si="429"/>
        <v>1500000</v>
      </c>
      <c r="AD1202" s="3">
        <f t="shared" si="430"/>
        <v>450000</v>
      </c>
      <c r="AE1202" s="5">
        <f t="shared" si="431"/>
        <v>4.4117647058823533</v>
      </c>
      <c r="AF1202" s="10">
        <f t="shared" si="432"/>
        <v>545600.00000000012</v>
      </c>
      <c r="AG1202" s="10">
        <f t="shared" si="433"/>
        <v>176000.00000000003</v>
      </c>
      <c r="AH1202" s="10">
        <f t="shared" si="434"/>
        <v>88000.000000000015</v>
      </c>
      <c r="AI1202" s="10">
        <f t="shared" si="435"/>
        <v>44000.000000000007</v>
      </c>
      <c r="AJ1202" s="10">
        <f t="shared" si="436"/>
        <v>26400.000000000004</v>
      </c>
    </row>
    <row r="1203" spans="1:36" x14ac:dyDescent="0.3">
      <c r="A1203" t="s">
        <v>4639</v>
      </c>
      <c r="B1203" t="s">
        <v>4640</v>
      </c>
      <c r="C1203" t="s">
        <v>545</v>
      </c>
      <c r="D1203" t="s">
        <v>299</v>
      </c>
      <c r="E1203">
        <v>24450</v>
      </c>
      <c r="F1203" t="s">
        <v>15</v>
      </c>
      <c r="G1203">
        <v>8</v>
      </c>
      <c r="H1203">
        <v>250</v>
      </c>
      <c r="I1203" t="str" cm="1">
        <f t="array" ref="I1203">_xlfn.IFS(H1203&lt;=120,"V1",H1203&lt;=150,"V2",H1203&lt;=250,"V3", H1203&lt;=350, "V4")</f>
        <v>V3</v>
      </c>
      <c r="J1203" t="s">
        <v>4641</v>
      </c>
      <c r="K1203" t="str">
        <f t="shared" si="414"/>
        <v>37.778564</v>
      </c>
      <c r="L1203" t="str">
        <f t="shared" si="415"/>
        <v>-79.434062</v>
      </c>
      <c r="M1203">
        <v>316</v>
      </c>
      <c r="N1203" s="1">
        <v>45012</v>
      </c>
      <c r="O1203" s="1">
        <v>46099</v>
      </c>
      <c r="P1203" s="2">
        <f t="shared" si="416"/>
        <v>2.9760438056125942</v>
      </c>
      <c r="Q1203" s="2" t="str">
        <f t="shared" si="417"/>
        <v>New</v>
      </c>
      <c r="R1203">
        <f t="shared" si="418"/>
        <v>2000</v>
      </c>
      <c r="S1203" t="str">
        <f t="shared" si="419"/>
        <v>Small</v>
      </c>
      <c r="T1203" t="str">
        <f t="shared" si="420"/>
        <v>Lower EV Adoption Corridor</v>
      </c>
      <c r="U1203" s="3">
        <f t="shared" si="421"/>
        <v>3600000</v>
      </c>
      <c r="V1203" s="4">
        <f t="shared" si="422"/>
        <v>880000.00000000012</v>
      </c>
      <c r="W1203" s="3">
        <f t="shared" si="423"/>
        <v>12000000</v>
      </c>
      <c r="X1203" s="3">
        <f t="shared" si="424"/>
        <v>6600000.0000000009</v>
      </c>
      <c r="Y1203">
        <f t="shared" si="425"/>
        <v>0.31515151515151513</v>
      </c>
      <c r="Z1203">
        <f t="shared" si="426"/>
        <v>0.75555555555555554</v>
      </c>
      <c r="AA1203" t="str">
        <f t="shared" si="427"/>
        <v>Tier 2 - Growth Markets</v>
      </c>
      <c r="AB1203" s="3">
        <f t="shared" si="428"/>
        <v>110000.00000000001</v>
      </c>
      <c r="AC1203" s="3">
        <f t="shared" si="429"/>
        <v>1500000</v>
      </c>
      <c r="AD1203" s="3">
        <f t="shared" si="430"/>
        <v>450000</v>
      </c>
      <c r="AE1203" s="5">
        <f t="shared" si="431"/>
        <v>4.4117647058823533</v>
      </c>
      <c r="AF1203" s="10">
        <f t="shared" si="432"/>
        <v>545600.00000000012</v>
      </c>
      <c r="AG1203" s="10">
        <f t="shared" si="433"/>
        <v>176000.00000000003</v>
      </c>
      <c r="AH1203" s="10">
        <f t="shared" si="434"/>
        <v>88000.000000000015</v>
      </c>
      <c r="AI1203" s="10">
        <f t="shared" si="435"/>
        <v>44000.000000000007</v>
      </c>
      <c r="AJ1203" s="10">
        <f t="shared" si="436"/>
        <v>26400.000000000004</v>
      </c>
    </row>
    <row r="1204" spans="1:36" x14ac:dyDescent="0.3">
      <c r="A1204" t="s">
        <v>4642</v>
      </c>
      <c r="B1204" t="s">
        <v>4643</v>
      </c>
      <c r="C1204" t="s">
        <v>4644</v>
      </c>
      <c r="D1204" t="s">
        <v>949</v>
      </c>
      <c r="E1204">
        <v>68847</v>
      </c>
      <c r="F1204" t="s">
        <v>15</v>
      </c>
      <c r="G1204">
        <v>8</v>
      </c>
      <c r="H1204">
        <v>250</v>
      </c>
      <c r="I1204" t="str" cm="1">
        <f t="array" ref="I1204">_xlfn.IFS(H1204&lt;=120,"V1",H1204&lt;=150,"V2",H1204&lt;=250,"V3", H1204&lt;=350, "V4")</f>
        <v>V3</v>
      </c>
      <c r="J1204" t="s">
        <v>4645</v>
      </c>
      <c r="K1204" t="str">
        <f t="shared" si="414"/>
        <v>40.6822</v>
      </c>
      <c r="L1204" t="str">
        <f t="shared" si="415"/>
        <v>-99.0834</v>
      </c>
      <c r="M1204">
        <v>654</v>
      </c>
      <c r="N1204" s="1">
        <v>44768</v>
      </c>
      <c r="O1204" s="1">
        <v>46099</v>
      </c>
      <c r="P1204" s="2">
        <f t="shared" si="416"/>
        <v>3.6440793976728267</v>
      </c>
      <c r="Q1204" s="2" t="str">
        <f t="shared" si="417"/>
        <v>Mid</v>
      </c>
      <c r="R1204">
        <f t="shared" si="418"/>
        <v>2000</v>
      </c>
      <c r="S1204" t="str">
        <f t="shared" si="419"/>
        <v>Small</v>
      </c>
      <c r="T1204" t="str">
        <f t="shared" si="420"/>
        <v>Lower EV Adoption Corridor</v>
      </c>
      <c r="U1204" s="3">
        <f t="shared" si="421"/>
        <v>3600000</v>
      </c>
      <c r="V1204" s="4">
        <f t="shared" si="422"/>
        <v>880000.00000000012</v>
      </c>
      <c r="W1204" s="3">
        <f t="shared" si="423"/>
        <v>12000000</v>
      </c>
      <c r="X1204" s="3">
        <f t="shared" si="424"/>
        <v>6600000.0000000009</v>
      </c>
      <c r="Y1204">
        <f t="shared" si="425"/>
        <v>0.31515151515151513</v>
      </c>
      <c r="Z1204">
        <f t="shared" si="426"/>
        <v>0.75555555555555554</v>
      </c>
      <c r="AA1204" t="str">
        <f t="shared" si="427"/>
        <v>Tier 2 - Growth Markets</v>
      </c>
      <c r="AB1204" s="3">
        <f t="shared" si="428"/>
        <v>110000.00000000001</v>
      </c>
      <c r="AC1204" s="3">
        <f t="shared" si="429"/>
        <v>1500000</v>
      </c>
      <c r="AD1204" s="3">
        <f t="shared" si="430"/>
        <v>450000</v>
      </c>
      <c r="AE1204" s="5">
        <f t="shared" si="431"/>
        <v>4.4117647058823533</v>
      </c>
      <c r="AF1204" s="10">
        <f t="shared" si="432"/>
        <v>545600.00000000012</v>
      </c>
      <c r="AG1204" s="10">
        <f t="shared" si="433"/>
        <v>176000.00000000003</v>
      </c>
      <c r="AH1204" s="10">
        <f t="shared" si="434"/>
        <v>88000.000000000015</v>
      </c>
      <c r="AI1204" s="10">
        <f t="shared" si="435"/>
        <v>44000.000000000007</v>
      </c>
      <c r="AJ1204" s="10">
        <f t="shared" si="436"/>
        <v>26400.000000000004</v>
      </c>
    </row>
    <row r="1205" spans="1:36" x14ac:dyDescent="0.3">
      <c r="A1205" t="s">
        <v>4646</v>
      </c>
      <c r="B1205" t="s">
        <v>4647</v>
      </c>
      <c r="C1205" t="s">
        <v>4648</v>
      </c>
      <c r="D1205" t="s">
        <v>350</v>
      </c>
      <c r="E1205">
        <v>71270</v>
      </c>
      <c r="F1205" t="s">
        <v>15</v>
      </c>
      <c r="G1205">
        <v>8</v>
      </c>
      <c r="H1205">
        <v>250</v>
      </c>
      <c r="I1205" t="str" cm="1">
        <f t="array" ref="I1205">_xlfn.IFS(H1205&lt;=120,"V1",H1205&lt;=150,"V2",H1205&lt;=250,"V3", H1205&lt;=350, "V4")</f>
        <v>V3</v>
      </c>
      <c r="J1205" t="s">
        <v>4649</v>
      </c>
      <c r="K1205" t="str">
        <f t="shared" si="414"/>
        <v>32.542727</v>
      </c>
      <c r="L1205" t="str">
        <f t="shared" si="415"/>
        <v>-92.62574</v>
      </c>
      <c r="M1205">
        <v>87</v>
      </c>
      <c r="N1205" s="1">
        <v>44785</v>
      </c>
      <c r="O1205" s="1">
        <v>46099</v>
      </c>
      <c r="P1205" s="2">
        <f t="shared" si="416"/>
        <v>3.5975359342915811</v>
      </c>
      <c r="Q1205" s="2" t="str">
        <f t="shared" si="417"/>
        <v>Mid</v>
      </c>
      <c r="R1205">
        <f t="shared" si="418"/>
        <v>2000</v>
      </c>
      <c r="S1205" t="str">
        <f t="shared" si="419"/>
        <v>Small</v>
      </c>
      <c r="T1205" t="str">
        <f t="shared" si="420"/>
        <v>Lower EV Adoption Corridor</v>
      </c>
      <c r="U1205" s="3">
        <f t="shared" si="421"/>
        <v>3600000</v>
      </c>
      <c r="V1205" s="4">
        <f t="shared" si="422"/>
        <v>880000.00000000012</v>
      </c>
      <c r="W1205" s="3">
        <f t="shared" si="423"/>
        <v>12000000</v>
      </c>
      <c r="X1205" s="3">
        <f t="shared" si="424"/>
        <v>6600000.0000000009</v>
      </c>
      <c r="Y1205">
        <f t="shared" si="425"/>
        <v>0.31515151515151513</v>
      </c>
      <c r="Z1205">
        <f t="shared" si="426"/>
        <v>0.75555555555555554</v>
      </c>
      <c r="AA1205" t="str">
        <f t="shared" si="427"/>
        <v>Tier 2 - Growth Markets</v>
      </c>
      <c r="AB1205" s="3">
        <f t="shared" si="428"/>
        <v>110000.00000000001</v>
      </c>
      <c r="AC1205" s="3">
        <f t="shared" si="429"/>
        <v>1500000</v>
      </c>
      <c r="AD1205" s="3">
        <f t="shared" si="430"/>
        <v>450000</v>
      </c>
      <c r="AE1205" s="5">
        <f t="shared" si="431"/>
        <v>4.4117647058823533</v>
      </c>
      <c r="AF1205" s="10">
        <f t="shared" si="432"/>
        <v>545600.00000000012</v>
      </c>
      <c r="AG1205" s="10">
        <f t="shared" si="433"/>
        <v>176000.00000000003</v>
      </c>
      <c r="AH1205" s="10">
        <f t="shared" si="434"/>
        <v>88000.000000000015</v>
      </c>
      <c r="AI1205" s="10">
        <f t="shared" si="435"/>
        <v>44000.000000000007</v>
      </c>
      <c r="AJ1205" s="10">
        <f t="shared" si="436"/>
        <v>26400.000000000004</v>
      </c>
    </row>
    <row r="1206" spans="1:36" x14ac:dyDescent="0.3">
      <c r="A1206" t="s">
        <v>4650</v>
      </c>
      <c r="B1206" t="s">
        <v>4651</v>
      </c>
      <c r="C1206" t="s">
        <v>293</v>
      </c>
      <c r="D1206" t="s">
        <v>294</v>
      </c>
      <c r="E1206">
        <v>37421</v>
      </c>
      <c r="F1206" t="s">
        <v>15</v>
      </c>
      <c r="G1206">
        <v>12</v>
      </c>
      <c r="H1206">
        <v>250</v>
      </c>
      <c r="I1206" t="str" cm="1">
        <f t="array" ref="I1206">_xlfn.IFS(H1206&lt;=120,"V1",H1206&lt;=150,"V2",H1206&lt;=250,"V3", H1206&lt;=350, "V4")</f>
        <v>V3</v>
      </c>
      <c r="J1206" t="s">
        <v>4652</v>
      </c>
      <c r="K1206" t="str">
        <f t="shared" si="414"/>
        <v>35.036667</v>
      </c>
      <c r="L1206" t="str">
        <f t="shared" si="415"/>
        <v>-85.16009</v>
      </c>
      <c r="M1206">
        <v>225</v>
      </c>
      <c r="N1206" s="1">
        <v>44806</v>
      </c>
      <c r="O1206" s="1">
        <v>46099</v>
      </c>
      <c r="P1206" s="2">
        <f t="shared" si="416"/>
        <v>3.5400410677618068</v>
      </c>
      <c r="Q1206" s="2" t="str">
        <f t="shared" si="417"/>
        <v>Mid</v>
      </c>
      <c r="R1206">
        <f t="shared" si="418"/>
        <v>3000</v>
      </c>
      <c r="S1206" t="str">
        <f t="shared" si="419"/>
        <v>Small</v>
      </c>
      <c r="T1206" t="str">
        <f t="shared" si="420"/>
        <v>Lower EV Adoption Corridor</v>
      </c>
      <c r="U1206" s="3">
        <f t="shared" si="421"/>
        <v>5400000</v>
      </c>
      <c r="V1206" s="4">
        <f t="shared" si="422"/>
        <v>1320000</v>
      </c>
      <c r="W1206" s="3">
        <f t="shared" si="423"/>
        <v>18000000</v>
      </c>
      <c r="X1206" s="3">
        <f t="shared" si="424"/>
        <v>9900000</v>
      </c>
      <c r="Y1206">
        <f t="shared" si="425"/>
        <v>0.31515151515151513</v>
      </c>
      <c r="Z1206">
        <f t="shared" si="426"/>
        <v>0.75555555555555554</v>
      </c>
      <c r="AA1206" t="str">
        <f t="shared" si="427"/>
        <v>Tier 2 - Growth Markets</v>
      </c>
      <c r="AB1206" s="3">
        <f t="shared" si="428"/>
        <v>110000</v>
      </c>
      <c r="AC1206" s="3">
        <f t="shared" si="429"/>
        <v>1500000</v>
      </c>
      <c r="AD1206" s="3">
        <f t="shared" si="430"/>
        <v>450000</v>
      </c>
      <c r="AE1206" s="5">
        <f t="shared" si="431"/>
        <v>4.4117647058823533</v>
      </c>
      <c r="AF1206" s="10">
        <f t="shared" si="432"/>
        <v>818400</v>
      </c>
      <c r="AG1206" s="10">
        <f t="shared" si="433"/>
        <v>264000</v>
      </c>
      <c r="AH1206" s="10">
        <f t="shared" si="434"/>
        <v>132000</v>
      </c>
      <c r="AI1206" s="10">
        <f t="shared" si="435"/>
        <v>66000</v>
      </c>
      <c r="AJ1206" s="10">
        <f t="shared" si="436"/>
        <v>39600</v>
      </c>
    </row>
    <row r="1207" spans="1:36" x14ac:dyDescent="0.3">
      <c r="A1207" t="s">
        <v>4653</v>
      </c>
      <c r="B1207" t="s">
        <v>4654</v>
      </c>
      <c r="C1207" t="s">
        <v>1958</v>
      </c>
      <c r="D1207" t="s">
        <v>14</v>
      </c>
      <c r="E1207">
        <v>91107</v>
      </c>
      <c r="F1207" t="s">
        <v>15</v>
      </c>
      <c r="G1207">
        <v>20</v>
      </c>
      <c r="H1207">
        <v>250</v>
      </c>
      <c r="I1207" t="str" cm="1">
        <f t="array" ref="I1207">_xlfn.IFS(H1207&lt;=120,"V1",H1207&lt;=150,"V2",H1207&lt;=250,"V3", H1207&lt;=350, "V4")</f>
        <v>V3</v>
      </c>
      <c r="J1207" t="s">
        <v>4655</v>
      </c>
      <c r="K1207" t="str">
        <f t="shared" si="414"/>
        <v>34.153571</v>
      </c>
      <c r="L1207" t="str">
        <f t="shared" si="415"/>
        <v>-118.081718</v>
      </c>
      <c r="M1207">
        <v>224</v>
      </c>
      <c r="N1207" s="1">
        <v>44839</v>
      </c>
      <c r="O1207" s="1">
        <v>46099</v>
      </c>
      <c r="P1207" s="2">
        <f t="shared" si="416"/>
        <v>3.4496919917864477</v>
      </c>
      <c r="Q1207" s="2" t="str">
        <f t="shared" si="417"/>
        <v>Mid</v>
      </c>
      <c r="R1207">
        <f t="shared" si="418"/>
        <v>5000</v>
      </c>
      <c r="S1207" t="str">
        <f t="shared" si="419"/>
        <v>Small</v>
      </c>
      <c r="T1207" t="str">
        <f t="shared" si="420"/>
        <v>High EV Adoption Corridor</v>
      </c>
      <c r="U1207" s="3">
        <f t="shared" si="421"/>
        <v>11700000</v>
      </c>
      <c r="V1207" s="4">
        <f t="shared" si="422"/>
        <v>2640000</v>
      </c>
      <c r="W1207" s="3">
        <f t="shared" si="423"/>
        <v>33000000.000000004</v>
      </c>
      <c r="X1207" s="3">
        <f t="shared" si="424"/>
        <v>24750000.000000004</v>
      </c>
      <c r="Y1207">
        <f t="shared" si="425"/>
        <v>0.23999999999999996</v>
      </c>
      <c r="Z1207">
        <f t="shared" si="426"/>
        <v>0.77435897435897438</v>
      </c>
      <c r="AA1207" t="str">
        <f t="shared" si="427"/>
        <v>Tier 1 - Priority Fleet</v>
      </c>
      <c r="AB1207" s="3">
        <f t="shared" si="428"/>
        <v>132000</v>
      </c>
      <c r="AC1207" s="3">
        <f t="shared" si="429"/>
        <v>1650000.0000000002</v>
      </c>
      <c r="AD1207" s="3">
        <f t="shared" si="430"/>
        <v>585000</v>
      </c>
      <c r="AE1207" s="5">
        <f t="shared" si="431"/>
        <v>3.6423841059602653</v>
      </c>
      <c r="AF1207" s="10">
        <f t="shared" si="432"/>
        <v>1636800</v>
      </c>
      <c r="AG1207" s="10">
        <f t="shared" si="433"/>
        <v>528000</v>
      </c>
      <c r="AH1207" s="10">
        <f t="shared" si="434"/>
        <v>264000</v>
      </c>
      <c r="AI1207" s="10">
        <f t="shared" si="435"/>
        <v>132000</v>
      </c>
      <c r="AJ1207" s="10">
        <f t="shared" si="436"/>
        <v>79200</v>
      </c>
    </row>
    <row r="1208" spans="1:36" x14ac:dyDescent="0.3">
      <c r="A1208" t="s">
        <v>4656</v>
      </c>
      <c r="B1208" t="s">
        <v>4657</v>
      </c>
      <c r="C1208" t="s">
        <v>4658</v>
      </c>
      <c r="D1208" t="s">
        <v>4659</v>
      </c>
      <c r="E1208">
        <v>96701</v>
      </c>
      <c r="F1208" t="s">
        <v>15</v>
      </c>
      <c r="G1208">
        <v>6</v>
      </c>
      <c r="H1208">
        <v>250</v>
      </c>
      <c r="I1208" t="str" cm="1">
        <f t="array" ref="I1208">_xlfn.IFS(H1208&lt;=120,"V1",H1208&lt;=150,"V2",H1208&lt;=250,"V3", H1208&lt;=350, "V4")</f>
        <v>V3</v>
      </c>
      <c r="J1208" t="s">
        <v>4660</v>
      </c>
      <c r="K1208" t="str">
        <f t="shared" si="414"/>
        <v>21.385583</v>
      </c>
      <c r="L1208" t="str">
        <f t="shared" si="415"/>
        <v>-157.941632</v>
      </c>
      <c r="M1208">
        <v>19</v>
      </c>
      <c r="N1208" s="1">
        <v>44553</v>
      </c>
      <c r="O1208" s="1">
        <v>46099</v>
      </c>
      <c r="P1208" s="2">
        <f t="shared" si="416"/>
        <v>4.2327173169062284</v>
      </c>
      <c r="Q1208" s="2" t="str">
        <f t="shared" si="417"/>
        <v>Mid</v>
      </c>
      <c r="R1208">
        <f t="shared" si="418"/>
        <v>1500</v>
      </c>
      <c r="S1208" t="str">
        <f t="shared" si="419"/>
        <v>Small</v>
      </c>
      <c r="T1208" t="str">
        <f t="shared" si="420"/>
        <v>Lower EV Adoption Corridor</v>
      </c>
      <c r="U1208" s="3">
        <f t="shared" si="421"/>
        <v>2700000</v>
      </c>
      <c r="V1208" s="4">
        <f t="shared" si="422"/>
        <v>660000</v>
      </c>
      <c r="W1208" s="3">
        <f t="shared" si="423"/>
        <v>9000000</v>
      </c>
      <c r="X1208" s="3">
        <f t="shared" si="424"/>
        <v>4950000</v>
      </c>
      <c r="Y1208">
        <f t="shared" si="425"/>
        <v>0.31515151515151513</v>
      </c>
      <c r="Z1208">
        <f t="shared" si="426"/>
        <v>0.75555555555555554</v>
      </c>
      <c r="AA1208" t="str">
        <f t="shared" si="427"/>
        <v>Tier 2 - Growth Markets</v>
      </c>
      <c r="AB1208" s="3">
        <f t="shared" si="428"/>
        <v>110000</v>
      </c>
      <c r="AC1208" s="3">
        <f t="shared" si="429"/>
        <v>1500000</v>
      </c>
      <c r="AD1208" s="3">
        <f t="shared" si="430"/>
        <v>450000</v>
      </c>
      <c r="AE1208" s="5">
        <f t="shared" si="431"/>
        <v>4.4117647058823533</v>
      </c>
      <c r="AF1208" s="10">
        <f t="shared" si="432"/>
        <v>409200</v>
      </c>
      <c r="AG1208" s="10">
        <f t="shared" si="433"/>
        <v>132000</v>
      </c>
      <c r="AH1208" s="10">
        <f t="shared" si="434"/>
        <v>66000</v>
      </c>
      <c r="AI1208" s="10">
        <f t="shared" si="435"/>
        <v>33000</v>
      </c>
      <c r="AJ1208" s="10">
        <f t="shared" si="436"/>
        <v>19800</v>
      </c>
    </row>
    <row r="1209" spans="1:36" x14ac:dyDescent="0.3">
      <c r="A1209" t="s">
        <v>4661</v>
      </c>
      <c r="B1209" t="s">
        <v>4662</v>
      </c>
      <c r="C1209" t="s">
        <v>4663</v>
      </c>
      <c r="D1209" t="s">
        <v>350</v>
      </c>
      <c r="E1209">
        <v>70433</v>
      </c>
      <c r="F1209" t="s">
        <v>15</v>
      </c>
      <c r="G1209">
        <v>12</v>
      </c>
      <c r="H1209">
        <v>250</v>
      </c>
      <c r="I1209" t="str" cm="1">
        <f t="array" ref="I1209">_xlfn.IFS(H1209&lt;=120,"V1",H1209&lt;=150,"V2",H1209&lt;=250,"V3", H1209&lt;=350, "V4")</f>
        <v>V3</v>
      </c>
      <c r="J1209" t="s">
        <v>4664</v>
      </c>
      <c r="K1209" t="str">
        <f t="shared" si="414"/>
        <v>30.443505</v>
      </c>
      <c r="L1209" t="str">
        <f t="shared" si="415"/>
        <v>-90.141137</v>
      </c>
      <c r="M1209">
        <v>6</v>
      </c>
      <c r="N1209" s="1">
        <v>44861</v>
      </c>
      <c r="O1209" s="1">
        <v>46099</v>
      </c>
      <c r="P1209" s="2">
        <f t="shared" si="416"/>
        <v>3.3894592744695413</v>
      </c>
      <c r="Q1209" s="2" t="str">
        <f t="shared" si="417"/>
        <v>Mid</v>
      </c>
      <c r="R1209">
        <f t="shared" si="418"/>
        <v>3000</v>
      </c>
      <c r="S1209" t="str">
        <f t="shared" si="419"/>
        <v>Small</v>
      </c>
      <c r="T1209" t="str">
        <f t="shared" si="420"/>
        <v>Lower EV Adoption Corridor</v>
      </c>
      <c r="U1209" s="3">
        <f t="shared" si="421"/>
        <v>5400000</v>
      </c>
      <c r="V1209" s="4">
        <f t="shared" si="422"/>
        <v>1320000</v>
      </c>
      <c r="W1209" s="3">
        <f t="shared" si="423"/>
        <v>18000000</v>
      </c>
      <c r="X1209" s="3">
        <f t="shared" si="424"/>
        <v>9900000</v>
      </c>
      <c r="Y1209">
        <f t="shared" si="425"/>
        <v>0.31515151515151513</v>
      </c>
      <c r="Z1209">
        <f t="shared" si="426"/>
        <v>0.75555555555555554</v>
      </c>
      <c r="AA1209" t="str">
        <f t="shared" si="427"/>
        <v>Tier 2 - Growth Markets</v>
      </c>
      <c r="AB1209" s="3">
        <f t="shared" si="428"/>
        <v>110000</v>
      </c>
      <c r="AC1209" s="3">
        <f t="shared" si="429"/>
        <v>1500000</v>
      </c>
      <c r="AD1209" s="3">
        <f t="shared" si="430"/>
        <v>450000</v>
      </c>
      <c r="AE1209" s="5">
        <f t="shared" si="431"/>
        <v>4.4117647058823533</v>
      </c>
      <c r="AF1209" s="10">
        <f t="shared" si="432"/>
        <v>818400</v>
      </c>
      <c r="AG1209" s="10">
        <f t="shared" si="433"/>
        <v>264000</v>
      </c>
      <c r="AH1209" s="10">
        <f t="shared" si="434"/>
        <v>132000</v>
      </c>
      <c r="AI1209" s="10">
        <f t="shared" si="435"/>
        <v>66000</v>
      </c>
      <c r="AJ1209" s="10">
        <f t="shared" si="436"/>
        <v>39600</v>
      </c>
    </row>
    <row r="1210" spans="1:36" x14ac:dyDescent="0.3">
      <c r="A1210" t="s">
        <v>4665</v>
      </c>
      <c r="B1210" t="s">
        <v>4666</v>
      </c>
      <c r="C1210" t="s">
        <v>4667</v>
      </c>
      <c r="D1210" t="s">
        <v>1189</v>
      </c>
      <c r="E1210">
        <v>26508</v>
      </c>
      <c r="F1210" t="s">
        <v>15</v>
      </c>
      <c r="G1210">
        <v>8</v>
      </c>
      <c r="H1210">
        <v>150</v>
      </c>
      <c r="I1210" t="str" cm="1">
        <f t="array" ref="I1210">_xlfn.IFS(H1210&lt;=120,"V1",H1210&lt;=150,"V2",H1210&lt;=250,"V3", H1210&lt;=350, "V4")</f>
        <v>V2</v>
      </c>
      <c r="J1210" t="s">
        <v>4668</v>
      </c>
      <c r="K1210" t="str">
        <f t="shared" si="414"/>
        <v>39.579175</v>
      </c>
      <c r="L1210" t="str">
        <f t="shared" si="415"/>
        <v>-79.953493</v>
      </c>
      <c r="M1210">
        <v>401</v>
      </c>
      <c r="N1210" s="1">
        <v>42988</v>
      </c>
      <c r="O1210" s="1">
        <v>46099</v>
      </c>
      <c r="P1210" s="2">
        <f t="shared" si="416"/>
        <v>8.517453798767967</v>
      </c>
      <c r="Q1210" s="2" t="str">
        <f t="shared" si="417"/>
        <v>Old</v>
      </c>
      <c r="R1210">
        <f t="shared" si="418"/>
        <v>1200</v>
      </c>
      <c r="S1210" t="str">
        <f t="shared" si="419"/>
        <v>Small</v>
      </c>
      <c r="T1210" t="str">
        <f t="shared" si="420"/>
        <v>Lower EV Adoption Corridor</v>
      </c>
      <c r="U1210" s="3">
        <f t="shared" si="421"/>
        <v>1980000.0000000002</v>
      </c>
      <c r="V1210" s="4">
        <f t="shared" si="422"/>
        <v>480000</v>
      </c>
      <c r="W1210" s="3">
        <f t="shared" si="423"/>
        <v>6000000</v>
      </c>
      <c r="X1210" s="3">
        <f t="shared" si="424"/>
        <v>3600000</v>
      </c>
      <c r="Y1210">
        <f t="shared" si="425"/>
        <v>0.3</v>
      </c>
      <c r="Z1210">
        <f t="shared" si="426"/>
        <v>0.75757575757575757</v>
      </c>
      <c r="AA1210" t="str">
        <f t="shared" si="427"/>
        <v>Tier 4 - Stable Network</v>
      </c>
      <c r="AB1210" s="3">
        <f t="shared" si="428"/>
        <v>60000</v>
      </c>
      <c r="AC1210" s="3">
        <f t="shared" si="429"/>
        <v>750000</v>
      </c>
      <c r="AD1210" s="3">
        <f t="shared" si="430"/>
        <v>247500.00000000003</v>
      </c>
      <c r="AE1210" s="5">
        <f t="shared" si="431"/>
        <v>3.9999999999999996</v>
      </c>
      <c r="AF1210" s="10">
        <f t="shared" si="432"/>
        <v>297600</v>
      </c>
      <c r="AG1210" s="10">
        <f t="shared" si="433"/>
        <v>96000</v>
      </c>
      <c r="AH1210" s="10">
        <f t="shared" si="434"/>
        <v>48000</v>
      </c>
      <c r="AI1210" s="10">
        <f t="shared" si="435"/>
        <v>24000</v>
      </c>
      <c r="AJ1210" s="10">
        <f t="shared" si="436"/>
        <v>14400</v>
      </c>
    </row>
    <row r="1211" spans="1:36" x14ac:dyDescent="0.3">
      <c r="A1211" t="s">
        <v>4669</v>
      </c>
      <c r="B1211" t="s">
        <v>4670</v>
      </c>
      <c r="C1211" t="s">
        <v>4671</v>
      </c>
      <c r="D1211" t="s">
        <v>158</v>
      </c>
      <c r="E1211">
        <v>12571</v>
      </c>
      <c r="F1211" t="s">
        <v>15</v>
      </c>
      <c r="G1211">
        <v>8</v>
      </c>
      <c r="H1211">
        <v>250</v>
      </c>
      <c r="I1211" t="str" cm="1">
        <f t="array" ref="I1211">_xlfn.IFS(H1211&lt;=120,"V1",H1211&lt;=150,"V2",H1211&lt;=250,"V3", H1211&lt;=350, "V4")</f>
        <v>V3</v>
      </c>
      <c r="J1211" t="s">
        <v>4672</v>
      </c>
      <c r="K1211" t="str">
        <f t="shared" si="414"/>
        <v>41.979518</v>
      </c>
      <c r="L1211" t="str">
        <f t="shared" si="415"/>
        <v>-73.88216</v>
      </c>
      <c r="M1211">
        <v>71</v>
      </c>
      <c r="N1211" s="1">
        <v>44658</v>
      </c>
      <c r="O1211" s="1">
        <v>46099</v>
      </c>
      <c r="P1211" s="2">
        <f t="shared" si="416"/>
        <v>3.9452429842573578</v>
      </c>
      <c r="Q1211" s="2" t="str">
        <f t="shared" si="417"/>
        <v>Mid</v>
      </c>
      <c r="R1211">
        <f t="shared" si="418"/>
        <v>2000</v>
      </c>
      <c r="S1211" t="str">
        <f t="shared" si="419"/>
        <v>Small</v>
      </c>
      <c r="T1211" t="str">
        <f t="shared" si="420"/>
        <v>Lower EV Adoption Corridor</v>
      </c>
      <c r="U1211" s="3">
        <f t="shared" si="421"/>
        <v>3600000</v>
      </c>
      <c r="V1211" s="4">
        <f t="shared" si="422"/>
        <v>880000.00000000012</v>
      </c>
      <c r="W1211" s="3">
        <f t="shared" si="423"/>
        <v>12000000</v>
      </c>
      <c r="X1211" s="3">
        <f t="shared" si="424"/>
        <v>6600000.0000000009</v>
      </c>
      <c r="Y1211">
        <f t="shared" si="425"/>
        <v>0.31515151515151513</v>
      </c>
      <c r="Z1211">
        <f t="shared" si="426"/>
        <v>0.75555555555555554</v>
      </c>
      <c r="AA1211" t="str">
        <f t="shared" si="427"/>
        <v>Tier 2 - Growth Markets</v>
      </c>
      <c r="AB1211" s="3">
        <f t="shared" si="428"/>
        <v>110000.00000000001</v>
      </c>
      <c r="AC1211" s="3">
        <f t="shared" si="429"/>
        <v>1500000</v>
      </c>
      <c r="AD1211" s="3">
        <f t="shared" si="430"/>
        <v>450000</v>
      </c>
      <c r="AE1211" s="5">
        <f t="shared" si="431"/>
        <v>4.4117647058823533</v>
      </c>
      <c r="AF1211" s="10">
        <f t="shared" si="432"/>
        <v>545600.00000000012</v>
      </c>
      <c r="AG1211" s="10">
        <f t="shared" si="433"/>
        <v>176000.00000000003</v>
      </c>
      <c r="AH1211" s="10">
        <f t="shared" si="434"/>
        <v>88000.000000000015</v>
      </c>
      <c r="AI1211" s="10">
        <f t="shared" si="435"/>
        <v>44000.000000000007</v>
      </c>
      <c r="AJ1211" s="10">
        <f t="shared" si="436"/>
        <v>26400.000000000004</v>
      </c>
    </row>
    <row r="1212" spans="1:36" x14ac:dyDescent="0.3">
      <c r="A1212" t="s">
        <v>4673</v>
      </c>
      <c r="B1212" t="s">
        <v>4674</v>
      </c>
      <c r="C1212" t="s">
        <v>4675</v>
      </c>
      <c r="D1212" t="s">
        <v>14</v>
      </c>
      <c r="E1212">
        <v>90272</v>
      </c>
      <c r="F1212" t="s">
        <v>15</v>
      </c>
      <c r="G1212">
        <v>8</v>
      </c>
      <c r="H1212">
        <v>250</v>
      </c>
      <c r="I1212" t="str" cm="1">
        <f t="array" ref="I1212">_xlfn.IFS(H1212&lt;=120,"V1",H1212&lt;=150,"V2",H1212&lt;=250,"V3", H1212&lt;=350, "V4")</f>
        <v>V3</v>
      </c>
      <c r="J1212" t="s">
        <v>4676</v>
      </c>
      <c r="K1212" t="str">
        <f t="shared" si="414"/>
        <v>34.047878</v>
      </c>
      <c r="L1212" t="str">
        <f t="shared" si="415"/>
        <v>-118.524987</v>
      </c>
      <c r="M1212">
        <v>100</v>
      </c>
      <c r="N1212" s="1">
        <v>44653</v>
      </c>
      <c r="O1212" s="1">
        <v>46099</v>
      </c>
      <c r="P1212" s="2">
        <f t="shared" si="416"/>
        <v>3.9589322381930185</v>
      </c>
      <c r="Q1212" s="2" t="str">
        <f t="shared" si="417"/>
        <v>Mid</v>
      </c>
      <c r="R1212">
        <f t="shared" si="418"/>
        <v>2000</v>
      </c>
      <c r="S1212" t="str">
        <f t="shared" si="419"/>
        <v>Small</v>
      </c>
      <c r="T1212" t="str">
        <f t="shared" si="420"/>
        <v>High EV Adoption Corridor</v>
      </c>
      <c r="U1212" s="3">
        <f t="shared" si="421"/>
        <v>4680000</v>
      </c>
      <c r="V1212" s="4">
        <f t="shared" si="422"/>
        <v>1056000</v>
      </c>
      <c r="W1212" s="3">
        <f t="shared" si="423"/>
        <v>13200000.000000002</v>
      </c>
      <c r="X1212" s="3">
        <f t="shared" si="424"/>
        <v>9900000.0000000019</v>
      </c>
      <c r="Y1212">
        <f t="shared" si="425"/>
        <v>0.23999999999999996</v>
      </c>
      <c r="Z1212">
        <f t="shared" si="426"/>
        <v>0.77435897435897438</v>
      </c>
      <c r="AA1212" t="str">
        <f t="shared" si="427"/>
        <v>Tier 1 - Priority Fleet</v>
      </c>
      <c r="AB1212" s="3">
        <f t="shared" si="428"/>
        <v>132000</v>
      </c>
      <c r="AC1212" s="3">
        <f t="shared" si="429"/>
        <v>1650000.0000000002</v>
      </c>
      <c r="AD1212" s="3">
        <f t="shared" si="430"/>
        <v>585000</v>
      </c>
      <c r="AE1212" s="5">
        <f t="shared" si="431"/>
        <v>3.6423841059602653</v>
      </c>
      <c r="AF1212" s="10">
        <f t="shared" si="432"/>
        <v>654720</v>
      </c>
      <c r="AG1212" s="10">
        <f t="shared" si="433"/>
        <v>211200</v>
      </c>
      <c r="AH1212" s="10">
        <f t="shared" si="434"/>
        <v>105600</v>
      </c>
      <c r="AI1212" s="10">
        <f t="shared" si="435"/>
        <v>52800</v>
      </c>
      <c r="AJ1212" s="10">
        <f t="shared" si="436"/>
        <v>31680</v>
      </c>
    </row>
    <row r="1213" spans="1:36" x14ac:dyDescent="0.3">
      <c r="A1213" t="s">
        <v>4677</v>
      </c>
      <c r="B1213" t="s">
        <v>4678</v>
      </c>
      <c r="C1213" t="s">
        <v>4679</v>
      </c>
      <c r="D1213" t="s">
        <v>125</v>
      </c>
      <c r="E1213">
        <v>29708</v>
      </c>
      <c r="F1213" t="s">
        <v>15</v>
      </c>
      <c r="G1213">
        <v>12</v>
      </c>
      <c r="H1213">
        <v>250</v>
      </c>
      <c r="I1213" t="str" cm="1">
        <f t="array" ref="I1213">_xlfn.IFS(H1213&lt;=120,"V1",H1213&lt;=150,"V2",H1213&lt;=250,"V3", H1213&lt;=350, "V4")</f>
        <v>V3</v>
      </c>
      <c r="J1213" t="s">
        <v>4680</v>
      </c>
      <c r="K1213" t="str">
        <f t="shared" si="414"/>
        <v>35.0964</v>
      </c>
      <c r="L1213" t="str">
        <f t="shared" si="415"/>
        <v>-80.9359</v>
      </c>
      <c r="M1213">
        <v>191</v>
      </c>
      <c r="N1213" s="1">
        <v>44701</v>
      </c>
      <c r="O1213" s="1">
        <v>46099</v>
      </c>
      <c r="P1213" s="2">
        <f t="shared" si="416"/>
        <v>3.8275154004106775</v>
      </c>
      <c r="Q1213" s="2" t="str">
        <f t="shared" si="417"/>
        <v>Mid</v>
      </c>
      <c r="R1213">
        <f t="shared" si="418"/>
        <v>3000</v>
      </c>
      <c r="S1213" t="str">
        <f t="shared" si="419"/>
        <v>Small</v>
      </c>
      <c r="T1213" t="str">
        <f t="shared" si="420"/>
        <v>Lower EV Adoption Corridor</v>
      </c>
      <c r="U1213" s="3">
        <f t="shared" si="421"/>
        <v>5400000</v>
      </c>
      <c r="V1213" s="4">
        <f t="shared" si="422"/>
        <v>1320000</v>
      </c>
      <c r="W1213" s="3">
        <f t="shared" si="423"/>
        <v>18000000</v>
      </c>
      <c r="X1213" s="3">
        <f t="shared" si="424"/>
        <v>9900000</v>
      </c>
      <c r="Y1213">
        <f t="shared" si="425"/>
        <v>0.31515151515151513</v>
      </c>
      <c r="Z1213">
        <f t="shared" si="426"/>
        <v>0.75555555555555554</v>
      </c>
      <c r="AA1213" t="str">
        <f t="shared" si="427"/>
        <v>Tier 2 - Growth Markets</v>
      </c>
      <c r="AB1213" s="3">
        <f t="shared" si="428"/>
        <v>110000</v>
      </c>
      <c r="AC1213" s="3">
        <f t="shared" si="429"/>
        <v>1500000</v>
      </c>
      <c r="AD1213" s="3">
        <f t="shared" si="430"/>
        <v>450000</v>
      </c>
      <c r="AE1213" s="5">
        <f t="shared" si="431"/>
        <v>4.4117647058823533</v>
      </c>
      <c r="AF1213" s="10">
        <f t="shared" si="432"/>
        <v>818400</v>
      </c>
      <c r="AG1213" s="10">
        <f t="shared" si="433"/>
        <v>264000</v>
      </c>
      <c r="AH1213" s="10">
        <f t="shared" si="434"/>
        <v>132000</v>
      </c>
      <c r="AI1213" s="10">
        <f t="shared" si="435"/>
        <v>66000</v>
      </c>
      <c r="AJ1213" s="10">
        <f t="shared" si="436"/>
        <v>39600</v>
      </c>
    </row>
    <row r="1214" spans="1:36" x14ac:dyDescent="0.3">
      <c r="A1214" t="s">
        <v>4681</v>
      </c>
      <c r="B1214" t="s">
        <v>4682</v>
      </c>
      <c r="C1214" t="s">
        <v>1387</v>
      </c>
      <c r="D1214" t="s">
        <v>268</v>
      </c>
      <c r="E1214">
        <v>80030</v>
      </c>
      <c r="F1214" t="s">
        <v>15</v>
      </c>
      <c r="G1214">
        <v>8</v>
      </c>
      <c r="H1214">
        <v>250</v>
      </c>
      <c r="I1214" t="str" cm="1">
        <f t="array" ref="I1214">_xlfn.IFS(H1214&lt;=120,"V1",H1214&lt;=150,"V2",H1214&lt;=250,"V3", H1214&lt;=350, "V4")</f>
        <v>V3</v>
      </c>
      <c r="J1214" t="s">
        <v>4683</v>
      </c>
      <c r="K1214" t="str">
        <f t="shared" si="414"/>
        <v>39.832103</v>
      </c>
      <c r="L1214" t="str">
        <f t="shared" si="415"/>
        <v>-105.023901</v>
      </c>
      <c r="M1214">
        <v>1629</v>
      </c>
      <c r="N1214" s="1">
        <v>44768</v>
      </c>
      <c r="O1214" s="1">
        <v>46099</v>
      </c>
      <c r="P1214" s="2">
        <f t="shared" si="416"/>
        <v>3.6440793976728267</v>
      </c>
      <c r="Q1214" s="2" t="str">
        <f t="shared" si="417"/>
        <v>Mid</v>
      </c>
      <c r="R1214">
        <f t="shared" si="418"/>
        <v>2000</v>
      </c>
      <c r="S1214" t="str">
        <f t="shared" si="419"/>
        <v>Small</v>
      </c>
      <c r="T1214" t="str">
        <f t="shared" si="420"/>
        <v>High EV Adoption Corridor</v>
      </c>
      <c r="U1214" s="3">
        <f t="shared" si="421"/>
        <v>4680000</v>
      </c>
      <c r="V1214" s="4">
        <f t="shared" si="422"/>
        <v>1056000</v>
      </c>
      <c r="W1214" s="3">
        <f t="shared" si="423"/>
        <v>13200000.000000002</v>
      </c>
      <c r="X1214" s="3">
        <f t="shared" si="424"/>
        <v>9900000.0000000019</v>
      </c>
      <c r="Y1214">
        <f t="shared" si="425"/>
        <v>0.23999999999999996</v>
      </c>
      <c r="Z1214">
        <f t="shared" si="426"/>
        <v>0.77435897435897438</v>
      </c>
      <c r="AA1214" t="str">
        <f t="shared" si="427"/>
        <v>Tier 1 - Priority Fleet</v>
      </c>
      <c r="AB1214" s="3">
        <f t="shared" si="428"/>
        <v>132000</v>
      </c>
      <c r="AC1214" s="3">
        <f t="shared" si="429"/>
        <v>1650000.0000000002</v>
      </c>
      <c r="AD1214" s="3">
        <f t="shared" si="430"/>
        <v>585000</v>
      </c>
      <c r="AE1214" s="5">
        <f t="shared" si="431"/>
        <v>3.6423841059602653</v>
      </c>
      <c r="AF1214" s="10">
        <f t="shared" si="432"/>
        <v>654720</v>
      </c>
      <c r="AG1214" s="10">
        <f t="shared" si="433"/>
        <v>211200</v>
      </c>
      <c r="AH1214" s="10">
        <f t="shared" si="434"/>
        <v>105600</v>
      </c>
      <c r="AI1214" s="10">
        <f t="shared" si="435"/>
        <v>52800</v>
      </c>
      <c r="AJ1214" s="10">
        <f t="shared" si="436"/>
        <v>31680</v>
      </c>
    </row>
    <row r="1215" spans="1:36" x14ac:dyDescent="0.3">
      <c r="A1215" t="s">
        <v>4684</v>
      </c>
      <c r="B1215" t="s">
        <v>4685</v>
      </c>
      <c r="C1215" t="s">
        <v>4686</v>
      </c>
      <c r="D1215" t="s">
        <v>14</v>
      </c>
      <c r="E1215">
        <v>91776</v>
      </c>
      <c r="F1215" t="s">
        <v>15</v>
      </c>
      <c r="G1215">
        <v>20</v>
      </c>
      <c r="H1215">
        <v>250</v>
      </c>
      <c r="I1215" t="str" cm="1">
        <f t="array" ref="I1215">_xlfn.IFS(H1215&lt;=120,"V1",H1215&lt;=150,"V2",H1215&lt;=250,"V3", H1215&lt;=350, "V4")</f>
        <v>V3</v>
      </c>
      <c r="J1215" t="s">
        <v>4687</v>
      </c>
      <c r="K1215" t="str">
        <f t="shared" si="414"/>
        <v>34.077694</v>
      </c>
      <c r="L1215" t="str">
        <f t="shared" si="415"/>
        <v>-118.100109</v>
      </c>
      <c r="M1215">
        <v>102</v>
      </c>
      <c r="N1215" s="1">
        <v>44413</v>
      </c>
      <c r="O1215" s="1">
        <v>46099</v>
      </c>
      <c r="P1215" s="2">
        <f t="shared" si="416"/>
        <v>4.6160164271047224</v>
      </c>
      <c r="Q1215" s="2" t="str">
        <f t="shared" si="417"/>
        <v>Mid</v>
      </c>
      <c r="R1215">
        <f t="shared" si="418"/>
        <v>5000</v>
      </c>
      <c r="S1215" t="str">
        <f t="shared" si="419"/>
        <v>Small</v>
      </c>
      <c r="T1215" t="str">
        <f t="shared" si="420"/>
        <v>High EV Adoption Corridor</v>
      </c>
      <c r="U1215" s="3">
        <f t="shared" si="421"/>
        <v>11700000</v>
      </c>
      <c r="V1215" s="4">
        <f t="shared" si="422"/>
        <v>2640000</v>
      </c>
      <c r="W1215" s="3">
        <f t="shared" si="423"/>
        <v>33000000.000000004</v>
      </c>
      <c r="X1215" s="3">
        <f t="shared" si="424"/>
        <v>24750000.000000004</v>
      </c>
      <c r="Y1215">
        <f t="shared" si="425"/>
        <v>0.23999999999999996</v>
      </c>
      <c r="Z1215">
        <f t="shared" si="426"/>
        <v>0.77435897435897438</v>
      </c>
      <c r="AA1215" t="str">
        <f t="shared" si="427"/>
        <v>Tier 1 - Priority Fleet</v>
      </c>
      <c r="AB1215" s="3">
        <f t="shared" si="428"/>
        <v>132000</v>
      </c>
      <c r="AC1215" s="3">
        <f t="shared" si="429"/>
        <v>1650000.0000000002</v>
      </c>
      <c r="AD1215" s="3">
        <f t="shared" si="430"/>
        <v>585000</v>
      </c>
      <c r="AE1215" s="5">
        <f t="shared" si="431"/>
        <v>3.6423841059602653</v>
      </c>
      <c r="AF1215" s="10">
        <f t="shared" si="432"/>
        <v>1636800</v>
      </c>
      <c r="AG1215" s="10">
        <f t="shared" si="433"/>
        <v>528000</v>
      </c>
      <c r="AH1215" s="10">
        <f t="shared" si="434"/>
        <v>264000</v>
      </c>
      <c r="AI1215" s="10">
        <f t="shared" si="435"/>
        <v>132000</v>
      </c>
      <c r="AJ1215" s="10">
        <f t="shared" si="436"/>
        <v>79200</v>
      </c>
    </row>
    <row r="1216" spans="1:36" x14ac:dyDescent="0.3">
      <c r="A1216" t="s">
        <v>4688</v>
      </c>
      <c r="B1216" t="s">
        <v>4689</v>
      </c>
      <c r="C1216" t="s">
        <v>4690</v>
      </c>
      <c r="D1216" t="s">
        <v>852</v>
      </c>
      <c r="E1216">
        <v>7644</v>
      </c>
      <c r="F1216" t="s">
        <v>15</v>
      </c>
      <c r="G1216">
        <v>8</v>
      </c>
      <c r="H1216">
        <v>250</v>
      </c>
      <c r="I1216" t="str" cm="1">
        <f t="array" ref="I1216">_xlfn.IFS(H1216&lt;=120,"V1",H1216&lt;=150,"V2",H1216&lt;=250,"V3", H1216&lt;=350, "V4")</f>
        <v>V3</v>
      </c>
      <c r="J1216" t="s">
        <v>4691</v>
      </c>
      <c r="K1216" t="str">
        <f t="shared" si="414"/>
        <v>40.89146</v>
      </c>
      <c r="L1216" t="str">
        <f t="shared" si="415"/>
        <v>-74.07267</v>
      </c>
      <c r="M1216">
        <v>13</v>
      </c>
      <c r="N1216" s="1">
        <v>44443</v>
      </c>
      <c r="O1216" s="1">
        <v>46099</v>
      </c>
      <c r="P1216" s="2">
        <f t="shared" si="416"/>
        <v>4.5338809034907595</v>
      </c>
      <c r="Q1216" s="2" t="str">
        <f t="shared" si="417"/>
        <v>Mid</v>
      </c>
      <c r="R1216">
        <f t="shared" si="418"/>
        <v>2000</v>
      </c>
      <c r="S1216" t="str">
        <f t="shared" si="419"/>
        <v>Small</v>
      </c>
      <c r="T1216" t="str">
        <f t="shared" si="420"/>
        <v>High EV Adoption Corridor</v>
      </c>
      <c r="U1216" s="3">
        <f t="shared" si="421"/>
        <v>4680000</v>
      </c>
      <c r="V1216" s="4">
        <f t="shared" si="422"/>
        <v>1056000</v>
      </c>
      <c r="W1216" s="3">
        <f t="shared" si="423"/>
        <v>13200000.000000002</v>
      </c>
      <c r="X1216" s="3">
        <f t="shared" si="424"/>
        <v>9900000.0000000019</v>
      </c>
      <c r="Y1216">
        <f t="shared" si="425"/>
        <v>0.23999999999999996</v>
      </c>
      <c r="Z1216">
        <f t="shared" si="426"/>
        <v>0.77435897435897438</v>
      </c>
      <c r="AA1216" t="str">
        <f t="shared" si="427"/>
        <v>Tier 1 - Priority Fleet</v>
      </c>
      <c r="AB1216" s="3">
        <f t="shared" si="428"/>
        <v>132000</v>
      </c>
      <c r="AC1216" s="3">
        <f t="shared" si="429"/>
        <v>1650000.0000000002</v>
      </c>
      <c r="AD1216" s="3">
        <f t="shared" si="430"/>
        <v>585000</v>
      </c>
      <c r="AE1216" s="5">
        <f t="shared" si="431"/>
        <v>3.6423841059602653</v>
      </c>
      <c r="AF1216" s="10">
        <f t="shared" si="432"/>
        <v>654720</v>
      </c>
      <c r="AG1216" s="10">
        <f t="shared" si="433"/>
        <v>211200</v>
      </c>
      <c r="AH1216" s="10">
        <f t="shared" si="434"/>
        <v>105600</v>
      </c>
      <c r="AI1216" s="10">
        <f t="shared" si="435"/>
        <v>52800</v>
      </c>
      <c r="AJ1216" s="10">
        <f t="shared" si="436"/>
        <v>31680</v>
      </c>
    </row>
    <row r="1217" spans="1:36" x14ac:dyDescent="0.3">
      <c r="A1217" t="s">
        <v>4692</v>
      </c>
      <c r="B1217" t="s">
        <v>4693</v>
      </c>
      <c r="C1217" t="s">
        <v>162</v>
      </c>
      <c r="D1217" t="s">
        <v>14</v>
      </c>
      <c r="E1217">
        <v>92078</v>
      </c>
      <c r="F1217" t="s">
        <v>15</v>
      </c>
      <c r="G1217">
        <v>20</v>
      </c>
      <c r="H1217">
        <v>250</v>
      </c>
      <c r="I1217" t="str" cm="1">
        <f t="array" ref="I1217">_xlfn.IFS(H1217&lt;=120,"V1",H1217&lt;=150,"V2",H1217&lt;=250,"V3", H1217&lt;=350, "V4")</f>
        <v>V3</v>
      </c>
      <c r="J1217" t="s">
        <v>4694</v>
      </c>
      <c r="K1217" t="str">
        <f t="shared" si="414"/>
        <v>33.13658</v>
      </c>
      <c r="L1217" t="str">
        <f t="shared" si="415"/>
        <v>-117.176119</v>
      </c>
      <c r="M1217">
        <v>170</v>
      </c>
      <c r="N1217" s="1">
        <v>44426</v>
      </c>
      <c r="O1217" s="1">
        <v>46099</v>
      </c>
      <c r="P1217" s="2">
        <f t="shared" si="416"/>
        <v>4.5804243668720055</v>
      </c>
      <c r="Q1217" s="2" t="str">
        <f t="shared" si="417"/>
        <v>Mid</v>
      </c>
      <c r="R1217">
        <f t="shared" si="418"/>
        <v>5000</v>
      </c>
      <c r="S1217" t="str">
        <f t="shared" si="419"/>
        <v>Small</v>
      </c>
      <c r="T1217" t="str">
        <f t="shared" si="420"/>
        <v>High EV Adoption Corridor</v>
      </c>
      <c r="U1217" s="3">
        <f t="shared" si="421"/>
        <v>11700000</v>
      </c>
      <c r="V1217" s="4">
        <f t="shared" si="422"/>
        <v>2640000</v>
      </c>
      <c r="W1217" s="3">
        <f t="shared" si="423"/>
        <v>33000000.000000004</v>
      </c>
      <c r="X1217" s="3">
        <f t="shared" si="424"/>
        <v>24750000.000000004</v>
      </c>
      <c r="Y1217">
        <f t="shared" si="425"/>
        <v>0.23999999999999996</v>
      </c>
      <c r="Z1217">
        <f t="shared" si="426"/>
        <v>0.77435897435897438</v>
      </c>
      <c r="AA1217" t="str">
        <f t="shared" si="427"/>
        <v>Tier 1 - Priority Fleet</v>
      </c>
      <c r="AB1217" s="3">
        <f t="shared" si="428"/>
        <v>132000</v>
      </c>
      <c r="AC1217" s="3">
        <f t="shared" si="429"/>
        <v>1650000.0000000002</v>
      </c>
      <c r="AD1217" s="3">
        <f t="shared" si="430"/>
        <v>585000</v>
      </c>
      <c r="AE1217" s="5">
        <f t="shared" si="431"/>
        <v>3.6423841059602653</v>
      </c>
      <c r="AF1217" s="10">
        <f t="shared" si="432"/>
        <v>1636800</v>
      </c>
      <c r="AG1217" s="10">
        <f t="shared" si="433"/>
        <v>528000</v>
      </c>
      <c r="AH1217" s="10">
        <f t="shared" si="434"/>
        <v>264000</v>
      </c>
      <c r="AI1217" s="10">
        <f t="shared" si="435"/>
        <v>132000</v>
      </c>
      <c r="AJ1217" s="10">
        <f t="shared" si="436"/>
        <v>79200</v>
      </c>
    </row>
    <row r="1218" spans="1:36" x14ac:dyDescent="0.3">
      <c r="A1218" t="s">
        <v>4695</v>
      </c>
      <c r="B1218" t="s">
        <v>4696</v>
      </c>
      <c r="C1218" t="s">
        <v>1193</v>
      </c>
      <c r="D1218" t="s">
        <v>130</v>
      </c>
      <c r="E1218">
        <v>46224</v>
      </c>
      <c r="F1218" t="s">
        <v>15</v>
      </c>
      <c r="G1218">
        <v>8</v>
      </c>
      <c r="H1218">
        <v>250</v>
      </c>
      <c r="I1218" t="str" cm="1">
        <f t="array" ref="I1218">_xlfn.IFS(H1218&lt;=120,"V1",H1218&lt;=150,"V2",H1218&lt;=250,"V3", H1218&lt;=350, "V4")</f>
        <v>V3</v>
      </c>
      <c r="J1218" t="s">
        <v>4697</v>
      </c>
      <c r="K1218" t="str">
        <f t="shared" si="414"/>
        <v>39.80066</v>
      </c>
      <c r="L1218" t="str">
        <f t="shared" si="415"/>
        <v>-86.270482</v>
      </c>
      <c r="M1218">
        <v>226</v>
      </c>
      <c r="N1218" s="1">
        <v>44344</v>
      </c>
      <c r="O1218" s="1">
        <v>46099</v>
      </c>
      <c r="P1218" s="2">
        <f t="shared" si="416"/>
        <v>4.8049281314168377</v>
      </c>
      <c r="Q1218" s="2" t="str">
        <f t="shared" si="417"/>
        <v>Mid</v>
      </c>
      <c r="R1218">
        <f t="shared" si="418"/>
        <v>2000</v>
      </c>
      <c r="S1218" t="str">
        <f t="shared" si="419"/>
        <v>Small</v>
      </c>
      <c r="T1218" t="str">
        <f t="shared" si="420"/>
        <v>Lower EV Adoption Corridor</v>
      </c>
      <c r="U1218" s="3">
        <f t="shared" si="421"/>
        <v>3600000</v>
      </c>
      <c r="V1218" s="4">
        <f t="shared" si="422"/>
        <v>880000.00000000012</v>
      </c>
      <c r="W1218" s="3">
        <f t="shared" si="423"/>
        <v>12000000</v>
      </c>
      <c r="X1218" s="3">
        <f t="shared" si="424"/>
        <v>6600000.0000000009</v>
      </c>
      <c r="Y1218">
        <f t="shared" si="425"/>
        <v>0.31515151515151513</v>
      </c>
      <c r="Z1218">
        <f t="shared" si="426"/>
        <v>0.75555555555555554</v>
      </c>
      <c r="AA1218" t="str">
        <f t="shared" si="427"/>
        <v>Tier 2 - Growth Markets</v>
      </c>
      <c r="AB1218" s="3">
        <f t="shared" si="428"/>
        <v>110000.00000000001</v>
      </c>
      <c r="AC1218" s="3">
        <f t="shared" si="429"/>
        <v>1500000</v>
      </c>
      <c r="AD1218" s="3">
        <f t="shared" si="430"/>
        <v>450000</v>
      </c>
      <c r="AE1218" s="5">
        <f t="shared" si="431"/>
        <v>4.4117647058823533</v>
      </c>
      <c r="AF1218" s="10">
        <f t="shared" si="432"/>
        <v>545600.00000000012</v>
      </c>
      <c r="AG1218" s="10">
        <f t="shared" si="433"/>
        <v>176000.00000000003</v>
      </c>
      <c r="AH1218" s="10">
        <f t="shared" si="434"/>
        <v>88000.000000000015</v>
      </c>
      <c r="AI1218" s="10">
        <f t="shared" si="435"/>
        <v>44000.000000000007</v>
      </c>
      <c r="AJ1218" s="10">
        <f t="shared" si="436"/>
        <v>26400.000000000004</v>
      </c>
    </row>
    <row r="1219" spans="1:36" x14ac:dyDescent="0.3">
      <c r="A1219" t="s">
        <v>4698</v>
      </c>
      <c r="B1219" t="s">
        <v>4699</v>
      </c>
      <c r="C1219" t="s">
        <v>2426</v>
      </c>
      <c r="D1219" t="s">
        <v>1412</v>
      </c>
      <c r="E1219">
        <v>19709</v>
      </c>
      <c r="F1219" t="s">
        <v>15</v>
      </c>
      <c r="G1219">
        <v>8</v>
      </c>
      <c r="H1219">
        <v>250</v>
      </c>
      <c r="I1219" t="str" cm="1">
        <f t="array" ref="I1219">_xlfn.IFS(H1219&lt;=120,"V1",H1219&lt;=150,"V2",H1219&lt;=250,"V3", H1219&lt;=350, "V4")</f>
        <v>V3</v>
      </c>
      <c r="J1219" t="s">
        <v>4700</v>
      </c>
      <c r="K1219" t="str">
        <f t="shared" ref="K1219:K1282" si="437">TRIM(LEFT(J1219, FIND(",", J1219) - 1))</f>
        <v>39.47951</v>
      </c>
      <c r="L1219" t="str">
        <f t="shared" ref="L1219:L1282" si="438">TRIM(MID(J1219, FIND(",", J1219) + 1, LEN(J1219)))</f>
        <v>-75.722099</v>
      </c>
      <c r="M1219">
        <v>20</v>
      </c>
      <c r="N1219" s="1">
        <v>44308</v>
      </c>
      <c r="O1219" s="1">
        <v>46099</v>
      </c>
      <c r="P1219" s="2">
        <f t="shared" ref="P1219:P1282" si="439">(O1219-N1219)/365.25</f>
        <v>4.9034907597535931</v>
      </c>
      <c r="Q1219" s="2" t="str">
        <f t="shared" ref="Q1219:Q1282" si="440">IF(P1219&lt;3,"New",IF(P1219&lt;=8,"Mid","Old"))</f>
        <v>Mid</v>
      </c>
      <c r="R1219">
        <f t="shared" ref="R1219:R1282" si="441">G1219*H1219</f>
        <v>2000</v>
      </c>
      <c r="S1219" t="str">
        <f t="shared" ref="S1219:S1282" si="442">IF(G1219&lt;=30,"Small",IF(G1219&lt;=60,"Medium","Large"))</f>
        <v>Small</v>
      </c>
      <c r="T1219" t="str">
        <f t="shared" ref="T1219:T1282" si="443">IF(OR(D1219="CA",D1219="FL",D1219="WA",D1219="CO",D1219="TX",D1219="NJ"),"High EV Adoption Corridor","Lower EV Adoption Corridor")</f>
        <v>Lower EV Adoption Corridor</v>
      </c>
      <c r="U1219" s="3">
        <f t="shared" ref="U1219:U1282" si="444" xml:space="preserve"> R1219 * 1500 *
  IF(I1219="V1",1,
     IF(I1219="V2",1.1,1.2)) *
  IF(T1219="High EV Adoption Corridor",1.3,1)</f>
        <v>3600000</v>
      </c>
      <c r="V1219" s="4">
        <f t="shared" ref="V1219:V1282" si="445" xml:space="preserve"> R1219 * 400 *
  IF(I1219="V1",0.9,
     IF(I1219="V2",1,1.1)) *
  IF(T1219="High EV Adoption Corridor",1.2,1)</f>
        <v>880000.00000000012</v>
      </c>
      <c r="W1219" s="3">
        <f t="shared" ref="W1219:W1282" si="446" xml:space="preserve"> R1219 * 5000 *
  IF(I1219="V1",0.8,
     IF(I1219="V2",1,1.2)) *
  IF(T1219="High EV Adoption Corridor",1.1,1)</f>
        <v>12000000</v>
      </c>
      <c r="X1219" s="3">
        <f t="shared" ref="X1219:X1282" si="447" xml:space="preserve"> R1219 * 3000 *
  IF(I1219="V1",0.9,
     IF(I1219="V2",1,1.1)) *
  IF(T1219="High EV Adoption Corridor",1.5,1)</f>
        <v>6600000.0000000009</v>
      </c>
      <c r="Y1219">
        <f t="shared" ref="Y1219:Y1282" si="448" xml:space="preserve"> ((W1219/10) + V1219) / X1219</f>
        <v>0.31515151515151513</v>
      </c>
      <c r="Z1219">
        <f t="shared" ref="Z1219:Z1282" si="449">(U1219-V1219)/U1219</f>
        <v>0.75555555555555554</v>
      </c>
      <c r="AA1219" t="str">
        <f t="shared" ref="AA1219:AA1282" si="450">IF(AND(I1219="V3",T1219="High EV Adoption Corridor"),
"Tier 1 - Priority Fleet",
IF(AND(I1219="V3",T1219="Lower EV Adoption Corridor"),
"Tier 2 - Growth Markets",
IF(AND(OR(I1219="V1",I1219="V2"),T1219="High EV Adoption Corridor"),
"Tier 3 - Upgrade Pipeline",
IF(AND(I1219="V2",T1219="Lower EV Adoption Corridor"),
"Tier 4 - Stable Network",
"Tier 5 - Retirement Pipeline"))))</f>
        <v>Tier 2 - Growth Markets</v>
      </c>
      <c r="AB1219" s="3">
        <f t="shared" ref="AB1219:AB1282" si="451">V1219/G1219</f>
        <v>110000.00000000001</v>
      </c>
      <c r="AC1219" s="3">
        <f t="shared" ref="AC1219:AC1282" si="452">W1219/G1219</f>
        <v>1500000</v>
      </c>
      <c r="AD1219" s="3">
        <f t="shared" ref="AD1219:AD1282" si="453">U1219/G1219</f>
        <v>450000</v>
      </c>
      <c r="AE1219" s="5">
        <f t="shared" ref="AE1219:AE1282" si="454">W1219/(U1219-V1219)</f>
        <v>4.4117647058823533</v>
      </c>
      <c r="AF1219" s="10">
        <f t="shared" ref="AF1219:AF1282" si="455">V1219*0.62</f>
        <v>545600.00000000012</v>
      </c>
      <c r="AG1219" s="10">
        <f t="shared" ref="AG1219:AG1282" si="456">V1219*0.2</f>
        <v>176000.00000000003</v>
      </c>
      <c r="AH1219" s="10">
        <f t="shared" ref="AH1219:AH1282" si="457">V1219*0.1</f>
        <v>88000.000000000015</v>
      </c>
      <c r="AI1219" s="10">
        <f t="shared" ref="AI1219:AI1282" si="458">V1219*0.05</f>
        <v>44000.000000000007</v>
      </c>
      <c r="AJ1219" s="10">
        <f t="shared" ref="AJ1219:AJ1282" si="459">V1219*0.03</f>
        <v>26400.000000000004</v>
      </c>
    </row>
    <row r="1220" spans="1:36" x14ac:dyDescent="0.3">
      <c r="A1220" t="s">
        <v>4701</v>
      </c>
      <c r="B1220" t="s">
        <v>4702</v>
      </c>
      <c r="C1220" t="s">
        <v>4703</v>
      </c>
      <c r="D1220" t="s">
        <v>59</v>
      </c>
      <c r="E1220">
        <v>60420</v>
      </c>
      <c r="F1220" t="s">
        <v>15</v>
      </c>
      <c r="G1220">
        <v>8</v>
      </c>
      <c r="H1220">
        <v>250</v>
      </c>
      <c r="I1220" t="str" cm="1">
        <f t="array" ref="I1220">_xlfn.IFS(H1220&lt;=120,"V1",H1220&lt;=150,"V2",H1220&lt;=250,"V3", H1220&lt;=350, "V4")</f>
        <v>V3</v>
      </c>
      <c r="J1220" t="s">
        <v>4704</v>
      </c>
      <c r="K1220" t="str">
        <f t="shared" si="437"/>
        <v>41.093395</v>
      </c>
      <c r="L1220" t="str">
        <f t="shared" si="438"/>
        <v>-88.442109</v>
      </c>
      <c r="M1220">
        <v>193</v>
      </c>
      <c r="N1220" s="1">
        <v>44472</v>
      </c>
      <c r="O1220" s="1">
        <v>46099</v>
      </c>
      <c r="P1220" s="2">
        <f t="shared" si="439"/>
        <v>4.4544832306639286</v>
      </c>
      <c r="Q1220" s="2" t="str">
        <f t="shared" si="440"/>
        <v>Mid</v>
      </c>
      <c r="R1220">
        <f t="shared" si="441"/>
        <v>2000</v>
      </c>
      <c r="S1220" t="str">
        <f t="shared" si="442"/>
        <v>Small</v>
      </c>
      <c r="T1220" t="str">
        <f t="shared" si="443"/>
        <v>Lower EV Adoption Corridor</v>
      </c>
      <c r="U1220" s="3">
        <f t="shared" si="444"/>
        <v>3600000</v>
      </c>
      <c r="V1220" s="4">
        <f t="shared" si="445"/>
        <v>880000.00000000012</v>
      </c>
      <c r="W1220" s="3">
        <f t="shared" si="446"/>
        <v>12000000</v>
      </c>
      <c r="X1220" s="3">
        <f t="shared" si="447"/>
        <v>6600000.0000000009</v>
      </c>
      <c r="Y1220">
        <f t="shared" si="448"/>
        <v>0.31515151515151513</v>
      </c>
      <c r="Z1220">
        <f t="shared" si="449"/>
        <v>0.75555555555555554</v>
      </c>
      <c r="AA1220" t="str">
        <f t="shared" si="450"/>
        <v>Tier 2 - Growth Markets</v>
      </c>
      <c r="AB1220" s="3">
        <f t="shared" si="451"/>
        <v>110000.00000000001</v>
      </c>
      <c r="AC1220" s="3">
        <f t="shared" si="452"/>
        <v>1500000</v>
      </c>
      <c r="AD1220" s="3">
        <f t="shared" si="453"/>
        <v>450000</v>
      </c>
      <c r="AE1220" s="5">
        <f t="shared" si="454"/>
        <v>4.4117647058823533</v>
      </c>
      <c r="AF1220" s="10">
        <f t="shared" si="455"/>
        <v>545600.00000000012</v>
      </c>
      <c r="AG1220" s="10">
        <f t="shared" si="456"/>
        <v>176000.00000000003</v>
      </c>
      <c r="AH1220" s="10">
        <f t="shared" si="457"/>
        <v>88000.000000000015</v>
      </c>
      <c r="AI1220" s="10">
        <f t="shared" si="458"/>
        <v>44000.000000000007</v>
      </c>
      <c r="AJ1220" s="10">
        <f t="shared" si="459"/>
        <v>26400.000000000004</v>
      </c>
    </row>
    <row r="1221" spans="1:36" x14ac:dyDescent="0.3">
      <c r="A1221" t="s">
        <v>4705</v>
      </c>
      <c r="B1221" t="s">
        <v>4706</v>
      </c>
      <c r="C1221" t="s">
        <v>4707</v>
      </c>
      <c r="D1221" t="s">
        <v>852</v>
      </c>
      <c r="E1221">
        <v>7016</v>
      </c>
      <c r="F1221" t="s">
        <v>15</v>
      </c>
      <c r="G1221">
        <v>12</v>
      </c>
      <c r="H1221">
        <v>250</v>
      </c>
      <c r="I1221" t="str" cm="1">
        <f t="array" ref="I1221">_xlfn.IFS(H1221&lt;=120,"V1",H1221&lt;=150,"V2",H1221&lt;=250,"V3", H1221&lt;=350, "V4")</f>
        <v>V3</v>
      </c>
      <c r="J1221" t="s">
        <v>4708</v>
      </c>
      <c r="K1221" t="str">
        <f t="shared" si="437"/>
        <v>40.658207</v>
      </c>
      <c r="L1221" t="str">
        <f t="shared" si="438"/>
        <v>-74.287872</v>
      </c>
      <c r="M1221">
        <v>24</v>
      </c>
      <c r="N1221" s="1">
        <v>44734</v>
      </c>
      <c r="O1221" s="1">
        <v>46099</v>
      </c>
      <c r="P1221" s="2">
        <f t="shared" si="439"/>
        <v>3.7371663244353184</v>
      </c>
      <c r="Q1221" s="2" t="str">
        <f t="shared" si="440"/>
        <v>Mid</v>
      </c>
      <c r="R1221">
        <f t="shared" si="441"/>
        <v>3000</v>
      </c>
      <c r="S1221" t="str">
        <f t="shared" si="442"/>
        <v>Small</v>
      </c>
      <c r="T1221" t="str">
        <f t="shared" si="443"/>
        <v>High EV Adoption Corridor</v>
      </c>
      <c r="U1221" s="3">
        <f t="shared" si="444"/>
        <v>7020000</v>
      </c>
      <c r="V1221" s="4">
        <f t="shared" si="445"/>
        <v>1584000</v>
      </c>
      <c r="W1221" s="3">
        <f t="shared" si="446"/>
        <v>19800000</v>
      </c>
      <c r="X1221" s="3">
        <f t="shared" si="447"/>
        <v>14850000</v>
      </c>
      <c r="Y1221">
        <f t="shared" si="448"/>
        <v>0.24</v>
      </c>
      <c r="Z1221">
        <f t="shared" si="449"/>
        <v>0.77435897435897438</v>
      </c>
      <c r="AA1221" t="str">
        <f t="shared" si="450"/>
        <v>Tier 1 - Priority Fleet</v>
      </c>
      <c r="AB1221" s="3">
        <f t="shared" si="451"/>
        <v>132000</v>
      </c>
      <c r="AC1221" s="3">
        <f t="shared" si="452"/>
        <v>1650000</v>
      </c>
      <c r="AD1221" s="3">
        <f t="shared" si="453"/>
        <v>585000</v>
      </c>
      <c r="AE1221" s="5">
        <f t="shared" si="454"/>
        <v>3.6423841059602649</v>
      </c>
      <c r="AF1221" s="10">
        <f t="shared" si="455"/>
        <v>982080</v>
      </c>
      <c r="AG1221" s="10">
        <f t="shared" si="456"/>
        <v>316800</v>
      </c>
      <c r="AH1221" s="10">
        <f t="shared" si="457"/>
        <v>158400</v>
      </c>
      <c r="AI1221" s="10">
        <f t="shared" si="458"/>
        <v>79200</v>
      </c>
      <c r="AJ1221" s="10">
        <f t="shared" si="459"/>
        <v>47520</v>
      </c>
    </row>
    <row r="1222" spans="1:36" x14ac:dyDescent="0.3">
      <c r="A1222" t="s">
        <v>4709</v>
      </c>
      <c r="B1222" t="s">
        <v>3798</v>
      </c>
      <c r="C1222" t="s">
        <v>3799</v>
      </c>
      <c r="D1222" t="s">
        <v>321</v>
      </c>
      <c r="E1222">
        <v>1507</v>
      </c>
      <c r="F1222" t="s">
        <v>15</v>
      </c>
      <c r="G1222">
        <v>8</v>
      </c>
      <c r="H1222">
        <v>250</v>
      </c>
      <c r="I1222" t="str" cm="1">
        <f t="array" ref="I1222">_xlfn.IFS(H1222&lt;=120,"V1",H1222&lt;=150,"V2",H1222&lt;=250,"V3", H1222&lt;=350, "V4")</f>
        <v>V3</v>
      </c>
      <c r="J1222" t="s">
        <v>4710</v>
      </c>
      <c r="K1222" t="str">
        <f t="shared" si="437"/>
        <v>42.139201</v>
      </c>
      <c r="L1222" t="str">
        <f t="shared" si="438"/>
        <v>-72.025772</v>
      </c>
      <c r="M1222">
        <v>234</v>
      </c>
      <c r="N1222" s="1">
        <v>44362</v>
      </c>
      <c r="O1222" s="1">
        <v>46099</v>
      </c>
      <c r="P1222" s="2">
        <f t="shared" si="439"/>
        <v>4.7556468172484596</v>
      </c>
      <c r="Q1222" s="2" t="str">
        <f t="shared" si="440"/>
        <v>Mid</v>
      </c>
      <c r="R1222">
        <f t="shared" si="441"/>
        <v>2000</v>
      </c>
      <c r="S1222" t="str">
        <f t="shared" si="442"/>
        <v>Small</v>
      </c>
      <c r="T1222" t="str">
        <f t="shared" si="443"/>
        <v>Lower EV Adoption Corridor</v>
      </c>
      <c r="U1222" s="3">
        <f t="shared" si="444"/>
        <v>3600000</v>
      </c>
      <c r="V1222" s="4">
        <f t="shared" si="445"/>
        <v>880000.00000000012</v>
      </c>
      <c r="W1222" s="3">
        <f t="shared" si="446"/>
        <v>12000000</v>
      </c>
      <c r="X1222" s="3">
        <f t="shared" si="447"/>
        <v>6600000.0000000009</v>
      </c>
      <c r="Y1222">
        <f t="shared" si="448"/>
        <v>0.31515151515151513</v>
      </c>
      <c r="Z1222">
        <f t="shared" si="449"/>
        <v>0.75555555555555554</v>
      </c>
      <c r="AA1222" t="str">
        <f t="shared" si="450"/>
        <v>Tier 2 - Growth Markets</v>
      </c>
      <c r="AB1222" s="3">
        <f t="shared" si="451"/>
        <v>110000.00000000001</v>
      </c>
      <c r="AC1222" s="3">
        <f t="shared" si="452"/>
        <v>1500000</v>
      </c>
      <c r="AD1222" s="3">
        <f t="shared" si="453"/>
        <v>450000</v>
      </c>
      <c r="AE1222" s="5">
        <f t="shared" si="454"/>
        <v>4.4117647058823533</v>
      </c>
      <c r="AF1222" s="10">
        <f t="shared" si="455"/>
        <v>545600.00000000012</v>
      </c>
      <c r="AG1222" s="10">
        <f t="shared" si="456"/>
        <v>176000.00000000003</v>
      </c>
      <c r="AH1222" s="10">
        <f t="shared" si="457"/>
        <v>88000.000000000015</v>
      </c>
      <c r="AI1222" s="10">
        <f t="shared" si="458"/>
        <v>44000.000000000007</v>
      </c>
      <c r="AJ1222" s="10">
        <f t="shared" si="459"/>
        <v>26400.000000000004</v>
      </c>
    </row>
    <row r="1223" spans="1:36" x14ac:dyDescent="0.3">
      <c r="A1223" t="s">
        <v>4711</v>
      </c>
      <c r="B1223" t="s">
        <v>4712</v>
      </c>
      <c r="C1223" t="s">
        <v>4713</v>
      </c>
      <c r="D1223" t="s">
        <v>14</v>
      </c>
      <c r="E1223">
        <v>91765</v>
      </c>
      <c r="F1223" t="s">
        <v>15</v>
      </c>
      <c r="G1223">
        <v>24</v>
      </c>
      <c r="H1223">
        <v>250</v>
      </c>
      <c r="I1223" t="str" cm="1">
        <f t="array" ref="I1223">_xlfn.IFS(H1223&lt;=120,"V1",H1223&lt;=150,"V2",H1223&lt;=250,"V3", H1223&lt;=350, "V4")</f>
        <v>V3</v>
      </c>
      <c r="J1223" t="s">
        <v>4714</v>
      </c>
      <c r="K1223" t="str">
        <f t="shared" si="437"/>
        <v>33.97577</v>
      </c>
      <c r="L1223" t="str">
        <f t="shared" si="438"/>
        <v>-117.838484</v>
      </c>
      <c r="M1223">
        <v>219</v>
      </c>
      <c r="N1223" s="1">
        <v>44534</v>
      </c>
      <c r="O1223" s="1">
        <v>46099</v>
      </c>
      <c r="P1223" s="2">
        <f t="shared" si="439"/>
        <v>4.2847364818617386</v>
      </c>
      <c r="Q1223" s="2" t="str">
        <f t="shared" si="440"/>
        <v>Mid</v>
      </c>
      <c r="R1223">
        <f t="shared" si="441"/>
        <v>6000</v>
      </c>
      <c r="S1223" t="str">
        <f t="shared" si="442"/>
        <v>Small</v>
      </c>
      <c r="T1223" t="str">
        <f t="shared" si="443"/>
        <v>High EV Adoption Corridor</v>
      </c>
      <c r="U1223" s="3">
        <f t="shared" si="444"/>
        <v>14040000</v>
      </c>
      <c r="V1223" s="4">
        <f t="shared" si="445"/>
        <v>3168000</v>
      </c>
      <c r="W1223" s="3">
        <f t="shared" si="446"/>
        <v>39600000</v>
      </c>
      <c r="X1223" s="3">
        <f t="shared" si="447"/>
        <v>29700000</v>
      </c>
      <c r="Y1223">
        <f t="shared" si="448"/>
        <v>0.24</v>
      </c>
      <c r="Z1223">
        <f t="shared" si="449"/>
        <v>0.77435897435897438</v>
      </c>
      <c r="AA1223" t="str">
        <f t="shared" si="450"/>
        <v>Tier 1 - Priority Fleet</v>
      </c>
      <c r="AB1223" s="3">
        <f t="shared" si="451"/>
        <v>132000</v>
      </c>
      <c r="AC1223" s="3">
        <f t="shared" si="452"/>
        <v>1650000</v>
      </c>
      <c r="AD1223" s="3">
        <f t="shared" si="453"/>
        <v>585000</v>
      </c>
      <c r="AE1223" s="5">
        <f t="shared" si="454"/>
        <v>3.6423841059602649</v>
      </c>
      <c r="AF1223" s="10">
        <f t="shared" si="455"/>
        <v>1964160</v>
      </c>
      <c r="AG1223" s="10">
        <f t="shared" si="456"/>
        <v>633600</v>
      </c>
      <c r="AH1223" s="10">
        <f t="shared" si="457"/>
        <v>316800</v>
      </c>
      <c r="AI1223" s="10">
        <f t="shared" si="458"/>
        <v>158400</v>
      </c>
      <c r="AJ1223" s="10">
        <f t="shared" si="459"/>
        <v>95040</v>
      </c>
    </row>
    <row r="1224" spans="1:36" x14ac:dyDescent="0.3">
      <c r="A1224" t="s">
        <v>4715</v>
      </c>
      <c r="B1224" t="s">
        <v>4716</v>
      </c>
      <c r="C1224" t="s">
        <v>617</v>
      </c>
      <c r="D1224" t="s">
        <v>522</v>
      </c>
      <c r="E1224">
        <v>65203</v>
      </c>
      <c r="F1224" t="s">
        <v>15</v>
      </c>
      <c r="G1224">
        <v>12</v>
      </c>
      <c r="H1224">
        <v>250</v>
      </c>
      <c r="I1224" t="str" cm="1">
        <f t="array" ref="I1224">_xlfn.IFS(H1224&lt;=120,"V1",H1224&lt;=150,"V2",H1224&lt;=250,"V3", H1224&lt;=350, "V4")</f>
        <v>V3</v>
      </c>
      <c r="J1224" t="s">
        <v>4717</v>
      </c>
      <c r="K1224" t="str">
        <f t="shared" si="437"/>
        <v>38.954387</v>
      </c>
      <c r="L1224" t="str">
        <f t="shared" si="438"/>
        <v>-92.383074</v>
      </c>
      <c r="M1224">
        <v>223</v>
      </c>
      <c r="N1224" s="1">
        <v>44553</v>
      </c>
      <c r="O1224" s="1">
        <v>46099</v>
      </c>
      <c r="P1224" s="2">
        <f t="shared" si="439"/>
        <v>4.2327173169062284</v>
      </c>
      <c r="Q1224" s="2" t="str">
        <f t="shared" si="440"/>
        <v>Mid</v>
      </c>
      <c r="R1224">
        <f t="shared" si="441"/>
        <v>3000</v>
      </c>
      <c r="S1224" t="str">
        <f t="shared" si="442"/>
        <v>Small</v>
      </c>
      <c r="T1224" t="str">
        <f t="shared" si="443"/>
        <v>Lower EV Adoption Corridor</v>
      </c>
      <c r="U1224" s="3">
        <f t="shared" si="444"/>
        <v>5400000</v>
      </c>
      <c r="V1224" s="4">
        <f t="shared" si="445"/>
        <v>1320000</v>
      </c>
      <c r="W1224" s="3">
        <f t="shared" si="446"/>
        <v>18000000</v>
      </c>
      <c r="X1224" s="3">
        <f t="shared" si="447"/>
        <v>9900000</v>
      </c>
      <c r="Y1224">
        <f t="shared" si="448"/>
        <v>0.31515151515151513</v>
      </c>
      <c r="Z1224">
        <f t="shared" si="449"/>
        <v>0.75555555555555554</v>
      </c>
      <c r="AA1224" t="str">
        <f t="shared" si="450"/>
        <v>Tier 2 - Growth Markets</v>
      </c>
      <c r="AB1224" s="3">
        <f t="shared" si="451"/>
        <v>110000</v>
      </c>
      <c r="AC1224" s="3">
        <f t="shared" si="452"/>
        <v>1500000</v>
      </c>
      <c r="AD1224" s="3">
        <f t="shared" si="453"/>
        <v>450000</v>
      </c>
      <c r="AE1224" s="5">
        <f t="shared" si="454"/>
        <v>4.4117647058823533</v>
      </c>
      <c r="AF1224" s="10">
        <f t="shared" si="455"/>
        <v>818400</v>
      </c>
      <c r="AG1224" s="10">
        <f t="shared" si="456"/>
        <v>264000</v>
      </c>
      <c r="AH1224" s="10">
        <f t="shared" si="457"/>
        <v>132000</v>
      </c>
      <c r="AI1224" s="10">
        <f t="shared" si="458"/>
        <v>66000</v>
      </c>
      <c r="AJ1224" s="10">
        <f t="shared" si="459"/>
        <v>39600</v>
      </c>
    </row>
    <row r="1225" spans="1:36" x14ac:dyDescent="0.3">
      <c r="A1225" t="s">
        <v>4718</v>
      </c>
      <c r="B1225" t="s">
        <v>4719</v>
      </c>
      <c r="C1225" t="s">
        <v>362</v>
      </c>
      <c r="D1225" t="s">
        <v>14</v>
      </c>
      <c r="E1225">
        <v>95603</v>
      </c>
      <c r="F1225" t="s">
        <v>15</v>
      </c>
      <c r="G1225">
        <v>12</v>
      </c>
      <c r="H1225">
        <v>250</v>
      </c>
      <c r="I1225" t="str" cm="1">
        <f t="array" ref="I1225">_xlfn.IFS(H1225&lt;=120,"V1",H1225&lt;=150,"V2",H1225&lt;=250,"V3", H1225&lt;=350, "V4")</f>
        <v>V3</v>
      </c>
      <c r="J1225" t="s">
        <v>4720</v>
      </c>
      <c r="K1225" t="str">
        <f t="shared" si="437"/>
        <v>38.926253</v>
      </c>
      <c r="L1225" t="str">
        <f t="shared" si="438"/>
        <v>-121.058008</v>
      </c>
      <c r="M1225">
        <v>482</v>
      </c>
      <c r="N1225" s="1">
        <v>44595</v>
      </c>
      <c r="O1225" s="1">
        <v>46099</v>
      </c>
      <c r="P1225" s="2">
        <f t="shared" si="439"/>
        <v>4.1177275838466807</v>
      </c>
      <c r="Q1225" s="2" t="str">
        <f t="shared" si="440"/>
        <v>Mid</v>
      </c>
      <c r="R1225">
        <f t="shared" si="441"/>
        <v>3000</v>
      </c>
      <c r="S1225" t="str">
        <f t="shared" si="442"/>
        <v>Small</v>
      </c>
      <c r="T1225" t="str">
        <f t="shared" si="443"/>
        <v>High EV Adoption Corridor</v>
      </c>
      <c r="U1225" s="3">
        <f t="shared" si="444"/>
        <v>7020000</v>
      </c>
      <c r="V1225" s="4">
        <f t="shared" si="445"/>
        <v>1584000</v>
      </c>
      <c r="W1225" s="3">
        <f t="shared" si="446"/>
        <v>19800000</v>
      </c>
      <c r="X1225" s="3">
        <f t="shared" si="447"/>
        <v>14850000</v>
      </c>
      <c r="Y1225">
        <f t="shared" si="448"/>
        <v>0.24</v>
      </c>
      <c r="Z1225">
        <f t="shared" si="449"/>
        <v>0.77435897435897438</v>
      </c>
      <c r="AA1225" t="str">
        <f t="shared" si="450"/>
        <v>Tier 1 - Priority Fleet</v>
      </c>
      <c r="AB1225" s="3">
        <f t="shared" si="451"/>
        <v>132000</v>
      </c>
      <c r="AC1225" s="3">
        <f t="shared" si="452"/>
        <v>1650000</v>
      </c>
      <c r="AD1225" s="3">
        <f t="shared" si="453"/>
        <v>585000</v>
      </c>
      <c r="AE1225" s="5">
        <f t="shared" si="454"/>
        <v>3.6423841059602649</v>
      </c>
      <c r="AF1225" s="10">
        <f t="shared" si="455"/>
        <v>982080</v>
      </c>
      <c r="AG1225" s="10">
        <f t="shared" si="456"/>
        <v>316800</v>
      </c>
      <c r="AH1225" s="10">
        <f t="shared" si="457"/>
        <v>158400</v>
      </c>
      <c r="AI1225" s="10">
        <f t="shared" si="458"/>
        <v>79200</v>
      </c>
      <c r="AJ1225" s="10">
        <f t="shared" si="459"/>
        <v>47520</v>
      </c>
    </row>
    <row r="1226" spans="1:36" x14ac:dyDescent="0.3">
      <c r="A1226" t="s">
        <v>4721</v>
      </c>
      <c r="B1226" t="s">
        <v>4722</v>
      </c>
      <c r="C1226" t="s">
        <v>4723</v>
      </c>
      <c r="D1226" t="s">
        <v>41</v>
      </c>
      <c r="E1226">
        <v>33172</v>
      </c>
      <c r="F1226" t="s">
        <v>15</v>
      </c>
      <c r="G1226">
        <v>8</v>
      </c>
      <c r="H1226">
        <v>250</v>
      </c>
      <c r="I1226" t="str" cm="1">
        <f t="array" ref="I1226">_xlfn.IFS(H1226&lt;=120,"V1",H1226&lt;=150,"V2",H1226&lt;=250,"V3", H1226&lt;=350, "V4")</f>
        <v>V3</v>
      </c>
      <c r="J1226" t="s">
        <v>4724</v>
      </c>
      <c r="K1226" t="str">
        <f t="shared" si="437"/>
        <v>25.80622</v>
      </c>
      <c r="L1226" t="str">
        <f t="shared" si="438"/>
        <v>-80.337826</v>
      </c>
      <c r="M1226">
        <v>1</v>
      </c>
      <c r="N1226" s="1">
        <v>44557</v>
      </c>
      <c r="O1226" s="1">
        <v>46099</v>
      </c>
      <c r="P1226" s="2">
        <f t="shared" si="439"/>
        <v>4.2217659137577002</v>
      </c>
      <c r="Q1226" s="2" t="str">
        <f t="shared" si="440"/>
        <v>Mid</v>
      </c>
      <c r="R1226">
        <f t="shared" si="441"/>
        <v>2000</v>
      </c>
      <c r="S1226" t="str">
        <f t="shared" si="442"/>
        <v>Small</v>
      </c>
      <c r="T1226" t="str">
        <f t="shared" si="443"/>
        <v>High EV Adoption Corridor</v>
      </c>
      <c r="U1226" s="3">
        <f t="shared" si="444"/>
        <v>4680000</v>
      </c>
      <c r="V1226" s="4">
        <f t="shared" si="445"/>
        <v>1056000</v>
      </c>
      <c r="W1226" s="3">
        <f t="shared" si="446"/>
        <v>13200000.000000002</v>
      </c>
      <c r="X1226" s="3">
        <f t="shared" si="447"/>
        <v>9900000.0000000019</v>
      </c>
      <c r="Y1226">
        <f t="shared" si="448"/>
        <v>0.23999999999999996</v>
      </c>
      <c r="Z1226">
        <f t="shared" si="449"/>
        <v>0.77435897435897438</v>
      </c>
      <c r="AA1226" t="str">
        <f t="shared" si="450"/>
        <v>Tier 1 - Priority Fleet</v>
      </c>
      <c r="AB1226" s="3">
        <f t="shared" si="451"/>
        <v>132000</v>
      </c>
      <c r="AC1226" s="3">
        <f t="shared" si="452"/>
        <v>1650000.0000000002</v>
      </c>
      <c r="AD1226" s="3">
        <f t="shared" si="453"/>
        <v>585000</v>
      </c>
      <c r="AE1226" s="5">
        <f t="shared" si="454"/>
        <v>3.6423841059602653</v>
      </c>
      <c r="AF1226" s="10">
        <f t="shared" si="455"/>
        <v>654720</v>
      </c>
      <c r="AG1226" s="10">
        <f t="shared" si="456"/>
        <v>211200</v>
      </c>
      <c r="AH1226" s="10">
        <f t="shared" si="457"/>
        <v>105600</v>
      </c>
      <c r="AI1226" s="10">
        <f t="shared" si="458"/>
        <v>52800</v>
      </c>
      <c r="AJ1226" s="10">
        <f t="shared" si="459"/>
        <v>31680</v>
      </c>
    </row>
    <row r="1227" spans="1:36" x14ac:dyDescent="0.3">
      <c r="A1227" t="s">
        <v>4725</v>
      </c>
      <c r="B1227" t="s">
        <v>4726</v>
      </c>
      <c r="C1227" t="s">
        <v>1840</v>
      </c>
      <c r="D1227" t="s">
        <v>41</v>
      </c>
      <c r="E1227">
        <v>33609</v>
      </c>
      <c r="F1227" t="s">
        <v>15</v>
      </c>
      <c r="G1227">
        <v>8</v>
      </c>
      <c r="H1227">
        <v>250</v>
      </c>
      <c r="I1227" t="str" cm="1">
        <f t="array" ref="I1227">_xlfn.IFS(H1227&lt;=120,"V1",H1227&lt;=150,"V2",H1227&lt;=250,"V3", H1227&lt;=350, "V4")</f>
        <v>V3</v>
      </c>
      <c r="J1227" t="s">
        <v>4727</v>
      </c>
      <c r="K1227" t="str">
        <f t="shared" si="437"/>
        <v>27.949242</v>
      </c>
      <c r="L1227" t="str">
        <f t="shared" si="438"/>
        <v>-82.504944</v>
      </c>
      <c r="M1227">
        <v>7</v>
      </c>
      <c r="N1227" s="1">
        <v>44651</v>
      </c>
      <c r="O1227" s="1">
        <v>46099</v>
      </c>
      <c r="P1227" s="2">
        <f t="shared" si="439"/>
        <v>3.9644079397672827</v>
      </c>
      <c r="Q1227" s="2" t="str">
        <f t="shared" si="440"/>
        <v>Mid</v>
      </c>
      <c r="R1227">
        <f t="shared" si="441"/>
        <v>2000</v>
      </c>
      <c r="S1227" t="str">
        <f t="shared" si="442"/>
        <v>Small</v>
      </c>
      <c r="T1227" t="str">
        <f t="shared" si="443"/>
        <v>High EV Adoption Corridor</v>
      </c>
      <c r="U1227" s="3">
        <f t="shared" si="444"/>
        <v>4680000</v>
      </c>
      <c r="V1227" s="4">
        <f t="shared" si="445"/>
        <v>1056000</v>
      </c>
      <c r="W1227" s="3">
        <f t="shared" si="446"/>
        <v>13200000.000000002</v>
      </c>
      <c r="X1227" s="3">
        <f t="shared" si="447"/>
        <v>9900000.0000000019</v>
      </c>
      <c r="Y1227">
        <f t="shared" si="448"/>
        <v>0.23999999999999996</v>
      </c>
      <c r="Z1227">
        <f t="shared" si="449"/>
        <v>0.77435897435897438</v>
      </c>
      <c r="AA1227" t="str">
        <f t="shared" si="450"/>
        <v>Tier 1 - Priority Fleet</v>
      </c>
      <c r="AB1227" s="3">
        <f t="shared" si="451"/>
        <v>132000</v>
      </c>
      <c r="AC1227" s="3">
        <f t="shared" si="452"/>
        <v>1650000.0000000002</v>
      </c>
      <c r="AD1227" s="3">
        <f t="shared" si="453"/>
        <v>585000</v>
      </c>
      <c r="AE1227" s="5">
        <f t="shared" si="454"/>
        <v>3.6423841059602653</v>
      </c>
      <c r="AF1227" s="10">
        <f t="shared" si="455"/>
        <v>654720</v>
      </c>
      <c r="AG1227" s="10">
        <f t="shared" si="456"/>
        <v>211200</v>
      </c>
      <c r="AH1227" s="10">
        <f t="shared" si="457"/>
        <v>105600</v>
      </c>
      <c r="AI1227" s="10">
        <f t="shared" si="458"/>
        <v>52800</v>
      </c>
      <c r="AJ1227" s="10">
        <f t="shared" si="459"/>
        <v>31680</v>
      </c>
    </row>
    <row r="1228" spans="1:36" x14ac:dyDescent="0.3">
      <c r="A1228" t="s">
        <v>4728</v>
      </c>
      <c r="B1228" t="s">
        <v>4729</v>
      </c>
      <c r="C1228" t="s">
        <v>3871</v>
      </c>
      <c r="D1228" t="s">
        <v>14</v>
      </c>
      <c r="E1228">
        <v>94066</v>
      </c>
      <c r="F1228" t="s">
        <v>15</v>
      </c>
      <c r="G1228">
        <v>28</v>
      </c>
      <c r="H1228">
        <v>250</v>
      </c>
      <c r="I1228" t="str" cm="1">
        <f t="array" ref="I1228">_xlfn.IFS(H1228&lt;=120,"V1",H1228&lt;=150,"V2",H1228&lt;=250,"V3", H1228&lt;=350, "V4")</f>
        <v>V3</v>
      </c>
      <c r="J1228" t="s">
        <v>4730</v>
      </c>
      <c r="K1228" t="str">
        <f t="shared" si="437"/>
        <v>37.636105</v>
      </c>
      <c r="L1228" t="str">
        <f t="shared" si="438"/>
        <v>-122.420515</v>
      </c>
      <c r="M1228">
        <v>18</v>
      </c>
      <c r="N1228" s="1">
        <v>44590</v>
      </c>
      <c r="O1228" s="1">
        <v>46099</v>
      </c>
      <c r="P1228" s="2">
        <f t="shared" si="439"/>
        <v>4.131416837782341</v>
      </c>
      <c r="Q1228" s="2" t="str">
        <f t="shared" si="440"/>
        <v>Mid</v>
      </c>
      <c r="R1228">
        <f t="shared" si="441"/>
        <v>7000</v>
      </c>
      <c r="S1228" t="str">
        <f t="shared" si="442"/>
        <v>Small</v>
      </c>
      <c r="T1228" t="str">
        <f t="shared" si="443"/>
        <v>High EV Adoption Corridor</v>
      </c>
      <c r="U1228" s="3">
        <f t="shared" si="444"/>
        <v>16380000</v>
      </c>
      <c r="V1228" s="4">
        <f t="shared" si="445"/>
        <v>3696000.0000000005</v>
      </c>
      <c r="W1228" s="3">
        <f t="shared" si="446"/>
        <v>46200000.000000007</v>
      </c>
      <c r="X1228" s="3">
        <f t="shared" si="447"/>
        <v>34650000.000000007</v>
      </c>
      <c r="Y1228">
        <f t="shared" si="448"/>
        <v>0.24</v>
      </c>
      <c r="Z1228">
        <f t="shared" si="449"/>
        <v>0.77435897435897438</v>
      </c>
      <c r="AA1228" t="str">
        <f t="shared" si="450"/>
        <v>Tier 1 - Priority Fleet</v>
      </c>
      <c r="AB1228" s="3">
        <f t="shared" si="451"/>
        <v>132000.00000000003</v>
      </c>
      <c r="AC1228" s="3">
        <f t="shared" si="452"/>
        <v>1650000.0000000002</v>
      </c>
      <c r="AD1228" s="3">
        <f t="shared" si="453"/>
        <v>585000</v>
      </c>
      <c r="AE1228" s="5">
        <f t="shared" si="454"/>
        <v>3.6423841059602653</v>
      </c>
      <c r="AF1228" s="10">
        <f t="shared" si="455"/>
        <v>2291520.0000000005</v>
      </c>
      <c r="AG1228" s="10">
        <f t="shared" si="456"/>
        <v>739200.00000000012</v>
      </c>
      <c r="AH1228" s="10">
        <f t="shared" si="457"/>
        <v>369600.00000000006</v>
      </c>
      <c r="AI1228" s="10">
        <f t="shared" si="458"/>
        <v>184800.00000000003</v>
      </c>
      <c r="AJ1228" s="10">
        <f t="shared" si="459"/>
        <v>110880.00000000001</v>
      </c>
    </row>
    <row r="1229" spans="1:36" x14ac:dyDescent="0.3">
      <c r="A1229" t="s">
        <v>4731</v>
      </c>
      <c r="B1229" t="s">
        <v>4732</v>
      </c>
      <c r="C1229" t="s">
        <v>4733</v>
      </c>
      <c r="D1229" t="s">
        <v>158</v>
      </c>
      <c r="E1229">
        <v>12020</v>
      </c>
      <c r="F1229" t="s">
        <v>15</v>
      </c>
      <c r="G1229">
        <v>8</v>
      </c>
      <c r="H1229">
        <v>250</v>
      </c>
      <c r="I1229" t="str" cm="1">
        <f t="array" ref="I1229">_xlfn.IFS(H1229&lt;=120,"V1",H1229&lt;=150,"V2",H1229&lt;=250,"V3", H1229&lt;=350, "V4")</f>
        <v>V3</v>
      </c>
      <c r="J1229" t="s">
        <v>4734</v>
      </c>
      <c r="K1229" t="str">
        <f t="shared" si="437"/>
        <v>43.0262</v>
      </c>
      <c r="L1229" t="str">
        <f t="shared" si="438"/>
        <v>-73.792</v>
      </c>
      <c r="M1229">
        <v>79</v>
      </c>
      <c r="N1229" s="1">
        <v>44521</v>
      </c>
      <c r="O1229" s="1">
        <v>46099</v>
      </c>
      <c r="P1229" s="2">
        <f t="shared" si="439"/>
        <v>4.3203285420944555</v>
      </c>
      <c r="Q1229" s="2" t="str">
        <f t="shared" si="440"/>
        <v>Mid</v>
      </c>
      <c r="R1229">
        <f t="shared" si="441"/>
        <v>2000</v>
      </c>
      <c r="S1229" t="str">
        <f t="shared" si="442"/>
        <v>Small</v>
      </c>
      <c r="T1229" t="str">
        <f t="shared" si="443"/>
        <v>Lower EV Adoption Corridor</v>
      </c>
      <c r="U1229" s="3">
        <f t="shared" si="444"/>
        <v>3600000</v>
      </c>
      <c r="V1229" s="4">
        <f t="shared" si="445"/>
        <v>880000.00000000012</v>
      </c>
      <c r="W1229" s="3">
        <f t="shared" si="446"/>
        <v>12000000</v>
      </c>
      <c r="X1229" s="3">
        <f t="shared" si="447"/>
        <v>6600000.0000000009</v>
      </c>
      <c r="Y1229">
        <f t="shared" si="448"/>
        <v>0.31515151515151513</v>
      </c>
      <c r="Z1229">
        <f t="shared" si="449"/>
        <v>0.75555555555555554</v>
      </c>
      <c r="AA1229" t="str">
        <f t="shared" si="450"/>
        <v>Tier 2 - Growth Markets</v>
      </c>
      <c r="AB1229" s="3">
        <f t="shared" si="451"/>
        <v>110000.00000000001</v>
      </c>
      <c r="AC1229" s="3">
        <f t="shared" si="452"/>
        <v>1500000</v>
      </c>
      <c r="AD1229" s="3">
        <f t="shared" si="453"/>
        <v>450000</v>
      </c>
      <c r="AE1229" s="5">
        <f t="shared" si="454"/>
        <v>4.4117647058823533</v>
      </c>
      <c r="AF1229" s="10">
        <f t="shared" si="455"/>
        <v>545600.00000000012</v>
      </c>
      <c r="AG1229" s="10">
        <f t="shared" si="456"/>
        <v>176000.00000000003</v>
      </c>
      <c r="AH1229" s="10">
        <f t="shared" si="457"/>
        <v>88000.000000000015</v>
      </c>
      <c r="AI1229" s="10">
        <f t="shared" si="458"/>
        <v>44000.000000000007</v>
      </c>
      <c r="AJ1229" s="10">
        <f t="shared" si="459"/>
        <v>26400.000000000004</v>
      </c>
    </row>
    <row r="1230" spans="1:36" x14ac:dyDescent="0.3">
      <c r="A1230" t="s">
        <v>4735</v>
      </c>
      <c r="B1230" t="s">
        <v>4736</v>
      </c>
      <c r="C1230" t="s">
        <v>4737</v>
      </c>
      <c r="D1230" t="s">
        <v>14</v>
      </c>
      <c r="E1230">
        <v>96101</v>
      </c>
      <c r="F1230" t="s">
        <v>15</v>
      </c>
      <c r="G1230">
        <v>8</v>
      </c>
      <c r="H1230">
        <v>250</v>
      </c>
      <c r="I1230" t="str" cm="1">
        <f t="array" ref="I1230">_xlfn.IFS(H1230&lt;=120,"V1",H1230&lt;=150,"V2",H1230&lt;=250,"V3", H1230&lt;=350, "V4")</f>
        <v>V3</v>
      </c>
      <c r="J1230" t="s">
        <v>4738</v>
      </c>
      <c r="K1230" t="str">
        <f t="shared" si="437"/>
        <v>41.495424</v>
      </c>
      <c r="L1230" t="str">
        <f t="shared" si="438"/>
        <v>-120.55978</v>
      </c>
      <c r="M1230">
        <v>1335</v>
      </c>
      <c r="N1230" s="1">
        <v>44338</v>
      </c>
      <c r="O1230" s="1">
        <v>46099</v>
      </c>
      <c r="P1230" s="2">
        <f t="shared" si="439"/>
        <v>4.8213552361396301</v>
      </c>
      <c r="Q1230" s="2" t="str">
        <f t="shared" si="440"/>
        <v>Mid</v>
      </c>
      <c r="R1230">
        <f t="shared" si="441"/>
        <v>2000</v>
      </c>
      <c r="S1230" t="str">
        <f t="shared" si="442"/>
        <v>Small</v>
      </c>
      <c r="T1230" t="str">
        <f t="shared" si="443"/>
        <v>High EV Adoption Corridor</v>
      </c>
      <c r="U1230" s="3">
        <f t="shared" si="444"/>
        <v>4680000</v>
      </c>
      <c r="V1230" s="4">
        <f t="shared" si="445"/>
        <v>1056000</v>
      </c>
      <c r="W1230" s="3">
        <f t="shared" si="446"/>
        <v>13200000.000000002</v>
      </c>
      <c r="X1230" s="3">
        <f t="shared" si="447"/>
        <v>9900000.0000000019</v>
      </c>
      <c r="Y1230">
        <f t="shared" si="448"/>
        <v>0.23999999999999996</v>
      </c>
      <c r="Z1230">
        <f t="shared" si="449"/>
        <v>0.77435897435897438</v>
      </c>
      <c r="AA1230" t="str">
        <f t="shared" si="450"/>
        <v>Tier 1 - Priority Fleet</v>
      </c>
      <c r="AB1230" s="3">
        <f t="shared" si="451"/>
        <v>132000</v>
      </c>
      <c r="AC1230" s="3">
        <f t="shared" si="452"/>
        <v>1650000.0000000002</v>
      </c>
      <c r="AD1230" s="3">
        <f t="shared" si="453"/>
        <v>585000</v>
      </c>
      <c r="AE1230" s="5">
        <f t="shared" si="454"/>
        <v>3.6423841059602653</v>
      </c>
      <c r="AF1230" s="10">
        <f t="shared" si="455"/>
        <v>654720</v>
      </c>
      <c r="AG1230" s="10">
        <f t="shared" si="456"/>
        <v>211200</v>
      </c>
      <c r="AH1230" s="10">
        <f t="shared" si="457"/>
        <v>105600</v>
      </c>
      <c r="AI1230" s="10">
        <f t="shared" si="458"/>
        <v>52800</v>
      </c>
      <c r="AJ1230" s="10">
        <f t="shared" si="459"/>
        <v>31680</v>
      </c>
    </row>
    <row r="1231" spans="1:36" x14ac:dyDescent="0.3">
      <c r="A1231" t="s">
        <v>4739</v>
      </c>
      <c r="B1231" t="s">
        <v>4740</v>
      </c>
      <c r="C1231" t="s">
        <v>4741</v>
      </c>
      <c r="D1231" t="s">
        <v>130</v>
      </c>
      <c r="E1231">
        <v>46371</v>
      </c>
      <c r="F1231" t="s">
        <v>15</v>
      </c>
      <c r="G1231">
        <v>8</v>
      </c>
      <c r="H1231">
        <v>250</v>
      </c>
      <c r="I1231" t="str" cm="1">
        <f t="array" ref="I1231">_xlfn.IFS(H1231&lt;=120,"V1",H1231&lt;=150,"V2",H1231&lt;=250,"V3", H1231&lt;=350, "V4")</f>
        <v>V3</v>
      </c>
      <c r="J1231" t="s">
        <v>4742</v>
      </c>
      <c r="K1231" t="str">
        <f t="shared" si="437"/>
        <v>41.705116</v>
      </c>
      <c r="L1231" t="str">
        <f t="shared" si="438"/>
        <v>-86.621519</v>
      </c>
      <c r="M1231">
        <v>256</v>
      </c>
      <c r="N1231" s="1">
        <v>44342</v>
      </c>
      <c r="O1231" s="1">
        <v>46099</v>
      </c>
      <c r="P1231" s="2">
        <f t="shared" si="439"/>
        <v>4.8104038329911019</v>
      </c>
      <c r="Q1231" s="2" t="str">
        <f t="shared" si="440"/>
        <v>Mid</v>
      </c>
      <c r="R1231">
        <f t="shared" si="441"/>
        <v>2000</v>
      </c>
      <c r="S1231" t="str">
        <f t="shared" si="442"/>
        <v>Small</v>
      </c>
      <c r="T1231" t="str">
        <f t="shared" si="443"/>
        <v>Lower EV Adoption Corridor</v>
      </c>
      <c r="U1231" s="3">
        <f t="shared" si="444"/>
        <v>3600000</v>
      </c>
      <c r="V1231" s="4">
        <f t="shared" si="445"/>
        <v>880000.00000000012</v>
      </c>
      <c r="W1231" s="3">
        <f t="shared" si="446"/>
        <v>12000000</v>
      </c>
      <c r="X1231" s="3">
        <f t="shared" si="447"/>
        <v>6600000.0000000009</v>
      </c>
      <c r="Y1231">
        <f t="shared" si="448"/>
        <v>0.31515151515151513</v>
      </c>
      <c r="Z1231">
        <f t="shared" si="449"/>
        <v>0.75555555555555554</v>
      </c>
      <c r="AA1231" t="str">
        <f t="shared" si="450"/>
        <v>Tier 2 - Growth Markets</v>
      </c>
      <c r="AB1231" s="3">
        <f t="shared" si="451"/>
        <v>110000.00000000001</v>
      </c>
      <c r="AC1231" s="3">
        <f t="shared" si="452"/>
        <v>1500000</v>
      </c>
      <c r="AD1231" s="3">
        <f t="shared" si="453"/>
        <v>450000</v>
      </c>
      <c r="AE1231" s="5">
        <f t="shared" si="454"/>
        <v>4.4117647058823533</v>
      </c>
      <c r="AF1231" s="10">
        <f t="shared" si="455"/>
        <v>545600.00000000012</v>
      </c>
      <c r="AG1231" s="10">
        <f t="shared" si="456"/>
        <v>176000.00000000003</v>
      </c>
      <c r="AH1231" s="10">
        <f t="shared" si="457"/>
        <v>88000.000000000015</v>
      </c>
      <c r="AI1231" s="10">
        <f t="shared" si="458"/>
        <v>44000.000000000007</v>
      </c>
      <c r="AJ1231" s="10">
        <f t="shared" si="459"/>
        <v>26400.000000000004</v>
      </c>
    </row>
    <row r="1232" spans="1:36" x14ac:dyDescent="0.3">
      <c r="A1232" t="s">
        <v>4743</v>
      </c>
      <c r="B1232" t="s">
        <v>4744</v>
      </c>
      <c r="C1232" t="s">
        <v>4741</v>
      </c>
      <c r="D1232" t="s">
        <v>130</v>
      </c>
      <c r="E1232">
        <v>46371</v>
      </c>
      <c r="F1232" t="s">
        <v>15</v>
      </c>
      <c r="G1232">
        <v>8</v>
      </c>
      <c r="H1232">
        <v>250</v>
      </c>
      <c r="I1232" t="str" cm="1">
        <f t="array" ref="I1232">_xlfn.IFS(H1232&lt;=120,"V1",H1232&lt;=150,"V2",H1232&lt;=250,"V3", H1232&lt;=350, "V4")</f>
        <v>V3</v>
      </c>
      <c r="J1232" t="s">
        <v>4745</v>
      </c>
      <c r="K1232" t="str">
        <f t="shared" si="437"/>
        <v>41.707691</v>
      </c>
      <c r="L1232" t="str">
        <f t="shared" si="438"/>
        <v>-86.623162</v>
      </c>
      <c r="M1232">
        <v>256</v>
      </c>
      <c r="N1232" s="1">
        <v>44342</v>
      </c>
      <c r="O1232" s="1">
        <v>46099</v>
      </c>
      <c r="P1232" s="2">
        <f t="shared" si="439"/>
        <v>4.8104038329911019</v>
      </c>
      <c r="Q1232" s="2" t="str">
        <f t="shared" si="440"/>
        <v>Mid</v>
      </c>
      <c r="R1232">
        <f t="shared" si="441"/>
        <v>2000</v>
      </c>
      <c r="S1232" t="str">
        <f t="shared" si="442"/>
        <v>Small</v>
      </c>
      <c r="T1232" t="str">
        <f t="shared" si="443"/>
        <v>Lower EV Adoption Corridor</v>
      </c>
      <c r="U1232" s="3">
        <f t="shared" si="444"/>
        <v>3600000</v>
      </c>
      <c r="V1232" s="4">
        <f t="shared" si="445"/>
        <v>880000.00000000012</v>
      </c>
      <c r="W1232" s="3">
        <f t="shared" si="446"/>
        <v>12000000</v>
      </c>
      <c r="X1232" s="3">
        <f t="shared" si="447"/>
        <v>6600000.0000000009</v>
      </c>
      <c r="Y1232">
        <f t="shared" si="448"/>
        <v>0.31515151515151513</v>
      </c>
      <c r="Z1232">
        <f t="shared" si="449"/>
        <v>0.75555555555555554</v>
      </c>
      <c r="AA1232" t="str">
        <f t="shared" si="450"/>
        <v>Tier 2 - Growth Markets</v>
      </c>
      <c r="AB1232" s="3">
        <f t="shared" si="451"/>
        <v>110000.00000000001</v>
      </c>
      <c r="AC1232" s="3">
        <f t="shared" si="452"/>
        <v>1500000</v>
      </c>
      <c r="AD1232" s="3">
        <f t="shared" si="453"/>
        <v>450000</v>
      </c>
      <c r="AE1232" s="5">
        <f t="shared" si="454"/>
        <v>4.4117647058823533</v>
      </c>
      <c r="AF1232" s="10">
        <f t="shared" si="455"/>
        <v>545600.00000000012</v>
      </c>
      <c r="AG1232" s="10">
        <f t="shared" si="456"/>
        <v>176000.00000000003</v>
      </c>
      <c r="AH1232" s="10">
        <f t="shared" si="457"/>
        <v>88000.000000000015</v>
      </c>
      <c r="AI1232" s="10">
        <f t="shared" si="458"/>
        <v>44000.000000000007</v>
      </c>
      <c r="AJ1232" s="10">
        <f t="shared" si="459"/>
        <v>26400.000000000004</v>
      </c>
    </row>
    <row r="1233" spans="1:36" x14ac:dyDescent="0.3">
      <c r="A1233" t="s">
        <v>4746</v>
      </c>
      <c r="B1233" t="s">
        <v>4747</v>
      </c>
      <c r="C1233" t="s">
        <v>4748</v>
      </c>
      <c r="D1233" t="s">
        <v>522</v>
      </c>
      <c r="E1233">
        <v>64068</v>
      </c>
      <c r="F1233" t="s">
        <v>15</v>
      </c>
      <c r="G1233">
        <v>8</v>
      </c>
      <c r="H1233">
        <v>250</v>
      </c>
      <c r="I1233" t="str" cm="1">
        <f t="array" ref="I1233">_xlfn.IFS(H1233&lt;=120,"V1",H1233&lt;=150,"V2",H1233&lt;=250,"V3", H1233&lt;=350, "V4")</f>
        <v>V3</v>
      </c>
      <c r="J1233" t="s">
        <v>4749</v>
      </c>
      <c r="K1233" t="str">
        <f t="shared" si="437"/>
        <v>39.245809</v>
      </c>
      <c r="L1233" t="str">
        <f t="shared" si="438"/>
        <v>-94.448108</v>
      </c>
      <c r="M1233">
        <v>263</v>
      </c>
      <c r="N1233" s="1">
        <v>44488</v>
      </c>
      <c r="O1233" s="1">
        <v>46099</v>
      </c>
      <c r="P1233" s="2">
        <f t="shared" si="439"/>
        <v>4.4106776180698155</v>
      </c>
      <c r="Q1233" s="2" t="str">
        <f t="shared" si="440"/>
        <v>Mid</v>
      </c>
      <c r="R1233">
        <f t="shared" si="441"/>
        <v>2000</v>
      </c>
      <c r="S1233" t="str">
        <f t="shared" si="442"/>
        <v>Small</v>
      </c>
      <c r="T1233" t="str">
        <f t="shared" si="443"/>
        <v>Lower EV Adoption Corridor</v>
      </c>
      <c r="U1233" s="3">
        <f t="shared" si="444"/>
        <v>3600000</v>
      </c>
      <c r="V1233" s="4">
        <f t="shared" si="445"/>
        <v>880000.00000000012</v>
      </c>
      <c r="W1233" s="3">
        <f t="shared" si="446"/>
        <v>12000000</v>
      </c>
      <c r="X1233" s="3">
        <f t="shared" si="447"/>
        <v>6600000.0000000009</v>
      </c>
      <c r="Y1233">
        <f t="shared" si="448"/>
        <v>0.31515151515151513</v>
      </c>
      <c r="Z1233">
        <f t="shared" si="449"/>
        <v>0.75555555555555554</v>
      </c>
      <c r="AA1233" t="str">
        <f t="shared" si="450"/>
        <v>Tier 2 - Growth Markets</v>
      </c>
      <c r="AB1233" s="3">
        <f t="shared" si="451"/>
        <v>110000.00000000001</v>
      </c>
      <c r="AC1233" s="3">
        <f t="shared" si="452"/>
        <v>1500000</v>
      </c>
      <c r="AD1233" s="3">
        <f t="shared" si="453"/>
        <v>450000</v>
      </c>
      <c r="AE1233" s="5">
        <f t="shared" si="454"/>
        <v>4.4117647058823533</v>
      </c>
      <c r="AF1233" s="10">
        <f t="shared" si="455"/>
        <v>545600.00000000012</v>
      </c>
      <c r="AG1233" s="10">
        <f t="shared" si="456"/>
        <v>176000.00000000003</v>
      </c>
      <c r="AH1233" s="10">
        <f t="shared" si="457"/>
        <v>88000.000000000015</v>
      </c>
      <c r="AI1233" s="10">
        <f t="shared" si="458"/>
        <v>44000.000000000007</v>
      </c>
      <c r="AJ1233" s="10">
        <f t="shared" si="459"/>
        <v>26400.000000000004</v>
      </c>
    </row>
    <row r="1234" spans="1:36" x14ac:dyDescent="0.3">
      <c r="A1234" t="s">
        <v>4750</v>
      </c>
      <c r="B1234" t="s">
        <v>4751</v>
      </c>
      <c r="C1234" t="s">
        <v>3938</v>
      </c>
      <c r="D1234" t="s">
        <v>41</v>
      </c>
      <c r="E1234">
        <v>33401</v>
      </c>
      <c r="F1234" t="s">
        <v>15</v>
      </c>
      <c r="G1234">
        <v>8</v>
      </c>
      <c r="H1234">
        <v>250</v>
      </c>
      <c r="I1234" t="str" cm="1">
        <f t="array" ref="I1234">_xlfn.IFS(H1234&lt;=120,"V1",H1234&lt;=150,"V2",H1234&lt;=250,"V3", H1234&lt;=350, "V4")</f>
        <v>V3</v>
      </c>
      <c r="J1234" t="s">
        <v>4752</v>
      </c>
      <c r="K1234" t="str">
        <f t="shared" si="437"/>
        <v>26.72622</v>
      </c>
      <c r="L1234" t="str">
        <f t="shared" si="438"/>
        <v>-80.0875</v>
      </c>
      <c r="M1234">
        <v>5</v>
      </c>
      <c r="N1234" s="1">
        <v>44398</v>
      </c>
      <c r="O1234" s="1">
        <v>46099</v>
      </c>
      <c r="P1234" s="2">
        <f t="shared" si="439"/>
        <v>4.6570841889117043</v>
      </c>
      <c r="Q1234" s="2" t="str">
        <f t="shared" si="440"/>
        <v>Mid</v>
      </c>
      <c r="R1234">
        <f t="shared" si="441"/>
        <v>2000</v>
      </c>
      <c r="S1234" t="str">
        <f t="shared" si="442"/>
        <v>Small</v>
      </c>
      <c r="T1234" t="str">
        <f t="shared" si="443"/>
        <v>High EV Adoption Corridor</v>
      </c>
      <c r="U1234" s="3">
        <f t="shared" si="444"/>
        <v>4680000</v>
      </c>
      <c r="V1234" s="4">
        <f t="shared" si="445"/>
        <v>1056000</v>
      </c>
      <c r="W1234" s="3">
        <f t="shared" si="446"/>
        <v>13200000.000000002</v>
      </c>
      <c r="X1234" s="3">
        <f t="shared" si="447"/>
        <v>9900000.0000000019</v>
      </c>
      <c r="Y1234">
        <f t="shared" si="448"/>
        <v>0.23999999999999996</v>
      </c>
      <c r="Z1234">
        <f t="shared" si="449"/>
        <v>0.77435897435897438</v>
      </c>
      <c r="AA1234" t="str">
        <f t="shared" si="450"/>
        <v>Tier 1 - Priority Fleet</v>
      </c>
      <c r="AB1234" s="3">
        <f t="shared" si="451"/>
        <v>132000</v>
      </c>
      <c r="AC1234" s="3">
        <f t="shared" si="452"/>
        <v>1650000.0000000002</v>
      </c>
      <c r="AD1234" s="3">
        <f t="shared" si="453"/>
        <v>585000</v>
      </c>
      <c r="AE1234" s="5">
        <f t="shared" si="454"/>
        <v>3.6423841059602653</v>
      </c>
      <c r="AF1234" s="10">
        <f t="shared" si="455"/>
        <v>654720</v>
      </c>
      <c r="AG1234" s="10">
        <f t="shared" si="456"/>
        <v>211200</v>
      </c>
      <c r="AH1234" s="10">
        <f t="shared" si="457"/>
        <v>105600</v>
      </c>
      <c r="AI1234" s="10">
        <f t="shared" si="458"/>
        <v>52800</v>
      </c>
      <c r="AJ1234" s="10">
        <f t="shared" si="459"/>
        <v>31680</v>
      </c>
    </row>
    <row r="1235" spans="1:36" x14ac:dyDescent="0.3">
      <c r="A1235" t="s">
        <v>4753</v>
      </c>
      <c r="B1235" t="s">
        <v>4754</v>
      </c>
      <c r="C1235" t="s">
        <v>4755</v>
      </c>
      <c r="D1235" t="s">
        <v>630</v>
      </c>
      <c r="E1235">
        <v>49022</v>
      </c>
      <c r="F1235" t="s">
        <v>15</v>
      </c>
      <c r="G1235">
        <v>12</v>
      </c>
      <c r="H1235">
        <v>250</v>
      </c>
      <c r="I1235" t="str" cm="1">
        <f t="array" ref="I1235">_xlfn.IFS(H1235&lt;=120,"V1",H1235&lt;=150,"V2",H1235&lt;=250,"V3", H1235&lt;=350, "V4")</f>
        <v>V3</v>
      </c>
      <c r="J1235" t="s">
        <v>4756</v>
      </c>
      <c r="K1235" t="str">
        <f t="shared" si="437"/>
        <v>42.082115</v>
      </c>
      <c r="L1235" t="str">
        <f t="shared" si="438"/>
        <v>-86.423841</v>
      </c>
      <c r="M1235">
        <v>195</v>
      </c>
      <c r="N1235" s="1">
        <v>44408</v>
      </c>
      <c r="O1235" s="1">
        <v>46099</v>
      </c>
      <c r="P1235" s="2">
        <f t="shared" si="439"/>
        <v>4.6297056810403836</v>
      </c>
      <c r="Q1235" s="2" t="str">
        <f t="shared" si="440"/>
        <v>Mid</v>
      </c>
      <c r="R1235">
        <f t="shared" si="441"/>
        <v>3000</v>
      </c>
      <c r="S1235" t="str">
        <f t="shared" si="442"/>
        <v>Small</v>
      </c>
      <c r="T1235" t="str">
        <f t="shared" si="443"/>
        <v>Lower EV Adoption Corridor</v>
      </c>
      <c r="U1235" s="3">
        <f t="shared" si="444"/>
        <v>5400000</v>
      </c>
      <c r="V1235" s="4">
        <f t="shared" si="445"/>
        <v>1320000</v>
      </c>
      <c r="W1235" s="3">
        <f t="shared" si="446"/>
        <v>18000000</v>
      </c>
      <c r="X1235" s="3">
        <f t="shared" si="447"/>
        <v>9900000</v>
      </c>
      <c r="Y1235">
        <f t="shared" si="448"/>
        <v>0.31515151515151513</v>
      </c>
      <c r="Z1235">
        <f t="shared" si="449"/>
        <v>0.75555555555555554</v>
      </c>
      <c r="AA1235" t="str">
        <f t="shared" si="450"/>
        <v>Tier 2 - Growth Markets</v>
      </c>
      <c r="AB1235" s="3">
        <f t="shared" si="451"/>
        <v>110000</v>
      </c>
      <c r="AC1235" s="3">
        <f t="shared" si="452"/>
        <v>1500000</v>
      </c>
      <c r="AD1235" s="3">
        <f t="shared" si="453"/>
        <v>450000</v>
      </c>
      <c r="AE1235" s="5">
        <f t="shared" si="454"/>
        <v>4.4117647058823533</v>
      </c>
      <c r="AF1235" s="10">
        <f t="shared" si="455"/>
        <v>818400</v>
      </c>
      <c r="AG1235" s="10">
        <f t="shared" si="456"/>
        <v>264000</v>
      </c>
      <c r="AH1235" s="10">
        <f t="shared" si="457"/>
        <v>132000</v>
      </c>
      <c r="AI1235" s="10">
        <f t="shared" si="458"/>
        <v>66000</v>
      </c>
      <c r="AJ1235" s="10">
        <f t="shared" si="459"/>
        <v>39600</v>
      </c>
    </row>
    <row r="1236" spans="1:36" x14ac:dyDescent="0.3">
      <c r="A1236" t="s">
        <v>4757</v>
      </c>
      <c r="B1236" t="s">
        <v>4758</v>
      </c>
      <c r="C1236" t="s">
        <v>4759</v>
      </c>
      <c r="D1236" t="s">
        <v>158</v>
      </c>
      <c r="E1236">
        <v>12561</v>
      </c>
      <c r="F1236" t="s">
        <v>15</v>
      </c>
      <c r="G1236">
        <v>8</v>
      </c>
      <c r="H1236">
        <v>250</v>
      </c>
      <c r="I1236" t="str" cm="1">
        <f t="array" ref="I1236">_xlfn.IFS(H1236&lt;=120,"V1",H1236&lt;=150,"V2",H1236&lt;=250,"V3", H1236&lt;=350, "V4")</f>
        <v>V3</v>
      </c>
      <c r="J1236" t="s">
        <v>4760</v>
      </c>
      <c r="K1236" t="str">
        <f t="shared" si="437"/>
        <v>41.743731</v>
      </c>
      <c r="L1236" t="str">
        <f t="shared" si="438"/>
        <v>-74.070122</v>
      </c>
      <c r="M1236">
        <v>113</v>
      </c>
      <c r="N1236" s="1">
        <v>44464</v>
      </c>
      <c r="O1236" s="1">
        <v>46099</v>
      </c>
      <c r="P1236" s="2">
        <f t="shared" si="439"/>
        <v>4.476386036960986</v>
      </c>
      <c r="Q1236" s="2" t="str">
        <f t="shared" si="440"/>
        <v>Mid</v>
      </c>
      <c r="R1236">
        <f t="shared" si="441"/>
        <v>2000</v>
      </c>
      <c r="S1236" t="str">
        <f t="shared" si="442"/>
        <v>Small</v>
      </c>
      <c r="T1236" t="str">
        <f t="shared" si="443"/>
        <v>Lower EV Adoption Corridor</v>
      </c>
      <c r="U1236" s="3">
        <f t="shared" si="444"/>
        <v>3600000</v>
      </c>
      <c r="V1236" s="4">
        <f t="shared" si="445"/>
        <v>880000.00000000012</v>
      </c>
      <c r="W1236" s="3">
        <f t="shared" si="446"/>
        <v>12000000</v>
      </c>
      <c r="X1236" s="3">
        <f t="shared" si="447"/>
        <v>6600000.0000000009</v>
      </c>
      <c r="Y1236">
        <f t="shared" si="448"/>
        <v>0.31515151515151513</v>
      </c>
      <c r="Z1236">
        <f t="shared" si="449"/>
        <v>0.75555555555555554</v>
      </c>
      <c r="AA1236" t="str">
        <f t="shared" si="450"/>
        <v>Tier 2 - Growth Markets</v>
      </c>
      <c r="AB1236" s="3">
        <f t="shared" si="451"/>
        <v>110000.00000000001</v>
      </c>
      <c r="AC1236" s="3">
        <f t="shared" si="452"/>
        <v>1500000</v>
      </c>
      <c r="AD1236" s="3">
        <f t="shared" si="453"/>
        <v>450000</v>
      </c>
      <c r="AE1236" s="5">
        <f t="shared" si="454"/>
        <v>4.4117647058823533</v>
      </c>
      <c r="AF1236" s="10">
        <f t="shared" si="455"/>
        <v>545600.00000000012</v>
      </c>
      <c r="AG1236" s="10">
        <f t="shared" si="456"/>
        <v>176000.00000000003</v>
      </c>
      <c r="AH1236" s="10">
        <f t="shared" si="457"/>
        <v>88000.000000000015</v>
      </c>
      <c r="AI1236" s="10">
        <f t="shared" si="458"/>
        <v>44000.000000000007</v>
      </c>
      <c r="AJ1236" s="10">
        <f t="shared" si="459"/>
        <v>26400.000000000004</v>
      </c>
    </row>
    <row r="1237" spans="1:36" x14ac:dyDescent="0.3">
      <c r="A1237" t="s">
        <v>4761</v>
      </c>
      <c r="B1237" t="s">
        <v>4762</v>
      </c>
      <c r="C1237" t="s">
        <v>4763</v>
      </c>
      <c r="D1237" t="s">
        <v>14</v>
      </c>
      <c r="E1237">
        <v>95476</v>
      </c>
      <c r="F1237" t="s">
        <v>15</v>
      </c>
      <c r="G1237">
        <v>8</v>
      </c>
      <c r="H1237">
        <v>250</v>
      </c>
      <c r="I1237" t="str" cm="1">
        <f t="array" ref="I1237">_xlfn.IFS(H1237&lt;=120,"V1",H1237&lt;=150,"V2",H1237&lt;=250,"V3", H1237&lt;=350, "V4")</f>
        <v>V3</v>
      </c>
      <c r="J1237" t="s">
        <v>4764</v>
      </c>
      <c r="K1237" t="str">
        <f t="shared" si="437"/>
        <v>38.29179</v>
      </c>
      <c r="L1237" t="str">
        <f t="shared" si="438"/>
        <v>-122.452126</v>
      </c>
      <c r="M1237">
        <v>29</v>
      </c>
      <c r="N1237" s="1">
        <v>44485</v>
      </c>
      <c r="O1237" s="1">
        <v>46099</v>
      </c>
      <c r="P1237" s="2">
        <f t="shared" si="439"/>
        <v>4.4188911704312117</v>
      </c>
      <c r="Q1237" s="2" t="str">
        <f t="shared" si="440"/>
        <v>Mid</v>
      </c>
      <c r="R1237">
        <f t="shared" si="441"/>
        <v>2000</v>
      </c>
      <c r="S1237" t="str">
        <f t="shared" si="442"/>
        <v>Small</v>
      </c>
      <c r="T1237" t="str">
        <f t="shared" si="443"/>
        <v>High EV Adoption Corridor</v>
      </c>
      <c r="U1237" s="3">
        <f t="shared" si="444"/>
        <v>4680000</v>
      </c>
      <c r="V1237" s="4">
        <f t="shared" si="445"/>
        <v>1056000</v>
      </c>
      <c r="W1237" s="3">
        <f t="shared" si="446"/>
        <v>13200000.000000002</v>
      </c>
      <c r="X1237" s="3">
        <f t="shared" si="447"/>
        <v>9900000.0000000019</v>
      </c>
      <c r="Y1237">
        <f t="shared" si="448"/>
        <v>0.23999999999999996</v>
      </c>
      <c r="Z1237">
        <f t="shared" si="449"/>
        <v>0.77435897435897438</v>
      </c>
      <c r="AA1237" t="str">
        <f t="shared" si="450"/>
        <v>Tier 1 - Priority Fleet</v>
      </c>
      <c r="AB1237" s="3">
        <f t="shared" si="451"/>
        <v>132000</v>
      </c>
      <c r="AC1237" s="3">
        <f t="shared" si="452"/>
        <v>1650000.0000000002</v>
      </c>
      <c r="AD1237" s="3">
        <f t="shared" si="453"/>
        <v>585000</v>
      </c>
      <c r="AE1237" s="5">
        <f t="shared" si="454"/>
        <v>3.6423841059602653</v>
      </c>
      <c r="AF1237" s="10">
        <f t="shared" si="455"/>
        <v>654720</v>
      </c>
      <c r="AG1237" s="10">
        <f t="shared" si="456"/>
        <v>211200</v>
      </c>
      <c r="AH1237" s="10">
        <f t="shared" si="457"/>
        <v>105600</v>
      </c>
      <c r="AI1237" s="10">
        <f t="shared" si="458"/>
        <v>52800</v>
      </c>
      <c r="AJ1237" s="10">
        <f t="shared" si="459"/>
        <v>31680</v>
      </c>
    </row>
    <row r="1238" spans="1:36" x14ac:dyDescent="0.3">
      <c r="A1238" t="s">
        <v>4765</v>
      </c>
      <c r="B1238" t="s">
        <v>4766</v>
      </c>
      <c r="C1238" t="s">
        <v>605</v>
      </c>
      <c r="D1238" t="s">
        <v>50</v>
      </c>
      <c r="E1238">
        <v>77065</v>
      </c>
      <c r="F1238" t="s">
        <v>15</v>
      </c>
      <c r="G1238">
        <v>16</v>
      </c>
      <c r="H1238">
        <v>250</v>
      </c>
      <c r="I1238" t="str" cm="1">
        <f t="array" ref="I1238">_xlfn.IFS(H1238&lt;=120,"V1",H1238&lt;=150,"V2",H1238&lt;=250,"V3", H1238&lt;=350, "V4")</f>
        <v>V3</v>
      </c>
      <c r="J1238" t="s">
        <v>4767</v>
      </c>
      <c r="K1238" t="str">
        <f t="shared" si="437"/>
        <v>29.912978</v>
      </c>
      <c r="L1238" t="str">
        <f t="shared" si="438"/>
        <v>-95.615944</v>
      </c>
      <c r="M1238">
        <v>39</v>
      </c>
      <c r="N1238" s="1">
        <v>44741</v>
      </c>
      <c r="O1238" s="1">
        <v>46099</v>
      </c>
      <c r="P1238" s="2">
        <f t="shared" si="439"/>
        <v>3.7180013689253935</v>
      </c>
      <c r="Q1238" s="2" t="str">
        <f t="shared" si="440"/>
        <v>Mid</v>
      </c>
      <c r="R1238">
        <f t="shared" si="441"/>
        <v>4000</v>
      </c>
      <c r="S1238" t="str">
        <f t="shared" si="442"/>
        <v>Small</v>
      </c>
      <c r="T1238" t="str">
        <f t="shared" si="443"/>
        <v>High EV Adoption Corridor</v>
      </c>
      <c r="U1238" s="3">
        <f t="shared" si="444"/>
        <v>9360000</v>
      </c>
      <c r="V1238" s="4">
        <f t="shared" si="445"/>
        <v>2112000</v>
      </c>
      <c r="W1238" s="3">
        <f t="shared" si="446"/>
        <v>26400000.000000004</v>
      </c>
      <c r="X1238" s="3">
        <f t="shared" si="447"/>
        <v>19800000.000000004</v>
      </c>
      <c r="Y1238">
        <f t="shared" si="448"/>
        <v>0.23999999999999996</v>
      </c>
      <c r="Z1238">
        <f t="shared" si="449"/>
        <v>0.77435897435897438</v>
      </c>
      <c r="AA1238" t="str">
        <f t="shared" si="450"/>
        <v>Tier 1 - Priority Fleet</v>
      </c>
      <c r="AB1238" s="3">
        <f t="shared" si="451"/>
        <v>132000</v>
      </c>
      <c r="AC1238" s="3">
        <f t="shared" si="452"/>
        <v>1650000.0000000002</v>
      </c>
      <c r="AD1238" s="3">
        <f t="shared" si="453"/>
        <v>585000</v>
      </c>
      <c r="AE1238" s="5">
        <f t="shared" si="454"/>
        <v>3.6423841059602653</v>
      </c>
      <c r="AF1238" s="10">
        <f t="shared" si="455"/>
        <v>1309440</v>
      </c>
      <c r="AG1238" s="10">
        <f t="shared" si="456"/>
        <v>422400</v>
      </c>
      <c r="AH1238" s="10">
        <f t="shared" si="457"/>
        <v>211200</v>
      </c>
      <c r="AI1238" s="10">
        <f t="shared" si="458"/>
        <v>105600</v>
      </c>
      <c r="AJ1238" s="10">
        <f t="shared" si="459"/>
        <v>63360</v>
      </c>
    </row>
    <row r="1239" spans="1:36" x14ac:dyDescent="0.3">
      <c r="A1239" t="s">
        <v>4768</v>
      </c>
      <c r="B1239" t="s">
        <v>4769</v>
      </c>
      <c r="C1239" t="s">
        <v>370</v>
      </c>
      <c r="D1239" t="s">
        <v>148</v>
      </c>
      <c r="E1239">
        <v>66608</v>
      </c>
      <c r="F1239" t="s">
        <v>15</v>
      </c>
      <c r="G1239">
        <v>8</v>
      </c>
      <c r="H1239">
        <v>250</v>
      </c>
      <c r="I1239" t="str" cm="1">
        <f t="array" ref="I1239">_xlfn.IFS(H1239&lt;=120,"V1",H1239&lt;=150,"V2",H1239&lt;=250,"V3", H1239&lt;=350, "V4")</f>
        <v>V3</v>
      </c>
      <c r="J1239" t="s">
        <v>4770</v>
      </c>
      <c r="K1239" t="str">
        <f t="shared" si="437"/>
        <v>39.0195</v>
      </c>
      <c r="L1239" t="str">
        <f t="shared" si="438"/>
        <v>-95.508</v>
      </c>
      <c r="M1239">
        <v>344</v>
      </c>
      <c r="N1239" s="1">
        <v>44806</v>
      </c>
      <c r="O1239" s="1">
        <v>46099</v>
      </c>
      <c r="P1239" s="2">
        <f t="shared" si="439"/>
        <v>3.5400410677618068</v>
      </c>
      <c r="Q1239" s="2" t="str">
        <f t="shared" si="440"/>
        <v>Mid</v>
      </c>
      <c r="R1239">
        <f t="shared" si="441"/>
        <v>2000</v>
      </c>
      <c r="S1239" t="str">
        <f t="shared" si="442"/>
        <v>Small</v>
      </c>
      <c r="T1239" t="str">
        <f t="shared" si="443"/>
        <v>Lower EV Adoption Corridor</v>
      </c>
      <c r="U1239" s="3">
        <f t="shared" si="444"/>
        <v>3600000</v>
      </c>
      <c r="V1239" s="4">
        <f t="shared" si="445"/>
        <v>880000.00000000012</v>
      </c>
      <c r="W1239" s="3">
        <f t="shared" si="446"/>
        <v>12000000</v>
      </c>
      <c r="X1239" s="3">
        <f t="shared" si="447"/>
        <v>6600000.0000000009</v>
      </c>
      <c r="Y1239">
        <f t="shared" si="448"/>
        <v>0.31515151515151513</v>
      </c>
      <c r="Z1239">
        <f t="shared" si="449"/>
        <v>0.75555555555555554</v>
      </c>
      <c r="AA1239" t="str">
        <f t="shared" si="450"/>
        <v>Tier 2 - Growth Markets</v>
      </c>
      <c r="AB1239" s="3">
        <f t="shared" si="451"/>
        <v>110000.00000000001</v>
      </c>
      <c r="AC1239" s="3">
        <f t="shared" si="452"/>
        <v>1500000</v>
      </c>
      <c r="AD1239" s="3">
        <f t="shared" si="453"/>
        <v>450000</v>
      </c>
      <c r="AE1239" s="5">
        <f t="shared" si="454"/>
        <v>4.4117647058823533</v>
      </c>
      <c r="AF1239" s="10">
        <f t="shared" si="455"/>
        <v>545600.00000000012</v>
      </c>
      <c r="AG1239" s="10">
        <f t="shared" si="456"/>
        <v>176000.00000000003</v>
      </c>
      <c r="AH1239" s="10">
        <f t="shared" si="457"/>
        <v>88000.000000000015</v>
      </c>
      <c r="AI1239" s="10">
        <f t="shared" si="458"/>
        <v>44000.000000000007</v>
      </c>
      <c r="AJ1239" s="10">
        <f t="shared" si="459"/>
        <v>26400.000000000004</v>
      </c>
    </row>
    <row r="1240" spans="1:36" x14ac:dyDescent="0.3">
      <c r="A1240" t="s">
        <v>4771</v>
      </c>
      <c r="B1240" t="s">
        <v>4772</v>
      </c>
      <c r="C1240" t="s">
        <v>4773</v>
      </c>
      <c r="D1240" t="s">
        <v>148</v>
      </c>
      <c r="E1240">
        <v>66044</v>
      </c>
      <c r="F1240" t="s">
        <v>15</v>
      </c>
      <c r="G1240">
        <v>12</v>
      </c>
      <c r="H1240">
        <v>250</v>
      </c>
      <c r="I1240" t="str" cm="1">
        <f t="array" ref="I1240">_xlfn.IFS(H1240&lt;=120,"V1",H1240&lt;=150,"V2",H1240&lt;=250,"V3", H1240&lt;=350, "V4")</f>
        <v>V3</v>
      </c>
      <c r="J1240" t="s">
        <v>4774</v>
      </c>
      <c r="K1240" t="str">
        <f t="shared" si="437"/>
        <v>39.0205</v>
      </c>
      <c r="L1240" t="str">
        <f t="shared" si="438"/>
        <v>-95.1348</v>
      </c>
      <c r="M1240">
        <v>281</v>
      </c>
      <c r="N1240" s="1">
        <v>44756</v>
      </c>
      <c r="O1240" s="1">
        <v>46099</v>
      </c>
      <c r="P1240" s="2">
        <f t="shared" si="439"/>
        <v>3.676933607118412</v>
      </c>
      <c r="Q1240" s="2" t="str">
        <f t="shared" si="440"/>
        <v>Mid</v>
      </c>
      <c r="R1240">
        <f t="shared" si="441"/>
        <v>3000</v>
      </c>
      <c r="S1240" t="str">
        <f t="shared" si="442"/>
        <v>Small</v>
      </c>
      <c r="T1240" t="str">
        <f t="shared" si="443"/>
        <v>Lower EV Adoption Corridor</v>
      </c>
      <c r="U1240" s="3">
        <f t="shared" si="444"/>
        <v>5400000</v>
      </c>
      <c r="V1240" s="4">
        <f t="shared" si="445"/>
        <v>1320000</v>
      </c>
      <c r="W1240" s="3">
        <f t="shared" si="446"/>
        <v>18000000</v>
      </c>
      <c r="X1240" s="3">
        <f t="shared" si="447"/>
        <v>9900000</v>
      </c>
      <c r="Y1240">
        <f t="shared" si="448"/>
        <v>0.31515151515151513</v>
      </c>
      <c r="Z1240">
        <f t="shared" si="449"/>
        <v>0.75555555555555554</v>
      </c>
      <c r="AA1240" t="str">
        <f t="shared" si="450"/>
        <v>Tier 2 - Growth Markets</v>
      </c>
      <c r="AB1240" s="3">
        <f t="shared" si="451"/>
        <v>110000</v>
      </c>
      <c r="AC1240" s="3">
        <f t="shared" si="452"/>
        <v>1500000</v>
      </c>
      <c r="AD1240" s="3">
        <f t="shared" si="453"/>
        <v>450000</v>
      </c>
      <c r="AE1240" s="5">
        <f t="shared" si="454"/>
        <v>4.4117647058823533</v>
      </c>
      <c r="AF1240" s="10">
        <f t="shared" si="455"/>
        <v>818400</v>
      </c>
      <c r="AG1240" s="10">
        <f t="shared" si="456"/>
        <v>264000</v>
      </c>
      <c r="AH1240" s="10">
        <f t="shared" si="457"/>
        <v>132000</v>
      </c>
      <c r="AI1240" s="10">
        <f t="shared" si="458"/>
        <v>66000</v>
      </c>
      <c r="AJ1240" s="10">
        <f t="shared" si="459"/>
        <v>39600</v>
      </c>
    </row>
    <row r="1241" spans="1:36" x14ac:dyDescent="0.3">
      <c r="A1241" t="s">
        <v>4775</v>
      </c>
      <c r="B1241" t="s">
        <v>4776</v>
      </c>
      <c r="C1241" t="s">
        <v>4777</v>
      </c>
      <c r="D1241" t="s">
        <v>130</v>
      </c>
      <c r="E1241">
        <v>46746</v>
      </c>
      <c r="F1241" t="s">
        <v>15</v>
      </c>
      <c r="G1241">
        <v>8</v>
      </c>
      <c r="H1241">
        <v>250</v>
      </c>
      <c r="I1241" t="str" cm="1">
        <f t="array" ref="I1241">_xlfn.IFS(H1241&lt;=120,"V1",H1241&lt;=150,"V2",H1241&lt;=250,"V3", H1241&lt;=350, "V4")</f>
        <v>V3</v>
      </c>
      <c r="J1241" t="s">
        <v>4778</v>
      </c>
      <c r="K1241" t="str">
        <f t="shared" si="437"/>
        <v>41.744917</v>
      </c>
      <c r="L1241" t="str">
        <f t="shared" si="438"/>
        <v>-85.330167</v>
      </c>
      <c r="M1241">
        <v>280</v>
      </c>
      <c r="N1241" s="1">
        <v>44344</v>
      </c>
      <c r="O1241" s="1">
        <v>46099</v>
      </c>
      <c r="P1241" s="2">
        <f t="shared" si="439"/>
        <v>4.8049281314168377</v>
      </c>
      <c r="Q1241" s="2" t="str">
        <f t="shared" si="440"/>
        <v>Mid</v>
      </c>
      <c r="R1241">
        <f t="shared" si="441"/>
        <v>2000</v>
      </c>
      <c r="S1241" t="str">
        <f t="shared" si="442"/>
        <v>Small</v>
      </c>
      <c r="T1241" t="str">
        <f t="shared" si="443"/>
        <v>Lower EV Adoption Corridor</v>
      </c>
      <c r="U1241" s="3">
        <f t="shared" si="444"/>
        <v>3600000</v>
      </c>
      <c r="V1241" s="4">
        <f t="shared" si="445"/>
        <v>880000.00000000012</v>
      </c>
      <c r="W1241" s="3">
        <f t="shared" si="446"/>
        <v>12000000</v>
      </c>
      <c r="X1241" s="3">
        <f t="shared" si="447"/>
        <v>6600000.0000000009</v>
      </c>
      <c r="Y1241">
        <f t="shared" si="448"/>
        <v>0.31515151515151513</v>
      </c>
      <c r="Z1241">
        <f t="shared" si="449"/>
        <v>0.75555555555555554</v>
      </c>
      <c r="AA1241" t="str">
        <f t="shared" si="450"/>
        <v>Tier 2 - Growth Markets</v>
      </c>
      <c r="AB1241" s="3">
        <f t="shared" si="451"/>
        <v>110000.00000000001</v>
      </c>
      <c r="AC1241" s="3">
        <f t="shared" si="452"/>
        <v>1500000</v>
      </c>
      <c r="AD1241" s="3">
        <f t="shared" si="453"/>
        <v>450000</v>
      </c>
      <c r="AE1241" s="5">
        <f t="shared" si="454"/>
        <v>4.4117647058823533</v>
      </c>
      <c r="AF1241" s="10">
        <f t="shared" si="455"/>
        <v>545600.00000000012</v>
      </c>
      <c r="AG1241" s="10">
        <f t="shared" si="456"/>
        <v>176000.00000000003</v>
      </c>
      <c r="AH1241" s="10">
        <f t="shared" si="457"/>
        <v>88000.000000000015</v>
      </c>
      <c r="AI1241" s="10">
        <f t="shared" si="458"/>
        <v>44000.000000000007</v>
      </c>
      <c r="AJ1241" s="10">
        <f t="shared" si="459"/>
        <v>26400.000000000004</v>
      </c>
    </row>
    <row r="1242" spans="1:36" x14ac:dyDescent="0.3">
      <c r="A1242" t="s">
        <v>4779</v>
      </c>
      <c r="B1242" t="s">
        <v>4780</v>
      </c>
      <c r="C1242" t="s">
        <v>4777</v>
      </c>
      <c r="D1242" t="s">
        <v>130</v>
      </c>
      <c r="E1242">
        <v>46746</v>
      </c>
      <c r="F1242" t="s">
        <v>15</v>
      </c>
      <c r="G1242">
        <v>8</v>
      </c>
      <c r="H1242">
        <v>250</v>
      </c>
      <c r="I1242" t="str" cm="1">
        <f t="array" ref="I1242">_xlfn.IFS(H1242&lt;=120,"V1",H1242&lt;=150,"V2",H1242&lt;=250,"V3", H1242&lt;=350, "V4")</f>
        <v>V3</v>
      </c>
      <c r="J1242" t="s">
        <v>4781</v>
      </c>
      <c r="K1242" t="str">
        <f t="shared" si="437"/>
        <v>41.747139</v>
      </c>
      <c r="L1242" t="str">
        <f t="shared" si="438"/>
        <v>-85.32775</v>
      </c>
      <c r="M1242">
        <v>279</v>
      </c>
      <c r="N1242" s="1">
        <v>44344</v>
      </c>
      <c r="O1242" s="1">
        <v>46099</v>
      </c>
      <c r="P1242" s="2">
        <f t="shared" si="439"/>
        <v>4.8049281314168377</v>
      </c>
      <c r="Q1242" s="2" t="str">
        <f t="shared" si="440"/>
        <v>Mid</v>
      </c>
      <c r="R1242">
        <f t="shared" si="441"/>
        <v>2000</v>
      </c>
      <c r="S1242" t="str">
        <f t="shared" si="442"/>
        <v>Small</v>
      </c>
      <c r="T1242" t="str">
        <f t="shared" si="443"/>
        <v>Lower EV Adoption Corridor</v>
      </c>
      <c r="U1242" s="3">
        <f t="shared" si="444"/>
        <v>3600000</v>
      </c>
      <c r="V1242" s="4">
        <f t="shared" si="445"/>
        <v>880000.00000000012</v>
      </c>
      <c r="W1242" s="3">
        <f t="shared" si="446"/>
        <v>12000000</v>
      </c>
      <c r="X1242" s="3">
        <f t="shared" si="447"/>
        <v>6600000.0000000009</v>
      </c>
      <c r="Y1242">
        <f t="shared" si="448"/>
        <v>0.31515151515151513</v>
      </c>
      <c r="Z1242">
        <f t="shared" si="449"/>
        <v>0.75555555555555554</v>
      </c>
      <c r="AA1242" t="str">
        <f t="shared" si="450"/>
        <v>Tier 2 - Growth Markets</v>
      </c>
      <c r="AB1242" s="3">
        <f t="shared" si="451"/>
        <v>110000.00000000001</v>
      </c>
      <c r="AC1242" s="3">
        <f t="shared" si="452"/>
        <v>1500000</v>
      </c>
      <c r="AD1242" s="3">
        <f t="shared" si="453"/>
        <v>450000</v>
      </c>
      <c r="AE1242" s="5">
        <f t="shared" si="454"/>
        <v>4.4117647058823533</v>
      </c>
      <c r="AF1242" s="10">
        <f t="shared" si="455"/>
        <v>545600.00000000012</v>
      </c>
      <c r="AG1242" s="10">
        <f t="shared" si="456"/>
        <v>176000.00000000003</v>
      </c>
      <c r="AH1242" s="10">
        <f t="shared" si="457"/>
        <v>88000.000000000015</v>
      </c>
      <c r="AI1242" s="10">
        <f t="shared" si="458"/>
        <v>44000.000000000007</v>
      </c>
      <c r="AJ1242" s="10">
        <f t="shared" si="459"/>
        <v>26400.000000000004</v>
      </c>
    </row>
    <row r="1243" spans="1:36" x14ac:dyDescent="0.3">
      <c r="A1243" t="s">
        <v>4782</v>
      </c>
      <c r="B1243" t="s">
        <v>4783</v>
      </c>
      <c r="C1243" t="s">
        <v>4784</v>
      </c>
      <c r="D1243" t="s">
        <v>77</v>
      </c>
      <c r="E1243">
        <v>27707</v>
      </c>
      <c r="F1243" t="s">
        <v>15</v>
      </c>
      <c r="G1243">
        <v>12</v>
      </c>
      <c r="H1243">
        <v>250</v>
      </c>
      <c r="I1243" t="str" cm="1">
        <f t="array" ref="I1243">_xlfn.IFS(H1243&lt;=120,"V1",H1243&lt;=150,"V2",H1243&lt;=250,"V3", H1243&lt;=350, "V4")</f>
        <v>V3</v>
      </c>
      <c r="J1243" t="s">
        <v>4785</v>
      </c>
      <c r="K1243" t="str">
        <f t="shared" si="437"/>
        <v>35.953056</v>
      </c>
      <c r="L1243" t="str">
        <f t="shared" si="438"/>
        <v>-78.991056</v>
      </c>
      <c r="M1243">
        <v>101</v>
      </c>
      <c r="N1243" s="1">
        <v>44362</v>
      </c>
      <c r="O1243" s="1">
        <v>46099</v>
      </c>
      <c r="P1243" s="2">
        <f t="shared" si="439"/>
        <v>4.7556468172484596</v>
      </c>
      <c r="Q1243" s="2" t="str">
        <f t="shared" si="440"/>
        <v>Mid</v>
      </c>
      <c r="R1243">
        <f t="shared" si="441"/>
        <v>3000</v>
      </c>
      <c r="S1243" t="str">
        <f t="shared" si="442"/>
        <v>Small</v>
      </c>
      <c r="T1243" t="str">
        <f t="shared" si="443"/>
        <v>Lower EV Adoption Corridor</v>
      </c>
      <c r="U1243" s="3">
        <f t="shared" si="444"/>
        <v>5400000</v>
      </c>
      <c r="V1243" s="4">
        <f t="shared" si="445"/>
        <v>1320000</v>
      </c>
      <c r="W1243" s="3">
        <f t="shared" si="446"/>
        <v>18000000</v>
      </c>
      <c r="X1243" s="3">
        <f t="shared" si="447"/>
        <v>9900000</v>
      </c>
      <c r="Y1243">
        <f t="shared" si="448"/>
        <v>0.31515151515151513</v>
      </c>
      <c r="Z1243">
        <f t="shared" si="449"/>
        <v>0.75555555555555554</v>
      </c>
      <c r="AA1243" t="str">
        <f t="shared" si="450"/>
        <v>Tier 2 - Growth Markets</v>
      </c>
      <c r="AB1243" s="3">
        <f t="shared" si="451"/>
        <v>110000</v>
      </c>
      <c r="AC1243" s="3">
        <f t="shared" si="452"/>
        <v>1500000</v>
      </c>
      <c r="AD1243" s="3">
        <f t="shared" si="453"/>
        <v>450000</v>
      </c>
      <c r="AE1243" s="5">
        <f t="shared" si="454"/>
        <v>4.4117647058823533</v>
      </c>
      <c r="AF1243" s="10">
        <f t="shared" si="455"/>
        <v>818400</v>
      </c>
      <c r="AG1243" s="10">
        <f t="shared" si="456"/>
        <v>264000</v>
      </c>
      <c r="AH1243" s="10">
        <f t="shared" si="457"/>
        <v>132000</v>
      </c>
      <c r="AI1243" s="10">
        <f t="shared" si="458"/>
        <v>66000</v>
      </c>
      <c r="AJ1243" s="10">
        <f t="shared" si="459"/>
        <v>39600</v>
      </c>
    </row>
    <row r="1244" spans="1:36" x14ac:dyDescent="0.3">
      <c r="A1244" t="s">
        <v>4786</v>
      </c>
      <c r="B1244" t="s">
        <v>4787</v>
      </c>
      <c r="C1244" t="s">
        <v>4788</v>
      </c>
      <c r="D1244" t="s">
        <v>14</v>
      </c>
      <c r="E1244">
        <v>90040</v>
      </c>
      <c r="F1244" t="s">
        <v>15</v>
      </c>
      <c r="G1244">
        <v>20</v>
      </c>
      <c r="H1244">
        <v>250</v>
      </c>
      <c r="I1244" t="str" cm="1">
        <f t="array" ref="I1244">_xlfn.IFS(H1244&lt;=120,"V1",H1244&lt;=150,"V2",H1244&lt;=250,"V3", H1244&lt;=350, "V4")</f>
        <v>V3</v>
      </c>
      <c r="J1244" t="s">
        <v>4789</v>
      </c>
      <c r="K1244" t="str">
        <f t="shared" si="437"/>
        <v>34.006382</v>
      </c>
      <c r="L1244" t="str">
        <f t="shared" si="438"/>
        <v>-118.148878</v>
      </c>
      <c r="M1244">
        <v>48</v>
      </c>
      <c r="N1244" s="1">
        <v>44390</v>
      </c>
      <c r="O1244" s="1">
        <v>46099</v>
      </c>
      <c r="P1244" s="2">
        <f t="shared" si="439"/>
        <v>4.6789869952087608</v>
      </c>
      <c r="Q1244" s="2" t="str">
        <f t="shared" si="440"/>
        <v>Mid</v>
      </c>
      <c r="R1244">
        <f t="shared" si="441"/>
        <v>5000</v>
      </c>
      <c r="S1244" t="str">
        <f t="shared" si="442"/>
        <v>Small</v>
      </c>
      <c r="T1244" t="str">
        <f t="shared" si="443"/>
        <v>High EV Adoption Corridor</v>
      </c>
      <c r="U1244" s="3">
        <f t="shared" si="444"/>
        <v>11700000</v>
      </c>
      <c r="V1244" s="4">
        <f t="shared" si="445"/>
        <v>2640000</v>
      </c>
      <c r="W1244" s="3">
        <f t="shared" si="446"/>
        <v>33000000.000000004</v>
      </c>
      <c r="X1244" s="3">
        <f t="shared" si="447"/>
        <v>24750000.000000004</v>
      </c>
      <c r="Y1244">
        <f t="shared" si="448"/>
        <v>0.23999999999999996</v>
      </c>
      <c r="Z1244">
        <f t="shared" si="449"/>
        <v>0.77435897435897438</v>
      </c>
      <c r="AA1244" t="str">
        <f t="shared" si="450"/>
        <v>Tier 1 - Priority Fleet</v>
      </c>
      <c r="AB1244" s="3">
        <f t="shared" si="451"/>
        <v>132000</v>
      </c>
      <c r="AC1244" s="3">
        <f t="shared" si="452"/>
        <v>1650000.0000000002</v>
      </c>
      <c r="AD1244" s="3">
        <f t="shared" si="453"/>
        <v>585000</v>
      </c>
      <c r="AE1244" s="5">
        <f t="shared" si="454"/>
        <v>3.6423841059602653</v>
      </c>
      <c r="AF1244" s="10">
        <f t="shared" si="455"/>
        <v>1636800</v>
      </c>
      <c r="AG1244" s="10">
        <f t="shared" si="456"/>
        <v>528000</v>
      </c>
      <c r="AH1244" s="10">
        <f t="shared" si="457"/>
        <v>264000</v>
      </c>
      <c r="AI1244" s="10">
        <f t="shared" si="458"/>
        <v>132000</v>
      </c>
      <c r="AJ1244" s="10">
        <f t="shared" si="459"/>
        <v>79200</v>
      </c>
    </row>
    <row r="1245" spans="1:36" x14ac:dyDescent="0.3">
      <c r="A1245" t="s">
        <v>4790</v>
      </c>
      <c r="B1245" t="s">
        <v>4791</v>
      </c>
      <c r="C1245" t="s">
        <v>2334</v>
      </c>
      <c r="D1245" t="s">
        <v>77</v>
      </c>
      <c r="E1245">
        <v>28540</v>
      </c>
      <c r="F1245" t="s">
        <v>15</v>
      </c>
      <c r="G1245">
        <v>8</v>
      </c>
      <c r="H1245">
        <v>250</v>
      </c>
      <c r="I1245" t="str" cm="1">
        <f t="array" ref="I1245">_xlfn.IFS(H1245&lt;=120,"V1",H1245&lt;=150,"V2",H1245&lt;=250,"V3", H1245&lt;=350, "V4")</f>
        <v>V3</v>
      </c>
      <c r="J1245" t="s">
        <v>4792</v>
      </c>
      <c r="K1245" t="str">
        <f t="shared" si="437"/>
        <v>34.776774</v>
      </c>
      <c r="L1245" t="str">
        <f t="shared" si="438"/>
        <v>-77.414566</v>
      </c>
      <c r="M1245">
        <v>10</v>
      </c>
      <c r="N1245" s="1">
        <v>44769</v>
      </c>
      <c r="O1245" s="1">
        <v>46099</v>
      </c>
      <c r="P1245" s="2">
        <f t="shared" si="439"/>
        <v>3.6413415468856947</v>
      </c>
      <c r="Q1245" s="2" t="str">
        <f t="shared" si="440"/>
        <v>Mid</v>
      </c>
      <c r="R1245">
        <f t="shared" si="441"/>
        <v>2000</v>
      </c>
      <c r="S1245" t="str">
        <f t="shared" si="442"/>
        <v>Small</v>
      </c>
      <c r="T1245" t="str">
        <f t="shared" si="443"/>
        <v>Lower EV Adoption Corridor</v>
      </c>
      <c r="U1245" s="3">
        <f t="shared" si="444"/>
        <v>3600000</v>
      </c>
      <c r="V1245" s="4">
        <f t="shared" si="445"/>
        <v>880000.00000000012</v>
      </c>
      <c r="W1245" s="3">
        <f t="shared" si="446"/>
        <v>12000000</v>
      </c>
      <c r="X1245" s="3">
        <f t="shared" si="447"/>
        <v>6600000.0000000009</v>
      </c>
      <c r="Y1245">
        <f t="shared" si="448"/>
        <v>0.31515151515151513</v>
      </c>
      <c r="Z1245">
        <f t="shared" si="449"/>
        <v>0.75555555555555554</v>
      </c>
      <c r="AA1245" t="str">
        <f t="shared" si="450"/>
        <v>Tier 2 - Growth Markets</v>
      </c>
      <c r="AB1245" s="3">
        <f t="shared" si="451"/>
        <v>110000.00000000001</v>
      </c>
      <c r="AC1245" s="3">
        <f t="shared" si="452"/>
        <v>1500000</v>
      </c>
      <c r="AD1245" s="3">
        <f t="shared" si="453"/>
        <v>450000</v>
      </c>
      <c r="AE1245" s="5">
        <f t="shared" si="454"/>
        <v>4.4117647058823533</v>
      </c>
      <c r="AF1245" s="10">
        <f t="shared" si="455"/>
        <v>545600.00000000012</v>
      </c>
      <c r="AG1245" s="10">
        <f t="shared" si="456"/>
        <v>176000.00000000003</v>
      </c>
      <c r="AH1245" s="10">
        <f t="shared" si="457"/>
        <v>88000.000000000015</v>
      </c>
      <c r="AI1245" s="10">
        <f t="shared" si="458"/>
        <v>44000.000000000007</v>
      </c>
      <c r="AJ1245" s="10">
        <f t="shared" si="459"/>
        <v>26400.000000000004</v>
      </c>
    </row>
    <row r="1246" spans="1:36" x14ac:dyDescent="0.3">
      <c r="A1246" t="s">
        <v>4793</v>
      </c>
      <c r="B1246" t="s">
        <v>4794</v>
      </c>
      <c r="C1246" t="s">
        <v>4795</v>
      </c>
      <c r="D1246" t="s">
        <v>59</v>
      </c>
      <c r="E1246">
        <v>60492</v>
      </c>
      <c r="F1246" t="s">
        <v>15</v>
      </c>
      <c r="G1246">
        <v>12</v>
      </c>
      <c r="H1246">
        <v>250</v>
      </c>
      <c r="I1246" t="str" cm="1">
        <f t="array" ref="I1246">_xlfn.IFS(H1246&lt;=120,"V1",H1246&lt;=150,"V2",H1246&lt;=250,"V3", H1246&lt;=350, "V4")</f>
        <v>V3</v>
      </c>
      <c r="J1246" t="s">
        <v>4796</v>
      </c>
      <c r="K1246" t="str">
        <f t="shared" si="437"/>
        <v>41.632333</v>
      </c>
      <c r="L1246" t="str">
        <f t="shared" si="438"/>
        <v>-87.850228</v>
      </c>
      <c r="M1246">
        <v>215</v>
      </c>
      <c r="N1246" s="1">
        <v>44917</v>
      </c>
      <c r="O1246" s="1">
        <v>46099</v>
      </c>
      <c r="P1246" s="2">
        <f t="shared" si="439"/>
        <v>3.2361396303901437</v>
      </c>
      <c r="Q1246" s="2" t="str">
        <f t="shared" si="440"/>
        <v>Mid</v>
      </c>
      <c r="R1246">
        <f t="shared" si="441"/>
        <v>3000</v>
      </c>
      <c r="S1246" t="str">
        <f t="shared" si="442"/>
        <v>Small</v>
      </c>
      <c r="T1246" t="str">
        <f t="shared" si="443"/>
        <v>Lower EV Adoption Corridor</v>
      </c>
      <c r="U1246" s="3">
        <f t="shared" si="444"/>
        <v>5400000</v>
      </c>
      <c r="V1246" s="4">
        <f t="shared" si="445"/>
        <v>1320000</v>
      </c>
      <c r="W1246" s="3">
        <f t="shared" si="446"/>
        <v>18000000</v>
      </c>
      <c r="X1246" s="3">
        <f t="shared" si="447"/>
        <v>9900000</v>
      </c>
      <c r="Y1246">
        <f t="shared" si="448"/>
        <v>0.31515151515151513</v>
      </c>
      <c r="Z1246">
        <f t="shared" si="449"/>
        <v>0.75555555555555554</v>
      </c>
      <c r="AA1246" t="str">
        <f t="shared" si="450"/>
        <v>Tier 2 - Growth Markets</v>
      </c>
      <c r="AB1246" s="3">
        <f t="shared" si="451"/>
        <v>110000</v>
      </c>
      <c r="AC1246" s="3">
        <f t="shared" si="452"/>
        <v>1500000</v>
      </c>
      <c r="AD1246" s="3">
        <f t="shared" si="453"/>
        <v>450000</v>
      </c>
      <c r="AE1246" s="5">
        <f t="shared" si="454"/>
        <v>4.4117647058823533</v>
      </c>
      <c r="AF1246" s="10">
        <f t="shared" si="455"/>
        <v>818400</v>
      </c>
      <c r="AG1246" s="10">
        <f t="shared" si="456"/>
        <v>264000</v>
      </c>
      <c r="AH1246" s="10">
        <f t="shared" si="457"/>
        <v>132000</v>
      </c>
      <c r="AI1246" s="10">
        <f t="shared" si="458"/>
        <v>66000</v>
      </c>
      <c r="AJ1246" s="10">
        <f t="shared" si="459"/>
        <v>39600</v>
      </c>
    </row>
    <row r="1247" spans="1:36" x14ac:dyDescent="0.3">
      <c r="A1247" t="s">
        <v>4797</v>
      </c>
      <c r="B1247" t="s">
        <v>4798</v>
      </c>
      <c r="C1247" t="s">
        <v>4799</v>
      </c>
      <c r="D1247" t="s">
        <v>294</v>
      </c>
      <c r="E1247">
        <v>38555</v>
      </c>
      <c r="F1247" t="s">
        <v>15</v>
      </c>
      <c r="G1247">
        <v>16</v>
      </c>
      <c r="H1247">
        <v>250</v>
      </c>
      <c r="I1247" t="str" cm="1">
        <f t="array" ref="I1247">_xlfn.IFS(H1247&lt;=120,"V1",H1247&lt;=150,"V2",H1247&lt;=250,"V3", H1247&lt;=350, "V4")</f>
        <v>V3</v>
      </c>
      <c r="J1247" t="s">
        <v>4800</v>
      </c>
      <c r="K1247" t="str">
        <f t="shared" si="437"/>
        <v>35.979515</v>
      </c>
      <c r="L1247" t="str">
        <f t="shared" si="438"/>
        <v>-85.015308</v>
      </c>
      <c r="M1247">
        <v>546</v>
      </c>
      <c r="N1247" s="1">
        <v>44961</v>
      </c>
      <c r="O1247" s="1">
        <v>46099</v>
      </c>
      <c r="P1247" s="2">
        <f t="shared" si="439"/>
        <v>3.1156741957563314</v>
      </c>
      <c r="Q1247" s="2" t="str">
        <f t="shared" si="440"/>
        <v>Mid</v>
      </c>
      <c r="R1247">
        <f t="shared" si="441"/>
        <v>4000</v>
      </c>
      <c r="S1247" t="str">
        <f t="shared" si="442"/>
        <v>Small</v>
      </c>
      <c r="T1247" t="str">
        <f t="shared" si="443"/>
        <v>Lower EV Adoption Corridor</v>
      </c>
      <c r="U1247" s="3">
        <f t="shared" si="444"/>
        <v>7200000</v>
      </c>
      <c r="V1247" s="4">
        <f t="shared" si="445"/>
        <v>1760000.0000000002</v>
      </c>
      <c r="W1247" s="3">
        <f t="shared" si="446"/>
        <v>24000000</v>
      </c>
      <c r="X1247" s="3">
        <f t="shared" si="447"/>
        <v>13200000.000000002</v>
      </c>
      <c r="Y1247">
        <f t="shared" si="448"/>
        <v>0.31515151515151513</v>
      </c>
      <c r="Z1247">
        <f t="shared" si="449"/>
        <v>0.75555555555555554</v>
      </c>
      <c r="AA1247" t="str">
        <f t="shared" si="450"/>
        <v>Tier 2 - Growth Markets</v>
      </c>
      <c r="AB1247" s="3">
        <f t="shared" si="451"/>
        <v>110000.00000000001</v>
      </c>
      <c r="AC1247" s="3">
        <f t="shared" si="452"/>
        <v>1500000</v>
      </c>
      <c r="AD1247" s="3">
        <f t="shared" si="453"/>
        <v>450000</v>
      </c>
      <c r="AE1247" s="5">
        <f t="shared" si="454"/>
        <v>4.4117647058823533</v>
      </c>
      <c r="AF1247" s="10">
        <f t="shared" si="455"/>
        <v>1091200.0000000002</v>
      </c>
      <c r="AG1247" s="10">
        <f t="shared" si="456"/>
        <v>352000.00000000006</v>
      </c>
      <c r="AH1247" s="10">
        <f t="shared" si="457"/>
        <v>176000.00000000003</v>
      </c>
      <c r="AI1247" s="10">
        <f t="shared" si="458"/>
        <v>88000.000000000015</v>
      </c>
      <c r="AJ1247" s="10">
        <f t="shared" si="459"/>
        <v>52800.000000000007</v>
      </c>
    </row>
    <row r="1248" spans="1:36" x14ac:dyDescent="0.3">
      <c r="A1248" t="s">
        <v>4801</v>
      </c>
      <c r="B1248" t="s">
        <v>4802</v>
      </c>
      <c r="C1248" t="s">
        <v>4803</v>
      </c>
      <c r="D1248" t="s">
        <v>50</v>
      </c>
      <c r="E1248">
        <v>77864</v>
      </c>
      <c r="F1248" t="s">
        <v>15</v>
      </c>
      <c r="G1248">
        <v>24</v>
      </c>
      <c r="H1248">
        <v>250</v>
      </c>
      <c r="I1248" t="str" cm="1">
        <f t="array" ref="I1248">_xlfn.IFS(H1248&lt;=120,"V1",H1248&lt;=150,"V2",H1248&lt;=250,"V3", H1248&lt;=350, "V4")</f>
        <v>V3</v>
      </c>
      <c r="J1248" t="s">
        <v>4804</v>
      </c>
      <c r="K1248" t="str">
        <f t="shared" si="437"/>
        <v>30.966229</v>
      </c>
      <c r="L1248" t="str">
        <f t="shared" si="438"/>
        <v>-95.880841</v>
      </c>
      <c r="M1248">
        <v>95</v>
      </c>
      <c r="N1248" s="1">
        <v>44740</v>
      </c>
      <c r="O1248" s="1">
        <v>46099</v>
      </c>
      <c r="P1248" s="2">
        <f t="shared" si="439"/>
        <v>3.7207392197125255</v>
      </c>
      <c r="Q1248" s="2" t="str">
        <f t="shared" si="440"/>
        <v>Mid</v>
      </c>
      <c r="R1248">
        <f t="shared" si="441"/>
        <v>6000</v>
      </c>
      <c r="S1248" t="str">
        <f t="shared" si="442"/>
        <v>Small</v>
      </c>
      <c r="T1248" t="str">
        <f t="shared" si="443"/>
        <v>High EV Adoption Corridor</v>
      </c>
      <c r="U1248" s="3">
        <f t="shared" si="444"/>
        <v>14040000</v>
      </c>
      <c r="V1248" s="4">
        <f t="shared" si="445"/>
        <v>3168000</v>
      </c>
      <c r="W1248" s="3">
        <f t="shared" si="446"/>
        <v>39600000</v>
      </c>
      <c r="X1248" s="3">
        <f t="shared" si="447"/>
        <v>29700000</v>
      </c>
      <c r="Y1248">
        <f t="shared" si="448"/>
        <v>0.24</v>
      </c>
      <c r="Z1248">
        <f t="shared" si="449"/>
        <v>0.77435897435897438</v>
      </c>
      <c r="AA1248" t="str">
        <f t="shared" si="450"/>
        <v>Tier 1 - Priority Fleet</v>
      </c>
      <c r="AB1248" s="3">
        <f t="shared" si="451"/>
        <v>132000</v>
      </c>
      <c r="AC1248" s="3">
        <f t="shared" si="452"/>
        <v>1650000</v>
      </c>
      <c r="AD1248" s="3">
        <f t="shared" si="453"/>
        <v>585000</v>
      </c>
      <c r="AE1248" s="5">
        <f t="shared" si="454"/>
        <v>3.6423841059602649</v>
      </c>
      <c r="AF1248" s="10">
        <f t="shared" si="455"/>
        <v>1964160</v>
      </c>
      <c r="AG1248" s="10">
        <f t="shared" si="456"/>
        <v>633600</v>
      </c>
      <c r="AH1248" s="10">
        <f t="shared" si="457"/>
        <v>316800</v>
      </c>
      <c r="AI1248" s="10">
        <f t="shared" si="458"/>
        <v>158400</v>
      </c>
      <c r="AJ1248" s="10">
        <f t="shared" si="459"/>
        <v>95040</v>
      </c>
    </row>
    <row r="1249" spans="1:36" x14ac:dyDescent="0.3">
      <c r="A1249" t="s">
        <v>4805</v>
      </c>
      <c r="B1249" t="s">
        <v>4806</v>
      </c>
      <c r="C1249" t="s">
        <v>4807</v>
      </c>
      <c r="D1249" t="s">
        <v>913</v>
      </c>
      <c r="E1249">
        <v>20815</v>
      </c>
      <c r="F1249" t="s">
        <v>15</v>
      </c>
      <c r="G1249">
        <v>12</v>
      </c>
      <c r="H1249">
        <v>250</v>
      </c>
      <c r="I1249" t="str" cm="1">
        <f t="array" ref="I1249">_xlfn.IFS(H1249&lt;=120,"V1",H1249&lt;=150,"V2",H1249&lt;=250,"V3", H1249&lt;=350, "V4")</f>
        <v>V3</v>
      </c>
      <c r="J1249" t="s">
        <v>4808</v>
      </c>
      <c r="K1249" t="str">
        <f t="shared" si="437"/>
        <v>38.996112</v>
      </c>
      <c r="L1249" t="str">
        <f t="shared" si="438"/>
        <v>-77.075633</v>
      </c>
      <c r="M1249">
        <v>79</v>
      </c>
      <c r="N1249" s="1">
        <v>44747</v>
      </c>
      <c r="O1249" s="1">
        <v>46099</v>
      </c>
      <c r="P1249" s="2">
        <f t="shared" si="439"/>
        <v>3.7015742642026011</v>
      </c>
      <c r="Q1249" s="2" t="str">
        <f t="shared" si="440"/>
        <v>Mid</v>
      </c>
      <c r="R1249">
        <f t="shared" si="441"/>
        <v>3000</v>
      </c>
      <c r="S1249" t="str">
        <f t="shared" si="442"/>
        <v>Small</v>
      </c>
      <c r="T1249" t="str">
        <f t="shared" si="443"/>
        <v>Lower EV Adoption Corridor</v>
      </c>
      <c r="U1249" s="3">
        <f t="shared" si="444"/>
        <v>5400000</v>
      </c>
      <c r="V1249" s="4">
        <f t="shared" si="445"/>
        <v>1320000</v>
      </c>
      <c r="W1249" s="3">
        <f t="shared" si="446"/>
        <v>18000000</v>
      </c>
      <c r="X1249" s="3">
        <f t="shared" si="447"/>
        <v>9900000</v>
      </c>
      <c r="Y1249">
        <f t="shared" si="448"/>
        <v>0.31515151515151513</v>
      </c>
      <c r="Z1249">
        <f t="shared" si="449"/>
        <v>0.75555555555555554</v>
      </c>
      <c r="AA1249" t="str">
        <f t="shared" si="450"/>
        <v>Tier 2 - Growth Markets</v>
      </c>
      <c r="AB1249" s="3">
        <f t="shared" si="451"/>
        <v>110000</v>
      </c>
      <c r="AC1249" s="3">
        <f t="shared" si="452"/>
        <v>1500000</v>
      </c>
      <c r="AD1249" s="3">
        <f t="shared" si="453"/>
        <v>450000</v>
      </c>
      <c r="AE1249" s="5">
        <f t="shared" si="454"/>
        <v>4.4117647058823533</v>
      </c>
      <c r="AF1249" s="10">
        <f t="shared" si="455"/>
        <v>818400</v>
      </c>
      <c r="AG1249" s="10">
        <f t="shared" si="456"/>
        <v>264000</v>
      </c>
      <c r="AH1249" s="10">
        <f t="shared" si="457"/>
        <v>132000</v>
      </c>
      <c r="AI1249" s="10">
        <f t="shared" si="458"/>
        <v>66000</v>
      </c>
      <c r="AJ1249" s="10">
        <f t="shared" si="459"/>
        <v>39600</v>
      </c>
    </row>
    <row r="1250" spans="1:36" x14ac:dyDescent="0.3">
      <c r="A1250" t="s">
        <v>4809</v>
      </c>
      <c r="B1250" t="s">
        <v>4810</v>
      </c>
      <c r="C1250" t="s">
        <v>4811</v>
      </c>
      <c r="D1250" t="s">
        <v>148</v>
      </c>
      <c r="E1250">
        <v>67144</v>
      </c>
      <c r="F1250" t="s">
        <v>15</v>
      </c>
      <c r="G1250">
        <v>8</v>
      </c>
      <c r="H1250">
        <v>250</v>
      </c>
      <c r="I1250" t="str" cm="1">
        <f t="array" ref="I1250">_xlfn.IFS(H1250&lt;=120,"V1",H1250&lt;=150,"V2",H1250&lt;=250,"V3", H1250&lt;=350, "V4")</f>
        <v>V3</v>
      </c>
      <c r="J1250" t="s">
        <v>4812</v>
      </c>
      <c r="K1250" t="str">
        <f t="shared" si="437"/>
        <v>37.765506</v>
      </c>
      <c r="L1250" t="str">
        <f t="shared" si="438"/>
        <v>-96.982618</v>
      </c>
      <c r="M1250">
        <v>412</v>
      </c>
      <c r="N1250" s="1">
        <v>44806</v>
      </c>
      <c r="O1250" s="1">
        <v>46099</v>
      </c>
      <c r="P1250" s="2">
        <f t="shared" si="439"/>
        <v>3.5400410677618068</v>
      </c>
      <c r="Q1250" s="2" t="str">
        <f t="shared" si="440"/>
        <v>Mid</v>
      </c>
      <c r="R1250">
        <f t="shared" si="441"/>
        <v>2000</v>
      </c>
      <c r="S1250" t="str">
        <f t="shared" si="442"/>
        <v>Small</v>
      </c>
      <c r="T1250" t="str">
        <f t="shared" si="443"/>
        <v>Lower EV Adoption Corridor</v>
      </c>
      <c r="U1250" s="3">
        <f t="shared" si="444"/>
        <v>3600000</v>
      </c>
      <c r="V1250" s="4">
        <f t="shared" si="445"/>
        <v>880000.00000000012</v>
      </c>
      <c r="W1250" s="3">
        <f t="shared" si="446"/>
        <v>12000000</v>
      </c>
      <c r="X1250" s="3">
        <f t="shared" si="447"/>
        <v>6600000.0000000009</v>
      </c>
      <c r="Y1250">
        <f t="shared" si="448"/>
        <v>0.31515151515151513</v>
      </c>
      <c r="Z1250">
        <f t="shared" si="449"/>
        <v>0.75555555555555554</v>
      </c>
      <c r="AA1250" t="str">
        <f t="shared" si="450"/>
        <v>Tier 2 - Growth Markets</v>
      </c>
      <c r="AB1250" s="3">
        <f t="shared" si="451"/>
        <v>110000.00000000001</v>
      </c>
      <c r="AC1250" s="3">
        <f t="shared" si="452"/>
        <v>1500000</v>
      </c>
      <c r="AD1250" s="3">
        <f t="shared" si="453"/>
        <v>450000</v>
      </c>
      <c r="AE1250" s="5">
        <f t="shared" si="454"/>
        <v>4.4117647058823533</v>
      </c>
      <c r="AF1250" s="10">
        <f t="shared" si="455"/>
        <v>545600.00000000012</v>
      </c>
      <c r="AG1250" s="10">
        <f t="shared" si="456"/>
        <v>176000.00000000003</v>
      </c>
      <c r="AH1250" s="10">
        <f t="shared" si="457"/>
        <v>88000.000000000015</v>
      </c>
      <c r="AI1250" s="10">
        <f t="shared" si="458"/>
        <v>44000.000000000007</v>
      </c>
      <c r="AJ1250" s="10">
        <f t="shared" si="459"/>
        <v>26400.000000000004</v>
      </c>
    </row>
    <row r="1251" spans="1:36" x14ac:dyDescent="0.3">
      <c r="A1251" t="s">
        <v>4813</v>
      </c>
      <c r="B1251" t="s">
        <v>4814</v>
      </c>
      <c r="C1251" t="s">
        <v>4815</v>
      </c>
      <c r="D1251" t="s">
        <v>111</v>
      </c>
      <c r="E1251">
        <v>55056</v>
      </c>
      <c r="F1251" t="s">
        <v>15</v>
      </c>
      <c r="G1251">
        <v>8</v>
      </c>
      <c r="H1251">
        <v>250</v>
      </c>
      <c r="I1251" t="str" cm="1">
        <f t="array" ref="I1251">_xlfn.IFS(H1251&lt;=120,"V1",H1251&lt;=150,"V2",H1251&lt;=250,"V3", H1251&lt;=350, "V4")</f>
        <v>V3</v>
      </c>
      <c r="J1251" t="s">
        <v>4816</v>
      </c>
      <c r="K1251" t="str">
        <f t="shared" si="437"/>
        <v>45.510887</v>
      </c>
      <c r="L1251" t="str">
        <f t="shared" si="438"/>
        <v>-92.990596</v>
      </c>
      <c r="M1251">
        <v>272</v>
      </c>
      <c r="N1251" s="1">
        <v>44839</v>
      </c>
      <c r="O1251" s="1">
        <v>46099</v>
      </c>
      <c r="P1251" s="2">
        <f t="shared" si="439"/>
        <v>3.4496919917864477</v>
      </c>
      <c r="Q1251" s="2" t="str">
        <f t="shared" si="440"/>
        <v>Mid</v>
      </c>
      <c r="R1251">
        <f t="shared" si="441"/>
        <v>2000</v>
      </c>
      <c r="S1251" t="str">
        <f t="shared" si="442"/>
        <v>Small</v>
      </c>
      <c r="T1251" t="str">
        <f t="shared" si="443"/>
        <v>Lower EV Adoption Corridor</v>
      </c>
      <c r="U1251" s="3">
        <f t="shared" si="444"/>
        <v>3600000</v>
      </c>
      <c r="V1251" s="4">
        <f t="shared" si="445"/>
        <v>880000.00000000012</v>
      </c>
      <c r="W1251" s="3">
        <f t="shared" si="446"/>
        <v>12000000</v>
      </c>
      <c r="X1251" s="3">
        <f t="shared" si="447"/>
        <v>6600000.0000000009</v>
      </c>
      <c r="Y1251">
        <f t="shared" si="448"/>
        <v>0.31515151515151513</v>
      </c>
      <c r="Z1251">
        <f t="shared" si="449"/>
        <v>0.75555555555555554</v>
      </c>
      <c r="AA1251" t="str">
        <f t="shared" si="450"/>
        <v>Tier 2 - Growth Markets</v>
      </c>
      <c r="AB1251" s="3">
        <f t="shared" si="451"/>
        <v>110000.00000000001</v>
      </c>
      <c r="AC1251" s="3">
        <f t="shared" si="452"/>
        <v>1500000</v>
      </c>
      <c r="AD1251" s="3">
        <f t="shared" si="453"/>
        <v>450000</v>
      </c>
      <c r="AE1251" s="5">
        <f t="shared" si="454"/>
        <v>4.4117647058823533</v>
      </c>
      <c r="AF1251" s="10">
        <f t="shared" si="455"/>
        <v>545600.00000000012</v>
      </c>
      <c r="AG1251" s="10">
        <f t="shared" si="456"/>
        <v>176000.00000000003</v>
      </c>
      <c r="AH1251" s="10">
        <f t="shared" si="457"/>
        <v>88000.000000000015</v>
      </c>
      <c r="AI1251" s="10">
        <f t="shared" si="458"/>
        <v>44000.000000000007</v>
      </c>
      <c r="AJ1251" s="10">
        <f t="shared" si="459"/>
        <v>26400.000000000004</v>
      </c>
    </row>
    <row r="1252" spans="1:36" x14ac:dyDescent="0.3">
      <c r="A1252" t="s">
        <v>4817</v>
      </c>
      <c r="B1252" t="s">
        <v>4818</v>
      </c>
      <c r="C1252" t="s">
        <v>4819</v>
      </c>
      <c r="D1252" t="s">
        <v>225</v>
      </c>
      <c r="E1252">
        <v>84115</v>
      </c>
      <c r="F1252" t="s">
        <v>15</v>
      </c>
      <c r="G1252">
        <v>10</v>
      </c>
      <c r="H1252">
        <v>150</v>
      </c>
      <c r="I1252" t="str" cm="1">
        <f t="array" ref="I1252">_xlfn.IFS(H1252&lt;=120,"V1",H1252&lt;=150,"V2",H1252&lt;=250,"V3", H1252&lt;=350, "V4")</f>
        <v>V2</v>
      </c>
      <c r="J1252" t="s">
        <v>4820</v>
      </c>
      <c r="K1252" t="str">
        <f t="shared" si="437"/>
        <v>40.720353</v>
      </c>
      <c r="L1252" t="str">
        <f t="shared" si="438"/>
        <v>-111.888706</v>
      </c>
      <c r="M1252">
        <v>1297</v>
      </c>
      <c r="N1252" s="1">
        <v>42069</v>
      </c>
      <c r="O1252" s="1">
        <v>46099</v>
      </c>
      <c r="P1252" s="2">
        <f t="shared" si="439"/>
        <v>11.033538672142368</v>
      </c>
      <c r="Q1252" s="2" t="str">
        <f t="shared" si="440"/>
        <v>Old</v>
      </c>
      <c r="R1252">
        <f t="shared" si="441"/>
        <v>1500</v>
      </c>
      <c r="S1252" t="str">
        <f t="shared" si="442"/>
        <v>Small</v>
      </c>
      <c r="T1252" t="str">
        <f t="shared" si="443"/>
        <v>Lower EV Adoption Corridor</v>
      </c>
      <c r="U1252" s="3">
        <f t="shared" si="444"/>
        <v>2475000</v>
      </c>
      <c r="V1252" s="4">
        <f t="shared" si="445"/>
        <v>600000</v>
      </c>
      <c r="W1252" s="3">
        <f t="shared" si="446"/>
        <v>7500000</v>
      </c>
      <c r="X1252" s="3">
        <f t="shared" si="447"/>
        <v>4500000</v>
      </c>
      <c r="Y1252">
        <f t="shared" si="448"/>
        <v>0.3</v>
      </c>
      <c r="Z1252">
        <f t="shared" si="449"/>
        <v>0.75757575757575757</v>
      </c>
      <c r="AA1252" t="str">
        <f t="shared" si="450"/>
        <v>Tier 4 - Stable Network</v>
      </c>
      <c r="AB1252" s="3">
        <f t="shared" si="451"/>
        <v>60000</v>
      </c>
      <c r="AC1252" s="3">
        <f t="shared" si="452"/>
        <v>750000</v>
      </c>
      <c r="AD1252" s="3">
        <f t="shared" si="453"/>
        <v>247500</v>
      </c>
      <c r="AE1252" s="5">
        <f t="shared" si="454"/>
        <v>4</v>
      </c>
      <c r="AF1252" s="10">
        <f t="shared" si="455"/>
        <v>372000</v>
      </c>
      <c r="AG1252" s="10">
        <f t="shared" si="456"/>
        <v>120000</v>
      </c>
      <c r="AH1252" s="10">
        <f t="shared" si="457"/>
        <v>60000</v>
      </c>
      <c r="AI1252" s="10">
        <f t="shared" si="458"/>
        <v>30000</v>
      </c>
      <c r="AJ1252" s="10">
        <f t="shared" si="459"/>
        <v>18000</v>
      </c>
    </row>
    <row r="1253" spans="1:36" x14ac:dyDescent="0.3">
      <c r="A1253" t="s">
        <v>4821</v>
      </c>
      <c r="B1253" t="s">
        <v>4822</v>
      </c>
      <c r="C1253" t="s">
        <v>4823</v>
      </c>
      <c r="D1253" t="s">
        <v>77</v>
      </c>
      <c r="E1253">
        <v>27504</v>
      </c>
      <c r="F1253" t="s">
        <v>15</v>
      </c>
      <c r="G1253">
        <v>8</v>
      </c>
      <c r="H1253">
        <v>250</v>
      </c>
      <c r="I1253" t="str" cm="1">
        <f t="array" ref="I1253">_xlfn.IFS(H1253&lt;=120,"V1",H1253&lt;=150,"V2",H1253&lt;=250,"V3", H1253&lt;=350, "V4")</f>
        <v>V3</v>
      </c>
      <c r="J1253" t="s">
        <v>4824</v>
      </c>
      <c r="K1253" t="str">
        <f t="shared" si="437"/>
        <v>35.374508</v>
      </c>
      <c r="L1253" t="str">
        <f t="shared" si="438"/>
        <v>-78.541871</v>
      </c>
      <c r="M1253">
        <v>73</v>
      </c>
      <c r="N1253" s="1">
        <v>44688</v>
      </c>
      <c r="O1253" s="1">
        <v>46099</v>
      </c>
      <c r="P1253" s="2">
        <f t="shared" si="439"/>
        <v>3.8631074606433948</v>
      </c>
      <c r="Q1253" s="2" t="str">
        <f t="shared" si="440"/>
        <v>Mid</v>
      </c>
      <c r="R1253">
        <f t="shared" si="441"/>
        <v>2000</v>
      </c>
      <c r="S1253" t="str">
        <f t="shared" si="442"/>
        <v>Small</v>
      </c>
      <c r="T1253" t="str">
        <f t="shared" si="443"/>
        <v>Lower EV Adoption Corridor</v>
      </c>
      <c r="U1253" s="3">
        <f t="shared" si="444"/>
        <v>3600000</v>
      </c>
      <c r="V1253" s="4">
        <f t="shared" si="445"/>
        <v>880000.00000000012</v>
      </c>
      <c r="W1253" s="3">
        <f t="shared" si="446"/>
        <v>12000000</v>
      </c>
      <c r="X1253" s="3">
        <f t="shared" si="447"/>
        <v>6600000.0000000009</v>
      </c>
      <c r="Y1253">
        <f t="shared" si="448"/>
        <v>0.31515151515151513</v>
      </c>
      <c r="Z1253">
        <f t="shared" si="449"/>
        <v>0.75555555555555554</v>
      </c>
      <c r="AA1253" t="str">
        <f t="shared" si="450"/>
        <v>Tier 2 - Growth Markets</v>
      </c>
      <c r="AB1253" s="3">
        <f t="shared" si="451"/>
        <v>110000.00000000001</v>
      </c>
      <c r="AC1253" s="3">
        <f t="shared" si="452"/>
        <v>1500000</v>
      </c>
      <c r="AD1253" s="3">
        <f t="shared" si="453"/>
        <v>450000</v>
      </c>
      <c r="AE1253" s="5">
        <f t="shared" si="454"/>
        <v>4.4117647058823533</v>
      </c>
      <c r="AF1253" s="10">
        <f t="shared" si="455"/>
        <v>545600.00000000012</v>
      </c>
      <c r="AG1253" s="10">
        <f t="shared" si="456"/>
        <v>176000.00000000003</v>
      </c>
      <c r="AH1253" s="10">
        <f t="shared" si="457"/>
        <v>88000.000000000015</v>
      </c>
      <c r="AI1253" s="10">
        <f t="shared" si="458"/>
        <v>44000.000000000007</v>
      </c>
      <c r="AJ1253" s="10">
        <f t="shared" si="459"/>
        <v>26400.000000000004</v>
      </c>
    </row>
    <row r="1254" spans="1:36" x14ac:dyDescent="0.3">
      <c r="A1254" t="s">
        <v>4825</v>
      </c>
      <c r="B1254" t="s">
        <v>4826</v>
      </c>
      <c r="C1254" t="s">
        <v>1432</v>
      </c>
      <c r="D1254" t="s">
        <v>225</v>
      </c>
      <c r="E1254">
        <v>84101</v>
      </c>
      <c r="F1254" t="s">
        <v>15</v>
      </c>
      <c r="G1254">
        <v>4</v>
      </c>
      <c r="H1254">
        <v>72</v>
      </c>
      <c r="I1254" t="str" cm="1">
        <f t="array" ref="I1254">_xlfn.IFS(H1254&lt;=120,"V1",H1254&lt;=150,"V2",H1254&lt;=250,"V3", H1254&lt;=350, "V4")</f>
        <v>V1</v>
      </c>
      <c r="J1254" t="s">
        <v>4827</v>
      </c>
      <c r="K1254" t="str">
        <f t="shared" si="437"/>
        <v>40.746393</v>
      </c>
      <c r="L1254" t="str">
        <f t="shared" si="438"/>
        <v>-111.900534</v>
      </c>
      <c r="M1254">
        <v>1290</v>
      </c>
      <c r="N1254" s="1">
        <v>44160</v>
      </c>
      <c r="O1254" s="1">
        <v>46099</v>
      </c>
      <c r="P1254" s="2">
        <f t="shared" si="439"/>
        <v>5.3086926762491444</v>
      </c>
      <c r="Q1254" s="2" t="str">
        <f t="shared" si="440"/>
        <v>Mid</v>
      </c>
      <c r="R1254">
        <f t="shared" si="441"/>
        <v>288</v>
      </c>
      <c r="S1254" t="str">
        <f t="shared" si="442"/>
        <v>Small</v>
      </c>
      <c r="T1254" t="str">
        <f t="shared" si="443"/>
        <v>Lower EV Adoption Corridor</v>
      </c>
      <c r="U1254" s="3">
        <f t="shared" si="444"/>
        <v>432000</v>
      </c>
      <c r="V1254" s="4">
        <f t="shared" si="445"/>
        <v>103680</v>
      </c>
      <c r="W1254" s="3">
        <f t="shared" si="446"/>
        <v>1152000</v>
      </c>
      <c r="X1254" s="3">
        <f t="shared" si="447"/>
        <v>777600</v>
      </c>
      <c r="Y1254">
        <f t="shared" si="448"/>
        <v>0.2814814814814815</v>
      </c>
      <c r="Z1254">
        <f t="shared" si="449"/>
        <v>0.76</v>
      </c>
      <c r="AA1254" t="str">
        <f t="shared" si="450"/>
        <v>Tier 5 - Retirement Pipeline</v>
      </c>
      <c r="AB1254" s="3">
        <f t="shared" si="451"/>
        <v>25920</v>
      </c>
      <c r="AC1254" s="3">
        <f t="shared" si="452"/>
        <v>288000</v>
      </c>
      <c r="AD1254" s="3">
        <f t="shared" si="453"/>
        <v>108000</v>
      </c>
      <c r="AE1254" s="5">
        <f t="shared" si="454"/>
        <v>3.5087719298245612</v>
      </c>
      <c r="AF1254" s="10">
        <f t="shared" si="455"/>
        <v>64281.599999999999</v>
      </c>
      <c r="AG1254" s="10">
        <f t="shared" si="456"/>
        <v>20736</v>
      </c>
      <c r="AH1254" s="10">
        <f t="shared" si="457"/>
        <v>10368</v>
      </c>
      <c r="AI1254" s="10">
        <f t="shared" si="458"/>
        <v>5184</v>
      </c>
      <c r="AJ1254" s="10">
        <f t="shared" si="459"/>
        <v>3110.4</v>
      </c>
    </row>
    <row r="1255" spans="1:36" x14ac:dyDescent="0.3">
      <c r="A1255" t="s">
        <v>4828</v>
      </c>
      <c r="B1255" t="s">
        <v>4829</v>
      </c>
      <c r="C1255" t="s">
        <v>4830</v>
      </c>
      <c r="D1255" t="s">
        <v>158</v>
      </c>
      <c r="E1255">
        <v>11791</v>
      </c>
      <c r="F1255" t="s">
        <v>15</v>
      </c>
      <c r="G1255">
        <v>8</v>
      </c>
      <c r="H1255">
        <v>250</v>
      </c>
      <c r="I1255" t="str" cm="1">
        <f t="array" ref="I1255">_xlfn.IFS(H1255&lt;=120,"V1",H1255&lt;=150,"V2",H1255&lt;=250,"V3", H1255&lt;=350, "V4")</f>
        <v>V3</v>
      </c>
      <c r="J1255" t="s">
        <v>4831</v>
      </c>
      <c r="K1255" t="str">
        <f t="shared" si="437"/>
        <v>40.8109</v>
      </c>
      <c r="L1255" t="str">
        <f t="shared" si="438"/>
        <v>-73.5054</v>
      </c>
      <c r="M1255">
        <v>65</v>
      </c>
      <c r="N1255" s="1">
        <v>44815</v>
      </c>
      <c r="O1255" s="1">
        <v>46099</v>
      </c>
      <c r="P1255" s="2">
        <f t="shared" si="439"/>
        <v>3.5154004106776182</v>
      </c>
      <c r="Q1255" s="2" t="str">
        <f t="shared" si="440"/>
        <v>Mid</v>
      </c>
      <c r="R1255">
        <f t="shared" si="441"/>
        <v>2000</v>
      </c>
      <c r="S1255" t="str">
        <f t="shared" si="442"/>
        <v>Small</v>
      </c>
      <c r="T1255" t="str">
        <f t="shared" si="443"/>
        <v>Lower EV Adoption Corridor</v>
      </c>
      <c r="U1255" s="3">
        <f t="shared" si="444"/>
        <v>3600000</v>
      </c>
      <c r="V1255" s="4">
        <f t="shared" si="445"/>
        <v>880000.00000000012</v>
      </c>
      <c r="W1255" s="3">
        <f t="shared" si="446"/>
        <v>12000000</v>
      </c>
      <c r="X1255" s="3">
        <f t="shared" si="447"/>
        <v>6600000.0000000009</v>
      </c>
      <c r="Y1255">
        <f t="shared" si="448"/>
        <v>0.31515151515151513</v>
      </c>
      <c r="Z1255">
        <f t="shared" si="449"/>
        <v>0.75555555555555554</v>
      </c>
      <c r="AA1255" t="str">
        <f t="shared" si="450"/>
        <v>Tier 2 - Growth Markets</v>
      </c>
      <c r="AB1255" s="3">
        <f t="shared" si="451"/>
        <v>110000.00000000001</v>
      </c>
      <c r="AC1255" s="3">
        <f t="shared" si="452"/>
        <v>1500000</v>
      </c>
      <c r="AD1255" s="3">
        <f t="shared" si="453"/>
        <v>450000</v>
      </c>
      <c r="AE1255" s="5">
        <f t="shared" si="454"/>
        <v>4.4117647058823533</v>
      </c>
      <c r="AF1255" s="10">
        <f t="shared" si="455"/>
        <v>545600.00000000012</v>
      </c>
      <c r="AG1255" s="10">
        <f t="shared" si="456"/>
        <v>176000.00000000003</v>
      </c>
      <c r="AH1255" s="10">
        <f t="shared" si="457"/>
        <v>88000.000000000015</v>
      </c>
      <c r="AI1255" s="10">
        <f t="shared" si="458"/>
        <v>44000.000000000007</v>
      </c>
      <c r="AJ1255" s="10">
        <f t="shared" si="459"/>
        <v>26400.000000000004</v>
      </c>
    </row>
    <row r="1256" spans="1:36" x14ac:dyDescent="0.3">
      <c r="A1256" t="s">
        <v>4832</v>
      </c>
      <c r="B1256" t="s">
        <v>4833</v>
      </c>
      <c r="C1256" t="s">
        <v>1627</v>
      </c>
      <c r="D1256" t="s">
        <v>14</v>
      </c>
      <c r="E1256">
        <v>92106</v>
      </c>
      <c r="F1256" t="s">
        <v>15</v>
      </c>
      <c r="G1256">
        <v>12</v>
      </c>
      <c r="H1256">
        <v>250</v>
      </c>
      <c r="I1256" t="str" cm="1">
        <f t="array" ref="I1256">_xlfn.IFS(H1256&lt;=120,"V1",H1256&lt;=150,"V2",H1256&lt;=250,"V3", H1256&lt;=350, "V4")</f>
        <v>V3</v>
      </c>
      <c r="J1256" t="s">
        <v>4834</v>
      </c>
      <c r="K1256" t="str">
        <f t="shared" si="437"/>
        <v>32.737743</v>
      </c>
      <c r="L1256" t="str">
        <f t="shared" si="438"/>
        <v>-117.217061</v>
      </c>
      <c r="M1256">
        <v>6</v>
      </c>
      <c r="N1256" s="1">
        <v>44687</v>
      </c>
      <c r="O1256" s="1">
        <v>46099</v>
      </c>
      <c r="P1256" s="2">
        <f t="shared" si="439"/>
        <v>3.8658453114305269</v>
      </c>
      <c r="Q1256" s="2" t="str">
        <f t="shared" si="440"/>
        <v>Mid</v>
      </c>
      <c r="R1256">
        <f t="shared" si="441"/>
        <v>3000</v>
      </c>
      <c r="S1256" t="str">
        <f t="shared" si="442"/>
        <v>Small</v>
      </c>
      <c r="T1256" t="str">
        <f t="shared" si="443"/>
        <v>High EV Adoption Corridor</v>
      </c>
      <c r="U1256" s="3">
        <f t="shared" si="444"/>
        <v>7020000</v>
      </c>
      <c r="V1256" s="4">
        <f t="shared" si="445"/>
        <v>1584000</v>
      </c>
      <c r="W1256" s="3">
        <f t="shared" si="446"/>
        <v>19800000</v>
      </c>
      <c r="X1256" s="3">
        <f t="shared" si="447"/>
        <v>14850000</v>
      </c>
      <c r="Y1256">
        <f t="shared" si="448"/>
        <v>0.24</v>
      </c>
      <c r="Z1256">
        <f t="shared" si="449"/>
        <v>0.77435897435897438</v>
      </c>
      <c r="AA1256" t="str">
        <f t="shared" si="450"/>
        <v>Tier 1 - Priority Fleet</v>
      </c>
      <c r="AB1256" s="3">
        <f t="shared" si="451"/>
        <v>132000</v>
      </c>
      <c r="AC1256" s="3">
        <f t="shared" si="452"/>
        <v>1650000</v>
      </c>
      <c r="AD1256" s="3">
        <f t="shared" si="453"/>
        <v>585000</v>
      </c>
      <c r="AE1256" s="5">
        <f t="shared" si="454"/>
        <v>3.6423841059602649</v>
      </c>
      <c r="AF1256" s="10">
        <f t="shared" si="455"/>
        <v>982080</v>
      </c>
      <c r="AG1256" s="10">
        <f t="shared" si="456"/>
        <v>316800</v>
      </c>
      <c r="AH1256" s="10">
        <f t="shared" si="457"/>
        <v>158400</v>
      </c>
      <c r="AI1256" s="10">
        <f t="shared" si="458"/>
        <v>79200</v>
      </c>
      <c r="AJ1256" s="10">
        <f t="shared" si="459"/>
        <v>47520</v>
      </c>
    </row>
    <row r="1257" spans="1:36" x14ac:dyDescent="0.3">
      <c r="A1257" t="s">
        <v>4835</v>
      </c>
      <c r="B1257" t="s">
        <v>4836</v>
      </c>
      <c r="C1257" t="s">
        <v>709</v>
      </c>
      <c r="D1257" t="s">
        <v>50</v>
      </c>
      <c r="E1257">
        <v>79118</v>
      </c>
      <c r="F1257" t="s">
        <v>15</v>
      </c>
      <c r="G1257">
        <v>12</v>
      </c>
      <c r="H1257">
        <v>250</v>
      </c>
      <c r="I1257" t="str" cm="1">
        <f t="array" ref="I1257">_xlfn.IFS(H1257&lt;=120,"V1",H1257&lt;=150,"V2",H1257&lt;=250,"V3", H1257&lt;=350, "V4")</f>
        <v>V3</v>
      </c>
      <c r="J1257" t="s">
        <v>4837</v>
      </c>
      <c r="K1257" t="str">
        <f t="shared" si="437"/>
        <v>35.194253</v>
      </c>
      <c r="L1257" t="str">
        <f t="shared" si="438"/>
        <v>-101.743828</v>
      </c>
      <c r="M1257">
        <v>1090</v>
      </c>
      <c r="N1257" s="1">
        <v>44736</v>
      </c>
      <c r="O1257" s="1">
        <v>46099</v>
      </c>
      <c r="P1257" s="2">
        <f t="shared" si="439"/>
        <v>3.7316906228610542</v>
      </c>
      <c r="Q1257" s="2" t="str">
        <f t="shared" si="440"/>
        <v>Mid</v>
      </c>
      <c r="R1257">
        <f t="shared" si="441"/>
        <v>3000</v>
      </c>
      <c r="S1257" t="str">
        <f t="shared" si="442"/>
        <v>Small</v>
      </c>
      <c r="T1257" t="str">
        <f t="shared" si="443"/>
        <v>High EV Adoption Corridor</v>
      </c>
      <c r="U1257" s="3">
        <f t="shared" si="444"/>
        <v>7020000</v>
      </c>
      <c r="V1257" s="4">
        <f t="shared" si="445"/>
        <v>1584000</v>
      </c>
      <c r="W1257" s="3">
        <f t="shared" si="446"/>
        <v>19800000</v>
      </c>
      <c r="X1257" s="3">
        <f t="shared" si="447"/>
        <v>14850000</v>
      </c>
      <c r="Y1257">
        <f t="shared" si="448"/>
        <v>0.24</v>
      </c>
      <c r="Z1257">
        <f t="shared" si="449"/>
        <v>0.77435897435897438</v>
      </c>
      <c r="AA1257" t="str">
        <f t="shared" si="450"/>
        <v>Tier 1 - Priority Fleet</v>
      </c>
      <c r="AB1257" s="3">
        <f t="shared" si="451"/>
        <v>132000</v>
      </c>
      <c r="AC1257" s="3">
        <f t="shared" si="452"/>
        <v>1650000</v>
      </c>
      <c r="AD1257" s="3">
        <f t="shared" si="453"/>
        <v>585000</v>
      </c>
      <c r="AE1257" s="5">
        <f t="shared" si="454"/>
        <v>3.6423841059602649</v>
      </c>
      <c r="AF1257" s="10">
        <f t="shared" si="455"/>
        <v>982080</v>
      </c>
      <c r="AG1257" s="10">
        <f t="shared" si="456"/>
        <v>316800</v>
      </c>
      <c r="AH1257" s="10">
        <f t="shared" si="457"/>
        <v>158400</v>
      </c>
      <c r="AI1257" s="10">
        <f t="shared" si="458"/>
        <v>79200</v>
      </c>
      <c r="AJ1257" s="10">
        <f t="shared" si="459"/>
        <v>47520</v>
      </c>
    </row>
    <row r="1258" spans="1:36" x14ac:dyDescent="0.3">
      <c r="A1258" t="s">
        <v>4838</v>
      </c>
      <c r="B1258" t="s">
        <v>4839</v>
      </c>
      <c r="C1258" t="s">
        <v>4081</v>
      </c>
      <c r="D1258" t="s">
        <v>316</v>
      </c>
      <c r="E1258">
        <v>97446</v>
      </c>
      <c r="F1258" t="s">
        <v>15</v>
      </c>
      <c r="G1258">
        <v>8</v>
      </c>
      <c r="H1258">
        <v>250</v>
      </c>
      <c r="I1258" t="str" cm="1">
        <f t="array" ref="I1258">_xlfn.IFS(H1258&lt;=120,"V1",H1258&lt;=150,"V2",H1258&lt;=250,"V3", H1258&lt;=350, "V4")</f>
        <v>V3</v>
      </c>
      <c r="J1258" t="s">
        <v>4840</v>
      </c>
      <c r="K1258" t="str">
        <f t="shared" si="437"/>
        <v>44.27972</v>
      </c>
      <c r="L1258" t="str">
        <f t="shared" si="438"/>
        <v>-123.063083</v>
      </c>
      <c r="M1258">
        <v>99</v>
      </c>
      <c r="N1258" s="1">
        <v>44708</v>
      </c>
      <c r="O1258" s="1">
        <v>46099</v>
      </c>
      <c r="P1258" s="2">
        <f t="shared" si="439"/>
        <v>3.808350444900753</v>
      </c>
      <c r="Q1258" s="2" t="str">
        <f t="shared" si="440"/>
        <v>Mid</v>
      </c>
      <c r="R1258">
        <f t="shared" si="441"/>
        <v>2000</v>
      </c>
      <c r="S1258" t="str">
        <f t="shared" si="442"/>
        <v>Small</v>
      </c>
      <c r="T1258" t="str">
        <f t="shared" si="443"/>
        <v>Lower EV Adoption Corridor</v>
      </c>
      <c r="U1258" s="3">
        <f t="shared" si="444"/>
        <v>3600000</v>
      </c>
      <c r="V1258" s="4">
        <f t="shared" si="445"/>
        <v>880000.00000000012</v>
      </c>
      <c r="W1258" s="3">
        <f t="shared" si="446"/>
        <v>12000000</v>
      </c>
      <c r="X1258" s="3">
        <f t="shared" si="447"/>
        <v>6600000.0000000009</v>
      </c>
      <c r="Y1258">
        <f t="shared" si="448"/>
        <v>0.31515151515151513</v>
      </c>
      <c r="Z1258">
        <f t="shared" si="449"/>
        <v>0.75555555555555554</v>
      </c>
      <c r="AA1258" t="str">
        <f t="shared" si="450"/>
        <v>Tier 2 - Growth Markets</v>
      </c>
      <c r="AB1258" s="3">
        <f t="shared" si="451"/>
        <v>110000.00000000001</v>
      </c>
      <c r="AC1258" s="3">
        <f t="shared" si="452"/>
        <v>1500000</v>
      </c>
      <c r="AD1258" s="3">
        <f t="shared" si="453"/>
        <v>450000</v>
      </c>
      <c r="AE1258" s="5">
        <f t="shared" si="454"/>
        <v>4.4117647058823533</v>
      </c>
      <c r="AF1258" s="10">
        <f t="shared" si="455"/>
        <v>545600.00000000012</v>
      </c>
      <c r="AG1258" s="10">
        <f t="shared" si="456"/>
        <v>176000.00000000003</v>
      </c>
      <c r="AH1258" s="10">
        <f t="shared" si="457"/>
        <v>88000.000000000015</v>
      </c>
      <c r="AI1258" s="10">
        <f t="shared" si="458"/>
        <v>44000.000000000007</v>
      </c>
      <c r="AJ1258" s="10">
        <f t="shared" si="459"/>
        <v>26400.000000000004</v>
      </c>
    </row>
    <row r="1259" spans="1:36" x14ac:dyDescent="0.3">
      <c r="A1259" t="s">
        <v>4841</v>
      </c>
      <c r="B1259" t="s">
        <v>4842</v>
      </c>
      <c r="C1259" t="s">
        <v>4843</v>
      </c>
      <c r="D1259" t="s">
        <v>484</v>
      </c>
      <c r="E1259">
        <v>36567</v>
      </c>
      <c r="F1259" t="s">
        <v>15</v>
      </c>
      <c r="G1259">
        <v>16</v>
      </c>
      <c r="H1259">
        <v>250</v>
      </c>
      <c r="I1259" t="str" cm="1">
        <f t="array" ref="I1259">_xlfn.IFS(H1259&lt;=120,"V1",H1259&lt;=150,"V2",H1259&lt;=250,"V3", H1259&lt;=350, "V4")</f>
        <v>V3</v>
      </c>
      <c r="J1259" t="s">
        <v>4844</v>
      </c>
      <c r="K1259" t="str">
        <f t="shared" si="437"/>
        <v>30.633696</v>
      </c>
      <c r="L1259" t="str">
        <f t="shared" si="438"/>
        <v>-87.677561</v>
      </c>
      <c r="M1259">
        <v>53</v>
      </c>
      <c r="N1259" s="1">
        <v>44674</v>
      </c>
      <c r="O1259" s="1">
        <v>46099</v>
      </c>
      <c r="P1259" s="2">
        <f t="shared" si="439"/>
        <v>3.9014373716632442</v>
      </c>
      <c r="Q1259" s="2" t="str">
        <f t="shared" si="440"/>
        <v>Mid</v>
      </c>
      <c r="R1259">
        <f t="shared" si="441"/>
        <v>4000</v>
      </c>
      <c r="S1259" t="str">
        <f t="shared" si="442"/>
        <v>Small</v>
      </c>
      <c r="T1259" t="str">
        <f t="shared" si="443"/>
        <v>Lower EV Adoption Corridor</v>
      </c>
      <c r="U1259" s="3">
        <f t="shared" si="444"/>
        <v>7200000</v>
      </c>
      <c r="V1259" s="4">
        <f t="shared" si="445"/>
        <v>1760000.0000000002</v>
      </c>
      <c r="W1259" s="3">
        <f t="shared" si="446"/>
        <v>24000000</v>
      </c>
      <c r="X1259" s="3">
        <f t="shared" si="447"/>
        <v>13200000.000000002</v>
      </c>
      <c r="Y1259">
        <f t="shared" si="448"/>
        <v>0.31515151515151513</v>
      </c>
      <c r="Z1259">
        <f t="shared" si="449"/>
        <v>0.75555555555555554</v>
      </c>
      <c r="AA1259" t="str">
        <f t="shared" si="450"/>
        <v>Tier 2 - Growth Markets</v>
      </c>
      <c r="AB1259" s="3">
        <f t="shared" si="451"/>
        <v>110000.00000000001</v>
      </c>
      <c r="AC1259" s="3">
        <f t="shared" si="452"/>
        <v>1500000</v>
      </c>
      <c r="AD1259" s="3">
        <f t="shared" si="453"/>
        <v>450000</v>
      </c>
      <c r="AE1259" s="5">
        <f t="shared" si="454"/>
        <v>4.4117647058823533</v>
      </c>
      <c r="AF1259" s="10">
        <f t="shared" si="455"/>
        <v>1091200.0000000002</v>
      </c>
      <c r="AG1259" s="10">
        <f t="shared" si="456"/>
        <v>352000.00000000006</v>
      </c>
      <c r="AH1259" s="10">
        <f t="shared" si="457"/>
        <v>176000.00000000003</v>
      </c>
      <c r="AI1259" s="10">
        <f t="shared" si="458"/>
        <v>88000.000000000015</v>
      </c>
      <c r="AJ1259" s="10">
        <f t="shared" si="459"/>
        <v>52800.000000000007</v>
      </c>
    </row>
    <row r="1260" spans="1:36" x14ac:dyDescent="0.3">
      <c r="A1260" t="s">
        <v>4845</v>
      </c>
      <c r="B1260" t="s">
        <v>4846</v>
      </c>
      <c r="C1260" t="s">
        <v>4847</v>
      </c>
      <c r="D1260" t="s">
        <v>153</v>
      </c>
      <c r="E1260">
        <v>17751</v>
      </c>
      <c r="F1260" t="s">
        <v>15</v>
      </c>
      <c r="G1260">
        <v>12</v>
      </c>
      <c r="H1260">
        <v>250</v>
      </c>
      <c r="I1260" t="str" cm="1">
        <f t="array" ref="I1260">_xlfn.IFS(H1260&lt;=120,"V1",H1260&lt;=150,"V2",H1260&lt;=250,"V3", H1260&lt;=350, "V4")</f>
        <v>V3</v>
      </c>
      <c r="J1260" t="s">
        <v>4848</v>
      </c>
      <c r="K1260" t="str">
        <f t="shared" si="437"/>
        <v>41.0251</v>
      </c>
      <c r="L1260" t="str">
        <f t="shared" si="438"/>
        <v>-77.5243</v>
      </c>
      <c r="M1260">
        <v>262</v>
      </c>
      <c r="N1260" s="1">
        <v>44758</v>
      </c>
      <c r="O1260" s="1">
        <v>46099</v>
      </c>
      <c r="P1260" s="2">
        <f t="shared" si="439"/>
        <v>3.6714579055441479</v>
      </c>
      <c r="Q1260" s="2" t="str">
        <f t="shared" si="440"/>
        <v>Mid</v>
      </c>
      <c r="R1260">
        <f t="shared" si="441"/>
        <v>3000</v>
      </c>
      <c r="S1260" t="str">
        <f t="shared" si="442"/>
        <v>Small</v>
      </c>
      <c r="T1260" t="str">
        <f t="shared" si="443"/>
        <v>Lower EV Adoption Corridor</v>
      </c>
      <c r="U1260" s="3">
        <f t="shared" si="444"/>
        <v>5400000</v>
      </c>
      <c r="V1260" s="4">
        <f t="shared" si="445"/>
        <v>1320000</v>
      </c>
      <c r="W1260" s="3">
        <f t="shared" si="446"/>
        <v>18000000</v>
      </c>
      <c r="X1260" s="3">
        <f t="shared" si="447"/>
        <v>9900000</v>
      </c>
      <c r="Y1260">
        <f t="shared" si="448"/>
        <v>0.31515151515151513</v>
      </c>
      <c r="Z1260">
        <f t="shared" si="449"/>
        <v>0.75555555555555554</v>
      </c>
      <c r="AA1260" t="str">
        <f t="shared" si="450"/>
        <v>Tier 2 - Growth Markets</v>
      </c>
      <c r="AB1260" s="3">
        <f t="shared" si="451"/>
        <v>110000</v>
      </c>
      <c r="AC1260" s="3">
        <f t="shared" si="452"/>
        <v>1500000</v>
      </c>
      <c r="AD1260" s="3">
        <f t="shared" si="453"/>
        <v>450000</v>
      </c>
      <c r="AE1260" s="5">
        <f t="shared" si="454"/>
        <v>4.4117647058823533</v>
      </c>
      <c r="AF1260" s="10">
        <f t="shared" si="455"/>
        <v>818400</v>
      </c>
      <c r="AG1260" s="10">
        <f t="shared" si="456"/>
        <v>264000</v>
      </c>
      <c r="AH1260" s="10">
        <f t="shared" si="457"/>
        <v>132000</v>
      </c>
      <c r="AI1260" s="10">
        <f t="shared" si="458"/>
        <v>66000</v>
      </c>
      <c r="AJ1260" s="10">
        <f t="shared" si="459"/>
        <v>39600</v>
      </c>
    </row>
    <row r="1261" spans="1:36" x14ac:dyDescent="0.3">
      <c r="A1261" t="s">
        <v>4849</v>
      </c>
      <c r="B1261" t="s">
        <v>4850</v>
      </c>
      <c r="C1261" t="s">
        <v>358</v>
      </c>
      <c r="D1261" t="s">
        <v>14</v>
      </c>
      <c r="E1261">
        <v>93960</v>
      </c>
      <c r="F1261" t="s">
        <v>15</v>
      </c>
      <c r="G1261">
        <v>7</v>
      </c>
      <c r="H1261">
        <v>250</v>
      </c>
      <c r="I1261" t="str" cm="1">
        <f t="array" ref="I1261">_xlfn.IFS(H1261&lt;=120,"V1",H1261&lt;=150,"V2",H1261&lt;=250,"V3", H1261&lt;=350, "V4")</f>
        <v>V3</v>
      </c>
      <c r="J1261" t="s">
        <v>4851</v>
      </c>
      <c r="K1261" t="str">
        <f t="shared" si="437"/>
        <v>36.4162019</v>
      </c>
      <c r="L1261" t="str">
        <f t="shared" si="438"/>
        <v>-121.320846</v>
      </c>
      <c r="M1261">
        <v>61</v>
      </c>
      <c r="N1261" s="1">
        <v>44738</v>
      </c>
      <c r="O1261" s="1">
        <v>46099</v>
      </c>
      <c r="P1261" s="2">
        <f t="shared" si="439"/>
        <v>3.7262149212867897</v>
      </c>
      <c r="Q1261" s="2" t="str">
        <f t="shared" si="440"/>
        <v>Mid</v>
      </c>
      <c r="R1261">
        <f t="shared" si="441"/>
        <v>1750</v>
      </c>
      <c r="S1261" t="str">
        <f t="shared" si="442"/>
        <v>Small</v>
      </c>
      <c r="T1261" t="str">
        <f t="shared" si="443"/>
        <v>High EV Adoption Corridor</v>
      </c>
      <c r="U1261" s="3">
        <f t="shared" si="444"/>
        <v>4095000</v>
      </c>
      <c r="V1261" s="4">
        <f t="shared" si="445"/>
        <v>924000.00000000012</v>
      </c>
      <c r="W1261" s="3">
        <f t="shared" si="446"/>
        <v>11550000.000000002</v>
      </c>
      <c r="X1261" s="3">
        <f t="shared" si="447"/>
        <v>8662500.0000000019</v>
      </c>
      <c r="Y1261">
        <f t="shared" si="448"/>
        <v>0.24</v>
      </c>
      <c r="Z1261">
        <f t="shared" si="449"/>
        <v>0.77435897435897438</v>
      </c>
      <c r="AA1261" t="str">
        <f t="shared" si="450"/>
        <v>Tier 1 - Priority Fleet</v>
      </c>
      <c r="AB1261" s="3">
        <f t="shared" si="451"/>
        <v>132000.00000000003</v>
      </c>
      <c r="AC1261" s="3">
        <f t="shared" si="452"/>
        <v>1650000.0000000002</v>
      </c>
      <c r="AD1261" s="3">
        <f t="shared" si="453"/>
        <v>585000</v>
      </c>
      <c r="AE1261" s="5">
        <f t="shared" si="454"/>
        <v>3.6423841059602653</v>
      </c>
      <c r="AF1261" s="10">
        <f t="shared" si="455"/>
        <v>572880.00000000012</v>
      </c>
      <c r="AG1261" s="10">
        <f t="shared" si="456"/>
        <v>184800.00000000003</v>
      </c>
      <c r="AH1261" s="10">
        <f t="shared" si="457"/>
        <v>92400.000000000015</v>
      </c>
      <c r="AI1261" s="10">
        <f t="shared" si="458"/>
        <v>46200.000000000007</v>
      </c>
      <c r="AJ1261" s="10">
        <f t="shared" si="459"/>
        <v>27720.000000000004</v>
      </c>
    </row>
    <row r="1262" spans="1:36" x14ac:dyDescent="0.3">
      <c r="A1262" t="s">
        <v>4852</v>
      </c>
      <c r="B1262" t="s">
        <v>4853</v>
      </c>
      <c r="C1262" t="s">
        <v>4854</v>
      </c>
      <c r="D1262" t="s">
        <v>50</v>
      </c>
      <c r="E1262">
        <v>78552</v>
      </c>
      <c r="F1262" t="s">
        <v>15</v>
      </c>
      <c r="G1262">
        <v>12</v>
      </c>
      <c r="H1262">
        <v>250</v>
      </c>
      <c r="I1262" t="str" cm="1">
        <f t="array" ref="I1262">_xlfn.IFS(H1262&lt;=120,"V1",H1262&lt;=150,"V2",H1262&lt;=250,"V3", H1262&lt;=350, "V4")</f>
        <v>V3</v>
      </c>
      <c r="J1262" t="s">
        <v>4855</v>
      </c>
      <c r="K1262" t="str">
        <f t="shared" si="437"/>
        <v>26.1877</v>
      </c>
      <c r="L1262" t="str">
        <f t="shared" si="438"/>
        <v>-97.7563</v>
      </c>
      <c r="M1262">
        <v>14</v>
      </c>
      <c r="N1262" s="1">
        <v>44785</v>
      </c>
      <c r="O1262" s="1">
        <v>46099</v>
      </c>
      <c r="P1262" s="2">
        <f t="shared" si="439"/>
        <v>3.5975359342915811</v>
      </c>
      <c r="Q1262" s="2" t="str">
        <f t="shared" si="440"/>
        <v>Mid</v>
      </c>
      <c r="R1262">
        <f t="shared" si="441"/>
        <v>3000</v>
      </c>
      <c r="S1262" t="str">
        <f t="shared" si="442"/>
        <v>Small</v>
      </c>
      <c r="T1262" t="str">
        <f t="shared" si="443"/>
        <v>High EV Adoption Corridor</v>
      </c>
      <c r="U1262" s="3">
        <f t="shared" si="444"/>
        <v>7020000</v>
      </c>
      <c r="V1262" s="4">
        <f t="shared" si="445"/>
        <v>1584000</v>
      </c>
      <c r="W1262" s="3">
        <f t="shared" si="446"/>
        <v>19800000</v>
      </c>
      <c r="X1262" s="3">
        <f t="shared" si="447"/>
        <v>14850000</v>
      </c>
      <c r="Y1262">
        <f t="shared" si="448"/>
        <v>0.24</v>
      </c>
      <c r="Z1262">
        <f t="shared" si="449"/>
        <v>0.77435897435897438</v>
      </c>
      <c r="AA1262" t="str">
        <f t="shared" si="450"/>
        <v>Tier 1 - Priority Fleet</v>
      </c>
      <c r="AB1262" s="3">
        <f t="shared" si="451"/>
        <v>132000</v>
      </c>
      <c r="AC1262" s="3">
        <f t="shared" si="452"/>
        <v>1650000</v>
      </c>
      <c r="AD1262" s="3">
        <f t="shared" si="453"/>
        <v>585000</v>
      </c>
      <c r="AE1262" s="5">
        <f t="shared" si="454"/>
        <v>3.6423841059602649</v>
      </c>
      <c r="AF1262" s="10">
        <f t="shared" si="455"/>
        <v>982080</v>
      </c>
      <c r="AG1262" s="10">
        <f t="shared" si="456"/>
        <v>316800</v>
      </c>
      <c r="AH1262" s="10">
        <f t="shared" si="457"/>
        <v>158400</v>
      </c>
      <c r="AI1262" s="10">
        <f t="shared" si="458"/>
        <v>79200</v>
      </c>
      <c r="AJ1262" s="10">
        <f t="shared" si="459"/>
        <v>47520</v>
      </c>
    </row>
    <row r="1263" spans="1:36" x14ac:dyDescent="0.3">
      <c r="A1263" t="s">
        <v>4856</v>
      </c>
      <c r="B1263" t="s">
        <v>4857</v>
      </c>
      <c r="C1263" t="s">
        <v>4858</v>
      </c>
      <c r="D1263" t="s">
        <v>189</v>
      </c>
      <c r="E1263">
        <v>54143</v>
      </c>
      <c r="F1263" t="s">
        <v>15</v>
      </c>
      <c r="G1263">
        <v>8</v>
      </c>
      <c r="H1263">
        <v>250</v>
      </c>
      <c r="I1263" t="str" cm="1">
        <f t="array" ref="I1263">_xlfn.IFS(H1263&lt;=120,"V1",H1263&lt;=150,"V2",H1263&lt;=250,"V3", H1263&lt;=350, "V4")</f>
        <v>V3</v>
      </c>
      <c r="J1263" t="s">
        <v>4859</v>
      </c>
      <c r="K1263" t="str">
        <f t="shared" si="437"/>
        <v>45.0801</v>
      </c>
      <c r="L1263" t="str">
        <f t="shared" si="438"/>
        <v>-87.6621</v>
      </c>
      <c r="M1263">
        <v>186</v>
      </c>
      <c r="N1263" s="1">
        <v>44772</v>
      </c>
      <c r="O1263" s="1">
        <v>46099</v>
      </c>
      <c r="P1263" s="2">
        <f t="shared" si="439"/>
        <v>3.6331279945242985</v>
      </c>
      <c r="Q1263" s="2" t="str">
        <f t="shared" si="440"/>
        <v>Mid</v>
      </c>
      <c r="R1263">
        <f t="shared" si="441"/>
        <v>2000</v>
      </c>
      <c r="S1263" t="str">
        <f t="shared" si="442"/>
        <v>Small</v>
      </c>
      <c r="T1263" t="str">
        <f t="shared" si="443"/>
        <v>Lower EV Adoption Corridor</v>
      </c>
      <c r="U1263" s="3">
        <f t="shared" si="444"/>
        <v>3600000</v>
      </c>
      <c r="V1263" s="4">
        <f t="shared" si="445"/>
        <v>880000.00000000012</v>
      </c>
      <c r="W1263" s="3">
        <f t="shared" si="446"/>
        <v>12000000</v>
      </c>
      <c r="X1263" s="3">
        <f t="shared" si="447"/>
        <v>6600000.0000000009</v>
      </c>
      <c r="Y1263">
        <f t="shared" si="448"/>
        <v>0.31515151515151513</v>
      </c>
      <c r="Z1263">
        <f t="shared" si="449"/>
        <v>0.75555555555555554</v>
      </c>
      <c r="AA1263" t="str">
        <f t="shared" si="450"/>
        <v>Tier 2 - Growth Markets</v>
      </c>
      <c r="AB1263" s="3">
        <f t="shared" si="451"/>
        <v>110000.00000000001</v>
      </c>
      <c r="AC1263" s="3">
        <f t="shared" si="452"/>
        <v>1500000</v>
      </c>
      <c r="AD1263" s="3">
        <f t="shared" si="453"/>
        <v>450000</v>
      </c>
      <c r="AE1263" s="5">
        <f t="shared" si="454"/>
        <v>4.4117647058823533</v>
      </c>
      <c r="AF1263" s="10">
        <f t="shared" si="455"/>
        <v>545600.00000000012</v>
      </c>
      <c r="AG1263" s="10">
        <f t="shared" si="456"/>
        <v>176000.00000000003</v>
      </c>
      <c r="AH1263" s="10">
        <f t="shared" si="457"/>
        <v>88000.000000000015</v>
      </c>
      <c r="AI1263" s="10">
        <f t="shared" si="458"/>
        <v>44000.000000000007</v>
      </c>
      <c r="AJ1263" s="10">
        <f t="shared" si="459"/>
        <v>26400.000000000004</v>
      </c>
    </row>
    <row r="1264" spans="1:36" x14ac:dyDescent="0.3">
      <c r="A1264" t="s">
        <v>4860</v>
      </c>
      <c r="B1264" t="s">
        <v>4861</v>
      </c>
      <c r="C1264" t="s">
        <v>4862</v>
      </c>
      <c r="D1264" t="s">
        <v>294</v>
      </c>
      <c r="E1264">
        <v>37863</v>
      </c>
      <c r="F1264" t="s">
        <v>15</v>
      </c>
      <c r="G1264">
        <v>12</v>
      </c>
      <c r="H1264">
        <v>250</v>
      </c>
      <c r="I1264" t="str" cm="1">
        <f t="array" ref="I1264">_xlfn.IFS(H1264&lt;=120,"V1",H1264&lt;=150,"V2",H1264&lt;=250,"V3", H1264&lt;=350, "V4")</f>
        <v>V3</v>
      </c>
      <c r="J1264" t="s">
        <v>4863</v>
      </c>
      <c r="K1264" t="str">
        <f t="shared" si="437"/>
        <v>35.806348</v>
      </c>
      <c r="L1264" t="str">
        <f t="shared" si="438"/>
        <v>-83.572721</v>
      </c>
      <c r="M1264">
        <v>307</v>
      </c>
      <c r="N1264" s="1">
        <v>44375</v>
      </c>
      <c r="O1264" s="1">
        <v>46099</v>
      </c>
      <c r="P1264" s="2">
        <f t="shared" si="439"/>
        <v>4.7200547570157427</v>
      </c>
      <c r="Q1264" s="2" t="str">
        <f t="shared" si="440"/>
        <v>Mid</v>
      </c>
      <c r="R1264">
        <f t="shared" si="441"/>
        <v>3000</v>
      </c>
      <c r="S1264" t="str">
        <f t="shared" si="442"/>
        <v>Small</v>
      </c>
      <c r="T1264" t="str">
        <f t="shared" si="443"/>
        <v>Lower EV Adoption Corridor</v>
      </c>
      <c r="U1264" s="3">
        <f t="shared" si="444"/>
        <v>5400000</v>
      </c>
      <c r="V1264" s="4">
        <f t="shared" si="445"/>
        <v>1320000</v>
      </c>
      <c r="W1264" s="3">
        <f t="shared" si="446"/>
        <v>18000000</v>
      </c>
      <c r="X1264" s="3">
        <f t="shared" si="447"/>
        <v>9900000</v>
      </c>
      <c r="Y1264">
        <f t="shared" si="448"/>
        <v>0.31515151515151513</v>
      </c>
      <c r="Z1264">
        <f t="shared" si="449"/>
        <v>0.75555555555555554</v>
      </c>
      <c r="AA1264" t="str">
        <f t="shared" si="450"/>
        <v>Tier 2 - Growth Markets</v>
      </c>
      <c r="AB1264" s="3">
        <f t="shared" si="451"/>
        <v>110000</v>
      </c>
      <c r="AC1264" s="3">
        <f t="shared" si="452"/>
        <v>1500000</v>
      </c>
      <c r="AD1264" s="3">
        <f t="shared" si="453"/>
        <v>450000</v>
      </c>
      <c r="AE1264" s="5">
        <f t="shared" si="454"/>
        <v>4.4117647058823533</v>
      </c>
      <c r="AF1264" s="10">
        <f t="shared" si="455"/>
        <v>818400</v>
      </c>
      <c r="AG1264" s="10">
        <f t="shared" si="456"/>
        <v>264000</v>
      </c>
      <c r="AH1264" s="10">
        <f t="shared" si="457"/>
        <v>132000</v>
      </c>
      <c r="AI1264" s="10">
        <f t="shared" si="458"/>
        <v>66000</v>
      </c>
      <c r="AJ1264" s="10">
        <f t="shared" si="459"/>
        <v>39600</v>
      </c>
    </row>
    <row r="1265" spans="1:36" x14ac:dyDescent="0.3">
      <c r="A1265" t="s">
        <v>4864</v>
      </c>
      <c r="B1265" t="s">
        <v>4865</v>
      </c>
      <c r="C1265" t="s">
        <v>621</v>
      </c>
      <c r="D1265" t="s">
        <v>77</v>
      </c>
      <c r="E1265">
        <v>28806</v>
      </c>
      <c r="F1265" t="s">
        <v>15</v>
      </c>
      <c r="G1265">
        <v>12</v>
      </c>
      <c r="H1265">
        <v>250</v>
      </c>
      <c r="I1265" t="str" cm="1">
        <f t="array" ref="I1265">_xlfn.IFS(H1265&lt;=120,"V1",H1265&lt;=150,"V2",H1265&lt;=250,"V3", H1265&lt;=350, "V4")</f>
        <v>V3</v>
      </c>
      <c r="J1265" t="s">
        <v>4866</v>
      </c>
      <c r="K1265" t="str">
        <f t="shared" si="437"/>
        <v>35.531391</v>
      </c>
      <c r="L1265" t="str">
        <f t="shared" si="438"/>
        <v>-82.604487</v>
      </c>
      <c r="M1265">
        <v>662</v>
      </c>
      <c r="N1265" s="1">
        <v>42354</v>
      </c>
      <c r="O1265" s="1">
        <v>46099</v>
      </c>
      <c r="P1265" s="2">
        <f t="shared" si="439"/>
        <v>10.253251197809719</v>
      </c>
      <c r="Q1265" s="2" t="str">
        <f t="shared" si="440"/>
        <v>Old</v>
      </c>
      <c r="R1265">
        <f t="shared" si="441"/>
        <v>3000</v>
      </c>
      <c r="S1265" t="str">
        <f t="shared" si="442"/>
        <v>Small</v>
      </c>
      <c r="T1265" t="str">
        <f t="shared" si="443"/>
        <v>Lower EV Adoption Corridor</v>
      </c>
      <c r="U1265" s="3">
        <f t="shared" si="444"/>
        <v>5400000</v>
      </c>
      <c r="V1265" s="4">
        <f t="shared" si="445"/>
        <v>1320000</v>
      </c>
      <c r="W1265" s="3">
        <f t="shared" si="446"/>
        <v>18000000</v>
      </c>
      <c r="X1265" s="3">
        <f t="shared" si="447"/>
        <v>9900000</v>
      </c>
      <c r="Y1265">
        <f t="shared" si="448"/>
        <v>0.31515151515151513</v>
      </c>
      <c r="Z1265">
        <f t="shared" si="449"/>
        <v>0.75555555555555554</v>
      </c>
      <c r="AA1265" t="str">
        <f t="shared" si="450"/>
        <v>Tier 2 - Growth Markets</v>
      </c>
      <c r="AB1265" s="3">
        <f t="shared" si="451"/>
        <v>110000</v>
      </c>
      <c r="AC1265" s="3">
        <f t="shared" si="452"/>
        <v>1500000</v>
      </c>
      <c r="AD1265" s="3">
        <f t="shared" si="453"/>
        <v>450000</v>
      </c>
      <c r="AE1265" s="5">
        <f t="shared" si="454"/>
        <v>4.4117647058823533</v>
      </c>
      <c r="AF1265" s="10">
        <f t="shared" si="455"/>
        <v>818400</v>
      </c>
      <c r="AG1265" s="10">
        <f t="shared" si="456"/>
        <v>264000</v>
      </c>
      <c r="AH1265" s="10">
        <f t="shared" si="457"/>
        <v>132000</v>
      </c>
      <c r="AI1265" s="10">
        <f t="shared" si="458"/>
        <v>66000</v>
      </c>
      <c r="AJ1265" s="10">
        <f t="shared" si="459"/>
        <v>39600</v>
      </c>
    </row>
    <row r="1266" spans="1:36" x14ac:dyDescent="0.3">
      <c r="A1266" t="s">
        <v>4867</v>
      </c>
      <c r="B1266" t="s">
        <v>4868</v>
      </c>
      <c r="C1266" t="s">
        <v>4869</v>
      </c>
      <c r="D1266" t="s">
        <v>125</v>
      </c>
      <c r="E1266">
        <v>29643</v>
      </c>
      <c r="F1266" t="s">
        <v>15</v>
      </c>
      <c r="G1266">
        <v>12</v>
      </c>
      <c r="H1266">
        <v>250</v>
      </c>
      <c r="I1266" t="str" cm="1">
        <f t="array" ref="I1266">_xlfn.IFS(H1266&lt;=120,"V1",H1266&lt;=150,"V2",H1266&lt;=250,"V3", H1266&lt;=350, "V4")</f>
        <v>V3</v>
      </c>
      <c r="J1266" t="s">
        <v>4870</v>
      </c>
      <c r="K1266" t="str">
        <f t="shared" si="437"/>
        <v>34.504955</v>
      </c>
      <c r="L1266" t="str">
        <f t="shared" si="438"/>
        <v>-82.965706</v>
      </c>
      <c r="M1266">
        <v>237</v>
      </c>
      <c r="N1266" s="1">
        <v>44379</v>
      </c>
      <c r="O1266" s="1">
        <v>46099</v>
      </c>
      <c r="P1266" s="2">
        <f t="shared" si="439"/>
        <v>4.7091033538672145</v>
      </c>
      <c r="Q1266" s="2" t="str">
        <f t="shared" si="440"/>
        <v>Mid</v>
      </c>
      <c r="R1266">
        <f t="shared" si="441"/>
        <v>3000</v>
      </c>
      <c r="S1266" t="str">
        <f t="shared" si="442"/>
        <v>Small</v>
      </c>
      <c r="T1266" t="str">
        <f t="shared" si="443"/>
        <v>Lower EV Adoption Corridor</v>
      </c>
      <c r="U1266" s="3">
        <f t="shared" si="444"/>
        <v>5400000</v>
      </c>
      <c r="V1266" s="4">
        <f t="shared" si="445"/>
        <v>1320000</v>
      </c>
      <c r="W1266" s="3">
        <f t="shared" si="446"/>
        <v>18000000</v>
      </c>
      <c r="X1266" s="3">
        <f t="shared" si="447"/>
        <v>9900000</v>
      </c>
      <c r="Y1266">
        <f t="shared" si="448"/>
        <v>0.31515151515151513</v>
      </c>
      <c r="Z1266">
        <f t="shared" si="449"/>
        <v>0.75555555555555554</v>
      </c>
      <c r="AA1266" t="str">
        <f t="shared" si="450"/>
        <v>Tier 2 - Growth Markets</v>
      </c>
      <c r="AB1266" s="3">
        <f t="shared" si="451"/>
        <v>110000</v>
      </c>
      <c r="AC1266" s="3">
        <f t="shared" si="452"/>
        <v>1500000</v>
      </c>
      <c r="AD1266" s="3">
        <f t="shared" si="453"/>
        <v>450000</v>
      </c>
      <c r="AE1266" s="5">
        <f t="shared" si="454"/>
        <v>4.4117647058823533</v>
      </c>
      <c r="AF1266" s="10">
        <f t="shared" si="455"/>
        <v>818400</v>
      </c>
      <c r="AG1266" s="10">
        <f t="shared" si="456"/>
        <v>264000</v>
      </c>
      <c r="AH1266" s="10">
        <f t="shared" si="457"/>
        <v>132000</v>
      </c>
      <c r="AI1266" s="10">
        <f t="shared" si="458"/>
        <v>66000</v>
      </c>
      <c r="AJ1266" s="10">
        <f t="shared" si="459"/>
        <v>39600</v>
      </c>
    </row>
    <row r="1267" spans="1:36" x14ac:dyDescent="0.3">
      <c r="A1267" t="s">
        <v>4871</v>
      </c>
      <c r="B1267" t="s">
        <v>4872</v>
      </c>
      <c r="C1267" t="s">
        <v>4873</v>
      </c>
      <c r="D1267" t="s">
        <v>14</v>
      </c>
      <c r="E1267">
        <v>95380</v>
      </c>
      <c r="F1267" t="s">
        <v>15</v>
      </c>
      <c r="G1267">
        <v>16</v>
      </c>
      <c r="H1267">
        <v>250</v>
      </c>
      <c r="I1267" t="str" cm="1">
        <f t="array" ref="I1267">_xlfn.IFS(H1267&lt;=120,"V1",H1267&lt;=150,"V2",H1267&lt;=250,"V3", H1267&lt;=350, "V4")</f>
        <v>V3</v>
      </c>
      <c r="J1267" t="s">
        <v>4874</v>
      </c>
      <c r="K1267" t="str">
        <f t="shared" si="437"/>
        <v>37.508786</v>
      </c>
      <c r="L1267" t="str">
        <f t="shared" si="438"/>
        <v>-120.876109</v>
      </c>
      <c r="M1267">
        <v>31</v>
      </c>
      <c r="N1267" s="1">
        <v>44796</v>
      </c>
      <c r="O1267" s="1">
        <v>46099</v>
      </c>
      <c r="P1267" s="2">
        <f t="shared" si="439"/>
        <v>3.5674195756331279</v>
      </c>
      <c r="Q1267" s="2" t="str">
        <f t="shared" si="440"/>
        <v>Mid</v>
      </c>
      <c r="R1267">
        <f t="shared" si="441"/>
        <v>4000</v>
      </c>
      <c r="S1267" t="str">
        <f t="shared" si="442"/>
        <v>Small</v>
      </c>
      <c r="T1267" t="str">
        <f t="shared" si="443"/>
        <v>High EV Adoption Corridor</v>
      </c>
      <c r="U1267" s="3">
        <f t="shared" si="444"/>
        <v>9360000</v>
      </c>
      <c r="V1267" s="4">
        <f t="shared" si="445"/>
        <v>2112000</v>
      </c>
      <c r="W1267" s="3">
        <f t="shared" si="446"/>
        <v>26400000.000000004</v>
      </c>
      <c r="X1267" s="3">
        <f t="shared" si="447"/>
        <v>19800000.000000004</v>
      </c>
      <c r="Y1267">
        <f t="shared" si="448"/>
        <v>0.23999999999999996</v>
      </c>
      <c r="Z1267">
        <f t="shared" si="449"/>
        <v>0.77435897435897438</v>
      </c>
      <c r="AA1267" t="str">
        <f t="shared" si="450"/>
        <v>Tier 1 - Priority Fleet</v>
      </c>
      <c r="AB1267" s="3">
        <f t="shared" si="451"/>
        <v>132000</v>
      </c>
      <c r="AC1267" s="3">
        <f t="shared" si="452"/>
        <v>1650000.0000000002</v>
      </c>
      <c r="AD1267" s="3">
        <f t="shared" si="453"/>
        <v>585000</v>
      </c>
      <c r="AE1267" s="5">
        <f t="shared" si="454"/>
        <v>3.6423841059602653</v>
      </c>
      <c r="AF1267" s="10">
        <f t="shared" si="455"/>
        <v>1309440</v>
      </c>
      <c r="AG1267" s="10">
        <f t="shared" si="456"/>
        <v>422400</v>
      </c>
      <c r="AH1267" s="10">
        <f t="shared" si="457"/>
        <v>211200</v>
      </c>
      <c r="AI1267" s="10">
        <f t="shared" si="458"/>
        <v>105600</v>
      </c>
      <c r="AJ1267" s="10">
        <f t="shared" si="459"/>
        <v>63360</v>
      </c>
    </row>
    <row r="1268" spans="1:36" x14ac:dyDescent="0.3">
      <c r="A1268" t="s">
        <v>4875</v>
      </c>
      <c r="B1268" t="s">
        <v>4876</v>
      </c>
      <c r="C1268" t="s">
        <v>4877</v>
      </c>
      <c r="D1268" t="s">
        <v>184</v>
      </c>
      <c r="E1268">
        <v>44087</v>
      </c>
      <c r="F1268" t="s">
        <v>15</v>
      </c>
      <c r="G1268">
        <v>7</v>
      </c>
      <c r="H1268">
        <v>250</v>
      </c>
      <c r="I1268" t="str" cm="1">
        <f t="array" ref="I1268">_xlfn.IFS(H1268&lt;=120,"V1",H1268&lt;=150,"V2",H1268&lt;=250,"V3", H1268&lt;=350, "V4")</f>
        <v>V3</v>
      </c>
      <c r="J1268" t="s">
        <v>4878</v>
      </c>
      <c r="K1268" t="str">
        <f t="shared" si="437"/>
        <v>41.311733</v>
      </c>
      <c r="L1268" t="str">
        <f t="shared" si="438"/>
        <v>-81.449531</v>
      </c>
      <c r="M1268">
        <v>314</v>
      </c>
      <c r="N1268" s="1">
        <v>44599</v>
      </c>
      <c r="O1268" s="1">
        <v>46099</v>
      </c>
      <c r="P1268" s="2">
        <f t="shared" si="439"/>
        <v>4.1067761806981515</v>
      </c>
      <c r="Q1268" s="2" t="str">
        <f t="shared" si="440"/>
        <v>Mid</v>
      </c>
      <c r="R1268">
        <f t="shared" si="441"/>
        <v>1750</v>
      </c>
      <c r="S1268" t="str">
        <f t="shared" si="442"/>
        <v>Small</v>
      </c>
      <c r="T1268" t="str">
        <f t="shared" si="443"/>
        <v>Lower EV Adoption Corridor</v>
      </c>
      <c r="U1268" s="3">
        <f t="shared" si="444"/>
        <v>3150000</v>
      </c>
      <c r="V1268" s="4">
        <f t="shared" si="445"/>
        <v>770000.00000000012</v>
      </c>
      <c r="W1268" s="3">
        <f t="shared" si="446"/>
        <v>10500000</v>
      </c>
      <c r="X1268" s="3">
        <f t="shared" si="447"/>
        <v>5775000.0000000009</v>
      </c>
      <c r="Y1268">
        <f t="shared" si="448"/>
        <v>0.31515151515151513</v>
      </c>
      <c r="Z1268">
        <f t="shared" si="449"/>
        <v>0.75555555555555554</v>
      </c>
      <c r="AA1268" t="str">
        <f t="shared" si="450"/>
        <v>Tier 2 - Growth Markets</v>
      </c>
      <c r="AB1268" s="3">
        <f t="shared" si="451"/>
        <v>110000.00000000001</v>
      </c>
      <c r="AC1268" s="3">
        <f t="shared" si="452"/>
        <v>1500000</v>
      </c>
      <c r="AD1268" s="3">
        <f t="shared" si="453"/>
        <v>450000</v>
      </c>
      <c r="AE1268" s="5">
        <f t="shared" si="454"/>
        <v>4.4117647058823533</v>
      </c>
      <c r="AF1268" s="10">
        <f t="shared" si="455"/>
        <v>477400.00000000006</v>
      </c>
      <c r="AG1268" s="10">
        <f t="shared" si="456"/>
        <v>154000.00000000003</v>
      </c>
      <c r="AH1268" s="10">
        <f t="shared" si="457"/>
        <v>77000.000000000015</v>
      </c>
      <c r="AI1268" s="10">
        <f t="shared" si="458"/>
        <v>38500.000000000007</v>
      </c>
      <c r="AJ1268" s="10">
        <f t="shared" si="459"/>
        <v>23100.000000000004</v>
      </c>
    </row>
    <row r="1269" spans="1:36" x14ac:dyDescent="0.3">
      <c r="A1269" t="s">
        <v>4879</v>
      </c>
      <c r="B1269" t="s">
        <v>4880</v>
      </c>
      <c r="C1269" t="s">
        <v>605</v>
      </c>
      <c r="D1269" t="s">
        <v>50</v>
      </c>
      <c r="E1269">
        <v>77098</v>
      </c>
      <c r="F1269" t="s">
        <v>15</v>
      </c>
      <c r="G1269">
        <v>8</v>
      </c>
      <c r="H1269">
        <v>250</v>
      </c>
      <c r="I1269" t="str" cm="1">
        <f t="array" ref="I1269">_xlfn.IFS(H1269&lt;=120,"V1",H1269&lt;=150,"V2",H1269&lt;=250,"V3", H1269&lt;=350, "V4")</f>
        <v>V3</v>
      </c>
      <c r="J1269" t="s">
        <v>4881</v>
      </c>
      <c r="K1269" t="str">
        <f t="shared" si="437"/>
        <v>29.736538</v>
      </c>
      <c r="L1269" t="str">
        <f t="shared" si="438"/>
        <v>-95.402318</v>
      </c>
      <c r="M1269">
        <v>15</v>
      </c>
      <c r="N1269" s="1">
        <v>44690</v>
      </c>
      <c r="O1269" s="1">
        <v>46099</v>
      </c>
      <c r="P1269" s="2">
        <f t="shared" si="439"/>
        <v>3.8576317590691307</v>
      </c>
      <c r="Q1269" s="2" t="str">
        <f t="shared" si="440"/>
        <v>Mid</v>
      </c>
      <c r="R1269">
        <f t="shared" si="441"/>
        <v>2000</v>
      </c>
      <c r="S1269" t="str">
        <f t="shared" si="442"/>
        <v>Small</v>
      </c>
      <c r="T1269" t="str">
        <f t="shared" si="443"/>
        <v>High EV Adoption Corridor</v>
      </c>
      <c r="U1269" s="3">
        <f t="shared" si="444"/>
        <v>4680000</v>
      </c>
      <c r="V1269" s="4">
        <f t="shared" si="445"/>
        <v>1056000</v>
      </c>
      <c r="W1269" s="3">
        <f t="shared" si="446"/>
        <v>13200000.000000002</v>
      </c>
      <c r="X1269" s="3">
        <f t="shared" si="447"/>
        <v>9900000.0000000019</v>
      </c>
      <c r="Y1269">
        <f t="shared" si="448"/>
        <v>0.23999999999999996</v>
      </c>
      <c r="Z1269">
        <f t="shared" si="449"/>
        <v>0.77435897435897438</v>
      </c>
      <c r="AA1269" t="str">
        <f t="shared" si="450"/>
        <v>Tier 1 - Priority Fleet</v>
      </c>
      <c r="AB1269" s="3">
        <f t="shared" si="451"/>
        <v>132000</v>
      </c>
      <c r="AC1269" s="3">
        <f t="shared" si="452"/>
        <v>1650000.0000000002</v>
      </c>
      <c r="AD1269" s="3">
        <f t="shared" si="453"/>
        <v>585000</v>
      </c>
      <c r="AE1269" s="5">
        <f t="shared" si="454"/>
        <v>3.6423841059602653</v>
      </c>
      <c r="AF1269" s="10">
        <f t="shared" si="455"/>
        <v>654720</v>
      </c>
      <c r="AG1269" s="10">
        <f t="shared" si="456"/>
        <v>211200</v>
      </c>
      <c r="AH1269" s="10">
        <f t="shared" si="457"/>
        <v>105600</v>
      </c>
      <c r="AI1269" s="10">
        <f t="shared" si="458"/>
        <v>52800</v>
      </c>
      <c r="AJ1269" s="10">
        <f t="shared" si="459"/>
        <v>31680</v>
      </c>
    </row>
    <row r="1270" spans="1:36" x14ac:dyDescent="0.3">
      <c r="A1270" t="s">
        <v>4882</v>
      </c>
      <c r="B1270" t="s">
        <v>4883</v>
      </c>
      <c r="C1270" t="s">
        <v>4884</v>
      </c>
      <c r="D1270" t="s">
        <v>913</v>
      </c>
      <c r="E1270">
        <v>21009</v>
      </c>
      <c r="F1270" t="s">
        <v>15</v>
      </c>
      <c r="G1270">
        <v>8</v>
      </c>
      <c r="H1270">
        <v>250</v>
      </c>
      <c r="I1270" t="str" cm="1">
        <f t="array" ref="I1270">_xlfn.IFS(H1270&lt;=120,"V1",H1270&lt;=150,"V2",H1270&lt;=250,"V3", H1270&lt;=350, "V4")</f>
        <v>V3</v>
      </c>
      <c r="J1270" t="s">
        <v>4885</v>
      </c>
      <c r="K1270" t="str">
        <f t="shared" si="437"/>
        <v>39.46561</v>
      </c>
      <c r="L1270" t="str">
        <f t="shared" si="438"/>
        <v>-76.311042</v>
      </c>
      <c r="M1270">
        <v>50</v>
      </c>
      <c r="N1270" s="1">
        <v>44513</v>
      </c>
      <c r="O1270" s="1">
        <v>46099</v>
      </c>
      <c r="P1270" s="2">
        <f t="shared" si="439"/>
        <v>4.3422313483915129</v>
      </c>
      <c r="Q1270" s="2" t="str">
        <f t="shared" si="440"/>
        <v>Mid</v>
      </c>
      <c r="R1270">
        <f t="shared" si="441"/>
        <v>2000</v>
      </c>
      <c r="S1270" t="str">
        <f t="shared" si="442"/>
        <v>Small</v>
      </c>
      <c r="T1270" t="str">
        <f t="shared" si="443"/>
        <v>Lower EV Adoption Corridor</v>
      </c>
      <c r="U1270" s="3">
        <f t="shared" si="444"/>
        <v>3600000</v>
      </c>
      <c r="V1270" s="4">
        <f t="shared" si="445"/>
        <v>880000.00000000012</v>
      </c>
      <c r="W1270" s="3">
        <f t="shared" si="446"/>
        <v>12000000</v>
      </c>
      <c r="X1270" s="3">
        <f t="shared" si="447"/>
        <v>6600000.0000000009</v>
      </c>
      <c r="Y1270">
        <f t="shared" si="448"/>
        <v>0.31515151515151513</v>
      </c>
      <c r="Z1270">
        <f t="shared" si="449"/>
        <v>0.75555555555555554</v>
      </c>
      <c r="AA1270" t="str">
        <f t="shared" si="450"/>
        <v>Tier 2 - Growth Markets</v>
      </c>
      <c r="AB1270" s="3">
        <f t="shared" si="451"/>
        <v>110000.00000000001</v>
      </c>
      <c r="AC1270" s="3">
        <f t="shared" si="452"/>
        <v>1500000</v>
      </c>
      <c r="AD1270" s="3">
        <f t="shared" si="453"/>
        <v>450000</v>
      </c>
      <c r="AE1270" s="5">
        <f t="shared" si="454"/>
        <v>4.4117647058823533</v>
      </c>
      <c r="AF1270" s="10">
        <f t="shared" si="455"/>
        <v>545600.00000000012</v>
      </c>
      <c r="AG1270" s="10">
        <f t="shared" si="456"/>
        <v>176000.00000000003</v>
      </c>
      <c r="AH1270" s="10">
        <f t="shared" si="457"/>
        <v>88000.000000000015</v>
      </c>
      <c r="AI1270" s="10">
        <f t="shared" si="458"/>
        <v>44000.000000000007</v>
      </c>
      <c r="AJ1270" s="10">
        <f t="shared" si="459"/>
        <v>26400.000000000004</v>
      </c>
    </row>
    <row r="1271" spans="1:36" x14ac:dyDescent="0.3">
      <c r="A1271" t="s">
        <v>4886</v>
      </c>
      <c r="B1271" t="s">
        <v>4887</v>
      </c>
      <c r="C1271" t="s">
        <v>769</v>
      </c>
      <c r="D1271" t="s">
        <v>14</v>
      </c>
      <c r="E1271">
        <v>92592</v>
      </c>
      <c r="F1271" t="s">
        <v>15</v>
      </c>
      <c r="G1271">
        <v>8</v>
      </c>
      <c r="H1271">
        <v>250</v>
      </c>
      <c r="I1271" t="str" cm="1">
        <f t="array" ref="I1271">_xlfn.IFS(H1271&lt;=120,"V1",H1271&lt;=150,"V2",H1271&lt;=250,"V3", H1271&lt;=350, "V4")</f>
        <v>V3</v>
      </c>
      <c r="J1271" t="s">
        <v>4888</v>
      </c>
      <c r="K1271" t="str">
        <f t="shared" si="437"/>
        <v>33.475122</v>
      </c>
      <c r="L1271" t="str">
        <f t="shared" si="438"/>
        <v>-117.129563</v>
      </c>
      <c r="M1271">
        <v>308</v>
      </c>
      <c r="N1271" s="1">
        <v>44386</v>
      </c>
      <c r="O1271" s="1">
        <v>46099</v>
      </c>
      <c r="P1271" s="2">
        <f t="shared" si="439"/>
        <v>4.6899383983572891</v>
      </c>
      <c r="Q1271" s="2" t="str">
        <f t="shared" si="440"/>
        <v>Mid</v>
      </c>
      <c r="R1271">
        <f t="shared" si="441"/>
        <v>2000</v>
      </c>
      <c r="S1271" t="str">
        <f t="shared" si="442"/>
        <v>Small</v>
      </c>
      <c r="T1271" t="str">
        <f t="shared" si="443"/>
        <v>High EV Adoption Corridor</v>
      </c>
      <c r="U1271" s="3">
        <f t="shared" si="444"/>
        <v>4680000</v>
      </c>
      <c r="V1271" s="4">
        <f t="shared" si="445"/>
        <v>1056000</v>
      </c>
      <c r="W1271" s="3">
        <f t="shared" si="446"/>
        <v>13200000.000000002</v>
      </c>
      <c r="X1271" s="3">
        <f t="shared" si="447"/>
        <v>9900000.0000000019</v>
      </c>
      <c r="Y1271">
        <f t="shared" si="448"/>
        <v>0.23999999999999996</v>
      </c>
      <c r="Z1271">
        <f t="shared" si="449"/>
        <v>0.77435897435897438</v>
      </c>
      <c r="AA1271" t="str">
        <f t="shared" si="450"/>
        <v>Tier 1 - Priority Fleet</v>
      </c>
      <c r="AB1271" s="3">
        <f t="shared" si="451"/>
        <v>132000</v>
      </c>
      <c r="AC1271" s="3">
        <f t="shared" si="452"/>
        <v>1650000.0000000002</v>
      </c>
      <c r="AD1271" s="3">
        <f t="shared" si="453"/>
        <v>585000</v>
      </c>
      <c r="AE1271" s="5">
        <f t="shared" si="454"/>
        <v>3.6423841059602653</v>
      </c>
      <c r="AF1271" s="10">
        <f t="shared" si="455"/>
        <v>654720</v>
      </c>
      <c r="AG1271" s="10">
        <f t="shared" si="456"/>
        <v>211200</v>
      </c>
      <c r="AH1271" s="10">
        <f t="shared" si="457"/>
        <v>105600</v>
      </c>
      <c r="AI1271" s="10">
        <f t="shared" si="458"/>
        <v>52800</v>
      </c>
      <c r="AJ1271" s="10">
        <f t="shared" si="459"/>
        <v>31680</v>
      </c>
    </row>
    <row r="1272" spans="1:36" x14ac:dyDescent="0.3">
      <c r="A1272" t="s">
        <v>4889</v>
      </c>
      <c r="B1272" t="s">
        <v>4890</v>
      </c>
      <c r="C1272" t="s">
        <v>4891</v>
      </c>
      <c r="D1272" t="s">
        <v>14</v>
      </c>
      <c r="E1272">
        <v>91748</v>
      </c>
      <c r="F1272" t="s">
        <v>15</v>
      </c>
      <c r="G1272">
        <v>20</v>
      </c>
      <c r="H1272">
        <v>250</v>
      </c>
      <c r="I1272" t="str" cm="1">
        <f t="array" ref="I1272">_xlfn.IFS(H1272&lt;=120,"V1",H1272&lt;=150,"V2",H1272&lt;=250,"V3", H1272&lt;=350, "V4")</f>
        <v>V3</v>
      </c>
      <c r="J1272" t="s">
        <v>4892</v>
      </c>
      <c r="K1272" t="str">
        <f t="shared" si="437"/>
        <v>33.994605</v>
      </c>
      <c r="L1272" t="str">
        <f t="shared" si="438"/>
        <v>-117.899677</v>
      </c>
      <c r="M1272">
        <v>135</v>
      </c>
      <c r="N1272" s="1">
        <v>44380</v>
      </c>
      <c r="O1272" s="1">
        <v>46099</v>
      </c>
      <c r="P1272" s="2">
        <f t="shared" si="439"/>
        <v>4.7063655030800824</v>
      </c>
      <c r="Q1272" s="2" t="str">
        <f t="shared" si="440"/>
        <v>Mid</v>
      </c>
      <c r="R1272">
        <f t="shared" si="441"/>
        <v>5000</v>
      </c>
      <c r="S1272" t="str">
        <f t="shared" si="442"/>
        <v>Small</v>
      </c>
      <c r="T1272" t="str">
        <f t="shared" si="443"/>
        <v>High EV Adoption Corridor</v>
      </c>
      <c r="U1272" s="3">
        <f t="shared" si="444"/>
        <v>11700000</v>
      </c>
      <c r="V1272" s="4">
        <f t="shared" si="445"/>
        <v>2640000</v>
      </c>
      <c r="W1272" s="3">
        <f t="shared" si="446"/>
        <v>33000000.000000004</v>
      </c>
      <c r="X1272" s="3">
        <f t="shared" si="447"/>
        <v>24750000.000000004</v>
      </c>
      <c r="Y1272">
        <f t="shared" si="448"/>
        <v>0.23999999999999996</v>
      </c>
      <c r="Z1272">
        <f t="shared" si="449"/>
        <v>0.77435897435897438</v>
      </c>
      <c r="AA1272" t="str">
        <f t="shared" si="450"/>
        <v>Tier 1 - Priority Fleet</v>
      </c>
      <c r="AB1272" s="3">
        <f t="shared" si="451"/>
        <v>132000</v>
      </c>
      <c r="AC1272" s="3">
        <f t="shared" si="452"/>
        <v>1650000.0000000002</v>
      </c>
      <c r="AD1272" s="3">
        <f t="shared" si="453"/>
        <v>585000</v>
      </c>
      <c r="AE1272" s="5">
        <f t="shared" si="454"/>
        <v>3.6423841059602653</v>
      </c>
      <c r="AF1272" s="10">
        <f t="shared" si="455"/>
        <v>1636800</v>
      </c>
      <c r="AG1272" s="10">
        <f t="shared" si="456"/>
        <v>528000</v>
      </c>
      <c r="AH1272" s="10">
        <f t="shared" si="457"/>
        <v>264000</v>
      </c>
      <c r="AI1272" s="10">
        <f t="shared" si="458"/>
        <v>132000</v>
      </c>
      <c r="AJ1272" s="10">
        <f t="shared" si="459"/>
        <v>79200</v>
      </c>
    </row>
    <row r="1273" spans="1:36" x14ac:dyDescent="0.3">
      <c r="A1273" t="s">
        <v>4893</v>
      </c>
      <c r="B1273" t="s">
        <v>4894</v>
      </c>
      <c r="C1273" t="s">
        <v>4895</v>
      </c>
      <c r="D1273" t="s">
        <v>522</v>
      </c>
      <c r="E1273">
        <v>64020</v>
      </c>
      <c r="F1273" t="s">
        <v>15</v>
      </c>
      <c r="G1273">
        <v>8</v>
      </c>
      <c r="H1273">
        <v>250</v>
      </c>
      <c r="I1273" t="str" cm="1">
        <f t="array" ref="I1273">_xlfn.IFS(H1273&lt;=120,"V1",H1273&lt;=150,"V2",H1273&lt;=250,"V3", H1273&lt;=350, "V4")</f>
        <v>V3</v>
      </c>
      <c r="J1273" t="s">
        <v>4896</v>
      </c>
      <c r="K1273" t="str">
        <f t="shared" si="437"/>
        <v>38.989771</v>
      </c>
      <c r="L1273" t="str">
        <f t="shared" si="438"/>
        <v>-93.566975</v>
      </c>
      <c r="M1273">
        <v>232</v>
      </c>
      <c r="N1273" s="1">
        <v>44358</v>
      </c>
      <c r="O1273" s="1">
        <v>46099</v>
      </c>
      <c r="P1273" s="2">
        <f t="shared" si="439"/>
        <v>4.7665982203969888</v>
      </c>
      <c r="Q1273" s="2" t="str">
        <f t="shared" si="440"/>
        <v>Mid</v>
      </c>
      <c r="R1273">
        <f t="shared" si="441"/>
        <v>2000</v>
      </c>
      <c r="S1273" t="str">
        <f t="shared" si="442"/>
        <v>Small</v>
      </c>
      <c r="T1273" t="str">
        <f t="shared" si="443"/>
        <v>Lower EV Adoption Corridor</v>
      </c>
      <c r="U1273" s="3">
        <f t="shared" si="444"/>
        <v>3600000</v>
      </c>
      <c r="V1273" s="4">
        <f t="shared" si="445"/>
        <v>880000.00000000012</v>
      </c>
      <c r="W1273" s="3">
        <f t="shared" si="446"/>
        <v>12000000</v>
      </c>
      <c r="X1273" s="3">
        <f t="shared" si="447"/>
        <v>6600000.0000000009</v>
      </c>
      <c r="Y1273">
        <f t="shared" si="448"/>
        <v>0.31515151515151513</v>
      </c>
      <c r="Z1273">
        <f t="shared" si="449"/>
        <v>0.75555555555555554</v>
      </c>
      <c r="AA1273" t="str">
        <f t="shared" si="450"/>
        <v>Tier 2 - Growth Markets</v>
      </c>
      <c r="AB1273" s="3">
        <f t="shared" si="451"/>
        <v>110000.00000000001</v>
      </c>
      <c r="AC1273" s="3">
        <f t="shared" si="452"/>
        <v>1500000</v>
      </c>
      <c r="AD1273" s="3">
        <f t="shared" si="453"/>
        <v>450000</v>
      </c>
      <c r="AE1273" s="5">
        <f t="shared" si="454"/>
        <v>4.4117647058823533</v>
      </c>
      <c r="AF1273" s="10">
        <f t="shared" si="455"/>
        <v>545600.00000000012</v>
      </c>
      <c r="AG1273" s="10">
        <f t="shared" si="456"/>
        <v>176000.00000000003</v>
      </c>
      <c r="AH1273" s="10">
        <f t="shared" si="457"/>
        <v>88000.000000000015</v>
      </c>
      <c r="AI1273" s="10">
        <f t="shared" si="458"/>
        <v>44000.000000000007</v>
      </c>
      <c r="AJ1273" s="10">
        <f t="shared" si="459"/>
        <v>26400.000000000004</v>
      </c>
    </row>
    <row r="1274" spans="1:36" x14ac:dyDescent="0.3">
      <c r="A1274" t="s">
        <v>4897</v>
      </c>
      <c r="B1274" t="s">
        <v>4898</v>
      </c>
      <c r="C1274" t="s">
        <v>4899</v>
      </c>
      <c r="D1274" t="s">
        <v>50</v>
      </c>
      <c r="E1274">
        <v>78640</v>
      </c>
      <c r="F1274" t="s">
        <v>15</v>
      </c>
      <c r="G1274">
        <v>16</v>
      </c>
      <c r="H1274">
        <v>250</v>
      </c>
      <c r="I1274" t="str" cm="1">
        <f t="array" ref="I1274">_xlfn.IFS(H1274&lt;=120,"V1",H1274&lt;=150,"V2",H1274&lt;=250,"V3", H1274&lt;=350, "V4")</f>
        <v>V3</v>
      </c>
      <c r="J1274" t="s">
        <v>4900</v>
      </c>
      <c r="K1274" t="str">
        <f t="shared" si="437"/>
        <v>30.013004</v>
      </c>
      <c r="L1274" t="str">
        <f t="shared" si="438"/>
        <v>-97.862665</v>
      </c>
      <c r="M1274">
        <v>222</v>
      </c>
      <c r="N1274" s="1">
        <v>44416</v>
      </c>
      <c r="O1274" s="1">
        <v>46099</v>
      </c>
      <c r="P1274" s="2">
        <f t="shared" si="439"/>
        <v>4.6078028747433262</v>
      </c>
      <c r="Q1274" s="2" t="str">
        <f t="shared" si="440"/>
        <v>Mid</v>
      </c>
      <c r="R1274">
        <f t="shared" si="441"/>
        <v>4000</v>
      </c>
      <c r="S1274" t="str">
        <f t="shared" si="442"/>
        <v>Small</v>
      </c>
      <c r="T1274" t="str">
        <f t="shared" si="443"/>
        <v>High EV Adoption Corridor</v>
      </c>
      <c r="U1274" s="3">
        <f t="shared" si="444"/>
        <v>9360000</v>
      </c>
      <c r="V1274" s="4">
        <f t="shared" si="445"/>
        <v>2112000</v>
      </c>
      <c r="W1274" s="3">
        <f t="shared" si="446"/>
        <v>26400000.000000004</v>
      </c>
      <c r="X1274" s="3">
        <f t="shared" si="447"/>
        <v>19800000.000000004</v>
      </c>
      <c r="Y1274">
        <f t="shared" si="448"/>
        <v>0.23999999999999996</v>
      </c>
      <c r="Z1274">
        <f t="shared" si="449"/>
        <v>0.77435897435897438</v>
      </c>
      <c r="AA1274" t="str">
        <f t="shared" si="450"/>
        <v>Tier 1 - Priority Fleet</v>
      </c>
      <c r="AB1274" s="3">
        <f t="shared" si="451"/>
        <v>132000</v>
      </c>
      <c r="AC1274" s="3">
        <f t="shared" si="452"/>
        <v>1650000.0000000002</v>
      </c>
      <c r="AD1274" s="3">
        <f t="shared" si="453"/>
        <v>585000</v>
      </c>
      <c r="AE1274" s="5">
        <f t="shared" si="454"/>
        <v>3.6423841059602653</v>
      </c>
      <c r="AF1274" s="10">
        <f t="shared" si="455"/>
        <v>1309440</v>
      </c>
      <c r="AG1274" s="10">
        <f t="shared" si="456"/>
        <v>422400</v>
      </c>
      <c r="AH1274" s="10">
        <f t="shared" si="457"/>
        <v>211200</v>
      </c>
      <c r="AI1274" s="10">
        <f t="shared" si="458"/>
        <v>105600</v>
      </c>
      <c r="AJ1274" s="10">
        <f t="shared" si="459"/>
        <v>63360</v>
      </c>
    </row>
    <row r="1275" spans="1:36" x14ac:dyDescent="0.3">
      <c r="A1275" t="s">
        <v>4901</v>
      </c>
      <c r="B1275" t="s">
        <v>4902</v>
      </c>
      <c r="C1275" t="s">
        <v>4903</v>
      </c>
      <c r="D1275" t="s">
        <v>14</v>
      </c>
      <c r="E1275">
        <v>96130</v>
      </c>
      <c r="F1275" t="s">
        <v>15</v>
      </c>
      <c r="G1275">
        <v>8</v>
      </c>
      <c r="H1275">
        <v>250</v>
      </c>
      <c r="I1275" t="str" cm="1">
        <f t="array" ref="I1275">_xlfn.IFS(H1275&lt;=120,"V1",H1275&lt;=150,"V2",H1275&lt;=250,"V3", H1275&lt;=350, "V4")</f>
        <v>V3</v>
      </c>
      <c r="J1275" t="s">
        <v>4904</v>
      </c>
      <c r="K1275" t="str">
        <f t="shared" si="437"/>
        <v>40.430902</v>
      </c>
      <c r="L1275" t="str">
        <f t="shared" si="438"/>
        <v>-120.657897</v>
      </c>
      <c r="M1275">
        <v>1306</v>
      </c>
      <c r="N1275" s="1">
        <v>44468</v>
      </c>
      <c r="O1275" s="1">
        <v>46099</v>
      </c>
      <c r="P1275" s="2">
        <f t="shared" si="439"/>
        <v>4.4654346338124569</v>
      </c>
      <c r="Q1275" s="2" t="str">
        <f t="shared" si="440"/>
        <v>Mid</v>
      </c>
      <c r="R1275">
        <f t="shared" si="441"/>
        <v>2000</v>
      </c>
      <c r="S1275" t="str">
        <f t="shared" si="442"/>
        <v>Small</v>
      </c>
      <c r="T1275" t="str">
        <f t="shared" si="443"/>
        <v>High EV Adoption Corridor</v>
      </c>
      <c r="U1275" s="3">
        <f t="shared" si="444"/>
        <v>4680000</v>
      </c>
      <c r="V1275" s="4">
        <f t="shared" si="445"/>
        <v>1056000</v>
      </c>
      <c r="W1275" s="3">
        <f t="shared" si="446"/>
        <v>13200000.000000002</v>
      </c>
      <c r="X1275" s="3">
        <f t="shared" si="447"/>
        <v>9900000.0000000019</v>
      </c>
      <c r="Y1275">
        <f t="shared" si="448"/>
        <v>0.23999999999999996</v>
      </c>
      <c r="Z1275">
        <f t="shared" si="449"/>
        <v>0.77435897435897438</v>
      </c>
      <c r="AA1275" t="str">
        <f t="shared" si="450"/>
        <v>Tier 1 - Priority Fleet</v>
      </c>
      <c r="AB1275" s="3">
        <f t="shared" si="451"/>
        <v>132000</v>
      </c>
      <c r="AC1275" s="3">
        <f t="shared" si="452"/>
        <v>1650000.0000000002</v>
      </c>
      <c r="AD1275" s="3">
        <f t="shared" si="453"/>
        <v>585000</v>
      </c>
      <c r="AE1275" s="5">
        <f t="shared" si="454"/>
        <v>3.6423841059602653</v>
      </c>
      <c r="AF1275" s="10">
        <f t="shared" si="455"/>
        <v>654720</v>
      </c>
      <c r="AG1275" s="10">
        <f t="shared" si="456"/>
        <v>211200</v>
      </c>
      <c r="AH1275" s="10">
        <f t="shared" si="457"/>
        <v>105600</v>
      </c>
      <c r="AI1275" s="10">
        <f t="shared" si="458"/>
        <v>52800</v>
      </c>
      <c r="AJ1275" s="10">
        <f t="shared" si="459"/>
        <v>31680</v>
      </c>
    </row>
    <row r="1276" spans="1:36" x14ac:dyDescent="0.3">
      <c r="A1276" t="s">
        <v>4905</v>
      </c>
      <c r="B1276" t="s">
        <v>4906</v>
      </c>
      <c r="C1276" t="s">
        <v>2747</v>
      </c>
      <c r="D1276" t="s">
        <v>522</v>
      </c>
      <c r="E1276">
        <v>63144</v>
      </c>
      <c r="F1276" t="s">
        <v>15</v>
      </c>
      <c r="G1276">
        <v>12</v>
      </c>
      <c r="H1276">
        <v>250</v>
      </c>
      <c r="I1276" t="str" cm="1">
        <f t="array" ref="I1276">_xlfn.IFS(H1276&lt;=120,"V1",H1276&lt;=150,"V2",H1276&lt;=250,"V3", H1276&lt;=350, "V4")</f>
        <v>V3</v>
      </c>
      <c r="J1276" t="s">
        <v>4907</v>
      </c>
      <c r="K1276" t="str">
        <f t="shared" si="437"/>
        <v>38.626722</v>
      </c>
      <c r="L1276" t="str">
        <f t="shared" si="438"/>
        <v>-90.344139</v>
      </c>
      <c r="M1276">
        <v>143</v>
      </c>
      <c r="N1276" s="1">
        <v>44469</v>
      </c>
      <c r="O1276" s="1">
        <v>46099</v>
      </c>
      <c r="P1276" s="2">
        <f t="shared" si="439"/>
        <v>4.4626967830253248</v>
      </c>
      <c r="Q1276" s="2" t="str">
        <f t="shared" si="440"/>
        <v>Mid</v>
      </c>
      <c r="R1276">
        <f t="shared" si="441"/>
        <v>3000</v>
      </c>
      <c r="S1276" t="str">
        <f t="shared" si="442"/>
        <v>Small</v>
      </c>
      <c r="T1276" t="str">
        <f t="shared" si="443"/>
        <v>Lower EV Adoption Corridor</v>
      </c>
      <c r="U1276" s="3">
        <f t="shared" si="444"/>
        <v>5400000</v>
      </c>
      <c r="V1276" s="4">
        <f t="shared" si="445"/>
        <v>1320000</v>
      </c>
      <c r="W1276" s="3">
        <f t="shared" si="446"/>
        <v>18000000</v>
      </c>
      <c r="X1276" s="3">
        <f t="shared" si="447"/>
        <v>9900000</v>
      </c>
      <c r="Y1276">
        <f t="shared" si="448"/>
        <v>0.31515151515151513</v>
      </c>
      <c r="Z1276">
        <f t="shared" si="449"/>
        <v>0.75555555555555554</v>
      </c>
      <c r="AA1276" t="str">
        <f t="shared" si="450"/>
        <v>Tier 2 - Growth Markets</v>
      </c>
      <c r="AB1276" s="3">
        <f t="shared" si="451"/>
        <v>110000</v>
      </c>
      <c r="AC1276" s="3">
        <f t="shared" si="452"/>
        <v>1500000</v>
      </c>
      <c r="AD1276" s="3">
        <f t="shared" si="453"/>
        <v>450000</v>
      </c>
      <c r="AE1276" s="5">
        <f t="shared" si="454"/>
        <v>4.4117647058823533</v>
      </c>
      <c r="AF1276" s="10">
        <f t="shared" si="455"/>
        <v>818400</v>
      </c>
      <c r="AG1276" s="10">
        <f t="shared" si="456"/>
        <v>264000</v>
      </c>
      <c r="AH1276" s="10">
        <f t="shared" si="457"/>
        <v>132000</v>
      </c>
      <c r="AI1276" s="10">
        <f t="shared" si="458"/>
        <v>66000</v>
      </c>
      <c r="AJ1276" s="10">
        <f t="shared" si="459"/>
        <v>39600</v>
      </c>
    </row>
    <row r="1277" spans="1:36" x14ac:dyDescent="0.3">
      <c r="A1277" t="s">
        <v>4908</v>
      </c>
      <c r="B1277" t="s">
        <v>4909</v>
      </c>
      <c r="C1277" t="s">
        <v>4910</v>
      </c>
      <c r="D1277" t="s">
        <v>14</v>
      </c>
      <c r="E1277">
        <v>94577</v>
      </c>
      <c r="F1277" t="s">
        <v>15</v>
      </c>
      <c r="G1277">
        <v>12</v>
      </c>
      <c r="H1277">
        <v>250</v>
      </c>
      <c r="I1277" t="str" cm="1">
        <f t="array" ref="I1277">_xlfn.IFS(H1277&lt;=120,"V1",H1277&lt;=150,"V2",H1277&lt;=250,"V3", H1277&lt;=350, "V4")</f>
        <v>V3</v>
      </c>
      <c r="J1277" t="s">
        <v>4911</v>
      </c>
      <c r="K1277" t="str">
        <f t="shared" si="437"/>
        <v>37.709813</v>
      </c>
      <c r="L1277" t="str">
        <f t="shared" si="438"/>
        <v>-122.164607</v>
      </c>
      <c r="M1277">
        <v>10</v>
      </c>
      <c r="N1277" s="1">
        <v>44820</v>
      </c>
      <c r="O1277" s="1">
        <v>46099</v>
      </c>
      <c r="P1277" s="2">
        <f t="shared" si="439"/>
        <v>3.5017111567419574</v>
      </c>
      <c r="Q1277" s="2" t="str">
        <f t="shared" si="440"/>
        <v>Mid</v>
      </c>
      <c r="R1277">
        <f t="shared" si="441"/>
        <v>3000</v>
      </c>
      <c r="S1277" t="str">
        <f t="shared" si="442"/>
        <v>Small</v>
      </c>
      <c r="T1277" t="str">
        <f t="shared" si="443"/>
        <v>High EV Adoption Corridor</v>
      </c>
      <c r="U1277" s="3">
        <f t="shared" si="444"/>
        <v>7020000</v>
      </c>
      <c r="V1277" s="4">
        <f t="shared" si="445"/>
        <v>1584000</v>
      </c>
      <c r="W1277" s="3">
        <f t="shared" si="446"/>
        <v>19800000</v>
      </c>
      <c r="X1277" s="3">
        <f t="shared" si="447"/>
        <v>14850000</v>
      </c>
      <c r="Y1277">
        <f t="shared" si="448"/>
        <v>0.24</v>
      </c>
      <c r="Z1277">
        <f t="shared" si="449"/>
        <v>0.77435897435897438</v>
      </c>
      <c r="AA1277" t="str">
        <f t="shared" si="450"/>
        <v>Tier 1 - Priority Fleet</v>
      </c>
      <c r="AB1277" s="3">
        <f t="shared" si="451"/>
        <v>132000</v>
      </c>
      <c r="AC1277" s="3">
        <f t="shared" si="452"/>
        <v>1650000</v>
      </c>
      <c r="AD1277" s="3">
        <f t="shared" si="453"/>
        <v>585000</v>
      </c>
      <c r="AE1277" s="5">
        <f t="shared" si="454"/>
        <v>3.6423841059602649</v>
      </c>
      <c r="AF1277" s="10">
        <f t="shared" si="455"/>
        <v>982080</v>
      </c>
      <c r="AG1277" s="10">
        <f t="shared" si="456"/>
        <v>316800</v>
      </c>
      <c r="AH1277" s="10">
        <f t="shared" si="457"/>
        <v>158400</v>
      </c>
      <c r="AI1277" s="10">
        <f t="shared" si="458"/>
        <v>79200</v>
      </c>
      <c r="AJ1277" s="10">
        <f t="shared" si="459"/>
        <v>47520</v>
      </c>
    </row>
    <row r="1278" spans="1:36" x14ac:dyDescent="0.3">
      <c r="A1278" t="s">
        <v>4912</v>
      </c>
      <c r="B1278" t="s">
        <v>4913</v>
      </c>
      <c r="C1278" t="s">
        <v>1619</v>
      </c>
      <c r="D1278" t="s">
        <v>50</v>
      </c>
      <c r="E1278">
        <v>78748</v>
      </c>
      <c r="F1278" t="s">
        <v>15</v>
      </c>
      <c r="G1278">
        <v>12</v>
      </c>
      <c r="H1278">
        <v>250</v>
      </c>
      <c r="I1278" t="str" cm="1">
        <f t="array" ref="I1278">_xlfn.IFS(H1278&lt;=120,"V1",H1278&lt;=150,"V2",H1278&lt;=250,"V3", H1278&lt;=350, "V4")</f>
        <v>V3</v>
      </c>
      <c r="J1278" t="s">
        <v>4914</v>
      </c>
      <c r="K1278" t="str">
        <f t="shared" si="437"/>
        <v>30.16287</v>
      </c>
      <c r="L1278" t="str">
        <f t="shared" si="438"/>
        <v>-97.792063</v>
      </c>
      <c r="M1278">
        <v>194</v>
      </c>
      <c r="N1278" s="1">
        <v>44540</v>
      </c>
      <c r="O1278" s="1">
        <v>46099</v>
      </c>
      <c r="P1278" s="2">
        <f t="shared" si="439"/>
        <v>4.2683093771389462</v>
      </c>
      <c r="Q1278" s="2" t="str">
        <f t="shared" si="440"/>
        <v>Mid</v>
      </c>
      <c r="R1278">
        <f t="shared" si="441"/>
        <v>3000</v>
      </c>
      <c r="S1278" t="str">
        <f t="shared" si="442"/>
        <v>Small</v>
      </c>
      <c r="T1278" t="str">
        <f t="shared" si="443"/>
        <v>High EV Adoption Corridor</v>
      </c>
      <c r="U1278" s="3">
        <f t="shared" si="444"/>
        <v>7020000</v>
      </c>
      <c r="V1278" s="4">
        <f t="shared" si="445"/>
        <v>1584000</v>
      </c>
      <c r="W1278" s="3">
        <f t="shared" si="446"/>
        <v>19800000</v>
      </c>
      <c r="X1278" s="3">
        <f t="shared" si="447"/>
        <v>14850000</v>
      </c>
      <c r="Y1278">
        <f t="shared" si="448"/>
        <v>0.24</v>
      </c>
      <c r="Z1278">
        <f t="shared" si="449"/>
        <v>0.77435897435897438</v>
      </c>
      <c r="AA1278" t="str">
        <f t="shared" si="450"/>
        <v>Tier 1 - Priority Fleet</v>
      </c>
      <c r="AB1278" s="3">
        <f t="shared" si="451"/>
        <v>132000</v>
      </c>
      <c r="AC1278" s="3">
        <f t="shared" si="452"/>
        <v>1650000</v>
      </c>
      <c r="AD1278" s="3">
        <f t="shared" si="453"/>
        <v>585000</v>
      </c>
      <c r="AE1278" s="5">
        <f t="shared" si="454"/>
        <v>3.6423841059602649</v>
      </c>
      <c r="AF1278" s="10">
        <f t="shared" si="455"/>
        <v>982080</v>
      </c>
      <c r="AG1278" s="10">
        <f t="shared" si="456"/>
        <v>316800</v>
      </c>
      <c r="AH1278" s="10">
        <f t="shared" si="457"/>
        <v>158400</v>
      </c>
      <c r="AI1278" s="10">
        <f t="shared" si="458"/>
        <v>79200</v>
      </c>
      <c r="AJ1278" s="10">
        <f t="shared" si="459"/>
        <v>47520</v>
      </c>
    </row>
    <row r="1279" spans="1:36" x14ac:dyDescent="0.3">
      <c r="A1279" t="s">
        <v>4915</v>
      </c>
      <c r="B1279" t="s">
        <v>4916</v>
      </c>
      <c r="C1279" t="s">
        <v>4917</v>
      </c>
      <c r="D1279" t="s">
        <v>268</v>
      </c>
      <c r="E1279">
        <v>81625</v>
      </c>
      <c r="F1279" t="s">
        <v>15</v>
      </c>
      <c r="G1279">
        <v>8</v>
      </c>
      <c r="H1279">
        <v>250</v>
      </c>
      <c r="I1279" t="str" cm="1">
        <f t="array" ref="I1279">_xlfn.IFS(H1279&lt;=120,"V1",H1279&lt;=150,"V2",H1279&lt;=250,"V3", H1279&lt;=350, "V4")</f>
        <v>V3</v>
      </c>
      <c r="J1279" t="s">
        <v>4918</v>
      </c>
      <c r="K1279" t="str">
        <f t="shared" si="437"/>
        <v>40.513995</v>
      </c>
      <c r="L1279" t="str">
        <f t="shared" si="438"/>
        <v>-107.538785</v>
      </c>
      <c r="M1279">
        <v>1886</v>
      </c>
      <c r="N1279" s="1">
        <v>44239</v>
      </c>
      <c r="O1279" s="1">
        <v>46099</v>
      </c>
      <c r="P1279" s="2">
        <f t="shared" si="439"/>
        <v>5.0924024640657084</v>
      </c>
      <c r="Q1279" s="2" t="str">
        <f t="shared" si="440"/>
        <v>Mid</v>
      </c>
      <c r="R1279">
        <f t="shared" si="441"/>
        <v>2000</v>
      </c>
      <c r="S1279" t="str">
        <f t="shared" si="442"/>
        <v>Small</v>
      </c>
      <c r="T1279" t="str">
        <f t="shared" si="443"/>
        <v>High EV Adoption Corridor</v>
      </c>
      <c r="U1279" s="3">
        <f t="shared" si="444"/>
        <v>4680000</v>
      </c>
      <c r="V1279" s="4">
        <f t="shared" si="445"/>
        <v>1056000</v>
      </c>
      <c r="W1279" s="3">
        <f t="shared" si="446"/>
        <v>13200000.000000002</v>
      </c>
      <c r="X1279" s="3">
        <f t="shared" si="447"/>
        <v>9900000.0000000019</v>
      </c>
      <c r="Y1279">
        <f t="shared" si="448"/>
        <v>0.23999999999999996</v>
      </c>
      <c r="Z1279">
        <f t="shared" si="449"/>
        <v>0.77435897435897438</v>
      </c>
      <c r="AA1279" t="str">
        <f t="shared" si="450"/>
        <v>Tier 1 - Priority Fleet</v>
      </c>
      <c r="AB1279" s="3">
        <f t="shared" si="451"/>
        <v>132000</v>
      </c>
      <c r="AC1279" s="3">
        <f t="shared" si="452"/>
        <v>1650000.0000000002</v>
      </c>
      <c r="AD1279" s="3">
        <f t="shared" si="453"/>
        <v>585000</v>
      </c>
      <c r="AE1279" s="5">
        <f t="shared" si="454"/>
        <v>3.6423841059602653</v>
      </c>
      <c r="AF1279" s="10">
        <f t="shared" si="455"/>
        <v>654720</v>
      </c>
      <c r="AG1279" s="10">
        <f t="shared" si="456"/>
        <v>211200</v>
      </c>
      <c r="AH1279" s="10">
        <f t="shared" si="457"/>
        <v>105600</v>
      </c>
      <c r="AI1279" s="10">
        <f t="shared" si="458"/>
        <v>52800</v>
      </c>
      <c r="AJ1279" s="10">
        <f t="shared" si="459"/>
        <v>31680</v>
      </c>
    </row>
    <row r="1280" spans="1:36" x14ac:dyDescent="0.3">
      <c r="A1280" t="s">
        <v>4919</v>
      </c>
      <c r="B1280" t="s">
        <v>4920</v>
      </c>
      <c r="C1280" t="s">
        <v>4921</v>
      </c>
      <c r="D1280" t="s">
        <v>14</v>
      </c>
      <c r="E1280">
        <v>93610</v>
      </c>
      <c r="F1280" t="s">
        <v>15</v>
      </c>
      <c r="G1280">
        <v>12</v>
      </c>
      <c r="H1280">
        <v>250</v>
      </c>
      <c r="I1280" t="str" cm="1">
        <f t="array" ref="I1280">_xlfn.IFS(H1280&lt;=120,"V1",H1280&lt;=150,"V2",H1280&lt;=250,"V3", H1280&lt;=350, "V4")</f>
        <v>V3</v>
      </c>
      <c r="J1280" t="s">
        <v>4922</v>
      </c>
      <c r="K1280" t="str">
        <f t="shared" si="437"/>
        <v>37.126287</v>
      </c>
      <c r="L1280" t="str">
        <f t="shared" si="438"/>
        <v>-120.247428</v>
      </c>
      <c r="M1280">
        <v>75</v>
      </c>
      <c r="N1280" s="1">
        <v>45043</v>
      </c>
      <c r="O1280" s="1">
        <v>46099</v>
      </c>
      <c r="P1280" s="2">
        <f t="shared" si="439"/>
        <v>2.8911704312114992</v>
      </c>
      <c r="Q1280" s="2" t="str">
        <f t="shared" si="440"/>
        <v>New</v>
      </c>
      <c r="R1280">
        <f t="shared" si="441"/>
        <v>3000</v>
      </c>
      <c r="S1280" t="str">
        <f t="shared" si="442"/>
        <v>Small</v>
      </c>
      <c r="T1280" t="str">
        <f t="shared" si="443"/>
        <v>High EV Adoption Corridor</v>
      </c>
      <c r="U1280" s="3">
        <f t="shared" si="444"/>
        <v>7020000</v>
      </c>
      <c r="V1280" s="4">
        <f t="shared" si="445"/>
        <v>1584000</v>
      </c>
      <c r="W1280" s="3">
        <f t="shared" si="446"/>
        <v>19800000</v>
      </c>
      <c r="X1280" s="3">
        <f t="shared" si="447"/>
        <v>14850000</v>
      </c>
      <c r="Y1280">
        <f t="shared" si="448"/>
        <v>0.24</v>
      </c>
      <c r="Z1280">
        <f t="shared" si="449"/>
        <v>0.77435897435897438</v>
      </c>
      <c r="AA1280" t="str">
        <f t="shared" si="450"/>
        <v>Tier 1 - Priority Fleet</v>
      </c>
      <c r="AB1280" s="3">
        <f t="shared" si="451"/>
        <v>132000</v>
      </c>
      <c r="AC1280" s="3">
        <f t="shared" si="452"/>
        <v>1650000</v>
      </c>
      <c r="AD1280" s="3">
        <f t="shared" si="453"/>
        <v>585000</v>
      </c>
      <c r="AE1280" s="5">
        <f t="shared" si="454"/>
        <v>3.6423841059602649</v>
      </c>
      <c r="AF1280" s="10">
        <f t="shared" si="455"/>
        <v>982080</v>
      </c>
      <c r="AG1280" s="10">
        <f t="shared" si="456"/>
        <v>316800</v>
      </c>
      <c r="AH1280" s="10">
        <f t="shared" si="457"/>
        <v>158400</v>
      </c>
      <c r="AI1280" s="10">
        <f t="shared" si="458"/>
        <v>79200</v>
      </c>
      <c r="AJ1280" s="10">
        <f t="shared" si="459"/>
        <v>47520</v>
      </c>
    </row>
    <row r="1281" spans="1:36" x14ac:dyDescent="0.3">
      <c r="A1281" t="s">
        <v>4923</v>
      </c>
      <c r="B1281" t="s">
        <v>4924</v>
      </c>
      <c r="C1281" t="s">
        <v>1554</v>
      </c>
      <c r="D1281" t="s">
        <v>14</v>
      </c>
      <c r="E1281">
        <v>93239</v>
      </c>
      <c r="F1281" t="s">
        <v>15</v>
      </c>
      <c r="G1281">
        <v>55</v>
      </c>
      <c r="H1281">
        <v>250</v>
      </c>
      <c r="I1281" t="str" cm="1">
        <f t="array" ref="I1281">_xlfn.IFS(H1281&lt;=120,"V1",H1281&lt;=150,"V2",H1281&lt;=250,"V3", H1281&lt;=350, "V4")</f>
        <v>V3</v>
      </c>
      <c r="J1281" t="s">
        <v>4925</v>
      </c>
      <c r="K1281" t="str">
        <f t="shared" si="437"/>
        <v>35.9861622</v>
      </c>
      <c r="L1281" t="str">
        <f t="shared" si="438"/>
        <v>-119.957565</v>
      </c>
      <c r="M1281">
        <v>104</v>
      </c>
      <c r="N1281" s="1">
        <v>44521</v>
      </c>
      <c r="O1281" s="1">
        <v>46099</v>
      </c>
      <c r="P1281" s="2">
        <f t="shared" si="439"/>
        <v>4.3203285420944555</v>
      </c>
      <c r="Q1281" s="2" t="str">
        <f t="shared" si="440"/>
        <v>Mid</v>
      </c>
      <c r="R1281">
        <f t="shared" si="441"/>
        <v>13750</v>
      </c>
      <c r="S1281" t="str">
        <f t="shared" si="442"/>
        <v>Medium</v>
      </c>
      <c r="T1281" t="str">
        <f t="shared" si="443"/>
        <v>High EV Adoption Corridor</v>
      </c>
      <c r="U1281" s="3">
        <f t="shared" si="444"/>
        <v>32175000</v>
      </c>
      <c r="V1281" s="4">
        <f t="shared" si="445"/>
        <v>7260000.0000000009</v>
      </c>
      <c r="W1281" s="3">
        <f t="shared" si="446"/>
        <v>90750000</v>
      </c>
      <c r="X1281" s="3">
        <f t="shared" si="447"/>
        <v>68062500</v>
      </c>
      <c r="Y1281">
        <f t="shared" si="448"/>
        <v>0.24</v>
      </c>
      <c r="Z1281">
        <f t="shared" si="449"/>
        <v>0.77435897435897438</v>
      </c>
      <c r="AA1281" t="str">
        <f t="shared" si="450"/>
        <v>Tier 1 - Priority Fleet</v>
      </c>
      <c r="AB1281" s="3">
        <f t="shared" si="451"/>
        <v>132000.00000000003</v>
      </c>
      <c r="AC1281" s="3">
        <f t="shared" si="452"/>
        <v>1650000</v>
      </c>
      <c r="AD1281" s="3">
        <f t="shared" si="453"/>
        <v>585000</v>
      </c>
      <c r="AE1281" s="5">
        <f t="shared" si="454"/>
        <v>3.6423841059602649</v>
      </c>
      <c r="AF1281" s="10">
        <f t="shared" si="455"/>
        <v>4501200.0000000009</v>
      </c>
      <c r="AG1281" s="10">
        <f t="shared" si="456"/>
        <v>1452000.0000000002</v>
      </c>
      <c r="AH1281" s="10">
        <f t="shared" si="457"/>
        <v>726000.00000000012</v>
      </c>
      <c r="AI1281" s="10">
        <f t="shared" si="458"/>
        <v>363000.00000000006</v>
      </c>
      <c r="AJ1281" s="10">
        <f t="shared" si="459"/>
        <v>217800.00000000003</v>
      </c>
    </row>
    <row r="1282" spans="1:36" x14ac:dyDescent="0.3">
      <c r="A1282" t="s">
        <v>4926</v>
      </c>
      <c r="B1282" t="s">
        <v>4927</v>
      </c>
      <c r="C1282" t="s">
        <v>4928</v>
      </c>
      <c r="D1282" t="s">
        <v>158</v>
      </c>
      <c r="E1282">
        <v>11937</v>
      </c>
      <c r="F1282" t="s">
        <v>15</v>
      </c>
      <c r="G1282">
        <v>12</v>
      </c>
      <c r="H1282">
        <v>250</v>
      </c>
      <c r="I1282" t="str" cm="1">
        <f t="array" ref="I1282">_xlfn.IFS(H1282&lt;=120,"V1",H1282&lt;=150,"V2",H1282&lt;=250,"V3", H1282&lt;=350, "V4")</f>
        <v>V3</v>
      </c>
      <c r="J1282" t="s">
        <v>4929</v>
      </c>
      <c r="K1282" t="str">
        <f t="shared" si="437"/>
        <v>40.965501</v>
      </c>
      <c r="L1282" t="str">
        <f t="shared" si="438"/>
        <v>-72.189633</v>
      </c>
      <c r="M1282">
        <v>14</v>
      </c>
      <c r="N1282" s="1">
        <v>44647</v>
      </c>
      <c r="O1282" s="1">
        <v>46099</v>
      </c>
      <c r="P1282" s="2">
        <f t="shared" si="439"/>
        <v>3.9753593429158109</v>
      </c>
      <c r="Q1282" s="2" t="str">
        <f t="shared" si="440"/>
        <v>Mid</v>
      </c>
      <c r="R1282">
        <f t="shared" si="441"/>
        <v>3000</v>
      </c>
      <c r="S1282" t="str">
        <f t="shared" si="442"/>
        <v>Small</v>
      </c>
      <c r="T1282" t="str">
        <f t="shared" si="443"/>
        <v>Lower EV Adoption Corridor</v>
      </c>
      <c r="U1282" s="3">
        <f t="shared" si="444"/>
        <v>5400000</v>
      </c>
      <c r="V1282" s="4">
        <f t="shared" si="445"/>
        <v>1320000</v>
      </c>
      <c r="W1282" s="3">
        <f t="shared" si="446"/>
        <v>18000000</v>
      </c>
      <c r="X1282" s="3">
        <f t="shared" si="447"/>
        <v>9900000</v>
      </c>
      <c r="Y1282">
        <f t="shared" si="448"/>
        <v>0.31515151515151513</v>
      </c>
      <c r="Z1282">
        <f t="shared" si="449"/>
        <v>0.75555555555555554</v>
      </c>
      <c r="AA1282" t="str">
        <f t="shared" si="450"/>
        <v>Tier 2 - Growth Markets</v>
      </c>
      <c r="AB1282" s="3">
        <f t="shared" si="451"/>
        <v>110000</v>
      </c>
      <c r="AC1282" s="3">
        <f t="shared" si="452"/>
        <v>1500000</v>
      </c>
      <c r="AD1282" s="3">
        <f t="shared" si="453"/>
        <v>450000</v>
      </c>
      <c r="AE1282" s="5">
        <f t="shared" si="454"/>
        <v>4.4117647058823533</v>
      </c>
      <c r="AF1282" s="10">
        <f t="shared" si="455"/>
        <v>818400</v>
      </c>
      <c r="AG1282" s="10">
        <f t="shared" si="456"/>
        <v>264000</v>
      </c>
      <c r="AH1282" s="10">
        <f t="shared" si="457"/>
        <v>132000</v>
      </c>
      <c r="AI1282" s="10">
        <f t="shared" si="458"/>
        <v>66000</v>
      </c>
      <c r="AJ1282" s="10">
        <f t="shared" si="459"/>
        <v>39600</v>
      </c>
    </row>
    <row r="1283" spans="1:36" x14ac:dyDescent="0.3">
      <c r="A1283" t="s">
        <v>4930</v>
      </c>
      <c r="B1283" t="s">
        <v>4931</v>
      </c>
      <c r="C1283" t="s">
        <v>1627</v>
      </c>
      <c r="D1283" t="s">
        <v>14</v>
      </c>
      <c r="E1283">
        <v>92130</v>
      </c>
      <c r="F1283" t="s">
        <v>15</v>
      </c>
      <c r="G1283">
        <v>24</v>
      </c>
      <c r="H1283">
        <v>250</v>
      </c>
      <c r="I1283" t="str" cm="1">
        <f t="array" ref="I1283">_xlfn.IFS(H1283&lt;=120,"V1",H1283&lt;=150,"V2",H1283&lt;=250,"V3", H1283&lt;=350, "V4")</f>
        <v>V3</v>
      </c>
      <c r="J1283" t="s">
        <v>4932</v>
      </c>
      <c r="K1283" t="str">
        <f t="shared" ref="K1283:K1346" si="460">TRIM(LEFT(J1283, FIND(",", J1283) - 1))</f>
        <v>32.920824</v>
      </c>
      <c r="L1283" t="str">
        <f t="shared" ref="L1283:L1346" si="461">TRIM(MID(J1283, FIND(",", J1283) + 1, LEN(J1283)))</f>
        <v>-117.21491</v>
      </c>
      <c r="M1283">
        <v>94</v>
      </c>
      <c r="N1283" s="1">
        <v>44691</v>
      </c>
      <c r="O1283" s="1">
        <v>46099</v>
      </c>
      <c r="P1283" s="2">
        <f t="shared" ref="P1283:P1346" si="462">(O1283-N1283)/365.25</f>
        <v>3.8548939082819986</v>
      </c>
      <c r="Q1283" s="2" t="str">
        <f t="shared" ref="Q1283:Q1346" si="463">IF(P1283&lt;3,"New",IF(P1283&lt;=8,"Mid","Old"))</f>
        <v>Mid</v>
      </c>
      <c r="R1283">
        <f t="shared" ref="R1283:R1346" si="464">G1283*H1283</f>
        <v>6000</v>
      </c>
      <c r="S1283" t="str">
        <f t="shared" ref="S1283:S1346" si="465">IF(G1283&lt;=30,"Small",IF(G1283&lt;=60,"Medium","Large"))</f>
        <v>Small</v>
      </c>
      <c r="T1283" t="str">
        <f t="shared" ref="T1283:T1346" si="466">IF(OR(D1283="CA",D1283="FL",D1283="WA",D1283="CO",D1283="TX",D1283="NJ"),"High EV Adoption Corridor","Lower EV Adoption Corridor")</f>
        <v>High EV Adoption Corridor</v>
      </c>
      <c r="U1283" s="3">
        <f t="shared" ref="U1283:U1346" si="467" xml:space="preserve"> R1283 * 1500 *
  IF(I1283="V1",1,
     IF(I1283="V2",1.1,1.2)) *
  IF(T1283="High EV Adoption Corridor",1.3,1)</f>
        <v>14040000</v>
      </c>
      <c r="V1283" s="4">
        <f t="shared" ref="V1283:V1346" si="468" xml:space="preserve"> R1283 * 400 *
  IF(I1283="V1",0.9,
     IF(I1283="V2",1,1.1)) *
  IF(T1283="High EV Adoption Corridor",1.2,1)</f>
        <v>3168000</v>
      </c>
      <c r="W1283" s="3">
        <f t="shared" ref="W1283:W1346" si="469" xml:space="preserve"> R1283 * 5000 *
  IF(I1283="V1",0.8,
     IF(I1283="V2",1,1.2)) *
  IF(T1283="High EV Adoption Corridor",1.1,1)</f>
        <v>39600000</v>
      </c>
      <c r="X1283" s="3">
        <f t="shared" ref="X1283:X1346" si="470" xml:space="preserve"> R1283 * 3000 *
  IF(I1283="V1",0.9,
     IF(I1283="V2",1,1.1)) *
  IF(T1283="High EV Adoption Corridor",1.5,1)</f>
        <v>29700000</v>
      </c>
      <c r="Y1283">
        <f t="shared" ref="Y1283:Y1346" si="471" xml:space="preserve"> ((W1283/10) + V1283) / X1283</f>
        <v>0.24</v>
      </c>
      <c r="Z1283">
        <f t="shared" ref="Z1283:Z1346" si="472">(U1283-V1283)/U1283</f>
        <v>0.77435897435897438</v>
      </c>
      <c r="AA1283" t="str">
        <f t="shared" ref="AA1283:AA1346" si="473">IF(AND(I1283="V3",T1283="High EV Adoption Corridor"),
"Tier 1 - Priority Fleet",
IF(AND(I1283="V3",T1283="Lower EV Adoption Corridor"),
"Tier 2 - Growth Markets",
IF(AND(OR(I1283="V1",I1283="V2"),T1283="High EV Adoption Corridor"),
"Tier 3 - Upgrade Pipeline",
IF(AND(I1283="V2",T1283="Lower EV Adoption Corridor"),
"Tier 4 - Stable Network",
"Tier 5 - Retirement Pipeline"))))</f>
        <v>Tier 1 - Priority Fleet</v>
      </c>
      <c r="AB1283" s="3">
        <f t="shared" ref="AB1283:AB1346" si="474">V1283/G1283</f>
        <v>132000</v>
      </c>
      <c r="AC1283" s="3">
        <f t="shared" ref="AC1283:AC1346" si="475">W1283/G1283</f>
        <v>1650000</v>
      </c>
      <c r="AD1283" s="3">
        <f t="shared" ref="AD1283:AD1346" si="476">U1283/G1283</f>
        <v>585000</v>
      </c>
      <c r="AE1283" s="5">
        <f t="shared" ref="AE1283:AE1346" si="477">W1283/(U1283-V1283)</f>
        <v>3.6423841059602649</v>
      </c>
      <c r="AF1283" s="10">
        <f t="shared" ref="AF1283:AF1346" si="478">V1283*0.62</f>
        <v>1964160</v>
      </c>
      <c r="AG1283" s="10">
        <f t="shared" ref="AG1283:AG1346" si="479">V1283*0.2</f>
        <v>633600</v>
      </c>
      <c r="AH1283" s="10">
        <f t="shared" ref="AH1283:AH1346" si="480">V1283*0.1</f>
        <v>316800</v>
      </c>
      <c r="AI1283" s="10">
        <f t="shared" ref="AI1283:AI1346" si="481">V1283*0.05</f>
        <v>158400</v>
      </c>
      <c r="AJ1283" s="10">
        <f t="shared" ref="AJ1283:AJ1346" si="482">V1283*0.03</f>
        <v>95040</v>
      </c>
    </row>
    <row r="1284" spans="1:36" x14ac:dyDescent="0.3">
      <c r="A1284" t="s">
        <v>4933</v>
      </c>
      <c r="B1284" t="s">
        <v>4934</v>
      </c>
      <c r="C1284" t="s">
        <v>1627</v>
      </c>
      <c r="D1284" t="s">
        <v>14</v>
      </c>
      <c r="E1284">
        <v>92108</v>
      </c>
      <c r="F1284" t="s">
        <v>15</v>
      </c>
      <c r="G1284">
        <v>10</v>
      </c>
      <c r="H1284">
        <v>250</v>
      </c>
      <c r="I1284" t="str" cm="1">
        <f t="array" ref="I1284">_xlfn.IFS(H1284&lt;=120,"V1",H1284&lt;=150,"V2",H1284&lt;=250,"V3", H1284&lt;=350, "V4")</f>
        <v>V3</v>
      </c>
      <c r="J1284" t="s">
        <v>4935</v>
      </c>
      <c r="K1284" t="str">
        <f t="shared" si="460"/>
        <v>32.776392</v>
      </c>
      <c r="L1284" t="str">
        <f t="shared" si="461"/>
        <v>-117.155136</v>
      </c>
      <c r="M1284">
        <v>21</v>
      </c>
      <c r="N1284" s="1">
        <v>44722</v>
      </c>
      <c r="O1284" s="1">
        <v>46099</v>
      </c>
      <c r="P1284" s="2">
        <f t="shared" si="462"/>
        <v>3.7700205338809036</v>
      </c>
      <c r="Q1284" s="2" t="str">
        <f t="shared" si="463"/>
        <v>Mid</v>
      </c>
      <c r="R1284">
        <f t="shared" si="464"/>
        <v>2500</v>
      </c>
      <c r="S1284" t="str">
        <f t="shared" si="465"/>
        <v>Small</v>
      </c>
      <c r="T1284" t="str">
        <f t="shared" si="466"/>
        <v>High EV Adoption Corridor</v>
      </c>
      <c r="U1284" s="3">
        <f t="shared" si="467"/>
        <v>5850000</v>
      </c>
      <c r="V1284" s="4">
        <f t="shared" si="468"/>
        <v>1320000</v>
      </c>
      <c r="W1284" s="3">
        <f t="shared" si="469"/>
        <v>16500000.000000002</v>
      </c>
      <c r="X1284" s="3">
        <f t="shared" si="470"/>
        <v>12375000.000000002</v>
      </c>
      <c r="Y1284">
        <f t="shared" si="471"/>
        <v>0.23999999999999996</v>
      </c>
      <c r="Z1284">
        <f t="shared" si="472"/>
        <v>0.77435897435897438</v>
      </c>
      <c r="AA1284" t="str">
        <f t="shared" si="473"/>
        <v>Tier 1 - Priority Fleet</v>
      </c>
      <c r="AB1284" s="3">
        <f t="shared" si="474"/>
        <v>132000</v>
      </c>
      <c r="AC1284" s="3">
        <f t="shared" si="475"/>
        <v>1650000.0000000002</v>
      </c>
      <c r="AD1284" s="3">
        <f t="shared" si="476"/>
        <v>585000</v>
      </c>
      <c r="AE1284" s="5">
        <f t="shared" si="477"/>
        <v>3.6423841059602653</v>
      </c>
      <c r="AF1284" s="10">
        <f t="shared" si="478"/>
        <v>818400</v>
      </c>
      <c r="AG1284" s="10">
        <f t="shared" si="479"/>
        <v>264000</v>
      </c>
      <c r="AH1284" s="10">
        <f t="shared" si="480"/>
        <v>132000</v>
      </c>
      <c r="AI1284" s="10">
        <f t="shared" si="481"/>
        <v>66000</v>
      </c>
      <c r="AJ1284" s="10">
        <f t="shared" si="482"/>
        <v>39600</v>
      </c>
    </row>
    <row r="1285" spans="1:36" x14ac:dyDescent="0.3">
      <c r="A1285" t="s">
        <v>4936</v>
      </c>
      <c r="B1285" t="s">
        <v>4937</v>
      </c>
      <c r="C1285" t="s">
        <v>4452</v>
      </c>
      <c r="D1285" t="s">
        <v>77</v>
      </c>
      <c r="E1285">
        <v>27565</v>
      </c>
      <c r="F1285" t="s">
        <v>15</v>
      </c>
      <c r="G1285">
        <v>12</v>
      </c>
      <c r="H1285">
        <v>250</v>
      </c>
      <c r="I1285" t="str" cm="1">
        <f t="array" ref="I1285">_xlfn.IFS(H1285&lt;=120,"V1",H1285&lt;=150,"V2",H1285&lt;=250,"V3", H1285&lt;=350, "V4")</f>
        <v>V3</v>
      </c>
      <c r="J1285" t="s">
        <v>4938</v>
      </c>
      <c r="K1285" t="str">
        <f t="shared" si="460"/>
        <v>36.2803</v>
      </c>
      <c r="L1285" t="str">
        <f t="shared" si="461"/>
        <v>-78.6047</v>
      </c>
      <c r="M1285">
        <v>138</v>
      </c>
      <c r="N1285" s="1">
        <v>44663</v>
      </c>
      <c r="O1285" s="1">
        <v>46099</v>
      </c>
      <c r="P1285" s="2">
        <f t="shared" si="462"/>
        <v>3.9315537303216974</v>
      </c>
      <c r="Q1285" s="2" t="str">
        <f t="shared" si="463"/>
        <v>Mid</v>
      </c>
      <c r="R1285">
        <f t="shared" si="464"/>
        <v>3000</v>
      </c>
      <c r="S1285" t="str">
        <f t="shared" si="465"/>
        <v>Small</v>
      </c>
      <c r="T1285" t="str">
        <f t="shared" si="466"/>
        <v>Lower EV Adoption Corridor</v>
      </c>
      <c r="U1285" s="3">
        <f t="shared" si="467"/>
        <v>5400000</v>
      </c>
      <c r="V1285" s="4">
        <f t="shared" si="468"/>
        <v>1320000</v>
      </c>
      <c r="W1285" s="3">
        <f t="shared" si="469"/>
        <v>18000000</v>
      </c>
      <c r="X1285" s="3">
        <f t="shared" si="470"/>
        <v>9900000</v>
      </c>
      <c r="Y1285">
        <f t="shared" si="471"/>
        <v>0.31515151515151513</v>
      </c>
      <c r="Z1285">
        <f t="shared" si="472"/>
        <v>0.75555555555555554</v>
      </c>
      <c r="AA1285" t="str">
        <f t="shared" si="473"/>
        <v>Tier 2 - Growth Markets</v>
      </c>
      <c r="AB1285" s="3">
        <f t="shared" si="474"/>
        <v>110000</v>
      </c>
      <c r="AC1285" s="3">
        <f t="shared" si="475"/>
        <v>1500000</v>
      </c>
      <c r="AD1285" s="3">
        <f t="shared" si="476"/>
        <v>450000</v>
      </c>
      <c r="AE1285" s="5">
        <f t="shared" si="477"/>
        <v>4.4117647058823533</v>
      </c>
      <c r="AF1285" s="10">
        <f t="shared" si="478"/>
        <v>818400</v>
      </c>
      <c r="AG1285" s="10">
        <f t="shared" si="479"/>
        <v>264000</v>
      </c>
      <c r="AH1285" s="10">
        <f t="shared" si="480"/>
        <v>132000</v>
      </c>
      <c r="AI1285" s="10">
        <f t="shared" si="481"/>
        <v>66000</v>
      </c>
      <c r="AJ1285" s="10">
        <f t="shared" si="482"/>
        <v>39600</v>
      </c>
    </row>
    <row r="1286" spans="1:36" x14ac:dyDescent="0.3">
      <c r="A1286" t="s">
        <v>4939</v>
      </c>
      <c r="B1286" t="s">
        <v>4940</v>
      </c>
      <c r="C1286" t="s">
        <v>3290</v>
      </c>
      <c r="D1286" t="s">
        <v>14</v>
      </c>
      <c r="E1286">
        <v>96067</v>
      </c>
      <c r="F1286" t="s">
        <v>15</v>
      </c>
      <c r="G1286">
        <v>4</v>
      </c>
      <c r="H1286">
        <v>125</v>
      </c>
      <c r="I1286" t="str" cm="1">
        <f t="array" ref="I1286">_xlfn.IFS(H1286&lt;=120,"V1",H1286&lt;=150,"V2",H1286&lt;=250,"V3", H1286&lt;=350, "V4")</f>
        <v>V2</v>
      </c>
      <c r="J1286" t="s">
        <v>4941</v>
      </c>
      <c r="K1286" t="str">
        <f t="shared" si="460"/>
        <v>41.310233</v>
      </c>
      <c r="L1286" t="str">
        <f t="shared" si="461"/>
        <v>-122.317278</v>
      </c>
      <c r="M1286">
        <v>1066</v>
      </c>
      <c r="N1286" s="1">
        <v>41570</v>
      </c>
      <c r="O1286" s="1">
        <v>46099</v>
      </c>
      <c r="P1286" s="2">
        <f t="shared" si="462"/>
        <v>12.399726214921287</v>
      </c>
      <c r="Q1286" s="2" t="str">
        <f t="shared" si="463"/>
        <v>Old</v>
      </c>
      <c r="R1286">
        <f t="shared" si="464"/>
        <v>500</v>
      </c>
      <c r="S1286" t="str">
        <f t="shared" si="465"/>
        <v>Small</v>
      </c>
      <c r="T1286" t="str">
        <f t="shared" si="466"/>
        <v>High EV Adoption Corridor</v>
      </c>
      <c r="U1286" s="3">
        <f t="shared" si="467"/>
        <v>1072500.0000000002</v>
      </c>
      <c r="V1286" s="4">
        <f t="shared" si="468"/>
        <v>240000</v>
      </c>
      <c r="W1286" s="3">
        <f t="shared" si="469"/>
        <v>2750000</v>
      </c>
      <c r="X1286" s="3">
        <f t="shared" si="470"/>
        <v>2250000</v>
      </c>
      <c r="Y1286">
        <f t="shared" si="471"/>
        <v>0.22888888888888889</v>
      </c>
      <c r="Z1286">
        <f t="shared" si="472"/>
        <v>0.77622377622377625</v>
      </c>
      <c r="AA1286" t="str">
        <f t="shared" si="473"/>
        <v>Tier 3 - Upgrade Pipeline</v>
      </c>
      <c r="AB1286" s="3">
        <f t="shared" si="474"/>
        <v>60000</v>
      </c>
      <c r="AC1286" s="3">
        <f t="shared" si="475"/>
        <v>687500</v>
      </c>
      <c r="AD1286" s="3">
        <f t="shared" si="476"/>
        <v>268125.00000000006</v>
      </c>
      <c r="AE1286" s="5">
        <f t="shared" si="477"/>
        <v>3.3033033033033026</v>
      </c>
      <c r="AF1286" s="10">
        <f t="shared" si="478"/>
        <v>148800</v>
      </c>
      <c r="AG1286" s="10">
        <f t="shared" si="479"/>
        <v>48000</v>
      </c>
      <c r="AH1286" s="10">
        <f t="shared" si="480"/>
        <v>24000</v>
      </c>
      <c r="AI1286" s="10">
        <f t="shared" si="481"/>
        <v>12000</v>
      </c>
      <c r="AJ1286" s="10">
        <f t="shared" si="482"/>
        <v>7200</v>
      </c>
    </row>
    <row r="1287" spans="1:36" x14ac:dyDescent="0.3">
      <c r="A1287" t="s">
        <v>4942</v>
      </c>
      <c r="B1287" t="s">
        <v>4943</v>
      </c>
      <c r="C1287" t="s">
        <v>1114</v>
      </c>
      <c r="D1287" t="s">
        <v>299</v>
      </c>
      <c r="E1287">
        <v>24202</v>
      </c>
      <c r="F1287" t="s">
        <v>15</v>
      </c>
      <c r="G1287">
        <v>8</v>
      </c>
      <c r="H1287">
        <v>250</v>
      </c>
      <c r="I1287" t="str" cm="1">
        <f t="array" ref="I1287">_xlfn.IFS(H1287&lt;=120,"V1",H1287&lt;=150,"V2",H1287&lt;=250,"V3", H1287&lt;=350, "V4")</f>
        <v>V3</v>
      </c>
      <c r="J1287" t="s">
        <v>4944</v>
      </c>
      <c r="K1287" t="str">
        <f t="shared" si="460"/>
        <v>36.628538</v>
      </c>
      <c r="L1287" t="str">
        <f t="shared" si="461"/>
        <v>-82.148888</v>
      </c>
      <c r="M1287">
        <v>556</v>
      </c>
      <c r="N1287" s="1">
        <v>44366</v>
      </c>
      <c r="O1287" s="1">
        <v>46099</v>
      </c>
      <c r="P1287" s="2">
        <f t="shared" si="462"/>
        <v>4.7446954140999313</v>
      </c>
      <c r="Q1287" s="2" t="str">
        <f t="shared" si="463"/>
        <v>Mid</v>
      </c>
      <c r="R1287">
        <f t="shared" si="464"/>
        <v>2000</v>
      </c>
      <c r="S1287" t="str">
        <f t="shared" si="465"/>
        <v>Small</v>
      </c>
      <c r="T1287" t="str">
        <f t="shared" si="466"/>
        <v>Lower EV Adoption Corridor</v>
      </c>
      <c r="U1287" s="3">
        <f t="shared" si="467"/>
        <v>3600000</v>
      </c>
      <c r="V1287" s="4">
        <f t="shared" si="468"/>
        <v>880000.00000000012</v>
      </c>
      <c r="W1287" s="3">
        <f t="shared" si="469"/>
        <v>12000000</v>
      </c>
      <c r="X1287" s="3">
        <f t="shared" si="470"/>
        <v>6600000.0000000009</v>
      </c>
      <c r="Y1287">
        <f t="shared" si="471"/>
        <v>0.31515151515151513</v>
      </c>
      <c r="Z1287">
        <f t="shared" si="472"/>
        <v>0.75555555555555554</v>
      </c>
      <c r="AA1287" t="str">
        <f t="shared" si="473"/>
        <v>Tier 2 - Growth Markets</v>
      </c>
      <c r="AB1287" s="3">
        <f t="shared" si="474"/>
        <v>110000.00000000001</v>
      </c>
      <c r="AC1287" s="3">
        <f t="shared" si="475"/>
        <v>1500000</v>
      </c>
      <c r="AD1287" s="3">
        <f t="shared" si="476"/>
        <v>450000</v>
      </c>
      <c r="AE1287" s="5">
        <f t="shared" si="477"/>
        <v>4.4117647058823533</v>
      </c>
      <c r="AF1287" s="10">
        <f t="shared" si="478"/>
        <v>545600.00000000012</v>
      </c>
      <c r="AG1287" s="10">
        <f t="shared" si="479"/>
        <v>176000.00000000003</v>
      </c>
      <c r="AH1287" s="10">
        <f t="shared" si="480"/>
        <v>88000.000000000015</v>
      </c>
      <c r="AI1287" s="10">
        <f t="shared" si="481"/>
        <v>44000.000000000007</v>
      </c>
      <c r="AJ1287" s="10">
        <f t="shared" si="482"/>
        <v>26400.000000000004</v>
      </c>
    </row>
    <row r="1288" spans="1:36" x14ac:dyDescent="0.3">
      <c r="A1288" t="s">
        <v>4945</v>
      </c>
      <c r="B1288" t="s">
        <v>4946</v>
      </c>
      <c r="C1288" t="s">
        <v>4947</v>
      </c>
      <c r="D1288" t="s">
        <v>77</v>
      </c>
      <c r="E1288">
        <v>27344</v>
      </c>
      <c r="F1288" t="s">
        <v>15</v>
      </c>
      <c r="G1288">
        <v>8</v>
      </c>
      <c r="H1288">
        <v>250</v>
      </c>
      <c r="I1288" t="str" cm="1">
        <f t="array" ref="I1288">_xlfn.IFS(H1288&lt;=120,"V1",H1288&lt;=150,"V2",H1288&lt;=250,"V3", H1288&lt;=350, "V4")</f>
        <v>V3</v>
      </c>
      <c r="J1288" t="s">
        <v>4948</v>
      </c>
      <c r="K1288" t="str">
        <f t="shared" si="460"/>
        <v>35.73499</v>
      </c>
      <c r="L1288" t="str">
        <f t="shared" si="461"/>
        <v>-79.442016</v>
      </c>
      <c r="M1288">
        <v>174</v>
      </c>
      <c r="N1288" s="1">
        <v>44371</v>
      </c>
      <c r="O1288" s="1">
        <v>46099</v>
      </c>
      <c r="P1288" s="2">
        <f t="shared" si="462"/>
        <v>4.731006160164271</v>
      </c>
      <c r="Q1288" s="2" t="str">
        <f t="shared" si="463"/>
        <v>Mid</v>
      </c>
      <c r="R1288">
        <f t="shared" si="464"/>
        <v>2000</v>
      </c>
      <c r="S1288" t="str">
        <f t="shared" si="465"/>
        <v>Small</v>
      </c>
      <c r="T1288" t="str">
        <f t="shared" si="466"/>
        <v>Lower EV Adoption Corridor</v>
      </c>
      <c r="U1288" s="3">
        <f t="shared" si="467"/>
        <v>3600000</v>
      </c>
      <c r="V1288" s="4">
        <f t="shared" si="468"/>
        <v>880000.00000000012</v>
      </c>
      <c r="W1288" s="3">
        <f t="shared" si="469"/>
        <v>12000000</v>
      </c>
      <c r="X1288" s="3">
        <f t="shared" si="470"/>
        <v>6600000.0000000009</v>
      </c>
      <c r="Y1288">
        <f t="shared" si="471"/>
        <v>0.31515151515151513</v>
      </c>
      <c r="Z1288">
        <f t="shared" si="472"/>
        <v>0.75555555555555554</v>
      </c>
      <c r="AA1288" t="str">
        <f t="shared" si="473"/>
        <v>Tier 2 - Growth Markets</v>
      </c>
      <c r="AB1288" s="3">
        <f t="shared" si="474"/>
        <v>110000.00000000001</v>
      </c>
      <c r="AC1288" s="3">
        <f t="shared" si="475"/>
        <v>1500000</v>
      </c>
      <c r="AD1288" s="3">
        <f t="shared" si="476"/>
        <v>450000</v>
      </c>
      <c r="AE1288" s="5">
        <f t="shared" si="477"/>
        <v>4.4117647058823533</v>
      </c>
      <c r="AF1288" s="10">
        <f t="shared" si="478"/>
        <v>545600.00000000012</v>
      </c>
      <c r="AG1288" s="10">
        <f t="shared" si="479"/>
        <v>176000.00000000003</v>
      </c>
      <c r="AH1288" s="10">
        <f t="shared" si="480"/>
        <v>88000.000000000015</v>
      </c>
      <c r="AI1288" s="10">
        <f t="shared" si="481"/>
        <v>44000.000000000007</v>
      </c>
      <c r="AJ1288" s="10">
        <f t="shared" si="482"/>
        <v>26400.000000000004</v>
      </c>
    </row>
    <row r="1289" spans="1:36" x14ac:dyDescent="0.3">
      <c r="A1289" t="s">
        <v>4949</v>
      </c>
      <c r="B1289" t="s">
        <v>4950</v>
      </c>
      <c r="C1289" t="s">
        <v>4951</v>
      </c>
      <c r="D1289" t="s">
        <v>299</v>
      </c>
      <c r="E1289">
        <v>24592</v>
      </c>
      <c r="F1289" t="s">
        <v>15</v>
      </c>
      <c r="G1289">
        <v>4</v>
      </c>
      <c r="H1289">
        <v>250</v>
      </c>
      <c r="I1289" t="str" cm="1">
        <f t="array" ref="I1289">_xlfn.IFS(H1289&lt;=120,"V1",H1289&lt;=150,"V2",H1289&lt;=250,"V3", H1289&lt;=350, "V4")</f>
        <v>V3</v>
      </c>
      <c r="J1289" t="s">
        <v>4952</v>
      </c>
      <c r="K1289" t="str">
        <f t="shared" si="460"/>
        <v>36.68665</v>
      </c>
      <c r="L1289" t="str">
        <f t="shared" si="461"/>
        <v>-78.900855</v>
      </c>
      <c r="M1289">
        <v>101</v>
      </c>
      <c r="N1289" s="1">
        <v>44406</v>
      </c>
      <c r="O1289" s="1">
        <v>46099</v>
      </c>
      <c r="P1289" s="2">
        <f t="shared" si="462"/>
        <v>4.6351813826146477</v>
      </c>
      <c r="Q1289" s="2" t="str">
        <f t="shared" si="463"/>
        <v>Mid</v>
      </c>
      <c r="R1289">
        <f t="shared" si="464"/>
        <v>1000</v>
      </c>
      <c r="S1289" t="str">
        <f t="shared" si="465"/>
        <v>Small</v>
      </c>
      <c r="T1289" t="str">
        <f t="shared" si="466"/>
        <v>Lower EV Adoption Corridor</v>
      </c>
      <c r="U1289" s="3">
        <f t="shared" si="467"/>
        <v>1800000</v>
      </c>
      <c r="V1289" s="4">
        <f t="shared" si="468"/>
        <v>440000.00000000006</v>
      </c>
      <c r="W1289" s="3">
        <f t="shared" si="469"/>
        <v>6000000</v>
      </c>
      <c r="X1289" s="3">
        <f t="shared" si="470"/>
        <v>3300000.0000000005</v>
      </c>
      <c r="Y1289">
        <f t="shared" si="471"/>
        <v>0.31515151515151513</v>
      </c>
      <c r="Z1289">
        <f t="shared" si="472"/>
        <v>0.75555555555555554</v>
      </c>
      <c r="AA1289" t="str">
        <f t="shared" si="473"/>
        <v>Tier 2 - Growth Markets</v>
      </c>
      <c r="AB1289" s="3">
        <f t="shared" si="474"/>
        <v>110000.00000000001</v>
      </c>
      <c r="AC1289" s="3">
        <f t="shared" si="475"/>
        <v>1500000</v>
      </c>
      <c r="AD1289" s="3">
        <f t="shared" si="476"/>
        <v>450000</v>
      </c>
      <c r="AE1289" s="5">
        <f t="shared" si="477"/>
        <v>4.4117647058823533</v>
      </c>
      <c r="AF1289" s="10">
        <f t="shared" si="478"/>
        <v>272800.00000000006</v>
      </c>
      <c r="AG1289" s="10">
        <f t="shared" si="479"/>
        <v>88000.000000000015</v>
      </c>
      <c r="AH1289" s="10">
        <f t="shared" si="480"/>
        <v>44000.000000000007</v>
      </c>
      <c r="AI1289" s="10">
        <f t="shared" si="481"/>
        <v>22000.000000000004</v>
      </c>
      <c r="AJ1289" s="10">
        <f t="shared" si="482"/>
        <v>13200.000000000002</v>
      </c>
    </row>
    <row r="1290" spans="1:36" x14ac:dyDescent="0.3">
      <c r="A1290" t="s">
        <v>4953</v>
      </c>
      <c r="B1290" t="s">
        <v>4954</v>
      </c>
      <c r="C1290" t="s">
        <v>3249</v>
      </c>
      <c r="D1290" t="s">
        <v>41</v>
      </c>
      <c r="E1290">
        <v>32348</v>
      </c>
      <c r="F1290" t="s">
        <v>15</v>
      </c>
      <c r="G1290">
        <v>8</v>
      </c>
      <c r="H1290">
        <v>250</v>
      </c>
      <c r="I1290" t="str" cm="1">
        <f t="array" ref="I1290">_xlfn.IFS(H1290&lt;=120,"V1",H1290&lt;=150,"V2",H1290&lt;=250,"V3", H1290&lt;=350, "V4")</f>
        <v>V3</v>
      </c>
      <c r="J1290" t="s">
        <v>4955</v>
      </c>
      <c r="K1290" t="str">
        <f t="shared" si="460"/>
        <v>30.086266</v>
      </c>
      <c r="L1290" t="str">
        <f t="shared" si="461"/>
        <v>-83.571338</v>
      </c>
      <c r="M1290">
        <v>13</v>
      </c>
      <c r="N1290" s="1">
        <v>44381</v>
      </c>
      <c r="O1290" s="1">
        <v>46099</v>
      </c>
      <c r="P1290" s="2">
        <f t="shared" si="462"/>
        <v>4.7036276522929503</v>
      </c>
      <c r="Q1290" s="2" t="str">
        <f t="shared" si="463"/>
        <v>Mid</v>
      </c>
      <c r="R1290">
        <f t="shared" si="464"/>
        <v>2000</v>
      </c>
      <c r="S1290" t="str">
        <f t="shared" si="465"/>
        <v>Small</v>
      </c>
      <c r="T1290" t="str">
        <f t="shared" si="466"/>
        <v>High EV Adoption Corridor</v>
      </c>
      <c r="U1290" s="3">
        <f t="shared" si="467"/>
        <v>4680000</v>
      </c>
      <c r="V1290" s="4">
        <f t="shared" si="468"/>
        <v>1056000</v>
      </c>
      <c r="W1290" s="3">
        <f t="shared" si="469"/>
        <v>13200000.000000002</v>
      </c>
      <c r="X1290" s="3">
        <f t="shared" si="470"/>
        <v>9900000.0000000019</v>
      </c>
      <c r="Y1290">
        <f t="shared" si="471"/>
        <v>0.23999999999999996</v>
      </c>
      <c r="Z1290">
        <f t="shared" si="472"/>
        <v>0.77435897435897438</v>
      </c>
      <c r="AA1290" t="str">
        <f t="shared" si="473"/>
        <v>Tier 1 - Priority Fleet</v>
      </c>
      <c r="AB1290" s="3">
        <f t="shared" si="474"/>
        <v>132000</v>
      </c>
      <c r="AC1290" s="3">
        <f t="shared" si="475"/>
        <v>1650000.0000000002</v>
      </c>
      <c r="AD1290" s="3">
        <f t="shared" si="476"/>
        <v>585000</v>
      </c>
      <c r="AE1290" s="5">
        <f t="shared" si="477"/>
        <v>3.6423841059602653</v>
      </c>
      <c r="AF1290" s="10">
        <f t="shared" si="478"/>
        <v>654720</v>
      </c>
      <c r="AG1290" s="10">
        <f t="shared" si="479"/>
        <v>211200</v>
      </c>
      <c r="AH1290" s="10">
        <f t="shared" si="480"/>
        <v>105600</v>
      </c>
      <c r="AI1290" s="10">
        <f t="shared" si="481"/>
        <v>52800</v>
      </c>
      <c r="AJ1290" s="10">
        <f t="shared" si="482"/>
        <v>31680</v>
      </c>
    </row>
    <row r="1291" spans="1:36" x14ac:dyDescent="0.3">
      <c r="A1291" t="s">
        <v>4956</v>
      </c>
      <c r="B1291" t="s">
        <v>4957</v>
      </c>
      <c r="C1291" t="s">
        <v>4958</v>
      </c>
      <c r="D1291" t="s">
        <v>14</v>
      </c>
      <c r="E1291">
        <v>92821</v>
      </c>
      <c r="F1291" t="s">
        <v>15</v>
      </c>
      <c r="G1291">
        <v>20</v>
      </c>
      <c r="H1291">
        <v>250</v>
      </c>
      <c r="I1291" t="str" cm="1">
        <f t="array" ref="I1291">_xlfn.IFS(H1291&lt;=120,"V1",H1291&lt;=150,"V2",H1291&lt;=250,"V3", H1291&lt;=350, "V4")</f>
        <v>V3</v>
      </c>
      <c r="J1291" t="s">
        <v>4959</v>
      </c>
      <c r="K1291" t="str">
        <f t="shared" si="460"/>
        <v>33.914491</v>
      </c>
      <c r="L1291" t="str">
        <f t="shared" si="461"/>
        <v>-117.883662</v>
      </c>
      <c r="M1291">
        <v>102</v>
      </c>
      <c r="N1291" s="1">
        <v>44375</v>
      </c>
      <c r="O1291" s="1">
        <v>46099</v>
      </c>
      <c r="P1291" s="2">
        <f t="shared" si="462"/>
        <v>4.7200547570157427</v>
      </c>
      <c r="Q1291" s="2" t="str">
        <f t="shared" si="463"/>
        <v>Mid</v>
      </c>
      <c r="R1291">
        <f t="shared" si="464"/>
        <v>5000</v>
      </c>
      <c r="S1291" t="str">
        <f t="shared" si="465"/>
        <v>Small</v>
      </c>
      <c r="T1291" t="str">
        <f t="shared" si="466"/>
        <v>High EV Adoption Corridor</v>
      </c>
      <c r="U1291" s="3">
        <f t="shared" si="467"/>
        <v>11700000</v>
      </c>
      <c r="V1291" s="4">
        <f t="shared" si="468"/>
        <v>2640000</v>
      </c>
      <c r="W1291" s="3">
        <f t="shared" si="469"/>
        <v>33000000.000000004</v>
      </c>
      <c r="X1291" s="3">
        <f t="shared" si="470"/>
        <v>24750000.000000004</v>
      </c>
      <c r="Y1291">
        <f t="shared" si="471"/>
        <v>0.23999999999999996</v>
      </c>
      <c r="Z1291">
        <f t="shared" si="472"/>
        <v>0.77435897435897438</v>
      </c>
      <c r="AA1291" t="str">
        <f t="shared" si="473"/>
        <v>Tier 1 - Priority Fleet</v>
      </c>
      <c r="AB1291" s="3">
        <f t="shared" si="474"/>
        <v>132000</v>
      </c>
      <c r="AC1291" s="3">
        <f t="shared" si="475"/>
        <v>1650000.0000000002</v>
      </c>
      <c r="AD1291" s="3">
        <f t="shared" si="476"/>
        <v>585000</v>
      </c>
      <c r="AE1291" s="5">
        <f t="shared" si="477"/>
        <v>3.6423841059602653</v>
      </c>
      <c r="AF1291" s="10">
        <f t="shared" si="478"/>
        <v>1636800</v>
      </c>
      <c r="AG1291" s="10">
        <f t="shared" si="479"/>
        <v>528000</v>
      </c>
      <c r="AH1291" s="10">
        <f t="shared" si="480"/>
        <v>264000</v>
      </c>
      <c r="AI1291" s="10">
        <f t="shared" si="481"/>
        <v>132000</v>
      </c>
      <c r="AJ1291" s="10">
        <f t="shared" si="482"/>
        <v>79200</v>
      </c>
    </row>
    <row r="1292" spans="1:36" x14ac:dyDescent="0.3">
      <c r="A1292" t="s">
        <v>4960</v>
      </c>
      <c r="B1292" t="s">
        <v>4961</v>
      </c>
      <c r="C1292" t="s">
        <v>617</v>
      </c>
      <c r="D1292" t="s">
        <v>852</v>
      </c>
      <c r="E1292">
        <v>7832</v>
      </c>
      <c r="F1292" t="s">
        <v>15</v>
      </c>
      <c r="G1292">
        <v>8</v>
      </c>
      <c r="H1292">
        <v>250</v>
      </c>
      <c r="I1292" t="str" cm="1">
        <f t="array" ref="I1292">_xlfn.IFS(H1292&lt;=120,"V1",H1292&lt;=150,"V2",H1292&lt;=250,"V3", H1292&lt;=350, "V4")</f>
        <v>V3</v>
      </c>
      <c r="J1292" t="s">
        <v>4962</v>
      </c>
      <c r="K1292" t="str">
        <f t="shared" si="460"/>
        <v>40.933846</v>
      </c>
      <c r="L1292" t="str">
        <f t="shared" si="461"/>
        <v>-75.100997</v>
      </c>
      <c r="M1292">
        <v>96</v>
      </c>
      <c r="N1292" s="1">
        <v>44516</v>
      </c>
      <c r="O1292" s="1">
        <v>46099</v>
      </c>
      <c r="P1292" s="2">
        <f t="shared" si="462"/>
        <v>4.3340177960301167</v>
      </c>
      <c r="Q1292" s="2" t="str">
        <f t="shared" si="463"/>
        <v>Mid</v>
      </c>
      <c r="R1292">
        <f t="shared" si="464"/>
        <v>2000</v>
      </c>
      <c r="S1292" t="str">
        <f t="shared" si="465"/>
        <v>Small</v>
      </c>
      <c r="T1292" t="str">
        <f t="shared" si="466"/>
        <v>High EV Adoption Corridor</v>
      </c>
      <c r="U1292" s="3">
        <f t="shared" si="467"/>
        <v>4680000</v>
      </c>
      <c r="V1292" s="4">
        <f t="shared" si="468"/>
        <v>1056000</v>
      </c>
      <c r="W1292" s="3">
        <f t="shared" si="469"/>
        <v>13200000.000000002</v>
      </c>
      <c r="X1292" s="3">
        <f t="shared" si="470"/>
        <v>9900000.0000000019</v>
      </c>
      <c r="Y1292">
        <f t="shared" si="471"/>
        <v>0.23999999999999996</v>
      </c>
      <c r="Z1292">
        <f t="shared" si="472"/>
        <v>0.77435897435897438</v>
      </c>
      <c r="AA1292" t="str">
        <f t="shared" si="473"/>
        <v>Tier 1 - Priority Fleet</v>
      </c>
      <c r="AB1292" s="3">
        <f t="shared" si="474"/>
        <v>132000</v>
      </c>
      <c r="AC1292" s="3">
        <f t="shared" si="475"/>
        <v>1650000.0000000002</v>
      </c>
      <c r="AD1292" s="3">
        <f t="shared" si="476"/>
        <v>585000</v>
      </c>
      <c r="AE1292" s="5">
        <f t="shared" si="477"/>
        <v>3.6423841059602653</v>
      </c>
      <c r="AF1292" s="10">
        <f t="shared" si="478"/>
        <v>654720</v>
      </c>
      <c r="AG1292" s="10">
        <f t="shared" si="479"/>
        <v>211200</v>
      </c>
      <c r="AH1292" s="10">
        <f t="shared" si="480"/>
        <v>105600</v>
      </c>
      <c r="AI1292" s="10">
        <f t="shared" si="481"/>
        <v>52800</v>
      </c>
      <c r="AJ1292" s="10">
        <f t="shared" si="482"/>
        <v>31680</v>
      </c>
    </row>
    <row r="1293" spans="1:36" x14ac:dyDescent="0.3">
      <c r="A1293" t="s">
        <v>4963</v>
      </c>
      <c r="B1293" t="s">
        <v>4964</v>
      </c>
      <c r="C1293" t="s">
        <v>4965</v>
      </c>
      <c r="D1293" t="s">
        <v>59</v>
      </c>
      <c r="E1293">
        <v>60123</v>
      </c>
      <c r="F1293" t="s">
        <v>15</v>
      </c>
      <c r="G1293">
        <v>12</v>
      </c>
      <c r="H1293">
        <v>250</v>
      </c>
      <c r="I1293" t="str" cm="1">
        <f t="array" ref="I1293">_xlfn.IFS(H1293&lt;=120,"V1",H1293&lt;=150,"V2",H1293&lt;=250,"V3", H1293&lt;=350, "V4")</f>
        <v>V3</v>
      </c>
      <c r="J1293" t="s">
        <v>4966</v>
      </c>
      <c r="K1293" t="str">
        <f t="shared" si="460"/>
        <v>42.012497</v>
      </c>
      <c r="L1293" t="str">
        <f t="shared" si="461"/>
        <v>-88.335638</v>
      </c>
      <c r="M1293">
        <v>253</v>
      </c>
      <c r="N1293" s="1">
        <v>44853</v>
      </c>
      <c r="O1293" s="1">
        <v>46099</v>
      </c>
      <c r="P1293" s="2">
        <f t="shared" si="462"/>
        <v>3.4113620807665983</v>
      </c>
      <c r="Q1293" s="2" t="str">
        <f t="shared" si="463"/>
        <v>Mid</v>
      </c>
      <c r="R1293">
        <f t="shared" si="464"/>
        <v>3000</v>
      </c>
      <c r="S1293" t="str">
        <f t="shared" si="465"/>
        <v>Small</v>
      </c>
      <c r="T1293" t="str">
        <f t="shared" si="466"/>
        <v>Lower EV Adoption Corridor</v>
      </c>
      <c r="U1293" s="3">
        <f t="shared" si="467"/>
        <v>5400000</v>
      </c>
      <c r="V1293" s="4">
        <f t="shared" si="468"/>
        <v>1320000</v>
      </c>
      <c r="W1293" s="3">
        <f t="shared" si="469"/>
        <v>18000000</v>
      </c>
      <c r="X1293" s="3">
        <f t="shared" si="470"/>
        <v>9900000</v>
      </c>
      <c r="Y1293">
        <f t="shared" si="471"/>
        <v>0.31515151515151513</v>
      </c>
      <c r="Z1293">
        <f t="shared" si="472"/>
        <v>0.75555555555555554</v>
      </c>
      <c r="AA1293" t="str">
        <f t="shared" si="473"/>
        <v>Tier 2 - Growth Markets</v>
      </c>
      <c r="AB1293" s="3">
        <f t="shared" si="474"/>
        <v>110000</v>
      </c>
      <c r="AC1293" s="3">
        <f t="shared" si="475"/>
        <v>1500000</v>
      </c>
      <c r="AD1293" s="3">
        <f t="shared" si="476"/>
        <v>450000</v>
      </c>
      <c r="AE1293" s="5">
        <f t="shared" si="477"/>
        <v>4.4117647058823533</v>
      </c>
      <c r="AF1293" s="10">
        <f t="shared" si="478"/>
        <v>818400</v>
      </c>
      <c r="AG1293" s="10">
        <f t="shared" si="479"/>
        <v>264000</v>
      </c>
      <c r="AH1293" s="10">
        <f t="shared" si="480"/>
        <v>132000</v>
      </c>
      <c r="AI1293" s="10">
        <f t="shared" si="481"/>
        <v>66000</v>
      </c>
      <c r="AJ1293" s="10">
        <f t="shared" si="482"/>
        <v>39600</v>
      </c>
    </row>
    <row r="1294" spans="1:36" x14ac:dyDescent="0.3">
      <c r="A1294" t="s">
        <v>4967</v>
      </c>
      <c r="B1294" t="s">
        <v>4968</v>
      </c>
      <c r="C1294" t="s">
        <v>4969</v>
      </c>
      <c r="D1294" t="s">
        <v>28</v>
      </c>
      <c r="E1294">
        <v>30260</v>
      </c>
      <c r="F1294" t="s">
        <v>15</v>
      </c>
      <c r="G1294">
        <v>24</v>
      </c>
      <c r="H1294">
        <v>250</v>
      </c>
      <c r="I1294" t="str" cm="1">
        <f t="array" ref="I1294">_xlfn.IFS(H1294&lt;=120,"V1",H1294&lt;=150,"V2",H1294&lt;=250,"V3", H1294&lt;=350, "V4")</f>
        <v>V3</v>
      </c>
      <c r="J1294" t="s">
        <v>4970</v>
      </c>
      <c r="K1294" t="str">
        <f t="shared" si="460"/>
        <v>33.5769</v>
      </c>
      <c r="L1294" t="str">
        <f t="shared" si="461"/>
        <v>-84.354123</v>
      </c>
      <c r="M1294">
        <v>258</v>
      </c>
      <c r="N1294" s="1">
        <v>45024</v>
      </c>
      <c r="O1294" s="1">
        <v>46099</v>
      </c>
      <c r="P1294" s="2">
        <f t="shared" si="462"/>
        <v>2.9431895961670089</v>
      </c>
      <c r="Q1294" s="2" t="str">
        <f t="shared" si="463"/>
        <v>New</v>
      </c>
      <c r="R1294">
        <f t="shared" si="464"/>
        <v>6000</v>
      </c>
      <c r="S1294" t="str">
        <f t="shared" si="465"/>
        <v>Small</v>
      </c>
      <c r="T1294" t="str">
        <f t="shared" si="466"/>
        <v>Lower EV Adoption Corridor</v>
      </c>
      <c r="U1294" s="3">
        <f t="shared" si="467"/>
        <v>10800000</v>
      </c>
      <c r="V1294" s="4">
        <f t="shared" si="468"/>
        <v>2640000</v>
      </c>
      <c r="W1294" s="3">
        <f t="shared" si="469"/>
        <v>36000000</v>
      </c>
      <c r="X1294" s="3">
        <f t="shared" si="470"/>
        <v>19800000</v>
      </c>
      <c r="Y1294">
        <f t="shared" si="471"/>
        <v>0.31515151515151513</v>
      </c>
      <c r="Z1294">
        <f t="shared" si="472"/>
        <v>0.75555555555555554</v>
      </c>
      <c r="AA1294" t="str">
        <f t="shared" si="473"/>
        <v>Tier 2 - Growth Markets</v>
      </c>
      <c r="AB1294" s="3">
        <f t="shared" si="474"/>
        <v>110000</v>
      </c>
      <c r="AC1294" s="3">
        <f t="shared" si="475"/>
        <v>1500000</v>
      </c>
      <c r="AD1294" s="3">
        <f t="shared" si="476"/>
        <v>450000</v>
      </c>
      <c r="AE1294" s="5">
        <f t="shared" si="477"/>
        <v>4.4117647058823533</v>
      </c>
      <c r="AF1294" s="10">
        <f t="shared" si="478"/>
        <v>1636800</v>
      </c>
      <c r="AG1294" s="10">
        <f t="shared" si="479"/>
        <v>528000</v>
      </c>
      <c r="AH1294" s="10">
        <f t="shared" si="480"/>
        <v>264000</v>
      </c>
      <c r="AI1294" s="10">
        <f t="shared" si="481"/>
        <v>132000</v>
      </c>
      <c r="AJ1294" s="10">
        <f t="shared" si="482"/>
        <v>79200</v>
      </c>
    </row>
    <row r="1295" spans="1:36" x14ac:dyDescent="0.3">
      <c r="A1295" t="s">
        <v>4971</v>
      </c>
      <c r="B1295" t="s">
        <v>4972</v>
      </c>
      <c r="C1295" t="s">
        <v>4973</v>
      </c>
      <c r="D1295" t="s">
        <v>321</v>
      </c>
      <c r="E1295">
        <v>1879</v>
      </c>
      <c r="F1295" t="s">
        <v>15</v>
      </c>
      <c r="G1295">
        <v>12</v>
      </c>
      <c r="H1295">
        <v>250</v>
      </c>
      <c r="I1295" t="str" cm="1">
        <f t="array" ref="I1295">_xlfn.IFS(H1295&lt;=120,"V1",H1295&lt;=150,"V2",H1295&lt;=250,"V3", H1295&lt;=350, "V4")</f>
        <v>V3</v>
      </c>
      <c r="J1295" t="s">
        <v>4974</v>
      </c>
      <c r="K1295" t="str">
        <f t="shared" si="460"/>
        <v>42.697265</v>
      </c>
      <c r="L1295" t="str">
        <f t="shared" si="461"/>
        <v>-71.43988</v>
      </c>
      <c r="M1295">
        <v>46</v>
      </c>
      <c r="N1295" s="1">
        <v>44797</v>
      </c>
      <c r="O1295" s="1">
        <v>46099</v>
      </c>
      <c r="P1295" s="2">
        <f t="shared" si="462"/>
        <v>3.5646817248459959</v>
      </c>
      <c r="Q1295" s="2" t="str">
        <f t="shared" si="463"/>
        <v>Mid</v>
      </c>
      <c r="R1295">
        <f t="shared" si="464"/>
        <v>3000</v>
      </c>
      <c r="S1295" t="str">
        <f t="shared" si="465"/>
        <v>Small</v>
      </c>
      <c r="T1295" t="str">
        <f t="shared" si="466"/>
        <v>Lower EV Adoption Corridor</v>
      </c>
      <c r="U1295" s="3">
        <f t="shared" si="467"/>
        <v>5400000</v>
      </c>
      <c r="V1295" s="4">
        <f t="shared" si="468"/>
        <v>1320000</v>
      </c>
      <c r="W1295" s="3">
        <f t="shared" si="469"/>
        <v>18000000</v>
      </c>
      <c r="X1295" s="3">
        <f t="shared" si="470"/>
        <v>9900000</v>
      </c>
      <c r="Y1295">
        <f t="shared" si="471"/>
        <v>0.31515151515151513</v>
      </c>
      <c r="Z1295">
        <f t="shared" si="472"/>
        <v>0.75555555555555554</v>
      </c>
      <c r="AA1295" t="str">
        <f t="shared" si="473"/>
        <v>Tier 2 - Growth Markets</v>
      </c>
      <c r="AB1295" s="3">
        <f t="shared" si="474"/>
        <v>110000</v>
      </c>
      <c r="AC1295" s="3">
        <f t="shared" si="475"/>
        <v>1500000</v>
      </c>
      <c r="AD1295" s="3">
        <f t="shared" si="476"/>
        <v>450000</v>
      </c>
      <c r="AE1295" s="5">
        <f t="shared" si="477"/>
        <v>4.4117647058823533</v>
      </c>
      <c r="AF1295" s="10">
        <f t="shared" si="478"/>
        <v>818400</v>
      </c>
      <c r="AG1295" s="10">
        <f t="shared" si="479"/>
        <v>264000</v>
      </c>
      <c r="AH1295" s="10">
        <f t="shared" si="480"/>
        <v>132000</v>
      </c>
      <c r="AI1295" s="10">
        <f t="shared" si="481"/>
        <v>66000</v>
      </c>
      <c r="AJ1295" s="10">
        <f t="shared" si="482"/>
        <v>39600</v>
      </c>
    </row>
    <row r="1296" spans="1:36" x14ac:dyDescent="0.3">
      <c r="A1296" t="s">
        <v>4975</v>
      </c>
      <c r="B1296" t="s">
        <v>4976</v>
      </c>
      <c r="C1296" t="s">
        <v>4977</v>
      </c>
      <c r="D1296" t="s">
        <v>14</v>
      </c>
      <c r="E1296">
        <v>90621</v>
      </c>
      <c r="F1296" t="s">
        <v>15</v>
      </c>
      <c r="G1296">
        <v>24</v>
      </c>
      <c r="H1296">
        <v>72</v>
      </c>
      <c r="I1296" t="str" cm="1">
        <f t="array" ref="I1296">_xlfn.IFS(H1296&lt;=120,"V1",H1296&lt;=150,"V2",H1296&lt;=250,"V3", H1296&lt;=350, "V4")</f>
        <v>V1</v>
      </c>
      <c r="J1296" t="s">
        <v>4978</v>
      </c>
      <c r="K1296" t="str">
        <f t="shared" si="460"/>
        <v>33.86044</v>
      </c>
      <c r="L1296" t="str">
        <f t="shared" si="461"/>
        <v>-117.996347</v>
      </c>
      <c r="M1296">
        <v>23</v>
      </c>
      <c r="N1296" s="1">
        <v>43999</v>
      </c>
      <c r="O1296" s="1">
        <v>46099</v>
      </c>
      <c r="P1296" s="2">
        <f t="shared" si="462"/>
        <v>5.7494866529774127</v>
      </c>
      <c r="Q1296" s="2" t="str">
        <f t="shared" si="463"/>
        <v>Mid</v>
      </c>
      <c r="R1296">
        <f t="shared" si="464"/>
        <v>1728</v>
      </c>
      <c r="S1296" t="str">
        <f t="shared" si="465"/>
        <v>Small</v>
      </c>
      <c r="T1296" t="str">
        <f t="shared" si="466"/>
        <v>High EV Adoption Corridor</v>
      </c>
      <c r="U1296" s="3">
        <f t="shared" si="467"/>
        <v>3369600</v>
      </c>
      <c r="V1296" s="4">
        <f t="shared" si="468"/>
        <v>746496</v>
      </c>
      <c r="W1296" s="3">
        <f t="shared" si="469"/>
        <v>7603200.0000000009</v>
      </c>
      <c r="X1296" s="3">
        <f t="shared" si="470"/>
        <v>6998400</v>
      </c>
      <c r="Y1296">
        <f t="shared" si="471"/>
        <v>0.21530864197530863</v>
      </c>
      <c r="Z1296">
        <f t="shared" si="472"/>
        <v>0.77846153846153843</v>
      </c>
      <c r="AA1296" t="str">
        <f t="shared" si="473"/>
        <v>Tier 3 - Upgrade Pipeline</v>
      </c>
      <c r="AB1296" s="3">
        <f t="shared" si="474"/>
        <v>31104</v>
      </c>
      <c r="AC1296" s="3">
        <f t="shared" si="475"/>
        <v>316800.00000000006</v>
      </c>
      <c r="AD1296" s="3">
        <f t="shared" si="476"/>
        <v>140400</v>
      </c>
      <c r="AE1296" s="5">
        <f t="shared" si="477"/>
        <v>2.8985507246376816</v>
      </c>
      <c r="AF1296" s="10">
        <f t="shared" si="478"/>
        <v>462827.52000000002</v>
      </c>
      <c r="AG1296" s="10">
        <f t="shared" si="479"/>
        <v>149299.20000000001</v>
      </c>
      <c r="AH1296" s="10">
        <f t="shared" si="480"/>
        <v>74649.600000000006</v>
      </c>
      <c r="AI1296" s="10">
        <f t="shared" si="481"/>
        <v>37324.800000000003</v>
      </c>
      <c r="AJ1296" s="10">
        <f t="shared" si="482"/>
        <v>22394.879999999997</v>
      </c>
    </row>
    <row r="1297" spans="1:36" x14ac:dyDescent="0.3">
      <c r="A1297" t="s">
        <v>4979</v>
      </c>
      <c r="B1297" t="s">
        <v>4980</v>
      </c>
      <c r="C1297" t="s">
        <v>4981</v>
      </c>
      <c r="D1297" t="s">
        <v>913</v>
      </c>
      <c r="E1297">
        <v>21014</v>
      </c>
      <c r="F1297" t="s">
        <v>15</v>
      </c>
      <c r="G1297">
        <v>8</v>
      </c>
      <c r="H1297">
        <v>250</v>
      </c>
      <c r="I1297" t="str" cm="1">
        <f t="array" ref="I1297">_xlfn.IFS(H1297&lt;=120,"V1",H1297&lt;=150,"V2",H1297&lt;=250,"V3", H1297&lt;=350, "V4")</f>
        <v>V3</v>
      </c>
      <c r="J1297" t="s">
        <v>4982</v>
      </c>
      <c r="K1297" t="str">
        <f t="shared" si="460"/>
        <v>39.568667</v>
      </c>
      <c r="L1297" t="str">
        <f t="shared" si="461"/>
        <v>-76.353746</v>
      </c>
      <c r="M1297">
        <v>139</v>
      </c>
      <c r="N1297" s="1">
        <v>44601</v>
      </c>
      <c r="O1297" s="1">
        <v>46099</v>
      </c>
      <c r="P1297" s="2">
        <f t="shared" si="462"/>
        <v>4.1013004791238874</v>
      </c>
      <c r="Q1297" s="2" t="str">
        <f t="shared" si="463"/>
        <v>Mid</v>
      </c>
      <c r="R1297">
        <f t="shared" si="464"/>
        <v>2000</v>
      </c>
      <c r="S1297" t="str">
        <f t="shared" si="465"/>
        <v>Small</v>
      </c>
      <c r="T1297" t="str">
        <f t="shared" si="466"/>
        <v>Lower EV Adoption Corridor</v>
      </c>
      <c r="U1297" s="3">
        <f t="shared" si="467"/>
        <v>3600000</v>
      </c>
      <c r="V1297" s="4">
        <f t="shared" si="468"/>
        <v>880000.00000000012</v>
      </c>
      <c r="W1297" s="3">
        <f t="shared" si="469"/>
        <v>12000000</v>
      </c>
      <c r="X1297" s="3">
        <f t="shared" si="470"/>
        <v>6600000.0000000009</v>
      </c>
      <c r="Y1297">
        <f t="shared" si="471"/>
        <v>0.31515151515151513</v>
      </c>
      <c r="Z1297">
        <f t="shared" si="472"/>
        <v>0.75555555555555554</v>
      </c>
      <c r="AA1297" t="str">
        <f t="shared" si="473"/>
        <v>Tier 2 - Growth Markets</v>
      </c>
      <c r="AB1297" s="3">
        <f t="shared" si="474"/>
        <v>110000.00000000001</v>
      </c>
      <c r="AC1297" s="3">
        <f t="shared" si="475"/>
        <v>1500000</v>
      </c>
      <c r="AD1297" s="3">
        <f t="shared" si="476"/>
        <v>450000</v>
      </c>
      <c r="AE1297" s="5">
        <f t="shared" si="477"/>
        <v>4.4117647058823533</v>
      </c>
      <c r="AF1297" s="10">
        <f t="shared" si="478"/>
        <v>545600.00000000012</v>
      </c>
      <c r="AG1297" s="10">
        <f t="shared" si="479"/>
        <v>176000.00000000003</v>
      </c>
      <c r="AH1297" s="10">
        <f t="shared" si="480"/>
        <v>88000.000000000015</v>
      </c>
      <c r="AI1297" s="10">
        <f t="shared" si="481"/>
        <v>44000.000000000007</v>
      </c>
      <c r="AJ1297" s="10">
        <f t="shared" si="482"/>
        <v>26400.000000000004</v>
      </c>
    </row>
    <row r="1298" spans="1:36" x14ac:dyDescent="0.3">
      <c r="A1298" t="s">
        <v>4983</v>
      </c>
      <c r="B1298" t="s">
        <v>4984</v>
      </c>
      <c r="C1298" t="s">
        <v>4985</v>
      </c>
      <c r="D1298" t="s">
        <v>41</v>
      </c>
      <c r="E1298">
        <v>33950</v>
      </c>
      <c r="F1298" t="s">
        <v>15</v>
      </c>
      <c r="G1298">
        <v>8</v>
      </c>
      <c r="H1298">
        <v>250</v>
      </c>
      <c r="I1298" t="str" cm="1">
        <f t="array" ref="I1298">_xlfn.IFS(H1298&lt;=120,"V1",H1298&lt;=150,"V2",H1298&lt;=250,"V3", H1298&lt;=350, "V4")</f>
        <v>V3</v>
      </c>
      <c r="J1298" t="s">
        <v>4986</v>
      </c>
      <c r="K1298" t="str">
        <f t="shared" si="460"/>
        <v>26.89569</v>
      </c>
      <c r="L1298" t="str">
        <f t="shared" si="461"/>
        <v>-82.011268</v>
      </c>
      <c r="M1298">
        <v>5</v>
      </c>
      <c r="N1298" s="1">
        <v>44628</v>
      </c>
      <c r="O1298" s="1">
        <v>46099</v>
      </c>
      <c r="P1298" s="2">
        <f t="shared" si="462"/>
        <v>4.0273785078713207</v>
      </c>
      <c r="Q1298" s="2" t="str">
        <f t="shared" si="463"/>
        <v>Mid</v>
      </c>
      <c r="R1298">
        <f t="shared" si="464"/>
        <v>2000</v>
      </c>
      <c r="S1298" t="str">
        <f t="shared" si="465"/>
        <v>Small</v>
      </c>
      <c r="T1298" t="str">
        <f t="shared" si="466"/>
        <v>High EV Adoption Corridor</v>
      </c>
      <c r="U1298" s="3">
        <f t="shared" si="467"/>
        <v>4680000</v>
      </c>
      <c r="V1298" s="4">
        <f t="shared" si="468"/>
        <v>1056000</v>
      </c>
      <c r="W1298" s="3">
        <f t="shared" si="469"/>
        <v>13200000.000000002</v>
      </c>
      <c r="X1298" s="3">
        <f t="shared" si="470"/>
        <v>9900000.0000000019</v>
      </c>
      <c r="Y1298">
        <f t="shared" si="471"/>
        <v>0.23999999999999996</v>
      </c>
      <c r="Z1298">
        <f t="shared" si="472"/>
        <v>0.77435897435897438</v>
      </c>
      <c r="AA1298" t="str">
        <f t="shared" si="473"/>
        <v>Tier 1 - Priority Fleet</v>
      </c>
      <c r="AB1298" s="3">
        <f t="shared" si="474"/>
        <v>132000</v>
      </c>
      <c r="AC1298" s="3">
        <f t="shared" si="475"/>
        <v>1650000.0000000002</v>
      </c>
      <c r="AD1298" s="3">
        <f t="shared" si="476"/>
        <v>585000</v>
      </c>
      <c r="AE1298" s="5">
        <f t="shared" si="477"/>
        <v>3.6423841059602653</v>
      </c>
      <c r="AF1298" s="10">
        <f t="shared" si="478"/>
        <v>654720</v>
      </c>
      <c r="AG1298" s="10">
        <f t="shared" si="479"/>
        <v>211200</v>
      </c>
      <c r="AH1298" s="10">
        <f t="shared" si="480"/>
        <v>105600</v>
      </c>
      <c r="AI1298" s="10">
        <f t="shared" si="481"/>
        <v>52800</v>
      </c>
      <c r="AJ1298" s="10">
        <f t="shared" si="482"/>
        <v>31680</v>
      </c>
    </row>
    <row r="1299" spans="1:36" x14ac:dyDescent="0.3">
      <c r="A1299" t="s">
        <v>4987</v>
      </c>
      <c r="B1299" t="s">
        <v>4988</v>
      </c>
      <c r="C1299" t="s">
        <v>4989</v>
      </c>
      <c r="D1299" t="s">
        <v>111</v>
      </c>
      <c r="E1299">
        <v>55718</v>
      </c>
      <c r="F1299" t="s">
        <v>15</v>
      </c>
      <c r="G1299">
        <v>8</v>
      </c>
      <c r="H1299">
        <v>250</v>
      </c>
      <c r="I1299" t="str" cm="1">
        <f t="array" ref="I1299">_xlfn.IFS(H1299&lt;=120,"V1",H1299&lt;=150,"V2",H1299&lt;=250,"V3", H1299&lt;=350, "V4")</f>
        <v>V3</v>
      </c>
      <c r="J1299" t="s">
        <v>4990</v>
      </c>
      <c r="K1299" t="str">
        <f t="shared" si="460"/>
        <v>46.664849</v>
      </c>
      <c r="L1299" t="str">
        <f t="shared" si="461"/>
        <v>-92.477676</v>
      </c>
      <c r="M1299">
        <v>349</v>
      </c>
      <c r="N1299" s="1">
        <v>44431</v>
      </c>
      <c r="O1299" s="1">
        <v>46099</v>
      </c>
      <c r="P1299" s="2">
        <f t="shared" si="462"/>
        <v>4.5667351129363452</v>
      </c>
      <c r="Q1299" s="2" t="str">
        <f t="shared" si="463"/>
        <v>Mid</v>
      </c>
      <c r="R1299">
        <f t="shared" si="464"/>
        <v>2000</v>
      </c>
      <c r="S1299" t="str">
        <f t="shared" si="465"/>
        <v>Small</v>
      </c>
      <c r="T1299" t="str">
        <f t="shared" si="466"/>
        <v>Lower EV Adoption Corridor</v>
      </c>
      <c r="U1299" s="3">
        <f t="shared" si="467"/>
        <v>3600000</v>
      </c>
      <c r="V1299" s="4">
        <f t="shared" si="468"/>
        <v>880000.00000000012</v>
      </c>
      <c r="W1299" s="3">
        <f t="shared" si="469"/>
        <v>12000000</v>
      </c>
      <c r="X1299" s="3">
        <f t="shared" si="470"/>
        <v>6600000.0000000009</v>
      </c>
      <c r="Y1299">
        <f t="shared" si="471"/>
        <v>0.31515151515151513</v>
      </c>
      <c r="Z1299">
        <f t="shared" si="472"/>
        <v>0.75555555555555554</v>
      </c>
      <c r="AA1299" t="str">
        <f t="shared" si="473"/>
        <v>Tier 2 - Growth Markets</v>
      </c>
      <c r="AB1299" s="3">
        <f t="shared" si="474"/>
        <v>110000.00000000001</v>
      </c>
      <c r="AC1299" s="3">
        <f t="shared" si="475"/>
        <v>1500000</v>
      </c>
      <c r="AD1299" s="3">
        <f t="shared" si="476"/>
        <v>450000</v>
      </c>
      <c r="AE1299" s="5">
        <f t="shared" si="477"/>
        <v>4.4117647058823533</v>
      </c>
      <c r="AF1299" s="10">
        <f t="shared" si="478"/>
        <v>545600.00000000012</v>
      </c>
      <c r="AG1299" s="10">
        <f t="shared" si="479"/>
        <v>176000.00000000003</v>
      </c>
      <c r="AH1299" s="10">
        <f t="shared" si="480"/>
        <v>88000.000000000015</v>
      </c>
      <c r="AI1299" s="10">
        <f t="shared" si="481"/>
        <v>44000.000000000007</v>
      </c>
      <c r="AJ1299" s="10">
        <f t="shared" si="482"/>
        <v>26400.000000000004</v>
      </c>
    </row>
    <row r="1300" spans="1:36" x14ac:dyDescent="0.3">
      <c r="A1300" t="s">
        <v>4991</v>
      </c>
      <c r="B1300" t="s">
        <v>4992</v>
      </c>
      <c r="C1300" t="s">
        <v>4993</v>
      </c>
      <c r="D1300" t="s">
        <v>852</v>
      </c>
      <c r="E1300">
        <v>8857</v>
      </c>
      <c r="F1300" t="s">
        <v>15</v>
      </c>
      <c r="G1300">
        <v>8</v>
      </c>
      <c r="H1300">
        <v>250</v>
      </c>
      <c r="I1300" t="str" cm="1">
        <f t="array" ref="I1300">_xlfn.IFS(H1300&lt;=120,"V1",H1300&lt;=150,"V2",H1300&lt;=250,"V3", H1300&lt;=350, "V4")</f>
        <v>V3</v>
      </c>
      <c r="J1300" t="s">
        <v>4994</v>
      </c>
      <c r="K1300" t="str">
        <f t="shared" si="460"/>
        <v>40.39113</v>
      </c>
      <c r="L1300" t="str">
        <f t="shared" si="461"/>
        <v>-74.340201</v>
      </c>
      <c r="M1300">
        <v>11</v>
      </c>
      <c r="N1300" s="1">
        <v>44643</v>
      </c>
      <c r="O1300" s="1">
        <v>46099</v>
      </c>
      <c r="P1300" s="2">
        <f t="shared" si="462"/>
        <v>3.9863107460643397</v>
      </c>
      <c r="Q1300" s="2" t="str">
        <f t="shared" si="463"/>
        <v>Mid</v>
      </c>
      <c r="R1300">
        <f t="shared" si="464"/>
        <v>2000</v>
      </c>
      <c r="S1300" t="str">
        <f t="shared" si="465"/>
        <v>Small</v>
      </c>
      <c r="T1300" t="str">
        <f t="shared" si="466"/>
        <v>High EV Adoption Corridor</v>
      </c>
      <c r="U1300" s="3">
        <f t="shared" si="467"/>
        <v>4680000</v>
      </c>
      <c r="V1300" s="4">
        <f t="shared" si="468"/>
        <v>1056000</v>
      </c>
      <c r="W1300" s="3">
        <f t="shared" si="469"/>
        <v>13200000.000000002</v>
      </c>
      <c r="X1300" s="3">
        <f t="shared" si="470"/>
        <v>9900000.0000000019</v>
      </c>
      <c r="Y1300">
        <f t="shared" si="471"/>
        <v>0.23999999999999996</v>
      </c>
      <c r="Z1300">
        <f t="shared" si="472"/>
        <v>0.77435897435897438</v>
      </c>
      <c r="AA1300" t="str">
        <f t="shared" si="473"/>
        <v>Tier 1 - Priority Fleet</v>
      </c>
      <c r="AB1300" s="3">
        <f t="shared" si="474"/>
        <v>132000</v>
      </c>
      <c r="AC1300" s="3">
        <f t="shared" si="475"/>
        <v>1650000.0000000002</v>
      </c>
      <c r="AD1300" s="3">
        <f t="shared" si="476"/>
        <v>585000</v>
      </c>
      <c r="AE1300" s="5">
        <f t="shared" si="477"/>
        <v>3.6423841059602653</v>
      </c>
      <c r="AF1300" s="10">
        <f t="shared" si="478"/>
        <v>654720</v>
      </c>
      <c r="AG1300" s="10">
        <f t="shared" si="479"/>
        <v>211200</v>
      </c>
      <c r="AH1300" s="10">
        <f t="shared" si="480"/>
        <v>105600</v>
      </c>
      <c r="AI1300" s="10">
        <f t="shared" si="481"/>
        <v>52800</v>
      </c>
      <c r="AJ1300" s="10">
        <f t="shared" si="482"/>
        <v>31680</v>
      </c>
    </row>
    <row r="1301" spans="1:36" x14ac:dyDescent="0.3">
      <c r="A1301" t="s">
        <v>4995</v>
      </c>
      <c r="B1301" t="s">
        <v>4996</v>
      </c>
      <c r="C1301" t="s">
        <v>1416</v>
      </c>
      <c r="D1301" t="s">
        <v>299</v>
      </c>
      <c r="E1301">
        <v>22664</v>
      </c>
      <c r="F1301" t="s">
        <v>15</v>
      </c>
      <c r="G1301">
        <v>8</v>
      </c>
      <c r="H1301">
        <v>250</v>
      </c>
      <c r="I1301" t="str" cm="1">
        <f t="array" ref="I1301">_xlfn.IFS(H1301&lt;=120,"V1",H1301&lt;=150,"V2",H1301&lt;=250,"V3", H1301&lt;=350, "V4")</f>
        <v>V3</v>
      </c>
      <c r="J1301" t="s">
        <v>4997</v>
      </c>
      <c r="K1301" t="str">
        <f t="shared" si="460"/>
        <v>38.866754</v>
      </c>
      <c r="L1301" t="str">
        <f t="shared" si="461"/>
        <v>-78.5192</v>
      </c>
      <c r="M1301">
        <v>251</v>
      </c>
      <c r="N1301" s="1">
        <v>44372</v>
      </c>
      <c r="O1301" s="1">
        <v>46099</v>
      </c>
      <c r="P1301" s="2">
        <f t="shared" si="462"/>
        <v>4.7282683093771389</v>
      </c>
      <c r="Q1301" s="2" t="str">
        <f t="shared" si="463"/>
        <v>Mid</v>
      </c>
      <c r="R1301">
        <f t="shared" si="464"/>
        <v>2000</v>
      </c>
      <c r="S1301" t="str">
        <f t="shared" si="465"/>
        <v>Small</v>
      </c>
      <c r="T1301" t="str">
        <f t="shared" si="466"/>
        <v>Lower EV Adoption Corridor</v>
      </c>
      <c r="U1301" s="3">
        <f t="shared" si="467"/>
        <v>3600000</v>
      </c>
      <c r="V1301" s="4">
        <f t="shared" si="468"/>
        <v>880000.00000000012</v>
      </c>
      <c r="W1301" s="3">
        <f t="shared" si="469"/>
        <v>12000000</v>
      </c>
      <c r="X1301" s="3">
        <f t="shared" si="470"/>
        <v>6600000.0000000009</v>
      </c>
      <c r="Y1301">
        <f t="shared" si="471"/>
        <v>0.31515151515151513</v>
      </c>
      <c r="Z1301">
        <f t="shared" si="472"/>
        <v>0.75555555555555554</v>
      </c>
      <c r="AA1301" t="str">
        <f t="shared" si="473"/>
        <v>Tier 2 - Growth Markets</v>
      </c>
      <c r="AB1301" s="3">
        <f t="shared" si="474"/>
        <v>110000.00000000001</v>
      </c>
      <c r="AC1301" s="3">
        <f t="shared" si="475"/>
        <v>1500000</v>
      </c>
      <c r="AD1301" s="3">
        <f t="shared" si="476"/>
        <v>450000</v>
      </c>
      <c r="AE1301" s="5">
        <f t="shared" si="477"/>
        <v>4.4117647058823533</v>
      </c>
      <c r="AF1301" s="10">
        <f t="shared" si="478"/>
        <v>545600.00000000012</v>
      </c>
      <c r="AG1301" s="10">
        <f t="shared" si="479"/>
        <v>176000.00000000003</v>
      </c>
      <c r="AH1301" s="10">
        <f t="shared" si="480"/>
        <v>88000.000000000015</v>
      </c>
      <c r="AI1301" s="10">
        <f t="shared" si="481"/>
        <v>44000.000000000007</v>
      </c>
      <c r="AJ1301" s="10">
        <f t="shared" si="482"/>
        <v>26400.000000000004</v>
      </c>
    </row>
    <row r="1302" spans="1:36" x14ac:dyDescent="0.3">
      <c r="A1302" t="s">
        <v>4998</v>
      </c>
      <c r="B1302" t="s">
        <v>4999</v>
      </c>
      <c r="C1302" t="s">
        <v>5000</v>
      </c>
      <c r="D1302" t="s">
        <v>59</v>
      </c>
      <c r="E1302">
        <v>60010</v>
      </c>
      <c r="F1302" t="s">
        <v>15</v>
      </c>
      <c r="G1302">
        <v>12</v>
      </c>
      <c r="H1302">
        <v>250</v>
      </c>
      <c r="I1302" t="str" cm="1">
        <f t="array" ref="I1302">_xlfn.IFS(H1302&lt;=120,"V1",H1302&lt;=150,"V2",H1302&lt;=250,"V3", H1302&lt;=350, "V4")</f>
        <v>V3</v>
      </c>
      <c r="J1302" t="s">
        <v>5001</v>
      </c>
      <c r="K1302" t="str">
        <f t="shared" si="460"/>
        <v>42.0748</v>
      </c>
      <c r="L1302" t="str">
        <f t="shared" si="461"/>
        <v>-88.1868</v>
      </c>
      <c r="M1302">
        <v>256</v>
      </c>
      <c r="N1302" s="1">
        <v>44826</v>
      </c>
      <c r="O1302" s="1">
        <v>46099</v>
      </c>
      <c r="P1302" s="2">
        <f t="shared" si="462"/>
        <v>3.485284052019165</v>
      </c>
      <c r="Q1302" s="2" t="str">
        <f t="shared" si="463"/>
        <v>Mid</v>
      </c>
      <c r="R1302">
        <f t="shared" si="464"/>
        <v>3000</v>
      </c>
      <c r="S1302" t="str">
        <f t="shared" si="465"/>
        <v>Small</v>
      </c>
      <c r="T1302" t="str">
        <f t="shared" si="466"/>
        <v>Lower EV Adoption Corridor</v>
      </c>
      <c r="U1302" s="3">
        <f t="shared" si="467"/>
        <v>5400000</v>
      </c>
      <c r="V1302" s="4">
        <f t="shared" si="468"/>
        <v>1320000</v>
      </c>
      <c r="W1302" s="3">
        <f t="shared" si="469"/>
        <v>18000000</v>
      </c>
      <c r="X1302" s="3">
        <f t="shared" si="470"/>
        <v>9900000</v>
      </c>
      <c r="Y1302">
        <f t="shared" si="471"/>
        <v>0.31515151515151513</v>
      </c>
      <c r="Z1302">
        <f t="shared" si="472"/>
        <v>0.75555555555555554</v>
      </c>
      <c r="AA1302" t="str">
        <f t="shared" si="473"/>
        <v>Tier 2 - Growth Markets</v>
      </c>
      <c r="AB1302" s="3">
        <f t="shared" si="474"/>
        <v>110000</v>
      </c>
      <c r="AC1302" s="3">
        <f t="shared" si="475"/>
        <v>1500000</v>
      </c>
      <c r="AD1302" s="3">
        <f t="shared" si="476"/>
        <v>450000</v>
      </c>
      <c r="AE1302" s="5">
        <f t="shared" si="477"/>
        <v>4.4117647058823533</v>
      </c>
      <c r="AF1302" s="10">
        <f t="shared" si="478"/>
        <v>818400</v>
      </c>
      <c r="AG1302" s="10">
        <f t="shared" si="479"/>
        <v>264000</v>
      </c>
      <c r="AH1302" s="10">
        <f t="shared" si="480"/>
        <v>132000</v>
      </c>
      <c r="AI1302" s="10">
        <f t="shared" si="481"/>
        <v>66000</v>
      </c>
      <c r="AJ1302" s="10">
        <f t="shared" si="482"/>
        <v>39600</v>
      </c>
    </row>
    <row r="1303" spans="1:36" x14ac:dyDescent="0.3">
      <c r="A1303" t="s">
        <v>5002</v>
      </c>
      <c r="B1303" t="s">
        <v>5003</v>
      </c>
      <c r="C1303" t="s">
        <v>2777</v>
      </c>
      <c r="D1303" t="s">
        <v>111</v>
      </c>
      <c r="E1303">
        <v>55431</v>
      </c>
      <c r="F1303" t="s">
        <v>15</v>
      </c>
      <c r="G1303">
        <v>16</v>
      </c>
      <c r="H1303">
        <v>250</v>
      </c>
      <c r="I1303" t="str" cm="1">
        <f t="array" ref="I1303">_xlfn.IFS(H1303&lt;=120,"V1",H1303&lt;=150,"V2",H1303&lt;=250,"V3", H1303&lt;=350, "V4")</f>
        <v>V3</v>
      </c>
      <c r="J1303" t="s">
        <v>5004</v>
      </c>
      <c r="K1303" t="str">
        <f t="shared" si="460"/>
        <v>44.861</v>
      </c>
      <c r="L1303" t="str">
        <f t="shared" si="461"/>
        <v>-93.3124</v>
      </c>
      <c r="M1303">
        <v>254</v>
      </c>
      <c r="N1303" s="1">
        <v>44826</v>
      </c>
      <c r="O1303" s="1">
        <v>46099</v>
      </c>
      <c r="P1303" s="2">
        <f t="shared" si="462"/>
        <v>3.485284052019165</v>
      </c>
      <c r="Q1303" s="2" t="str">
        <f t="shared" si="463"/>
        <v>Mid</v>
      </c>
      <c r="R1303">
        <f t="shared" si="464"/>
        <v>4000</v>
      </c>
      <c r="S1303" t="str">
        <f t="shared" si="465"/>
        <v>Small</v>
      </c>
      <c r="T1303" t="str">
        <f t="shared" si="466"/>
        <v>Lower EV Adoption Corridor</v>
      </c>
      <c r="U1303" s="3">
        <f t="shared" si="467"/>
        <v>7200000</v>
      </c>
      <c r="V1303" s="4">
        <f t="shared" si="468"/>
        <v>1760000.0000000002</v>
      </c>
      <c r="W1303" s="3">
        <f t="shared" si="469"/>
        <v>24000000</v>
      </c>
      <c r="X1303" s="3">
        <f t="shared" si="470"/>
        <v>13200000.000000002</v>
      </c>
      <c r="Y1303">
        <f t="shared" si="471"/>
        <v>0.31515151515151513</v>
      </c>
      <c r="Z1303">
        <f t="shared" si="472"/>
        <v>0.75555555555555554</v>
      </c>
      <c r="AA1303" t="str">
        <f t="shared" si="473"/>
        <v>Tier 2 - Growth Markets</v>
      </c>
      <c r="AB1303" s="3">
        <f t="shared" si="474"/>
        <v>110000.00000000001</v>
      </c>
      <c r="AC1303" s="3">
        <f t="shared" si="475"/>
        <v>1500000</v>
      </c>
      <c r="AD1303" s="3">
        <f t="shared" si="476"/>
        <v>450000</v>
      </c>
      <c r="AE1303" s="5">
        <f t="shared" si="477"/>
        <v>4.4117647058823533</v>
      </c>
      <c r="AF1303" s="10">
        <f t="shared" si="478"/>
        <v>1091200.0000000002</v>
      </c>
      <c r="AG1303" s="10">
        <f t="shared" si="479"/>
        <v>352000.00000000006</v>
      </c>
      <c r="AH1303" s="10">
        <f t="shared" si="480"/>
        <v>176000.00000000003</v>
      </c>
      <c r="AI1303" s="10">
        <f t="shared" si="481"/>
        <v>88000.000000000015</v>
      </c>
      <c r="AJ1303" s="10">
        <f t="shared" si="482"/>
        <v>52800.000000000007</v>
      </c>
    </row>
    <row r="1304" spans="1:36" x14ac:dyDescent="0.3">
      <c r="A1304" t="s">
        <v>5005</v>
      </c>
      <c r="B1304" t="s">
        <v>5006</v>
      </c>
      <c r="C1304" t="s">
        <v>5007</v>
      </c>
      <c r="D1304" t="s">
        <v>111</v>
      </c>
      <c r="E1304">
        <v>55369</v>
      </c>
      <c r="F1304" t="s">
        <v>15</v>
      </c>
      <c r="G1304">
        <v>12</v>
      </c>
      <c r="H1304">
        <v>250</v>
      </c>
      <c r="I1304" t="str" cm="1">
        <f t="array" ref="I1304">_xlfn.IFS(H1304&lt;=120,"V1",H1304&lt;=150,"V2",H1304&lt;=250,"V3", H1304&lt;=350, "V4")</f>
        <v>V3</v>
      </c>
      <c r="J1304" t="s">
        <v>5008</v>
      </c>
      <c r="K1304" t="str">
        <f t="shared" si="460"/>
        <v>45.135263</v>
      </c>
      <c r="L1304" t="str">
        <f t="shared" si="461"/>
        <v>-93.474392</v>
      </c>
      <c r="M1304">
        <v>280</v>
      </c>
      <c r="N1304" s="1">
        <v>44840</v>
      </c>
      <c r="O1304" s="1">
        <v>46099</v>
      </c>
      <c r="P1304" s="2">
        <f t="shared" si="462"/>
        <v>3.4469541409993156</v>
      </c>
      <c r="Q1304" s="2" t="str">
        <f t="shared" si="463"/>
        <v>Mid</v>
      </c>
      <c r="R1304">
        <f t="shared" si="464"/>
        <v>3000</v>
      </c>
      <c r="S1304" t="str">
        <f t="shared" si="465"/>
        <v>Small</v>
      </c>
      <c r="T1304" t="str">
        <f t="shared" si="466"/>
        <v>Lower EV Adoption Corridor</v>
      </c>
      <c r="U1304" s="3">
        <f t="shared" si="467"/>
        <v>5400000</v>
      </c>
      <c r="V1304" s="4">
        <f t="shared" si="468"/>
        <v>1320000</v>
      </c>
      <c r="W1304" s="3">
        <f t="shared" si="469"/>
        <v>18000000</v>
      </c>
      <c r="X1304" s="3">
        <f t="shared" si="470"/>
        <v>9900000</v>
      </c>
      <c r="Y1304">
        <f t="shared" si="471"/>
        <v>0.31515151515151513</v>
      </c>
      <c r="Z1304">
        <f t="shared" si="472"/>
        <v>0.75555555555555554</v>
      </c>
      <c r="AA1304" t="str">
        <f t="shared" si="473"/>
        <v>Tier 2 - Growth Markets</v>
      </c>
      <c r="AB1304" s="3">
        <f t="shared" si="474"/>
        <v>110000</v>
      </c>
      <c r="AC1304" s="3">
        <f t="shared" si="475"/>
        <v>1500000</v>
      </c>
      <c r="AD1304" s="3">
        <f t="shared" si="476"/>
        <v>450000</v>
      </c>
      <c r="AE1304" s="5">
        <f t="shared" si="477"/>
        <v>4.4117647058823533</v>
      </c>
      <c r="AF1304" s="10">
        <f t="shared" si="478"/>
        <v>818400</v>
      </c>
      <c r="AG1304" s="10">
        <f t="shared" si="479"/>
        <v>264000</v>
      </c>
      <c r="AH1304" s="10">
        <f t="shared" si="480"/>
        <v>132000</v>
      </c>
      <c r="AI1304" s="10">
        <f t="shared" si="481"/>
        <v>66000</v>
      </c>
      <c r="AJ1304" s="10">
        <f t="shared" si="482"/>
        <v>39600</v>
      </c>
    </row>
    <row r="1305" spans="1:36" x14ac:dyDescent="0.3">
      <c r="A1305" t="s">
        <v>5009</v>
      </c>
      <c r="B1305" t="s">
        <v>5010</v>
      </c>
      <c r="C1305" t="s">
        <v>1627</v>
      </c>
      <c r="D1305" t="s">
        <v>14</v>
      </c>
      <c r="E1305">
        <v>92122</v>
      </c>
      <c r="F1305" t="s">
        <v>15</v>
      </c>
      <c r="G1305">
        <v>7</v>
      </c>
      <c r="H1305">
        <v>72</v>
      </c>
      <c r="I1305" t="str" cm="1">
        <f t="array" ref="I1305">_xlfn.IFS(H1305&lt;=120,"V1",H1305&lt;=150,"V2",H1305&lt;=250,"V3", H1305&lt;=350, "V4")</f>
        <v>V1</v>
      </c>
      <c r="J1305" t="s">
        <v>5011</v>
      </c>
      <c r="K1305" t="str">
        <f t="shared" si="460"/>
        <v>32.870556</v>
      </c>
      <c r="L1305" t="str">
        <f t="shared" si="461"/>
        <v>-117.224664</v>
      </c>
      <c r="M1305">
        <v>98</v>
      </c>
      <c r="N1305" s="1">
        <v>44357</v>
      </c>
      <c r="O1305" s="1">
        <v>46099</v>
      </c>
      <c r="P1305" s="2">
        <f t="shared" si="462"/>
        <v>4.7693360711841208</v>
      </c>
      <c r="Q1305" s="2" t="str">
        <f t="shared" si="463"/>
        <v>Mid</v>
      </c>
      <c r="R1305">
        <f t="shared" si="464"/>
        <v>504</v>
      </c>
      <c r="S1305" t="str">
        <f t="shared" si="465"/>
        <v>Small</v>
      </c>
      <c r="T1305" t="str">
        <f t="shared" si="466"/>
        <v>High EV Adoption Corridor</v>
      </c>
      <c r="U1305" s="3">
        <f t="shared" si="467"/>
        <v>982800</v>
      </c>
      <c r="V1305" s="4">
        <f t="shared" si="468"/>
        <v>217728</v>
      </c>
      <c r="W1305" s="3">
        <f t="shared" si="469"/>
        <v>2217600</v>
      </c>
      <c r="X1305" s="3">
        <f t="shared" si="470"/>
        <v>2041200</v>
      </c>
      <c r="Y1305">
        <f t="shared" si="471"/>
        <v>0.21530864197530863</v>
      </c>
      <c r="Z1305">
        <f t="shared" si="472"/>
        <v>0.77846153846153843</v>
      </c>
      <c r="AA1305" t="str">
        <f t="shared" si="473"/>
        <v>Tier 3 - Upgrade Pipeline</v>
      </c>
      <c r="AB1305" s="3">
        <f t="shared" si="474"/>
        <v>31104</v>
      </c>
      <c r="AC1305" s="3">
        <f t="shared" si="475"/>
        <v>316800</v>
      </c>
      <c r="AD1305" s="3">
        <f t="shared" si="476"/>
        <v>140400</v>
      </c>
      <c r="AE1305" s="5">
        <f t="shared" si="477"/>
        <v>2.8985507246376812</v>
      </c>
      <c r="AF1305" s="10">
        <f t="shared" si="478"/>
        <v>134991.35999999999</v>
      </c>
      <c r="AG1305" s="10">
        <f t="shared" si="479"/>
        <v>43545.600000000006</v>
      </c>
      <c r="AH1305" s="10">
        <f t="shared" si="480"/>
        <v>21772.800000000003</v>
      </c>
      <c r="AI1305" s="10">
        <f t="shared" si="481"/>
        <v>10886.400000000001</v>
      </c>
      <c r="AJ1305" s="10">
        <f t="shared" si="482"/>
        <v>6531.84</v>
      </c>
    </row>
    <row r="1306" spans="1:36" x14ac:dyDescent="0.3">
      <c r="A1306" t="s">
        <v>5012</v>
      </c>
      <c r="B1306" t="s">
        <v>5013</v>
      </c>
      <c r="C1306" t="s">
        <v>5014</v>
      </c>
      <c r="D1306" t="s">
        <v>522</v>
      </c>
      <c r="E1306">
        <v>63701</v>
      </c>
      <c r="F1306" t="s">
        <v>15</v>
      </c>
      <c r="G1306">
        <v>8</v>
      </c>
      <c r="H1306">
        <v>250</v>
      </c>
      <c r="I1306" t="str" cm="1">
        <f t="array" ref="I1306">_xlfn.IFS(H1306&lt;=120,"V1",H1306&lt;=150,"V2",H1306&lt;=250,"V3", H1306&lt;=350, "V4")</f>
        <v>V3</v>
      </c>
      <c r="J1306" t="s">
        <v>5015</v>
      </c>
      <c r="K1306" t="str">
        <f t="shared" si="460"/>
        <v>37.348729</v>
      </c>
      <c r="L1306" t="str">
        <f t="shared" si="461"/>
        <v>-89.598272</v>
      </c>
      <c r="M1306">
        <v>170</v>
      </c>
      <c r="N1306" s="1">
        <v>44637</v>
      </c>
      <c r="O1306" s="1">
        <v>46099</v>
      </c>
      <c r="P1306" s="2">
        <f t="shared" si="462"/>
        <v>4.0027378507871321</v>
      </c>
      <c r="Q1306" s="2" t="str">
        <f t="shared" si="463"/>
        <v>Mid</v>
      </c>
      <c r="R1306">
        <f t="shared" si="464"/>
        <v>2000</v>
      </c>
      <c r="S1306" t="str">
        <f t="shared" si="465"/>
        <v>Small</v>
      </c>
      <c r="T1306" t="str">
        <f t="shared" si="466"/>
        <v>Lower EV Adoption Corridor</v>
      </c>
      <c r="U1306" s="3">
        <f t="shared" si="467"/>
        <v>3600000</v>
      </c>
      <c r="V1306" s="4">
        <f t="shared" si="468"/>
        <v>880000.00000000012</v>
      </c>
      <c r="W1306" s="3">
        <f t="shared" si="469"/>
        <v>12000000</v>
      </c>
      <c r="X1306" s="3">
        <f t="shared" si="470"/>
        <v>6600000.0000000009</v>
      </c>
      <c r="Y1306">
        <f t="shared" si="471"/>
        <v>0.31515151515151513</v>
      </c>
      <c r="Z1306">
        <f t="shared" si="472"/>
        <v>0.75555555555555554</v>
      </c>
      <c r="AA1306" t="str">
        <f t="shared" si="473"/>
        <v>Tier 2 - Growth Markets</v>
      </c>
      <c r="AB1306" s="3">
        <f t="shared" si="474"/>
        <v>110000.00000000001</v>
      </c>
      <c r="AC1306" s="3">
        <f t="shared" si="475"/>
        <v>1500000</v>
      </c>
      <c r="AD1306" s="3">
        <f t="shared" si="476"/>
        <v>450000</v>
      </c>
      <c r="AE1306" s="5">
        <f t="shared" si="477"/>
        <v>4.4117647058823533</v>
      </c>
      <c r="AF1306" s="10">
        <f t="shared" si="478"/>
        <v>545600.00000000012</v>
      </c>
      <c r="AG1306" s="10">
        <f t="shared" si="479"/>
        <v>176000.00000000003</v>
      </c>
      <c r="AH1306" s="10">
        <f t="shared" si="480"/>
        <v>88000.000000000015</v>
      </c>
      <c r="AI1306" s="10">
        <f t="shared" si="481"/>
        <v>44000.000000000007</v>
      </c>
      <c r="AJ1306" s="10">
        <f t="shared" si="482"/>
        <v>26400.000000000004</v>
      </c>
    </row>
    <row r="1307" spans="1:36" x14ac:dyDescent="0.3">
      <c r="A1307" t="s">
        <v>5016</v>
      </c>
      <c r="B1307" t="s">
        <v>5017</v>
      </c>
      <c r="C1307" t="s">
        <v>5018</v>
      </c>
      <c r="D1307" t="s">
        <v>28</v>
      </c>
      <c r="E1307">
        <v>30253</v>
      </c>
      <c r="F1307" t="s">
        <v>15</v>
      </c>
      <c r="G1307">
        <v>12</v>
      </c>
      <c r="H1307">
        <v>250</v>
      </c>
      <c r="I1307" t="str" cm="1">
        <f t="array" ref="I1307">_xlfn.IFS(H1307&lt;=120,"V1",H1307&lt;=150,"V2",H1307&lt;=250,"V3", H1307&lt;=350, "V4")</f>
        <v>V3</v>
      </c>
      <c r="J1307" t="s">
        <v>5019</v>
      </c>
      <c r="K1307" t="str">
        <f t="shared" si="460"/>
        <v>33.425818</v>
      </c>
      <c r="L1307" t="str">
        <f t="shared" si="461"/>
        <v>-84.18787</v>
      </c>
      <c r="M1307">
        <v>267</v>
      </c>
      <c r="N1307" s="1">
        <v>44386</v>
      </c>
      <c r="O1307" s="1">
        <v>46099</v>
      </c>
      <c r="P1307" s="2">
        <f t="shared" si="462"/>
        <v>4.6899383983572891</v>
      </c>
      <c r="Q1307" s="2" t="str">
        <f t="shared" si="463"/>
        <v>Mid</v>
      </c>
      <c r="R1307">
        <f t="shared" si="464"/>
        <v>3000</v>
      </c>
      <c r="S1307" t="str">
        <f t="shared" si="465"/>
        <v>Small</v>
      </c>
      <c r="T1307" t="str">
        <f t="shared" si="466"/>
        <v>Lower EV Adoption Corridor</v>
      </c>
      <c r="U1307" s="3">
        <f t="shared" si="467"/>
        <v>5400000</v>
      </c>
      <c r="V1307" s="4">
        <f t="shared" si="468"/>
        <v>1320000</v>
      </c>
      <c r="W1307" s="3">
        <f t="shared" si="469"/>
        <v>18000000</v>
      </c>
      <c r="X1307" s="3">
        <f t="shared" si="470"/>
        <v>9900000</v>
      </c>
      <c r="Y1307">
        <f t="shared" si="471"/>
        <v>0.31515151515151513</v>
      </c>
      <c r="Z1307">
        <f t="shared" si="472"/>
        <v>0.75555555555555554</v>
      </c>
      <c r="AA1307" t="str">
        <f t="shared" si="473"/>
        <v>Tier 2 - Growth Markets</v>
      </c>
      <c r="AB1307" s="3">
        <f t="shared" si="474"/>
        <v>110000</v>
      </c>
      <c r="AC1307" s="3">
        <f t="shared" si="475"/>
        <v>1500000</v>
      </c>
      <c r="AD1307" s="3">
        <f t="shared" si="476"/>
        <v>450000</v>
      </c>
      <c r="AE1307" s="5">
        <f t="shared" si="477"/>
        <v>4.4117647058823533</v>
      </c>
      <c r="AF1307" s="10">
        <f t="shared" si="478"/>
        <v>818400</v>
      </c>
      <c r="AG1307" s="10">
        <f t="shared" si="479"/>
        <v>264000</v>
      </c>
      <c r="AH1307" s="10">
        <f t="shared" si="480"/>
        <v>132000</v>
      </c>
      <c r="AI1307" s="10">
        <f t="shared" si="481"/>
        <v>66000</v>
      </c>
      <c r="AJ1307" s="10">
        <f t="shared" si="482"/>
        <v>39600</v>
      </c>
    </row>
    <row r="1308" spans="1:36" x14ac:dyDescent="0.3">
      <c r="A1308" t="s">
        <v>5020</v>
      </c>
      <c r="B1308" t="s">
        <v>5021</v>
      </c>
      <c r="C1308" t="s">
        <v>1921</v>
      </c>
      <c r="D1308" t="s">
        <v>14</v>
      </c>
      <c r="E1308">
        <v>92008</v>
      </c>
      <c r="F1308" t="s">
        <v>15</v>
      </c>
      <c r="G1308">
        <v>16</v>
      </c>
      <c r="H1308">
        <v>250</v>
      </c>
      <c r="I1308" t="str" cm="1">
        <f t="array" ref="I1308">_xlfn.IFS(H1308&lt;=120,"V1",H1308&lt;=150,"V2",H1308&lt;=250,"V3", H1308&lt;=350, "V4")</f>
        <v>V3</v>
      </c>
      <c r="J1308" t="s">
        <v>5022</v>
      </c>
      <c r="K1308" t="str">
        <f t="shared" si="460"/>
        <v>33.124351</v>
      </c>
      <c r="L1308" t="str">
        <f t="shared" si="461"/>
        <v>-117.31912</v>
      </c>
      <c r="M1308">
        <v>23</v>
      </c>
      <c r="N1308" s="1">
        <v>44426</v>
      </c>
      <c r="O1308" s="1">
        <v>46099</v>
      </c>
      <c r="P1308" s="2">
        <f t="shared" si="462"/>
        <v>4.5804243668720055</v>
      </c>
      <c r="Q1308" s="2" t="str">
        <f t="shared" si="463"/>
        <v>Mid</v>
      </c>
      <c r="R1308">
        <f t="shared" si="464"/>
        <v>4000</v>
      </c>
      <c r="S1308" t="str">
        <f t="shared" si="465"/>
        <v>Small</v>
      </c>
      <c r="T1308" t="str">
        <f t="shared" si="466"/>
        <v>High EV Adoption Corridor</v>
      </c>
      <c r="U1308" s="3">
        <f t="shared" si="467"/>
        <v>9360000</v>
      </c>
      <c r="V1308" s="4">
        <f t="shared" si="468"/>
        <v>2112000</v>
      </c>
      <c r="W1308" s="3">
        <f t="shared" si="469"/>
        <v>26400000.000000004</v>
      </c>
      <c r="X1308" s="3">
        <f t="shared" si="470"/>
        <v>19800000.000000004</v>
      </c>
      <c r="Y1308">
        <f t="shared" si="471"/>
        <v>0.23999999999999996</v>
      </c>
      <c r="Z1308">
        <f t="shared" si="472"/>
        <v>0.77435897435897438</v>
      </c>
      <c r="AA1308" t="str">
        <f t="shared" si="473"/>
        <v>Tier 1 - Priority Fleet</v>
      </c>
      <c r="AB1308" s="3">
        <f t="shared" si="474"/>
        <v>132000</v>
      </c>
      <c r="AC1308" s="3">
        <f t="shared" si="475"/>
        <v>1650000.0000000002</v>
      </c>
      <c r="AD1308" s="3">
        <f t="shared" si="476"/>
        <v>585000</v>
      </c>
      <c r="AE1308" s="5">
        <f t="shared" si="477"/>
        <v>3.6423841059602653</v>
      </c>
      <c r="AF1308" s="10">
        <f t="shared" si="478"/>
        <v>1309440</v>
      </c>
      <c r="AG1308" s="10">
        <f t="shared" si="479"/>
        <v>422400</v>
      </c>
      <c r="AH1308" s="10">
        <f t="shared" si="480"/>
        <v>211200</v>
      </c>
      <c r="AI1308" s="10">
        <f t="shared" si="481"/>
        <v>105600</v>
      </c>
      <c r="AJ1308" s="10">
        <f t="shared" si="482"/>
        <v>63360</v>
      </c>
    </row>
    <row r="1309" spans="1:36" x14ac:dyDescent="0.3">
      <c r="A1309" t="s">
        <v>5023</v>
      </c>
      <c r="B1309" t="s">
        <v>5024</v>
      </c>
      <c r="C1309" t="s">
        <v>5025</v>
      </c>
      <c r="D1309" t="s">
        <v>158</v>
      </c>
      <c r="E1309">
        <v>12401</v>
      </c>
      <c r="F1309" t="s">
        <v>15</v>
      </c>
      <c r="G1309">
        <v>8</v>
      </c>
      <c r="H1309">
        <v>120</v>
      </c>
      <c r="I1309" t="str" cm="1">
        <f t="array" ref="I1309">_xlfn.IFS(H1309&lt;=120,"V1",H1309&lt;=150,"V2",H1309&lt;=250,"V3", H1309&lt;=350, "V4")</f>
        <v>V1</v>
      </c>
      <c r="J1309" t="s">
        <v>5026</v>
      </c>
      <c r="K1309" t="str">
        <f t="shared" si="460"/>
        <v>41.941916</v>
      </c>
      <c r="L1309" t="str">
        <f t="shared" si="461"/>
        <v>-74.027208</v>
      </c>
      <c r="M1309">
        <v>47</v>
      </c>
      <c r="N1309" s="1">
        <v>42661</v>
      </c>
      <c r="O1309" s="1">
        <v>46099</v>
      </c>
      <c r="P1309" s="2">
        <f t="shared" si="462"/>
        <v>9.4127310061601648</v>
      </c>
      <c r="Q1309" s="2" t="str">
        <f t="shared" si="463"/>
        <v>Old</v>
      </c>
      <c r="R1309">
        <f t="shared" si="464"/>
        <v>960</v>
      </c>
      <c r="S1309" t="str">
        <f t="shared" si="465"/>
        <v>Small</v>
      </c>
      <c r="T1309" t="str">
        <f t="shared" si="466"/>
        <v>Lower EV Adoption Corridor</v>
      </c>
      <c r="U1309" s="3">
        <f t="shared" si="467"/>
        <v>1440000</v>
      </c>
      <c r="V1309" s="4">
        <f t="shared" si="468"/>
        <v>345600</v>
      </c>
      <c r="W1309" s="3">
        <f t="shared" si="469"/>
        <v>3840000</v>
      </c>
      <c r="X1309" s="3">
        <f t="shared" si="470"/>
        <v>2592000</v>
      </c>
      <c r="Y1309">
        <f t="shared" si="471"/>
        <v>0.2814814814814815</v>
      </c>
      <c r="Z1309">
        <f t="shared" si="472"/>
        <v>0.76</v>
      </c>
      <c r="AA1309" t="str">
        <f t="shared" si="473"/>
        <v>Tier 5 - Retirement Pipeline</v>
      </c>
      <c r="AB1309" s="3">
        <f t="shared" si="474"/>
        <v>43200</v>
      </c>
      <c r="AC1309" s="3">
        <f t="shared" si="475"/>
        <v>480000</v>
      </c>
      <c r="AD1309" s="3">
        <f t="shared" si="476"/>
        <v>180000</v>
      </c>
      <c r="AE1309" s="5">
        <f t="shared" si="477"/>
        <v>3.5087719298245612</v>
      </c>
      <c r="AF1309" s="10">
        <f t="shared" si="478"/>
        <v>214272</v>
      </c>
      <c r="AG1309" s="10">
        <f t="shared" si="479"/>
        <v>69120</v>
      </c>
      <c r="AH1309" s="10">
        <f t="shared" si="480"/>
        <v>34560</v>
      </c>
      <c r="AI1309" s="10">
        <f t="shared" si="481"/>
        <v>17280</v>
      </c>
      <c r="AJ1309" s="10">
        <f t="shared" si="482"/>
        <v>10368</v>
      </c>
    </row>
    <row r="1310" spans="1:36" x14ac:dyDescent="0.3">
      <c r="A1310" t="s">
        <v>5027</v>
      </c>
      <c r="B1310" t="s">
        <v>5028</v>
      </c>
      <c r="C1310" t="s">
        <v>3098</v>
      </c>
      <c r="D1310" t="s">
        <v>50</v>
      </c>
      <c r="E1310">
        <v>77707</v>
      </c>
      <c r="F1310" t="s">
        <v>15</v>
      </c>
      <c r="G1310">
        <v>12</v>
      </c>
      <c r="H1310">
        <v>250</v>
      </c>
      <c r="I1310" t="str" cm="1">
        <f t="array" ref="I1310">_xlfn.IFS(H1310&lt;=120,"V1",H1310&lt;=150,"V2",H1310&lt;=250,"V3", H1310&lt;=350, "V4")</f>
        <v>V3</v>
      </c>
      <c r="J1310" t="s">
        <v>5029</v>
      </c>
      <c r="K1310" t="str">
        <f t="shared" si="460"/>
        <v>30.039029</v>
      </c>
      <c r="L1310" t="str">
        <f t="shared" si="461"/>
        <v>-94.160606</v>
      </c>
      <c r="M1310">
        <v>5</v>
      </c>
      <c r="N1310" s="1">
        <v>44813</v>
      </c>
      <c r="O1310" s="1">
        <v>46099</v>
      </c>
      <c r="P1310" s="2">
        <f t="shared" si="462"/>
        <v>3.5208761122518824</v>
      </c>
      <c r="Q1310" s="2" t="str">
        <f t="shared" si="463"/>
        <v>Mid</v>
      </c>
      <c r="R1310">
        <f t="shared" si="464"/>
        <v>3000</v>
      </c>
      <c r="S1310" t="str">
        <f t="shared" si="465"/>
        <v>Small</v>
      </c>
      <c r="T1310" t="str">
        <f t="shared" si="466"/>
        <v>High EV Adoption Corridor</v>
      </c>
      <c r="U1310" s="3">
        <f t="shared" si="467"/>
        <v>7020000</v>
      </c>
      <c r="V1310" s="4">
        <f t="shared" si="468"/>
        <v>1584000</v>
      </c>
      <c r="W1310" s="3">
        <f t="shared" si="469"/>
        <v>19800000</v>
      </c>
      <c r="X1310" s="3">
        <f t="shared" si="470"/>
        <v>14850000</v>
      </c>
      <c r="Y1310">
        <f t="shared" si="471"/>
        <v>0.24</v>
      </c>
      <c r="Z1310">
        <f t="shared" si="472"/>
        <v>0.77435897435897438</v>
      </c>
      <c r="AA1310" t="str">
        <f t="shared" si="473"/>
        <v>Tier 1 - Priority Fleet</v>
      </c>
      <c r="AB1310" s="3">
        <f t="shared" si="474"/>
        <v>132000</v>
      </c>
      <c r="AC1310" s="3">
        <f t="shared" si="475"/>
        <v>1650000</v>
      </c>
      <c r="AD1310" s="3">
        <f t="shared" si="476"/>
        <v>585000</v>
      </c>
      <c r="AE1310" s="5">
        <f t="shared" si="477"/>
        <v>3.6423841059602649</v>
      </c>
      <c r="AF1310" s="10">
        <f t="shared" si="478"/>
        <v>982080</v>
      </c>
      <c r="AG1310" s="10">
        <f t="shared" si="479"/>
        <v>316800</v>
      </c>
      <c r="AH1310" s="10">
        <f t="shared" si="480"/>
        <v>158400</v>
      </c>
      <c r="AI1310" s="10">
        <f t="shared" si="481"/>
        <v>79200</v>
      </c>
      <c r="AJ1310" s="10">
        <f t="shared" si="482"/>
        <v>47520</v>
      </c>
    </row>
    <row r="1311" spans="1:36" x14ac:dyDescent="0.3">
      <c r="A1311" t="s">
        <v>5030</v>
      </c>
      <c r="B1311" t="s">
        <v>5031</v>
      </c>
      <c r="C1311" t="s">
        <v>5032</v>
      </c>
      <c r="D1311" t="s">
        <v>158</v>
      </c>
      <c r="E1311">
        <v>10917</v>
      </c>
      <c r="F1311" t="s">
        <v>15</v>
      </c>
      <c r="G1311">
        <v>12</v>
      </c>
      <c r="H1311">
        <v>250</v>
      </c>
      <c r="I1311" t="str" cm="1">
        <f t="array" ref="I1311">_xlfn.IFS(H1311&lt;=120,"V1",H1311&lt;=150,"V2",H1311&lt;=250,"V3", H1311&lt;=350, "V4")</f>
        <v>V3</v>
      </c>
      <c r="J1311" t="s">
        <v>5033</v>
      </c>
      <c r="K1311" t="str">
        <f t="shared" si="460"/>
        <v>41.313222</v>
      </c>
      <c r="L1311" t="str">
        <f t="shared" si="461"/>
        <v>-74.125034</v>
      </c>
      <c r="M1311">
        <v>164</v>
      </c>
      <c r="N1311" s="1">
        <v>45013</v>
      </c>
      <c r="O1311" s="1">
        <v>46099</v>
      </c>
      <c r="P1311" s="2">
        <f t="shared" si="462"/>
        <v>2.9733059548254621</v>
      </c>
      <c r="Q1311" s="2" t="str">
        <f t="shared" si="463"/>
        <v>New</v>
      </c>
      <c r="R1311">
        <f t="shared" si="464"/>
        <v>3000</v>
      </c>
      <c r="S1311" t="str">
        <f t="shared" si="465"/>
        <v>Small</v>
      </c>
      <c r="T1311" t="str">
        <f t="shared" si="466"/>
        <v>Lower EV Adoption Corridor</v>
      </c>
      <c r="U1311" s="3">
        <f t="shared" si="467"/>
        <v>5400000</v>
      </c>
      <c r="V1311" s="4">
        <f t="shared" si="468"/>
        <v>1320000</v>
      </c>
      <c r="W1311" s="3">
        <f t="shared" si="469"/>
        <v>18000000</v>
      </c>
      <c r="X1311" s="3">
        <f t="shared" si="470"/>
        <v>9900000</v>
      </c>
      <c r="Y1311">
        <f t="shared" si="471"/>
        <v>0.31515151515151513</v>
      </c>
      <c r="Z1311">
        <f t="shared" si="472"/>
        <v>0.75555555555555554</v>
      </c>
      <c r="AA1311" t="str">
        <f t="shared" si="473"/>
        <v>Tier 2 - Growth Markets</v>
      </c>
      <c r="AB1311" s="3">
        <f t="shared" si="474"/>
        <v>110000</v>
      </c>
      <c r="AC1311" s="3">
        <f t="shared" si="475"/>
        <v>1500000</v>
      </c>
      <c r="AD1311" s="3">
        <f t="shared" si="476"/>
        <v>450000</v>
      </c>
      <c r="AE1311" s="5">
        <f t="shared" si="477"/>
        <v>4.4117647058823533</v>
      </c>
      <c r="AF1311" s="10">
        <f t="shared" si="478"/>
        <v>818400</v>
      </c>
      <c r="AG1311" s="10">
        <f t="shared" si="479"/>
        <v>264000</v>
      </c>
      <c r="AH1311" s="10">
        <f t="shared" si="480"/>
        <v>132000</v>
      </c>
      <c r="AI1311" s="10">
        <f t="shared" si="481"/>
        <v>66000</v>
      </c>
      <c r="AJ1311" s="10">
        <f t="shared" si="482"/>
        <v>39600</v>
      </c>
    </row>
    <row r="1312" spans="1:36" x14ac:dyDescent="0.3">
      <c r="A1312" t="s">
        <v>5034</v>
      </c>
      <c r="B1312" t="s">
        <v>5035</v>
      </c>
      <c r="C1312" t="s">
        <v>5036</v>
      </c>
      <c r="D1312" t="s">
        <v>50</v>
      </c>
      <c r="E1312">
        <v>78681</v>
      </c>
      <c r="F1312" t="s">
        <v>15</v>
      </c>
      <c r="G1312">
        <v>16</v>
      </c>
      <c r="H1312">
        <v>250</v>
      </c>
      <c r="I1312" t="str" cm="1">
        <f t="array" ref="I1312">_xlfn.IFS(H1312&lt;=120,"V1",H1312&lt;=150,"V2",H1312&lt;=250,"V3", H1312&lt;=350, "V4")</f>
        <v>V3</v>
      </c>
      <c r="J1312" t="s">
        <v>5037</v>
      </c>
      <c r="K1312" t="str">
        <f t="shared" si="460"/>
        <v>30.509711</v>
      </c>
      <c r="L1312" t="str">
        <f t="shared" si="461"/>
        <v>-97.687749</v>
      </c>
      <c r="M1312">
        <v>226</v>
      </c>
      <c r="N1312" s="1">
        <v>44498</v>
      </c>
      <c r="O1312" s="1">
        <v>46099</v>
      </c>
      <c r="P1312" s="2">
        <f t="shared" si="462"/>
        <v>4.3832991101984939</v>
      </c>
      <c r="Q1312" s="2" t="str">
        <f t="shared" si="463"/>
        <v>Mid</v>
      </c>
      <c r="R1312">
        <f t="shared" si="464"/>
        <v>4000</v>
      </c>
      <c r="S1312" t="str">
        <f t="shared" si="465"/>
        <v>Small</v>
      </c>
      <c r="T1312" t="str">
        <f t="shared" si="466"/>
        <v>High EV Adoption Corridor</v>
      </c>
      <c r="U1312" s="3">
        <f t="shared" si="467"/>
        <v>9360000</v>
      </c>
      <c r="V1312" s="4">
        <f t="shared" si="468"/>
        <v>2112000</v>
      </c>
      <c r="W1312" s="3">
        <f t="shared" si="469"/>
        <v>26400000.000000004</v>
      </c>
      <c r="X1312" s="3">
        <f t="shared" si="470"/>
        <v>19800000.000000004</v>
      </c>
      <c r="Y1312">
        <f t="shared" si="471"/>
        <v>0.23999999999999996</v>
      </c>
      <c r="Z1312">
        <f t="shared" si="472"/>
        <v>0.77435897435897438</v>
      </c>
      <c r="AA1312" t="str">
        <f t="shared" si="473"/>
        <v>Tier 1 - Priority Fleet</v>
      </c>
      <c r="AB1312" s="3">
        <f t="shared" si="474"/>
        <v>132000</v>
      </c>
      <c r="AC1312" s="3">
        <f t="shared" si="475"/>
        <v>1650000.0000000002</v>
      </c>
      <c r="AD1312" s="3">
        <f t="shared" si="476"/>
        <v>585000</v>
      </c>
      <c r="AE1312" s="5">
        <f t="shared" si="477"/>
        <v>3.6423841059602653</v>
      </c>
      <c r="AF1312" s="10">
        <f t="shared" si="478"/>
        <v>1309440</v>
      </c>
      <c r="AG1312" s="10">
        <f t="shared" si="479"/>
        <v>422400</v>
      </c>
      <c r="AH1312" s="10">
        <f t="shared" si="480"/>
        <v>211200</v>
      </c>
      <c r="AI1312" s="10">
        <f t="shared" si="481"/>
        <v>105600</v>
      </c>
      <c r="AJ1312" s="10">
        <f t="shared" si="482"/>
        <v>63360</v>
      </c>
    </row>
    <row r="1313" spans="1:36" x14ac:dyDescent="0.3">
      <c r="A1313" t="s">
        <v>5038</v>
      </c>
      <c r="B1313" t="s">
        <v>5039</v>
      </c>
      <c r="C1313" t="s">
        <v>3398</v>
      </c>
      <c r="D1313" t="s">
        <v>28</v>
      </c>
      <c r="E1313">
        <v>31021</v>
      </c>
      <c r="F1313" t="s">
        <v>15</v>
      </c>
      <c r="G1313">
        <v>12</v>
      </c>
      <c r="H1313">
        <v>250</v>
      </c>
      <c r="I1313" t="str" cm="1">
        <f t="array" ref="I1313">_xlfn.IFS(H1313&lt;=120,"V1",H1313&lt;=150,"V2",H1313&lt;=250,"V3", H1313&lt;=350, "V4")</f>
        <v>V3</v>
      </c>
      <c r="J1313" t="s">
        <v>5040</v>
      </c>
      <c r="K1313" t="str">
        <f t="shared" si="460"/>
        <v>32.490203</v>
      </c>
      <c r="L1313" t="str">
        <f t="shared" si="461"/>
        <v>-82.93261</v>
      </c>
      <c r="M1313">
        <v>86</v>
      </c>
      <c r="N1313" s="1">
        <v>44833</v>
      </c>
      <c r="O1313" s="1">
        <v>46099</v>
      </c>
      <c r="P1313" s="2">
        <f t="shared" si="462"/>
        <v>3.4661190965092401</v>
      </c>
      <c r="Q1313" s="2" t="str">
        <f t="shared" si="463"/>
        <v>Mid</v>
      </c>
      <c r="R1313">
        <f t="shared" si="464"/>
        <v>3000</v>
      </c>
      <c r="S1313" t="str">
        <f t="shared" si="465"/>
        <v>Small</v>
      </c>
      <c r="T1313" t="str">
        <f t="shared" si="466"/>
        <v>Lower EV Adoption Corridor</v>
      </c>
      <c r="U1313" s="3">
        <f t="shared" si="467"/>
        <v>5400000</v>
      </c>
      <c r="V1313" s="4">
        <f t="shared" si="468"/>
        <v>1320000</v>
      </c>
      <c r="W1313" s="3">
        <f t="shared" si="469"/>
        <v>18000000</v>
      </c>
      <c r="X1313" s="3">
        <f t="shared" si="470"/>
        <v>9900000</v>
      </c>
      <c r="Y1313">
        <f t="shared" si="471"/>
        <v>0.31515151515151513</v>
      </c>
      <c r="Z1313">
        <f t="shared" si="472"/>
        <v>0.75555555555555554</v>
      </c>
      <c r="AA1313" t="str">
        <f t="shared" si="473"/>
        <v>Tier 2 - Growth Markets</v>
      </c>
      <c r="AB1313" s="3">
        <f t="shared" si="474"/>
        <v>110000</v>
      </c>
      <c r="AC1313" s="3">
        <f t="shared" si="475"/>
        <v>1500000</v>
      </c>
      <c r="AD1313" s="3">
        <f t="shared" si="476"/>
        <v>450000</v>
      </c>
      <c r="AE1313" s="5">
        <f t="shared" si="477"/>
        <v>4.4117647058823533</v>
      </c>
      <c r="AF1313" s="10">
        <f t="shared" si="478"/>
        <v>818400</v>
      </c>
      <c r="AG1313" s="10">
        <f t="shared" si="479"/>
        <v>264000</v>
      </c>
      <c r="AH1313" s="10">
        <f t="shared" si="480"/>
        <v>132000</v>
      </c>
      <c r="AI1313" s="10">
        <f t="shared" si="481"/>
        <v>66000</v>
      </c>
      <c r="AJ1313" s="10">
        <f t="shared" si="482"/>
        <v>39600</v>
      </c>
    </row>
    <row r="1314" spans="1:36" x14ac:dyDescent="0.3">
      <c r="A1314" t="s">
        <v>5041</v>
      </c>
      <c r="B1314" t="s">
        <v>5042</v>
      </c>
      <c r="C1314" t="s">
        <v>142</v>
      </c>
      <c r="D1314" t="s">
        <v>958</v>
      </c>
      <c r="E1314">
        <v>4938</v>
      </c>
      <c r="F1314" t="s">
        <v>15</v>
      </c>
      <c r="G1314">
        <v>8</v>
      </c>
      <c r="H1314">
        <v>250</v>
      </c>
      <c r="I1314" t="str" cm="1">
        <f t="array" ref="I1314">_xlfn.IFS(H1314&lt;=120,"V1",H1314&lt;=150,"V2",H1314&lt;=250,"V3", H1314&lt;=350, "V4")</f>
        <v>V3</v>
      </c>
      <c r="J1314" t="s">
        <v>5043</v>
      </c>
      <c r="K1314" t="str">
        <f t="shared" si="460"/>
        <v>44.65037</v>
      </c>
      <c r="L1314" t="str">
        <f t="shared" si="461"/>
        <v>-70.150196</v>
      </c>
      <c r="M1314">
        <v>115</v>
      </c>
      <c r="N1314" s="1">
        <v>44372</v>
      </c>
      <c r="O1314" s="1">
        <v>46099</v>
      </c>
      <c r="P1314" s="2">
        <f t="shared" si="462"/>
        <v>4.7282683093771389</v>
      </c>
      <c r="Q1314" s="2" t="str">
        <f t="shared" si="463"/>
        <v>Mid</v>
      </c>
      <c r="R1314">
        <f t="shared" si="464"/>
        <v>2000</v>
      </c>
      <c r="S1314" t="str">
        <f t="shared" si="465"/>
        <v>Small</v>
      </c>
      <c r="T1314" t="str">
        <f t="shared" si="466"/>
        <v>Lower EV Adoption Corridor</v>
      </c>
      <c r="U1314" s="3">
        <f t="shared" si="467"/>
        <v>3600000</v>
      </c>
      <c r="V1314" s="4">
        <f t="shared" si="468"/>
        <v>880000.00000000012</v>
      </c>
      <c r="W1314" s="3">
        <f t="shared" si="469"/>
        <v>12000000</v>
      </c>
      <c r="X1314" s="3">
        <f t="shared" si="470"/>
        <v>6600000.0000000009</v>
      </c>
      <c r="Y1314">
        <f t="shared" si="471"/>
        <v>0.31515151515151513</v>
      </c>
      <c r="Z1314">
        <f t="shared" si="472"/>
        <v>0.75555555555555554</v>
      </c>
      <c r="AA1314" t="str">
        <f t="shared" si="473"/>
        <v>Tier 2 - Growth Markets</v>
      </c>
      <c r="AB1314" s="3">
        <f t="shared" si="474"/>
        <v>110000.00000000001</v>
      </c>
      <c r="AC1314" s="3">
        <f t="shared" si="475"/>
        <v>1500000</v>
      </c>
      <c r="AD1314" s="3">
        <f t="shared" si="476"/>
        <v>450000</v>
      </c>
      <c r="AE1314" s="5">
        <f t="shared" si="477"/>
        <v>4.4117647058823533</v>
      </c>
      <c r="AF1314" s="10">
        <f t="shared" si="478"/>
        <v>545600.00000000012</v>
      </c>
      <c r="AG1314" s="10">
        <f t="shared" si="479"/>
        <v>176000.00000000003</v>
      </c>
      <c r="AH1314" s="10">
        <f t="shared" si="480"/>
        <v>88000.000000000015</v>
      </c>
      <c r="AI1314" s="10">
        <f t="shared" si="481"/>
        <v>44000.000000000007</v>
      </c>
      <c r="AJ1314" s="10">
        <f t="shared" si="482"/>
        <v>26400.000000000004</v>
      </c>
    </row>
    <row r="1315" spans="1:36" x14ac:dyDescent="0.3">
      <c r="A1315" t="s">
        <v>5044</v>
      </c>
      <c r="B1315" t="s">
        <v>5045</v>
      </c>
      <c r="C1315" t="s">
        <v>5046</v>
      </c>
      <c r="D1315" t="s">
        <v>299</v>
      </c>
      <c r="E1315">
        <v>22602</v>
      </c>
      <c r="F1315" t="s">
        <v>15</v>
      </c>
      <c r="G1315">
        <v>8</v>
      </c>
      <c r="H1315">
        <v>250</v>
      </c>
      <c r="I1315" t="str" cm="1">
        <f t="array" ref="I1315">_xlfn.IFS(H1315&lt;=120,"V1",H1315&lt;=150,"V2",H1315&lt;=250,"V3", H1315&lt;=350, "V4")</f>
        <v>V3</v>
      </c>
      <c r="J1315" t="s">
        <v>5047</v>
      </c>
      <c r="K1315" t="str">
        <f t="shared" si="460"/>
        <v>39.1881397</v>
      </c>
      <c r="L1315" t="str">
        <f t="shared" si="461"/>
        <v>-78.1257883</v>
      </c>
      <c r="M1315">
        <v>204</v>
      </c>
      <c r="N1315" s="1">
        <v>44490</v>
      </c>
      <c r="O1315" s="1">
        <v>46099</v>
      </c>
      <c r="P1315" s="2">
        <f t="shared" si="462"/>
        <v>4.4052019164955514</v>
      </c>
      <c r="Q1315" s="2" t="str">
        <f t="shared" si="463"/>
        <v>Mid</v>
      </c>
      <c r="R1315">
        <f t="shared" si="464"/>
        <v>2000</v>
      </c>
      <c r="S1315" t="str">
        <f t="shared" si="465"/>
        <v>Small</v>
      </c>
      <c r="T1315" t="str">
        <f t="shared" si="466"/>
        <v>Lower EV Adoption Corridor</v>
      </c>
      <c r="U1315" s="3">
        <f t="shared" si="467"/>
        <v>3600000</v>
      </c>
      <c r="V1315" s="4">
        <f t="shared" si="468"/>
        <v>880000.00000000012</v>
      </c>
      <c r="W1315" s="3">
        <f t="shared" si="469"/>
        <v>12000000</v>
      </c>
      <c r="X1315" s="3">
        <f t="shared" si="470"/>
        <v>6600000.0000000009</v>
      </c>
      <c r="Y1315">
        <f t="shared" si="471"/>
        <v>0.31515151515151513</v>
      </c>
      <c r="Z1315">
        <f t="shared" si="472"/>
        <v>0.75555555555555554</v>
      </c>
      <c r="AA1315" t="str">
        <f t="shared" si="473"/>
        <v>Tier 2 - Growth Markets</v>
      </c>
      <c r="AB1315" s="3">
        <f t="shared" si="474"/>
        <v>110000.00000000001</v>
      </c>
      <c r="AC1315" s="3">
        <f t="shared" si="475"/>
        <v>1500000</v>
      </c>
      <c r="AD1315" s="3">
        <f t="shared" si="476"/>
        <v>450000</v>
      </c>
      <c r="AE1315" s="5">
        <f t="shared" si="477"/>
        <v>4.4117647058823533</v>
      </c>
      <c r="AF1315" s="10">
        <f t="shared" si="478"/>
        <v>545600.00000000012</v>
      </c>
      <c r="AG1315" s="10">
        <f t="shared" si="479"/>
        <v>176000.00000000003</v>
      </c>
      <c r="AH1315" s="10">
        <f t="shared" si="480"/>
        <v>88000.000000000015</v>
      </c>
      <c r="AI1315" s="10">
        <f t="shared" si="481"/>
        <v>44000.000000000007</v>
      </c>
      <c r="AJ1315" s="10">
        <f t="shared" si="482"/>
        <v>26400.000000000004</v>
      </c>
    </row>
    <row r="1316" spans="1:36" x14ac:dyDescent="0.3">
      <c r="A1316" t="s">
        <v>5048</v>
      </c>
      <c r="B1316" t="s">
        <v>5049</v>
      </c>
      <c r="C1316" t="s">
        <v>4042</v>
      </c>
      <c r="D1316" t="s">
        <v>1189</v>
      </c>
      <c r="E1316">
        <v>26059</v>
      </c>
      <c r="F1316" t="s">
        <v>15</v>
      </c>
      <c r="G1316">
        <v>8</v>
      </c>
      <c r="H1316">
        <v>250</v>
      </c>
      <c r="I1316" t="str" cm="1">
        <f t="array" ref="I1316">_xlfn.IFS(H1316&lt;=120,"V1",H1316&lt;=150,"V2",H1316&lt;=250,"V3", H1316&lt;=350, "V4")</f>
        <v>V3</v>
      </c>
      <c r="J1316" t="s">
        <v>5050</v>
      </c>
      <c r="K1316" t="str">
        <f t="shared" si="460"/>
        <v>40.060289</v>
      </c>
      <c r="L1316" t="str">
        <f t="shared" si="461"/>
        <v>-80.588981</v>
      </c>
      <c r="M1316">
        <v>389</v>
      </c>
      <c r="N1316" s="1">
        <v>44457</v>
      </c>
      <c r="O1316" s="1">
        <v>46099</v>
      </c>
      <c r="P1316" s="2">
        <f t="shared" si="462"/>
        <v>4.4955509924709105</v>
      </c>
      <c r="Q1316" s="2" t="str">
        <f t="shared" si="463"/>
        <v>Mid</v>
      </c>
      <c r="R1316">
        <f t="shared" si="464"/>
        <v>2000</v>
      </c>
      <c r="S1316" t="str">
        <f t="shared" si="465"/>
        <v>Small</v>
      </c>
      <c r="T1316" t="str">
        <f t="shared" si="466"/>
        <v>Lower EV Adoption Corridor</v>
      </c>
      <c r="U1316" s="3">
        <f t="shared" si="467"/>
        <v>3600000</v>
      </c>
      <c r="V1316" s="4">
        <f t="shared" si="468"/>
        <v>880000.00000000012</v>
      </c>
      <c r="W1316" s="3">
        <f t="shared" si="469"/>
        <v>12000000</v>
      </c>
      <c r="X1316" s="3">
        <f t="shared" si="470"/>
        <v>6600000.0000000009</v>
      </c>
      <c r="Y1316">
        <f t="shared" si="471"/>
        <v>0.31515151515151513</v>
      </c>
      <c r="Z1316">
        <f t="shared" si="472"/>
        <v>0.75555555555555554</v>
      </c>
      <c r="AA1316" t="str">
        <f t="shared" si="473"/>
        <v>Tier 2 - Growth Markets</v>
      </c>
      <c r="AB1316" s="3">
        <f t="shared" si="474"/>
        <v>110000.00000000001</v>
      </c>
      <c r="AC1316" s="3">
        <f t="shared" si="475"/>
        <v>1500000</v>
      </c>
      <c r="AD1316" s="3">
        <f t="shared" si="476"/>
        <v>450000</v>
      </c>
      <c r="AE1316" s="5">
        <f t="shared" si="477"/>
        <v>4.4117647058823533</v>
      </c>
      <c r="AF1316" s="10">
        <f t="shared" si="478"/>
        <v>545600.00000000012</v>
      </c>
      <c r="AG1316" s="10">
        <f t="shared" si="479"/>
        <v>176000.00000000003</v>
      </c>
      <c r="AH1316" s="10">
        <f t="shared" si="480"/>
        <v>88000.000000000015</v>
      </c>
      <c r="AI1316" s="10">
        <f t="shared" si="481"/>
        <v>44000.000000000007</v>
      </c>
      <c r="AJ1316" s="10">
        <f t="shared" si="482"/>
        <v>26400.000000000004</v>
      </c>
    </row>
    <row r="1317" spans="1:36" x14ac:dyDescent="0.3">
      <c r="A1317" t="s">
        <v>5051</v>
      </c>
      <c r="B1317" t="s">
        <v>5052</v>
      </c>
      <c r="C1317" t="s">
        <v>1312</v>
      </c>
      <c r="D1317" t="s">
        <v>41</v>
      </c>
      <c r="E1317">
        <v>34233</v>
      </c>
      <c r="F1317" t="s">
        <v>15</v>
      </c>
      <c r="G1317">
        <v>8</v>
      </c>
      <c r="H1317">
        <v>250</v>
      </c>
      <c r="I1317" t="str" cm="1">
        <f t="array" ref="I1317">_xlfn.IFS(H1317&lt;=120,"V1",H1317&lt;=150,"V2",H1317&lt;=250,"V3", H1317&lt;=350, "V4")</f>
        <v>V3</v>
      </c>
      <c r="J1317" t="s">
        <v>5053</v>
      </c>
      <c r="K1317" t="str">
        <f t="shared" si="460"/>
        <v>27.270298</v>
      </c>
      <c r="L1317" t="str">
        <f t="shared" si="461"/>
        <v>-82.462865</v>
      </c>
      <c r="M1317">
        <v>11</v>
      </c>
      <c r="N1317" s="1">
        <v>44714</v>
      </c>
      <c r="O1317" s="1">
        <v>46099</v>
      </c>
      <c r="P1317" s="2">
        <f t="shared" si="462"/>
        <v>3.7919233401779602</v>
      </c>
      <c r="Q1317" s="2" t="str">
        <f t="shared" si="463"/>
        <v>Mid</v>
      </c>
      <c r="R1317">
        <f t="shared" si="464"/>
        <v>2000</v>
      </c>
      <c r="S1317" t="str">
        <f t="shared" si="465"/>
        <v>Small</v>
      </c>
      <c r="T1317" t="str">
        <f t="shared" si="466"/>
        <v>High EV Adoption Corridor</v>
      </c>
      <c r="U1317" s="3">
        <f t="shared" si="467"/>
        <v>4680000</v>
      </c>
      <c r="V1317" s="4">
        <f t="shared" si="468"/>
        <v>1056000</v>
      </c>
      <c r="W1317" s="3">
        <f t="shared" si="469"/>
        <v>13200000.000000002</v>
      </c>
      <c r="X1317" s="3">
        <f t="shared" si="470"/>
        <v>9900000.0000000019</v>
      </c>
      <c r="Y1317">
        <f t="shared" si="471"/>
        <v>0.23999999999999996</v>
      </c>
      <c r="Z1317">
        <f t="shared" si="472"/>
        <v>0.77435897435897438</v>
      </c>
      <c r="AA1317" t="str">
        <f t="shared" si="473"/>
        <v>Tier 1 - Priority Fleet</v>
      </c>
      <c r="AB1317" s="3">
        <f t="shared" si="474"/>
        <v>132000</v>
      </c>
      <c r="AC1317" s="3">
        <f t="shared" si="475"/>
        <v>1650000.0000000002</v>
      </c>
      <c r="AD1317" s="3">
        <f t="shared" si="476"/>
        <v>585000</v>
      </c>
      <c r="AE1317" s="5">
        <f t="shared" si="477"/>
        <v>3.6423841059602653</v>
      </c>
      <c r="AF1317" s="10">
        <f t="shared" si="478"/>
        <v>654720</v>
      </c>
      <c r="AG1317" s="10">
        <f t="shared" si="479"/>
        <v>211200</v>
      </c>
      <c r="AH1317" s="10">
        <f t="shared" si="480"/>
        <v>105600</v>
      </c>
      <c r="AI1317" s="10">
        <f t="shared" si="481"/>
        <v>52800</v>
      </c>
      <c r="AJ1317" s="10">
        <f t="shared" si="482"/>
        <v>31680</v>
      </c>
    </row>
    <row r="1318" spans="1:36" x14ac:dyDescent="0.3">
      <c r="A1318" t="s">
        <v>5054</v>
      </c>
      <c r="B1318" t="s">
        <v>5055</v>
      </c>
      <c r="C1318" t="s">
        <v>5056</v>
      </c>
      <c r="D1318" t="s">
        <v>522</v>
      </c>
      <c r="E1318">
        <v>64772</v>
      </c>
      <c r="F1318" t="s">
        <v>15</v>
      </c>
      <c r="G1318">
        <v>8</v>
      </c>
      <c r="H1318">
        <v>250</v>
      </c>
      <c r="I1318" t="str" cm="1">
        <f t="array" ref="I1318">_xlfn.IFS(H1318&lt;=120,"V1",H1318&lt;=150,"V2",H1318&lt;=250,"V3", H1318&lt;=350, "V4")</f>
        <v>V3</v>
      </c>
      <c r="J1318" t="s">
        <v>5057</v>
      </c>
      <c r="K1318" t="str">
        <f t="shared" si="460"/>
        <v>37.83677</v>
      </c>
      <c r="L1318" t="str">
        <f t="shared" si="461"/>
        <v>-94.351404</v>
      </c>
      <c r="M1318">
        <v>263</v>
      </c>
      <c r="N1318" s="1">
        <v>44490</v>
      </c>
      <c r="O1318" s="1">
        <v>46099</v>
      </c>
      <c r="P1318" s="2">
        <f t="shared" si="462"/>
        <v>4.4052019164955514</v>
      </c>
      <c r="Q1318" s="2" t="str">
        <f t="shared" si="463"/>
        <v>Mid</v>
      </c>
      <c r="R1318">
        <f t="shared" si="464"/>
        <v>2000</v>
      </c>
      <c r="S1318" t="str">
        <f t="shared" si="465"/>
        <v>Small</v>
      </c>
      <c r="T1318" t="str">
        <f t="shared" si="466"/>
        <v>Lower EV Adoption Corridor</v>
      </c>
      <c r="U1318" s="3">
        <f t="shared" si="467"/>
        <v>3600000</v>
      </c>
      <c r="V1318" s="4">
        <f t="shared" si="468"/>
        <v>880000.00000000012</v>
      </c>
      <c r="W1318" s="3">
        <f t="shared" si="469"/>
        <v>12000000</v>
      </c>
      <c r="X1318" s="3">
        <f t="shared" si="470"/>
        <v>6600000.0000000009</v>
      </c>
      <c r="Y1318">
        <f t="shared" si="471"/>
        <v>0.31515151515151513</v>
      </c>
      <c r="Z1318">
        <f t="shared" si="472"/>
        <v>0.75555555555555554</v>
      </c>
      <c r="AA1318" t="str">
        <f t="shared" si="473"/>
        <v>Tier 2 - Growth Markets</v>
      </c>
      <c r="AB1318" s="3">
        <f t="shared" si="474"/>
        <v>110000.00000000001</v>
      </c>
      <c r="AC1318" s="3">
        <f t="shared" si="475"/>
        <v>1500000</v>
      </c>
      <c r="AD1318" s="3">
        <f t="shared" si="476"/>
        <v>450000</v>
      </c>
      <c r="AE1318" s="5">
        <f t="shared" si="477"/>
        <v>4.4117647058823533</v>
      </c>
      <c r="AF1318" s="10">
        <f t="shared" si="478"/>
        <v>545600.00000000012</v>
      </c>
      <c r="AG1318" s="10">
        <f t="shared" si="479"/>
        <v>176000.00000000003</v>
      </c>
      <c r="AH1318" s="10">
        <f t="shared" si="480"/>
        <v>88000.000000000015</v>
      </c>
      <c r="AI1318" s="10">
        <f t="shared" si="481"/>
        <v>44000.000000000007</v>
      </c>
      <c r="AJ1318" s="10">
        <f t="shared" si="482"/>
        <v>26400.000000000004</v>
      </c>
    </row>
    <row r="1319" spans="1:36" x14ac:dyDescent="0.3">
      <c r="A1319" t="s">
        <v>5058</v>
      </c>
      <c r="B1319" t="s">
        <v>5059</v>
      </c>
      <c r="C1319" t="s">
        <v>5060</v>
      </c>
      <c r="D1319" t="s">
        <v>111</v>
      </c>
      <c r="E1319">
        <v>56601</v>
      </c>
      <c r="F1319" t="s">
        <v>15</v>
      </c>
      <c r="G1319">
        <v>8</v>
      </c>
      <c r="H1319">
        <v>250</v>
      </c>
      <c r="I1319" t="str" cm="1">
        <f t="array" ref="I1319">_xlfn.IFS(H1319&lt;=120,"V1",H1319&lt;=150,"V2",H1319&lt;=250,"V3", H1319&lt;=350, "V4")</f>
        <v>V3</v>
      </c>
      <c r="J1319" t="s">
        <v>5061</v>
      </c>
      <c r="K1319" t="str">
        <f t="shared" si="460"/>
        <v>47.492201</v>
      </c>
      <c r="L1319" t="str">
        <f t="shared" si="461"/>
        <v>-94.907057</v>
      </c>
      <c r="M1319">
        <v>426</v>
      </c>
      <c r="N1319" s="1">
        <v>44408</v>
      </c>
      <c r="O1319" s="1">
        <v>46099</v>
      </c>
      <c r="P1319" s="2">
        <f t="shared" si="462"/>
        <v>4.6297056810403836</v>
      </c>
      <c r="Q1319" s="2" t="str">
        <f t="shared" si="463"/>
        <v>Mid</v>
      </c>
      <c r="R1319">
        <f t="shared" si="464"/>
        <v>2000</v>
      </c>
      <c r="S1319" t="str">
        <f t="shared" si="465"/>
        <v>Small</v>
      </c>
      <c r="T1319" t="str">
        <f t="shared" si="466"/>
        <v>Lower EV Adoption Corridor</v>
      </c>
      <c r="U1319" s="3">
        <f t="shared" si="467"/>
        <v>3600000</v>
      </c>
      <c r="V1319" s="4">
        <f t="shared" si="468"/>
        <v>880000.00000000012</v>
      </c>
      <c r="W1319" s="3">
        <f t="shared" si="469"/>
        <v>12000000</v>
      </c>
      <c r="X1319" s="3">
        <f t="shared" si="470"/>
        <v>6600000.0000000009</v>
      </c>
      <c r="Y1319">
        <f t="shared" si="471"/>
        <v>0.31515151515151513</v>
      </c>
      <c r="Z1319">
        <f t="shared" si="472"/>
        <v>0.75555555555555554</v>
      </c>
      <c r="AA1319" t="str">
        <f t="shared" si="473"/>
        <v>Tier 2 - Growth Markets</v>
      </c>
      <c r="AB1319" s="3">
        <f t="shared" si="474"/>
        <v>110000.00000000001</v>
      </c>
      <c r="AC1319" s="3">
        <f t="shared" si="475"/>
        <v>1500000</v>
      </c>
      <c r="AD1319" s="3">
        <f t="shared" si="476"/>
        <v>450000</v>
      </c>
      <c r="AE1319" s="5">
        <f t="shared" si="477"/>
        <v>4.4117647058823533</v>
      </c>
      <c r="AF1319" s="10">
        <f t="shared" si="478"/>
        <v>545600.00000000012</v>
      </c>
      <c r="AG1319" s="10">
        <f t="shared" si="479"/>
        <v>176000.00000000003</v>
      </c>
      <c r="AH1319" s="10">
        <f t="shared" si="480"/>
        <v>88000.000000000015</v>
      </c>
      <c r="AI1319" s="10">
        <f t="shared" si="481"/>
        <v>44000.000000000007</v>
      </c>
      <c r="AJ1319" s="10">
        <f t="shared" si="482"/>
        <v>26400.000000000004</v>
      </c>
    </row>
    <row r="1320" spans="1:36" x14ac:dyDescent="0.3">
      <c r="A1320" t="s">
        <v>5062</v>
      </c>
      <c r="B1320" t="s">
        <v>5063</v>
      </c>
      <c r="C1320" t="s">
        <v>5064</v>
      </c>
      <c r="D1320" t="s">
        <v>153</v>
      </c>
      <c r="E1320">
        <v>18321</v>
      </c>
      <c r="F1320" t="s">
        <v>15</v>
      </c>
      <c r="G1320">
        <v>8</v>
      </c>
      <c r="H1320">
        <v>250</v>
      </c>
      <c r="I1320" t="str" cm="1">
        <f t="array" ref="I1320">_xlfn.IFS(H1320&lt;=120,"V1",H1320&lt;=150,"V2",H1320&lt;=250,"V3", H1320&lt;=350, "V4")</f>
        <v>V3</v>
      </c>
      <c r="J1320" t="s">
        <v>5065</v>
      </c>
      <c r="K1320" t="str">
        <f t="shared" si="460"/>
        <v>41.001772</v>
      </c>
      <c r="L1320" t="str">
        <f t="shared" si="461"/>
        <v>-75.273151</v>
      </c>
      <c r="M1320">
        <v>237</v>
      </c>
      <c r="N1320" s="1">
        <v>44432</v>
      </c>
      <c r="O1320" s="1">
        <v>46099</v>
      </c>
      <c r="P1320" s="2">
        <f t="shared" si="462"/>
        <v>4.5639972621492131</v>
      </c>
      <c r="Q1320" s="2" t="str">
        <f t="shared" si="463"/>
        <v>Mid</v>
      </c>
      <c r="R1320">
        <f t="shared" si="464"/>
        <v>2000</v>
      </c>
      <c r="S1320" t="str">
        <f t="shared" si="465"/>
        <v>Small</v>
      </c>
      <c r="T1320" t="str">
        <f t="shared" si="466"/>
        <v>Lower EV Adoption Corridor</v>
      </c>
      <c r="U1320" s="3">
        <f t="shared" si="467"/>
        <v>3600000</v>
      </c>
      <c r="V1320" s="4">
        <f t="shared" si="468"/>
        <v>880000.00000000012</v>
      </c>
      <c r="W1320" s="3">
        <f t="shared" si="469"/>
        <v>12000000</v>
      </c>
      <c r="X1320" s="3">
        <f t="shared" si="470"/>
        <v>6600000.0000000009</v>
      </c>
      <c r="Y1320">
        <f t="shared" si="471"/>
        <v>0.31515151515151513</v>
      </c>
      <c r="Z1320">
        <f t="shared" si="472"/>
        <v>0.75555555555555554</v>
      </c>
      <c r="AA1320" t="str">
        <f t="shared" si="473"/>
        <v>Tier 2 - Growth Markets</v>
      </c>
      <c r="AB1320" s="3">
        <f t="shared" si="474"/>
        <v>110000.00000000001</v>
      </c>
      <c r="AC1320" s="3">
        <f t="shared" si="475"/>
        <v>1500000</v>
      </c>
      <c r="AD1320" s="3">
        <f t="shared" si="476"/>
        <v>450000</v>
      </c>
      <c r="AE1320" s="5">
        <f t="shared" si="477"/>
        <v>4.4117647058823533</v>
      </c>
      <c r="AF1320" s="10">
        <f t="shared" si="478"/>
        <v>545600.00000000012</v>
      </c>
      <c r="AG1320" s="10">
        <f t="shared" si="479"/>
        <v>176000.00000000003</v>
      </c>
      <c r="AH1320" s="10">
        <f t="shared" si="480"/>
        <v>88000.000000000015</v>
      </c>
      <c r="AI1320" s="10">
        <f t="shared" si="481"/>
        <v>44000.000000000007</v>
      </c>
      <c r="AJ1320" s="10">
        <f t="shared" si="482"/>
        <v>26400.000000000004</v>
      </c>
    </row>
    <row r="1321" spans="1:36" x14ac:dyDescent="0.3">
      <c r="A1321" t="s">
        <v>5066</v>
      </c>
      <c r="B1321" t="s">
        <v>5067</v>
      </c>
      <c r="C1321" t="s">
        <v>4799</v>
      </c>
      <c r="D1321" t="s">
        <v>294</v>
      </c>
      <c r="E1321">
        <v>38571</v>
      </c>
      <c r="F1321" t="s">
        <v>15</v>
      </c>
      <c r="G1321">
        <v>8</v>
      </c>
      <c r="H1321">
        <v>250</v>
      </c>
      <c r="I1321" t="str" cm="1">
        <f t="array" ref="I1321">_xlfn.IFS(H1321&lt;=120,"V1",H1321&lt;=150,"V2",H1321&lt;=250,"V3", H1321&lt;=350, "V4")</f>
        <v>V3</v>
      </c>
      <c r="J1321" t="s">
        <v>5068</v>
      </c>
      <c r="K1321" t="str">
        <f t="shared" si="460"/>
        <v>35.985369</v>
      </c>
      <c r="L1321" t="str">
        <f t="shared" si="461"/>
        <v>-85.010956</v>
      </c>
      <c r="M1321">
        <v>548</v>
      </c>
      <c r="N1321" s="1">
        <v>44485</v>
      </c>
      <c r="O1321" s="1">
        <v>46099</v>
      </c>
      <c r="P1321" s="2">
        <f t="shared" si="462"/>
        <v>4.4188911704312117</v>
      </c>
      <c r="Q1321" s="2" t="str">
        <f t="shared" si="463"/>
        <v>Mid</v>
      </c>
      <c r="R1321">
        <f t="shared" si="464"/>
        <v>2000</v>
      </c>
      <c r="S1321" t="str">
        <f t="shared" si="465"/>
        <v>Small</v>
      </c>
      <c r="T1321" t="str">
        <f t="shared" si="466"/>
        <v>Lower EV Adoption Corridor</v>
      </c>
      <c r="U1321" s="3">
        <f t="shared" si="467"/>
        <v>3600000</v>
      </c>
      <c r="V1321" s="4">
        <f t="shared" si="468"/>
        <v>880000.00000000012</v>
      </c>
      <c r="W1321" s="3">
        <f t="shared" si="469"/>
        <v>12000000</v>
      </c>
      <c r="X1321" s="3">
        <f t="shared" si="470"/>
        <v>6600000.0000000009</v>
      </c>
      <c r="Y1321">
        <f t="shared" si="471"/>
        <v>0.31515151515151513</v>
      </c>
      <c r="Z1321">
        <f t="shared" si="472"/>
        <v>0.75555555555555554</v>
      </c>
      <c r="AA1321" t="str">
        <f t="shared" si="473"/>
        <v>Tier 2 - Growth Markets</v>
      </c>
      <c r="AB1321" s="3">
        <f t="shared" si="474"/>
        <v>110000.00000000001</v>
      </c>
      <c r="AC1321" s="3">
        <f t="shared" si="475"/>
        <v>1500000</v>
      </c>
      <c r="AD1321" s="3">
        <f t="shared" si="476"/>
        <v>450000</v>
      </c>
      <c r="AE1321" s="5">
        <f t="shared" si="477"/>
        <v>4.4117647058823533</v>
      </c>
      <c r="AF1321" s="10">
        <f t="shared" si="478"/>
        <v>545600.00000000012</v>
      </c>
      <c r="AG1321" s="10">
        <f t="shared" si="479"/>
        <v>176000.00000000003</v>
      </c>
      <c r="AH1321" s="10">
        <f t="shared" si="480"/>
        <v>88000.000000000015</v>
      </c>
      <c r="AI1321" s="10">
        <f t="shared" si="481"/>
        <v>44000.000000000007</v>
      </c>
      <c r="AJ1321" s="10">
        <f t="shared" si="482"/>
        <v>26400.000000000004</v>
      </c>
    </row>
    <row r="1322" spans="1:36" x14ac:dyDescent="0.3">
      <c r="A1322" t="s">
        <v>5069</v>
      </c>
      <c r="B1322" t="s">
        <v>5070</v>
      </c>
      <c r="C1322" t="s">
        <v>5071</v>
      </c>
      <c r="D1322" t="s">
        <v>41</v>
      </c>
      <c r="E1322">
        <v>33414</v>
      </c>
      <c r="F1322" t="s">
        <v>15</v>
      </c>
      <c r="G1322">
        <v>8</v>
      </c>
      <c r="H1322">
        <v>250</v>
      </c>
      <c r="I1322" t="str" cm="1">
        <f t="array" ref="I1322">_xlfn.IFS(H1322&lt;=120,"V1",H1322&lt;=150,"V2",H1322&lt;=250,"V3", H1322&lt;=350, "V4")</f>
        <v>V3</v>
      </c>
      <c r="J1322" t="s">
        <v>5072</v>
      </c>
      <c r="K1322" t="str">
        <f t="shared" si="460"/>
        <v>26.635504</v>
      </c>
      <c r="L1322" t="str">
        <f t="shared" si="461"/>
        <v>-80.174903</v>
      </c>
      <c r="M1322">
        <v>8</v>
      </c>
      <c r="N1322" s="1">
        <v>44531</v>
      </c>
      <c r="O1322" s="1">
        <v>46099</v>
      </c>
      <c r="P1322" s="2">
        <f t="shared" si="462"/>
        <v>4.2929500342231348</v>
      </c>
      <c r="Q1322" s="2" t="str">
        <f t="shared" si="463"/>
        <v>Mid</v>
      </c>
      <c r="R1322">
        <f t="shared" si="464"/>
        <v>2000</v>
      </c>
      <c r="S1322" t="str">
        <f t="shared" si="465"/>
        <v>Small</v>
      </c>
      <c r="T1322" t="str">
        <f t="shared" si="466"/>
        <v>High EV Adoption Corridor</v>
      </c>
      <c r="U1322" s="3">
        <f t="shared" si="467"/>
        <v>4680000</v>
      </c>
      <c r="V1322" s="4">
        <f t="shared" si="468"/>
        <v>1056000</v>
      </c>
      <c r="W1322" s="3">
        <f t="shared" si="469"/>
        <v>13200000.000000002</v>
      </c>
      <c r="X1322" s="3">
        <f t="shared" si="470"/>
        <v>9900000.0000000019</v>
      </c>
      <c r="Y1322">
        <f t="shared" si="471"/>
        <v>0.23999999999999996</v>
      </c>
      <c r="Z1322">
        <f t="shared" si="472"/>
        <v>0.77435897435897438</v>
      </c>
      <c r="AA1322" t="str">
        <f t="shared" si="473"/>
        <v>Tier 1 - Priority Fleet</v>
      </c>
      <c r="AB1322" s="3">
        <f t="shared" si="474"/>
        <v>132000</v>
      </c>
      <c r="AC1322" s="3">
        <f t="shared" si="475"/>
        <v>1650000.0000000002</v>
      </c>
      <c r="AD1322" s="3">
        <f t="shared" si="476"/>
        <v>585000</v>
      </c>
      <c r="AE1322" s="5">
        <f t="shared" si="477"/>
        <v>3.6423841059602653</v>
      </c>
      <c r="AF1322" s="10">
        <f t="shared" si="478"/>
        <v>654720</v>
      </c>
      <c r="AG1322" s="10">
        <f t="shared" si="479"/>
        <v>211200</v>
      </c>
      <c r="AH1322" s="10">
        <f t="shared" si="480"/>
        <v>105600</v>
      </c>
      <c r="AI1322" s="10">
        <f t="shared" si="481"/>
        <v>52800</v>
      </c>
      <c r="AJ1322" s="10">
        <f t="shared" si="482"/>
        <v>31680</v>
      </c>
    </row>
    <row r="1323" spans="1:36" x14ac:dyDescent="0.3">
      <c r="A1323" t="s">
        <v>5073</v>
      </c>
      <c r="B1323" t="s">
        <v>5074</v>
      </c>
      <c r="C1323" t="s">
        <v>2365</v>
      </c>
      <c r="D1323" t="s">
        <v>630</v>
      </c>
      <c r="E1323">
        <v>49002</v>
      </c>
      <c r="F1323" t="s">
        <v>15</v>
      </c>
      <c r="G1323">
        <v>8</v>
      </c>
      <c r="H1323">
        <v>250</v>
      </c>
      <c r="I1323" t="str" cm="1">
        <f t="array" ref="I1323">_xlfn.IFS(H1323&lt;=120,"V1",H1323&lt;=150,"V2",H1323&lt;=250,"V3", H1323&lt;=350, "V4")</f>
        <v>V3</v>
      </c>
      <c r="J1323" t="s">
        <v>5075</v>
      </c>
      <c r="K1323" t="str">
        <f t="shared" si="460"/>
        <v>42.244</v>
      </c>
      <c r="L1323" t="str">
        <f t="shared" si="461"/>
        <v>-85.587575</v>
      </c>
      <c r="M1323">
        <v>260</v>
      </c>
      <c r="N1323" s="1">
        <v>44379</v>
      </c>
      <c r="O1323" s="1">
        <v>46099</v>
      </c>
      <c r="P1323" s="2">
        <f t="shared" si="462"/>
        <v>4.7091033538672145</v>
      </c>
      <c r="Q1323" s="2" t="str">
        <f t="shared" si="463"/>
        <v>Mid</v>
      </c>
      <c r="R1323">
        <f t="shared" si="464"/>
        <v>2000</v>
      </c>
      <c r="S1323" t="str">
        <f t="shared" si="465"/>
        <v>Small</v>
      </c>
      <c r="T1323" t="str">
        <f t="shared" si="466"/>
        <v>Lower EV Adoption Corridor</v>
      </c>
      <c r="U1323" s="3">
        <f t="shared" si="467"/>
        <v>3600000</v>
      </c>
      <c r="V1323" s="4">
        <f t="shared" si="468"/>
        <v>880000.00000000012</v>
      </c>
      <c r="W1323" s="3">
        <f t="shared" si="469"/>
        <v>12000000</v>
      </c>
      <c r="X1323" s="3">
        <f t="shared" si="470"/>
        <v>6600000.0000000009</v>
      </c>
      <c r="Y1323">
        <f t="shared" si="471"/>
        <v>0.31515151515151513</v>
      </c>
      <c r="Z1323">
        <f t="shared" si="472"/>
        <v>0.75555555555555554</v>
      </c>
      <c r="AA1323" t="str">
        <f t="shared" si="473"/>
        <v>Tier 2 - Growth Markets</v>
      </c>
      <c r="AB1323" s="3">
        <f t="shared" si="474"/>
        <v>110000.00000000001</v>
      </c>
      <c r="AC1323" s="3">
        <f t="shared" si="475"/>
        <v>1500000</v>
      </c>
      <c r="AD1323" s="3">
        <f t="shared" si="476"/>
        <v>450000</v>
      </c>
      <c r="AE1323" s="5">
        <f t="shared" si="477"/>
        <v>4.4117647058823533</v>
      </c>
      <c r="AF1323" s="10">
        <f t="shared" si="478"/>
        <v>545600.00000000012</v>
      </c>
      <c r="AG1323" s="10">
        <f t="shared" si="479"/>
        <v>176000.00000000003</v>
      </c>
      <c r="AH1323" s="10">
        <f t="shared" si="480"/>
        <v>88000.000000000015</v>
      </c>
      <c r="AI1323" s="10">
        <f t="shared" si="481"/>
        <v>44000.000000000007</v>
      </c>
      <c r="AJ1323" s="10">
        <f t="shared" si="482"/>
        <v>26400.000000000004</v>
      </c>
    </row>
    <row r="1324" spans="1:36" x14ac:dyDescent="0.3">
      <c r="A1324" t="s">
        <v>5076</v>
      </c>
      <c r="B1324" t="s">
        <v>5077</v>
      </c>
      <c r="C1324" t="s">
        <v>5078</v>
      </c>
      <c r="D1324" t="s">
        <v>50</v>
      </c>
      <c r="E1324">
        <v>78613</v>
      </c>
      <c r="F1324" t="s">
        <v>15</v>
      </c>
      <c r="G1324">
        <v>12</v>
      </c>
      <c r="H1324">
        <v>250</v>
      </c>
      <c r="I1324" t="str" cm="1">
        <f t="array" ref="I1324">_xlfn.IFS(H1324&lt;=120,"V1",H1324&lt;=150,"V2",H1324&lt;=250,"V3", H1324&lt;=350, "V4")</f>
        <v>V3</v>
      </c>
      <c r="J1324" t="s">
        <v>5079</v>
      </c>
      <c r="K1324" t="str">
        <f t="shared" si="460"/>
        <v>30.525402</v>
      </c>
      <c r="L1324" t="str">
        <f t="shared" si="461"/>
        <v>-97.819337</v>
      </c>
      <c r="M1324">
        <v>284</v>
      </c>
      <c r="N1324" s="1">
        <v>44548</v>
      </c>
      <c r="O1324" s="1">
        <v>46099</v>
      </c>
      <c r="P1324" s="2">
        <f t="shared" si="462"/>
        <v>4.2464065708418888</v>
      </c>
      <c r="Q1324" s="2" t="str">
        <f t="shared" si="463"/>
        <v>Mid</v>
      </c>
      <c r="R1324">
        <f t="shared" si="464"/>
        <v>3000</v>
      </c>
      <c r="S1324" t="str">
        <f t="shared" si="465"/>
        <v>Small</v>
      </c>
      <c r="T1324" t="str">
        <f t="shared" si="466"/>
        <v>High EV Adoption Corridor</v>
      </c>
      <c r="U1324" s="3">
        <f t="shared" si="467"/>
        <v>7020000</v>
      </c>
      <c r="V1324" s="4">
        <f t="shared" si="468"/>
        <v>1584000</v>
      </c>
      <c r="W1324" s="3">
        <f t="shared" si="469"/>
        <v>19800000</v>
      </c>
      <c r="X1324" s="3">
        <f t="shared" si="470"/>
        <v>14850000</v>
      </c>
      <c r="Y1324">
        <f t="shared" si="471"/>
        <v>0.24</v>
      </c>
      <c r="Z1324">
        <f t="shared" si="472"/>
        <v>0.77435897435897438</v>
      </c>
      <c r="AA1324" t="str">
        <f t="shared" si="473"/>
        <v>Tier 1 - Priority Fleet</v>
      </c>
      <c r="AB1324" s="3">
        <f t="shared" si="474"/>
        <v>132000</v>
      </c>
      <c r="AC1324" s="3">
        <f t="shared" si="475"/>
        <v>1650000</v>
      </c>
      <c r="AD1324" s="3">
        <f t="shared" si="476"/>
        <v>585000</v>
      </c>
      <c r="AE1324" s="5">
        <f t="shared" si="477"/>
        <v>3.6423841059602649</v>
      </c>
      <c r="AF1324" s="10">
        <f t="shared" si="478"/>
        <v>982080</v>
      </c>
      <c r="AG1324" s="10">
        <f t="shared" si="479"/>
        <v>316800</v>
      </c>
      <c r="AH1324" s="10">
        <f t="shared" si="480"/>
        <v>158400</v>
      </c>
      <c r="AI1324" s="10">
        <f t="shared" si="481"/>
        <v>79200</v>
      </c>
      <c r="AJ1324" s="10">
        <f t="shared" si="482"/>
        <v>47520</v>
      </c>
    </row>
    <row r="1325" spans="1:36" x14ac:dyDescent="0.3">
      <c r="A1325" t="s">
        <v>5080</v>
      </c>
      <c r="B1325" t="s">
        <v>5081</v>
      </c>
      <c r="C1325" t="s">
        <v>4070</v>
      </c>
      <c r="D1325" t="s">
        <v>913</v>
      </c>
      <c r="E1325">
        <v>20707</v>
      </c>
      <c r="F1325" t="s">
        <v>15</v>
      </c>
      <c r="G1325">
        <v>6</v>
      </c>
      <c r="H1325">
        <v>250</v>
      </c>
      <c r="I1325" t="str" cm="1">
        <f t="array" ref="I1325">_xlfn.IFS(H1325&lt;=120,"V1",H1325&lt;=150,"V2",H1325&lt;=250,"V3", H1325&lt;=350, "V4")</f>
        <v>V3</v>
      </c>
      <c r="J1325" t="s">
        <v>5082</v>
      </c>
      <c r="K1325" t="str">
        <f t="shared" si="460"/>
        <v>39.081527</v>
      </c>
      <c r="L1325" t="str">
        <f t="shared" si="461"/>
        <v>-76.888961</v>
      </c>
      <c r="M1325">
        <v>88</v>
      </c>
      <c r="N1325" s="1">
        <v>44544</v>
      </c>
      <c r="O1325" s="1">
        <v>46099</v>
      </c>
      <c r="P1325" s="2">
        <f t="shared" si="462"/>
        <v>4.2573579739904179</v>
      </c>
      <c r="Q1325" s="2" t="str">
        <f t="shared" si="463"/>
        <v>Mid</v>
      </c>
      <c r="R1325">
        <f t="shared" si="464"/>
        <v>1500</v>
      </c>
      <c r="S1325" t="str">
        <f t="shared" si="465"/>
        <v>Small</v>
      </c>
      <c r="T1325" t="str">
        <f t="shared" si="466"/>
        <v>Lower EV Adoption Corridor</v>
      </c>
      <c r="U1325" s="3">
        <f t="shared" si="467"/>
        <v>2700000</v>
      </c>
      <c r="V1325" s="4">
        <f t="shared" si="468"/>
        <v>660000</v>
      </c>
      <c r="W1325" s="3">
        <f t="shared" si="469"/>
        <v>9000000</v>
      </c>
      <c r="X1325" s="3">
        <f t="shared" si="470"/>
        <v>4950000</v>
      </c>
      <c r="Y1325">
        <f t="shared" si="471"/>
        <v>0.31515151515151513</v>
      </c>
      <c r="Z1325">
        <f t="shared" si="472"/>
        <v>0.75555555555555554</v>
      </c>
      <c r="AA1325" t="str">
        <f t="shared" si="473"/>
        <v>Tier 2 - Growth Markets</v>
      </c>
      <c r="AB1325" s="3">
        <f t="shared" si="474"/>
        <v>110000</v>
      </c>
      <c r="AC1325" s="3">
        <f t="shared" si="475"/>
        <v>1500000</v>
      </c>
      <c r="AD1325" s="3">
        <f t="shared" si="476"/>
        <v>450000</v>
      </c>
      <c r="AE1325" s="5">
        <f t="shared" si="477"/>
        <v>4.4117647058823533</v>
      </c>
      <c r="AF1325" s="10">
        <f t="shared" si="478"/>
        <v>409200</v>
      </c>
      <c r="AG1325" s="10">
        <f t="shared" si="479"/>
        <v>132000</v>
      </c>
      <c r="AH1325" s="10">
        <f t="shared" si="480"/>
        <v>66000</v>
      </c>
      <c r="AI1325" s="10">
        <f t="shared" si="481"/>
        <v>33000</v>
      </c>
      <c r="AJ1325" s="10">
        <f t="shared" si="482"/>
        <v>19800</v>
      </c>
    </row>
    <row r="1326" spans="1:36" x14ac:dyDescent="0.3">
      <c r="A1326" t="s">
        <v>5083</v>
      </c>
      <c r="B1326" t="s">
        <v>5084</v>
      </c>
      <c r="C1326" t="s">
        <v>5085</v>
      </c>
      <c r="D1326" t="s">
        <v>184</v>
      </c>
      <c r="E1326">
        <v>45209</v>
      </c>
      <c r="F1326" t="s">
        <v>15</v>
      </c>
      <c r="G1326">
        <v>10</v>
      </c>
      <c r="H1326">
        <v>150</v>
      </c>
      <c r="I1326" t="str" cm="1">
        <f t="array" ref="I1326">_xlfn.IFS(H1326&lt;=120,"V1",H1326&lt;=150,"V2",H1326&lt;=250,"V3", H1326&lt;=350, "V4")</f>
        <v>V2</v>
      </c>
      <c r="J1326" t="s">
        <v>5086</v>
      </c>
      <c r="K1326" t="str">
        <f t="shared" si="460"/>
        <v>39.162833</v>
      </c>
      <c r="L1326" t="str">
        <f t="shared" si="461"/>
        <v>-84.426528</v>
      </c>
      <c r="M1326">
        <v>183</v>
      </c>
      <c r="N1326" s="1">
        <v>43457</v>
      </c>
      <c r="O1326" s="1">
        <v>46099</v>
      </c>
      <c r="P1326" s="2">
        <f t="shared" si="462"/>
        <v>7.2334017796030112</v>
      </c>
      <c r="Q1326" s="2" t="str">
        <f t="shared" si="463"/>
        <v>Mid</v>
      </c>
      <c r="R1326">
        <f t="shared" si="464"/>
        <v>1500</v>
      </c>
      <c r="S1326" t="str">
        <f t="shared" si="465"/>
        <v>Small</v>
      </c>
      <c r="T1326" t="str">
        <f t="shared" si="466"/>
        <v>Lower EV Adoption Corridor</v>
      </c>
      <c r="U1326" s="3">
        <f t="shared" si="467"/>
        <v>2475000</v>
      </c>
      <c r="V1326" s="4">
        <f t="shared" si="468"/>
        <v>600000</v>
      </c>
      <c r="W1326" s="3">
        <f t="shared" si="469"/>
        <v>7500000</v>
      </c>
      <c r="X1326" s="3">
        <f t="shared" si="470"/>
        <v>4500000</v>
      </c>
      <c r="Y1326">
        <f t="shared" si="471"/>
        <v>0.3</v>
      </c>
      <c r="Z1326">
        <f t="shared" si="472"/>
        <v>0.75757575757575757</v>
      </c>
      <c r="AA1326" t="str">
        <f t="shared" si="473"/>
        <v>Tier 4 - Stable Network</v>
      </c>
      <c r="AB1326" s="3">
        <f t="shared" si="474"/>
        <v>60000</v>
      </c>
      <c r="AC1326" s="3">
        <f t="shared" si="475"/>
        <v>750000</v>
      </c>
      <c r="AD1326" s="3">
        <f t="shared" si="476"/>
        <v>247500</v>
      </c>
      <c r="AE1326" s="5">
        <f t="shared" si="477"/>
        <v>4</v>
      </c>
      <c r="AF1326" s="10">
        <f t="shared" si="478"/>
        <v>372000</v>
      </c>
      <c r="AG1326" s="10">
        <f t="shared" si="479"/>
        <v>120000</v>
      </c>
      <c r="AH1326" s="10">
        <f t="shared" si="480"/>
        <v>60000</v>
      </c>
      <c r="AI1326" s="10">
        <f t="shared" si="481"/>
        <v>30000</v>
      </c>
      <c r="AJ1326" s="10">
        <f t="shared" si="482"/>
        <v>18000</v>
      </c>
    </row>
    <row r="1327" spans="1:36" x14ac:dyDescent="0.3">
      <c r="A1327" t="s">
        <v>5087</v>
      </c>
      <c r="B1327" t="s">
        <v>5088</v>
      </c>
      <c r="C1327" t="s">
        <v>1859</v>
      </c>
      <c r="D1327" t="s">
        <v>14</v>
      </c>
      <c r="E1327">
        <v>90021</v>
      </c>
      <c r="F1327" t="s">
        <v>15</v>
      </c>
      <c r="G1327">
        <v>16</v>
      </c>
      <c r="H1327">
        <v>72</v>
      </c>
      <c r="I1327" t="str" cm="1">
        <f t="array" ref="I1327">_xlfn.IFS(H1327&lt;=120,"V1",H1327&lt;=150,"V2",H1327&lt;=250,"V3", H1327&lt;=350, "V4")</f>
        <v>V1</v>
      </c>
      <c r="J1327" t="s">
        <v>5089</v>
      </c>
      <c r="K1327" t="str">
        <f t="shared" si="460"/>
        <v>34.033502</v>
      </c>
      <c r="L1327" t="str">
        <f t="shared" si="461"/>
        <v>-118.240852</v>
      </c>
      <c r="M1327">
        <v>74</v>
      </c>
      <c r="N1327" s="1">
        <v>44091</v>
      </c>
      <c r="O1327" s="1">
        <v>46099</v>
      </c>
      <c r="P1327" s="2">
        <f t="shared" si="462"/>
        <v>5.4976043805612598</v>
      </c>
      <c r="Q1327" s="2" t="str">
        <f t="shared" si="463"/>
        <v>Mid</v>
      </c>
      <c r="R1327">
        <f t="shared" si="464"/>
        <v>1152</v>
      </c>
      <c r="S1327" t="str">
        <f t="shared" si="465"/>
        <v>Small</v>
      </c>
      <c r="T1327" t="str">
        <f t="shared" si="466"/>
        <v>High EV Adoption Corridor</v>
      </c>
      <c r="U1327" s="3">
        <f t="shared" si="467"/>
        <v>2246400</v>
      </c>
      <c r="V1327" s="4">
        <f t="shared" si="468"/>
        <v>497664</v>
      </c>
      <c r="W1327" s="3">
        <f t="shared" si="469"/>
        <v>5068800</v>
      </c>
      <c r="X1327" s="3">
        <f t="shared" si="470"/>
        <v>4665600</v>
      </c>
      <c r="Y1327">
        <f t="shared" si="471"/>
        <v>0.21530864197530863</v>
      </c>
      <c r="Z1327">
        <f t="shared" si="472"/>
        <v>0.77846153846153843</v>
      </c>
      <c r="AA1327" t="str">
        <f t="shared" si="473"/>
        <v>Tier 3 - Upgrade Pipeline</v>
      </c>
      <c r="AB1327" s="3">
        <f t="shared" si="474"/>
        <v>31104</v>
      </c>
      <c r="AC1327" s="3">
        <f t="shared" si="475"/>
        <v>316800</v>
      </c>
      <c r="AD1327" s="3">
        <f t="shared" si="476"/>
        <v>140400</v>
      </c>
      <c r="AE1327" s="5">
        <f t="shared" si="477"/>
        <v>2.8985507246376812</v>
      </c>
      <c r="AF1327" s="10">
        <f t="shared" si="478"/>
        <v>308551.67999999999</v>
      </c>
      <c r="AG1327" s="10">
        <f t="shared" si="479"/>
        <v>99532.800000000003</v>
      </c>
      <c r="AH1327" s="10">
        <f t="shared" si="480"/>
        <v>49766.400000000001</v>
      </c>
      <c r="AI1327" s="10">
        <f t="shared" si="481"/>
        <v>24883.200000000001</v>
      </c>
      <c r="AJ1327" s="10">
        <f t="shared" si="482"/>
        <v>14929.92</v>
      </c>
    </row>
    <row r="1328" spans="1:36" x14ac:dyDescent="0.3">
      <c r="A1328" t="s">
        <v>5090</v>
      </c>
      <c r="B1328" t="s">
        <v>5091</v>
      </c>
      <c r="C1328" t="s">
        <v>5092</v>
      </c>
      <c r="D1328" t="s">
        <v>158</v>
      </c>
      <c r="E1328">
        <v>11788</v>
      </c>
      <c r="F1328" t="s">
        <v>15</v>
      </c>
      <c r="G1328">
        <v>8</v>
      </c>
      <c r="H1328">
        <v>250</v>
      </c>
      <c r="I1328" t="str" cm="1">
        <f t="array" ref="I1328">_xlfn.IFS(H1328&lt;=120,"V1",H1328&lt;=150,"V2",H1328&lt;=250,"V3", H1328&lt;=350, "V4")</f>
        <v>V3</v>
      </c>
      <c r="J1328" t="s">
        <v>5093</v>
      </c>
      <c r="K1328" t="str">
        <f t="shared" si="460"/>
        <v>40.806913</v>
      </c>
      <c r="L1328" t="str">
        <f t="shared" si="461"/>
        <v>-73.238313</v>
      </c>
      <c r="M1328">
        <v>38</v>
      </c>
      <c r="N1328" s="1">
        <v>44464</v>
      </c>
      <c r="O1328" s="1">
        <v>46099</v>
      </c>
      <c r="P1328" s="2">
        <f t="shared" si="462"/>
        <v>4.476386036960986</v>
      </c>
      <c r="Q1328" s="2" t="str">
        <f t="shared" si="463"/>
        <v>Mid</v>
      </c>
      <c r="R1328">
        <f t="shared" si="464"/>
        <v>2000</v>
      </c>
      <c r="S1328" t="str">
        <f t="shared" si="465"/>
        <v>Small</v>
      </c>
      <c r="T1328" t="str">
        <f t="shared" si="466"/>
        <v>Lower EV Adoption Corridor</v>
      </c>
      <c r="U1328" s="3">
        <f t="shared" si="467"/>
        <v>3600000</v>
      </c>
      <c r="V1328" s="4">
        <f t="shared" si="468"/>
        <v>880000.00000000012</v>
      </c>
      <c r="W1328" s="3">
        <f t="shared" si="469"/>
        <v>12000000</v>
      </c>
      <c r="X1328" s="3">
        <f t="shared" si="470"/>
        <v>6600000.0000000009</v>
      </c>
      <c r="Y1328">
        <f t="shared" si="471"/>
        <v>0.31515151515151513</v>
      </c>
      <c r="Z1328">
        <f t="shared" si="472"/>
        <v>0.75555555555555554</v>
      </c>
      <c r="AA1328" t="str">
        <f t="shared" si="473"/>
        <v>Tier 2 - Growth Markets</v>
      </c>
      <c r="AB1328" s="3">
        <f t="shared" si="474"/>
        <v>110000.00000000001</v>
      </c>
      <c r="AC1328" s="3">
        <f t="shared" si="475"/>
        <v>1500000</v>
      </c>
      <c r="AD1328" s="3">
        <f t="shared" si="476"/>
        <v>450000</v>
      </c>
      <c r="AE1328" s="5">
        <f t="shared" si="477"/>
        <v>4.4117647058823533</v>
      </c>
      <c r="AF1328" s="10">
        <f t="shared" si="478"/>
        <v>545600.00000000012</v>
      </c>
      <c r="AG1328" s="10">
        <f t="shared" si="479"/>
        <v>176000.00000000003</v>
      </c>
      <c r="AH1328" s="10">
        <f t="shared" si="480"/>
        <v>88000.000000000015</v>
      </c>
      <c r="AI1328" s="10">
        <f t="shared" si="481"/>
        <v>44000.000000000007</v>
      </c>
      <c r="AJ1328" s="10">
        <f t="shared" si="482"/>
        <v>26400.000000000004</v>
      </c>
    </row>
    <row r="1329" spans="1:36" x14ac:dyDescent="0.3">
      <c r="A1329" t="s">
        <v>5094</v>
      </c>
      <c r="B1329" t="s">
        <v>5095</v>
      </c>
      <c r="C1329" t="s">
        <v>5096</v>
      </c>
      <c r="D1329" t="s">
        <v>41</v>
      </c>
      <c r="E1329">
        <v>33069</v>
      </c>
      <c r="F1329" t="s">
        <v>15</v>
      </c>
      <c r="G1329">
        <v>8</v>
      </c>
      <c r="H1329">
        <v>250</v>
      </c>
      <c r="I1329" t="str" cm="1">
        <f t="array" ref="I1329">_xlfn.IFS(H1329&lt;=120,"V1",H1329&lt;=150,"V2",H1329&lt;=250,"V3", H1329&lt;=350, "V4")</f>
        <v>V3</v>
      </c>
      <c r="J1329" t="s">
        <v>5097</v>
      </c>
      <c r="K1329" t="str">
        <f t="shared" si="460"/>
        <v>26.226546</v>
      </c>
      <c r="L1329" t="str">
        <f t="shared" si="461"/>
        <v>-80.182431</v>
      </c>
      <c r="M1329">
        <v>5</v>
      </c>
      <c r="N1329" s="1">
        <v>44479</v>
      </c>
      <c r="O1329" s="1">
        <v>46099</v>
      </c>
      <c r="P1329" s="2">
        <f t="shared" si="462"/>
        <v>4.4353182751540041</v>
      </c>
      <c r="Q1329" s="2" t="str">
        <f t="shared" si="463"/>
        <v>Mid</v>
      </c>
      <c r="R1329">
        <f t="shared" si="464"/>
        <v>2000</v>
      </c>
      <c r="S1329" t="str">
        <f t="shared" si="465"/>
        <v>Small</v>
      </c>
      <c r="T1329" t="str">
        <f t="shared" si="466"/>
        <v>High EV Adoption Corridor</v>
      </c>
      <c r="U1329" s="3">
        <f t="shared" si="467"/>
        <v>4680000</v>
      </c>
      <c r="V1329" s="4">
        <f t="shared" si="468"/>
        <v>1056000</v>
      </c>
      <c r="W1329" s="3">
        <f t="shared" si="469"/>
        <v>13200000.000000002</v>
      </c>
      <c r="X1329" s="3">
        <f t="shared" si="470"/>
        <v>9900000.0000000019</v>
      </c>
      <c r="Y1329">
        <f t="shared" si="471"/>
        <v>0.23999999999999996</v>
      </c>
      <c r="Z1329">
        <f t="shared" si="472"/>
        <v>0.77435897435897438</v>
      </c>
      <c r="AA1329" t="str">
        <f t="shared" si="473"/>
        <v>Tier 1 - Priority Fleet</v>
      </c>
      <c r="AB1329" s="3">
        <f t="shared" si="474"/>
        <v>132000</v>
      </c>
      <c r="AC1329" s="3">
        <f t="shared" si="475"/>
        <v>1650000.0000000002</v>
      </c>
      <c r="AD1329" s="3">
        <f t="shared" si="476"/>
        <v>585000</v>
      </c>
      <c r="AE1329" s="5">
        <f t="shared" si="477"/>
        <v>3.6423841059602653</v>
      </c>
      <c r="AF1329" s="10">
        <f t="shared" si="478"/>
        <v>654720</v>
      </c>
      <c r="AG1329" s="10">
        <f t="shared" si="479"/>
        <v>211200</v>
      </c>
      <c r="AH1329" s="10">
        <f t="shared" si="480"/>
        <v>105600</v>
      </c>
      <c r="AI1329" s="10">
        <f t="shared" si="481"/>
        <v>52800</v>
      </c>
      <c r="AJ1329" s="10">
        <f t="shared" si="482"/>
        <v>31680</v>
      </c>
    </row>
    <row r="1330" spans="1:36" x14ac:dyDescent="0.3">
      <c r="A1330" t="s">
        <v>5098</v>
      </c>
      <c r="B1330" t="s">
        <v>5099</v>
      </c>
      <c r="C1330" t="s">
        <v>5100</v>
      </c>
      <c r="D1330" t="s">
        <v>268</v>
      </c>
      <c r="E1330">
        <v>81435</v>
      </c>
      <c r="F1330" t="s">
        <v>15</v>
      </c>
      <c r="G1330">
        <v>8</v>
      </c>
      <c r="H1330">
        <v>250</v>
      </c>
      <c r="I1330" t="str" cm="1">
        <f t="array" ref="I1330">_xlfn.IFS(H1330&lt;=120,"V1",H1330&lt;=150,"V2",H1330&lt;=250,"V3", H1330&lt;=350, "V4")</f>
        <v>V3</v>
      </c>
      <c r="J1330" t="s">
        <v>5101</v>
      </c>
      <c r="K1330" t="str">
        <f t="shared" si="460"/>
        <v>37.933428</v>
      </c>
      <c r="L1330" t="str">
        <f t="shared" si="461"/>
        <v>-107.854146</v>
      </c>
      <c r="M1330">
        <v>2903</v>
      </c>
      <c r="N1330" s="1">
        <v>44511</v>
      </c>
      <c r="O1330" s="1">
        <v>46099</v>
      </c>
      <c r="P1330" s="2">
        <f t="shared" si="462"/>
        <v>4.3477070499657771</v>
      </c>
      <c r="Q1330" s="2" t="str">
        <f t="shared" si="463"/>
        <v>Mid</v>
      </c>
      <c r="R1330">
        <f t="shared" si="464"/>
        <v>2000</v>
      </c>
      <c r="S1330" t="str">
        <f t="shared" si="465"/>
        <v>Small</v>
      </c>
      <c r="T1330" t="str">
        <f t="shared" si="466"/>
        <v>High EV Adoption Corridor</v>
      </c>
      <c r="U1330" s="3">
        <f t="shared" si="467"/>
        <v>4680000</v>
      </c>
      <c r="V1330" s="4">
        <f t="shared" si="468"/>
        <v>1056000</v>
      </c>
      <c r="W1330" s="3">
        <f t="shared" si="469"/>
        <v>13200000.000000002</v>
      </c>
      <c r="X1330" s="3">
        <f t="shared" si="470"/>
        <v>9900000.0000000019</v>
      </c>
      <c r="Y1330">
        <f t="shared" si="471"/>
        <v>0.23999999999999996</v>
      </c>
      <c r="Z1330">
        <f t="shared" si="472"/>
        <v>0.77435897435897438</v>
      </c>
      <c r="AA1330" t="str">
        <f t="shared" si="473"/>
        <v>Tier 1 - Priority Fleet</v>
      </c>
      <c r="AB1330" s="3">
        <f t="shared" si="474"/>
        <v>132000</v>
      </c>
      <c r="AC1330" s="3">
        <f t="shared" si="475"/>
        <v>1650000.0000000002</v>
      </c>
      <c r="AD1330" s="3">
        <f t="shared" si="476"/>
        <v>585000</v>
      </c>
      <c r="AE1330" s="5">
        <f t="shared" si="477"/>
        <v>3.6423841059602653</v>
      </c>
      <c r="AF1330" s="10">
        <f t="shared" si="478"/>
        <v>654720</v>
      </c>
      <c r="AG1330" s="10">
        <f t="shared" si="479"/>
        <v>211200</v>
      </c>
      <c r="AH1330" s="10">
        <f t="shared" si="480"/>
        <v>105600</v>
      </c>
      <c r="AI1330" s="10">
        <f t="shared" si="481"/>
        <v>52800</v>
      </c>
      <c r="AJ1330" s="10">
        <f t="shared" si="482"/>
        <v>31680</v>
      </c>
    </row>
    <row r="1331" spans="1:36" x14ac:dyDescent="0.3">
      <c r="A1331" t="s">
        <v>5102</v>
      </c>
      <c r="B1331" t="s">
        <v>5103</v>
      </c>
      <c r="C1331" t="s">
        <v>5104</v>
      </c>
      <c r="D1331" t="s">
        <v>484</v>
      </c>
      <c r="E1331">
        <v>35223</v>
      </c>
      <c r="F1331" t="s">
        <v>15</v>
      </c>
      <c r="G1331">
        <v>8</v>
      </c>
      <c r="H1331">
        <v>250</v>
      </c>
      <c r="I1331" t="str" cm="1">
        <f t="array" ref="I1331">_xlfn.IFS(H1331&lt;=120,"V1",H1331&lt;=150,"V2",H1331&lt;=250,"V3", H1331&lt;=350, "V4")</f>
        <v>V3</v>
      </c>
      <c r="J1331" t="s">
        <v>5105</v>
      </c>
      <c r="K1331" t="str">
        <f t="shared" si="460"/>
        <v>33.486691</v>
      </c>
      <c r="L1331" t="str">
        <f t="shared" si="461"/>
        <v>-86.772681</v>
      </c>
      <c r="M1331">
        <v>205</v>
      </c>
      <c r="N1331" s="1">
        <v>44525</v>
      </c>
      <c r="O1331" s="1">
        <v>46099</v>
      </c>
      <c r="P1331" s="2">
        <f t="shared" si="462"/>
        <v>4.3093771389459272</v>
      </c>
      <c r="Q1331" s="2" t="str">
        <f t="shared" si="463"/>
        <v>Mid</v>
      </c>
      <c r="R1331">
        <f t="shared" si="464"/>
        <v>2000</v>
      </c>
      <c r="S1331" t="str">
        <f t="shared" si="465"/>
        <v>Small</v>
      </c>
      <c r="T1331" t="str">
        <f t="shared" si="466"/>
        <v>Lower EV Adoption Corridor</v>
      </c>
      <c r="U1331" s="3">
        <f t="shared" si="467"/>
        <v>3600000</v>
      </c>
      <c r="V1331" s="4">
        <f t="shared" si="468"/>
        <v>880000.00000000012</v>
      </c>
      <c r="W1331" s="3">
        <f t="shared" si="469"/>
        <v>12000000</v>
      </c>
      <c r="X1331" s="3">
        <f t="shared" si="470"/>
        <v>6600000.0000000009</v>
      </c>
      <c r="Y1331">
        <f t="shared" si="471"/>
        <v>0.31515151515151513</v>
      </c>
      <c r="Z1331">
        <f t="shared" si="472"/>
        <v>0.75555555555555554</v>
      </c>
      <c r="AA1331" t="str">
        <f t="shared" si="473"/>
        <v>Tier 2 - Growth Markets</v>
      </c>
      <c r="AB1331" s="3">
        <f t="shared" si="474"/>
        <v>110000.00000000001</v>
      </c>
      <c r="AC1331" s="3">
        <f t="shared" si="475"/>
        <v>1500000</v>
      </c>
      <c r="AD1331" s="3">
        <f t="shared" si="476"/>
        <v>450000</v>
      </c>
      <c r="AE1331" s="5">
        <f t="shared" si="477"/>
        <v>4.4117647058823533</v>
      </c>
      <c r="AF1331" s="10">
        <f t="shared" si="478"/>
        <v>545600.00000000012</v>
      </c>
      <c r="AG1331" s="10">
        <f t="shared" si="479"/>
        <v>176000.00000000003</v>
      </c>
      <c r="AH1331" s="10">
        <f t="shared" si="480"/>
        <v>88000.000000000015</v>
      </c>
      <c r="AI1331" s="10">
        <f t="shared" si="481"/>
        <v>44000.000000000007</v>
      </c>
      <c r="AJ1331" s="10">
        <f t="shared" si="482"/>
        <v>26400.000000000004</v>
      </c>
    </row>
    <row r="1332" spans="1:36" x14ac:dyDescent="0.3">
      <c r="A1332" t="s">
        <v>5106</v>
      </c>
      <c r="B1332" t="s">
        <v>5107</v>
      </c>
      <c r="C1332" t="s">
        <v>5108</v>
      </c>
      <c r="D1332" t="s">
        <v>1412</v>
      </c>
      <c r="E1332">
        <v>19720</v>
      </c>
      <c r="F1332" t="s">
        <v>15</v>
      </c>
      <c r="G1332">
        <v>8</v>
      </c>
      <c r="H1332">
        <v>250</v>
      </c>
      <c r="I1332" t="str" cm="1">
        <f t="array" ref="I1332">_xlfn.IFS(H1332&lt;=120,"V1",H1332&lt;=150,"V2",H1332&lt;=250,"V3", H1332&lt;=350, "V4")</f>
        <v>V3</v>
      </c>
      <c r="J1332" t="s">
        <v>5109</v>
      </c>
      <c r="K1332" t="str">
        <f t="shared" si="460"/>
        <v>39.709271</v>
      </c>
      <c r="L1332" t="str">
        <f t="shared" si="461"/>
        <v>-75.562365</v>
      </c>
      <c r="M1332">
        <v>15</v>
      </c>
      <c r="N1332" s="1">
        <v>44464</v>
      </c>
      <c r="O1332" s="1">
        <v>46099</v>
      </c>
      <c r="P1332" s="2">
        <f t="shared" si="462"/>
        <v>4.476386036960986</v>
      </c>
      <c r="Q1332" s="2" t="str">
        <f t="shared" si="463"/>
        <v>Mid</v>
      </c>
      <c r="R1332">
        <f t="shared" si="464"/>
        <v>2000</v>
      </c>
      <c r="S1332" t="str">
        <f t="shared" si="465"/>
        <v>Small</v>
      </c>
      <c r="T1332" t="str">
        <f t="shared" si="466"/>
        <v>Lower EV Adoption Corridor</v>
      </c>
      <c r="U1332" s="3">
        <f t="shared" si="467"/>
        <v>3600000</v>
      </c>
      <c r="V1332" s="4">
        <f t="shared" si="468"/>
        <v>880000.00000000012</v>
      </c>
      <c r="W1332" s="3">
        <f t="shared" si="469"/>
        <v>12000000</v>
      </c>
      <c r="X1332" s="3">
        <f t="shared" si="470"/>
        <v>6600000.0000000009</v>
      </c>
      <c r="Y1332">
        <f t="shared" si="471"/>
        <v>0.31515151515151513</v>
      </c>
      <c r="Z1332">
        <f t="shared" si="472"/>
        <v>0.75555555555555554</v>
      </c>
      <c r="AA1332" t="str">
        <f t="shared" si="473"/>
        <v>Tier 2 - Growth Markets</v>
      </c>
      <c r="AB1332" s="3">
        <f t="shared" si="474"/>
        <v>110000.00000000001</v>
      </c>
      <c r="AC1332" s="3">
        <f t="shared" si="475"/>
        <v>1500000</v>
      </c>
      <c r="AD1332" s="3">
        <f t="shared" si="476"/>
        <v>450000</v>
      </c>
      <c r="AE1332" s="5">
        <f t="shared" si="477"/>
        <v>4.4117647058823533</v>
      </c>
      <c r="AF1332" s="10">
        <f t="shared" si="478"/>
        <v>545600.00000000012</v>
      </c>
      <c r="AG1332" s="10">
        <f t="shared" si="479"/>
        <v>176000.00000000003</v>
      </c>
      <c r="AH1332" s="10">
        <f t="shared" si="480"/>
        <v>88000.000000000015</v>
      </c>
      <c r="AI1332" s="10">
        <f t="shared" si="481"/>
        <v>44000.000000000007</v>
      </c>
      <c r="AJ1332" s="10">
        <f t="shared" si="482"/>
        <v>26400.000000000004</v>
      </c>
    </row>
    <row r="1333" spans="1:36" x14ac:dyDescent="0.3">
      <c r="A1333" t="s">
        <v>5110</v>
      </c>
      <c r="B1333" t="s">
        <v>5111</v>
      </c>
      <c r="C1333" t="s">
        <v>5112</v>
      </c>
      <c r="D1333" t="s">
        <v>428</v>
      </c>
      <c r="E1333">
        <v>3253</v>
      </c>
      <c r="F1333" t="s">
        <v>15</v>
      </c>
      <c r="G1333">
        <v>6</v>
      </c>
      <c r="H1333">
        <v>250</v>
      </c>
      <c r="I1333" t="str" cm="1">
        <f t="array" ref="I1333">_xlfn.IFS(H1333&lt;=120,"V1",H1333&lt;=150,"V2",H1333&lt;=250,"V3", H1333&lt;=350, "V4")</f>
        <v>V3</v>
      </c>
      <c r="J1333" t="s">
        <v>5113</v>
      </c>
      <c r="K1333" t="str">
        <f t="shared" si="460"/>
        <v>43.66114</v>
      </c>
      <c r="L1333" t="str">
        <f t="shared" si="461"/>
        <v>-71.493944</v>
      </c>
      <c r="M1333">
        <v>158</v>
      </c>
      <c r="N1333" s="1">
        <v>44742</v>
      </c>
      <c r="O1333" s="1">
        <v>46099</v>
      </c>
      <c r="P1333" s="2">
        <f t="shared" si="462"/>
        <v>3.7152635181382614</v>
      </c>
      <c r="Q1333" s="2" t="str">
        <f t="shared" si="463"/>
        <v>Mid</v>
      </c>
      <c r="R1333">
        <f t="shared" si="464"/>
        <v>1500</v>
      </c>
      <c r="S1333" t="str">
        <f t="shared" si="465"/>
        <v>Small</v>
      </c>
      <c r="T1333" t="str">
        <f t="shared" si="466"/>
        <v>Lower EV Adoption Corridor</v>
      </c>
      <c r="U1333" s="3">
        <f t="shared" si="467"/>
        <v>2700000</v>
      </c>
      <c r="V1333" s="4">
        <f t="shared" si="468"/>
        <v>660000</v>
      </c>
      <c r="W1333" s="3">
        <f t="shared" si="469"/>
        <v>9000000</v>
      </c>
      <c r="X1333" s="3">
        <f t="shared" si="470"/>
        <v>4950000</v>
      </c>
      <c r="Y1333">
        <f t="shared" si="471"/>
        <v>0.31515151515151513</v>
      </c>
      <c r="Z1333">
        <f t="shared" si="472"/>
        <v>0.75555555555555554</v>
      </c>
      <c r="AA1333" t="str">
        <f t="shared" si="473"/>
        <v>Tier 2 - Growth Markets</v>
      </c>
      <c r="AB1333" s="3">
        <f t="shared" si="474"/>
        <v>110000</v>
      </c>
      <c r="AC1333" s="3">
        <f t="shared" si="475"/>
        <v>1500000</v>
      </c>
      <c r="AD1333" s="3">
        <f t="shared" si="476"/>
        <v>450000</v>
      </c>
      <c r="AE1333" s="5">
        <f t="shared" si="477"/>
        <v>4.4117647058823533</v>
      </c>
      <c r="AF1333" s="10">
        <f t="shared" si="478"/>
        <v>409200</v>
      </c>
      <c r="AG1333" s="10">
        <f t="shared" si="479"/>
        <v>132000</v>
      </c>
      <c r="AH1333" s="10">
        <f t="shared" si="480"/>
        <v>66000</v>
      </c>
      <c r="AI1333" s="10">
        <f t="shared" si="481"/>
        <v>33000</v>
      </c>
      <c r="AJ1333" s="10">
        <f t="shared" si="482"/>
        <v>19800</v>
      </c>
    </row>
    <row r="1334" spans="1:36" x14ac:dyDescent="0.3">
      <c r="A1334" t="s">
        <v>5114</v>
      </c>
      <c r="B1334" t="s">
        <v>5115</v>
      </c>
      <c r="C1334" t="s">
        <v>5116</v>
      </c>
      <c r="D1334" t="s">
        <v>14</v>
      </c>
      <c r="E1334">
        <v>94587</v>
      </c>
      <c r="F1334" t="s">
        <v>15</v>
      </c>
      <c r="G1334">
        <v>12</v>
      </c>
      <c r="H1334">
        <v>250</v>
      </c>
      <c r="I1334" t="str" cm="1">
        <f t="array" ref="I1334">_xlfn.IFS(H1334&lt;=120,"V1",H1334&lt;=150,"V2",H1334&lt;=250,"V3", H1334&lt;=350, "V4")</f>
        <v>V3</v>
      </c>
      <c r="J1334" t="s">
        <v>5117</v>
      </c>
      <c r="K1334" t="str">
        <f t="shared" si="460"/>
        <v>37.587128</v>
      </c>
      <c r="L1334" t="str">
        <f t="shared" si="461"/>
        <v>-122.020442</v>
      </c>
      <c r="M1334">
        <v>13</v>
      </c>
      <c r="N1334" s="1">
        <v>44606</v>
      </c>
      <c r="O1334" s="1">
        <v>46099</v>
      </c>
      <c r="P1334" s="2">
        <f t="shared" si="462"/>
        <v>4.0876112251882271</v>
      </c>
      <c r="Q1334" s="2" t="str">
        <f t="shared" si="463"/>
        <v>Mid</v>
      </c>
      <c r="R1334">
        <f t="shared" si="464"/>
        <v>3000</v>
      </c>
      <c r="S1334" t="str">
        <f t="shared" si="465"/>
        <v>Small</v>
      </c>
      <c r="T1334" t="str">
        <f t="shared" si="466"/>
        <v>High EV Adoption Corridor</v>
      </c>
      <c r="U1334" s="3">
        <f t="shared" si="467"/>
        <v>7020000</v>
      </c>
      <c r="V1334" s="4">
        <f t="shared" si="468"/>
        <v>1584000</v>
      </c>
      <c r="W1334" s="3">
        <f t="shared" si="469"/>
        <v>19800000</v>
      </c>
      <c r="X1334" s="3">
        <f t="shared" si="470"/>
        <v>14850000</v>
      </c>
      <c r="Y1334">
        <f t="shared" si="471"/>
        <v>0.24</v>
      </c>
      <c r="Z1334">
        <f t="shared" si="472"/>
        <v>0.77435897435897438</v>
      </c>
      <c r="AA1334" t="str">
        <f t="shared" si="473"/>
        <v>Tier 1 - Priority Fleet</v>
      </c>
      <c r="AB1334" s="3">
        <f t="shared" si="474"/>
        <v>132000</v>
      </c>
      <c r="AC1334" s="3">
        <f t="shared" si="475"/>
        <v>1650000</v>
      </c>
      <c r="AD1334" s="3">
        <f t="shared" si="476"/>
        <v>585000</v>
      </c>
      <c r="AE1334" s="5">
        <f t="shared" si="477"/>
        <v>3.6423841059602649</v>
      </c>
      <c r="AF1334" s="10">
        <f t="shared" si="478"/>
        <v>982080</v>
      </c>
      <c r="AG1334" s="10">
        <f t="shared" si="479"/>
        <v>316800</v>
      </c>
      <c r="AH1334" s="10">
        <f t="shared" si="480"/>
        <v>158400</v>
      </c>
      <c r="AI1334" s="10">
        <f t="shared" si="481"/>
        <v>79200</v>
      </c>
      <c r="AJ1334" s="10">
        <f t="shared" si="482"/>
        <v>47520</v>
      </c>
    </row>
    <row r="1335" spans="1:36" x14ac:dyDescent="0.3">
      <c r="A1335" t="s">
        <v>5118</v>
      </c>
      <c r="B1335" t="s">
        <v>5119</v>
      </c>
      <c r="C1335" t="s">
        <v>1619</v>
      </c>
      <c r="D1335" t="s">
        <v>50</v>
      </c>
      <c r="E1335">
        <v>78724</v>
      </c>
      <c r="F1335" t="s">
        <v>15</v>
      </c>
      <c r="G1335">
        <v>12</v>
      </c>
      <c r="H1335">
        <v>250</v>
      </c>
      <c r="I1335" t="str" cm="1">
        <f t="array" ref="I1335">_xlfn.IFS(H1335&lt;=120,"V1",H1335&lt;=150,"V2",H1335&lt;=250,"V3", H1335&lt;=350, "V4")</f>
        <v>V3</v>
      </c>
      <c r="J1335" t="s">
        <v>5120</v>
      </c>
      <c r="K1335" t="str">
        <f t="shared" si="460"/>
        <v>30.254984</v>
      </c>
      <c r="L1335" t="str">
        <f t="shared" si="461"/>
        <v>-97.605605</v>
      </c>
      <c r="M1335">
        <v>138</v>
      </c>
      <c r="N1335" s="1">
        <v>44581</v>
      </c>
      <c r="O1335" s="1">
        <v>46099</v>
      </c>
      <c r="P1335" s="2">
        <f t="shared" si="462"/>
        <v>4.1560574948665296</v>
      </c>
      <c r="Q1335" s="2" t="str">
        <f t="shared" si="463"/>
        <v>Mid</v>
      </c>
      <c r="R1335">
        <f t="shared" si="464"/>
        <v>3000</v>
      </c>
      <c r="S1335" t="str">
        <f t="shared" si="465"/>
        <v>Small</v>
      </c>
      <c r="T1335" t="str">
        <f t="shared" si="466"/>
        <v>High EV Adoption Corridor</v>
      </c>
      <c r="U1335" s="3">
        <f t="shared" si="467"/>
        <v>7020000</v>
      </c>
      <c r="V1335" s="4">
        <f t="shared" si="468"/>
        <v>1584000</v>
      </c>
      <c r="W1335" s="3">
        <f t="shared" si="469"/>
        <v>19800000</v>
      </c>
      <c r="X1335" s="3">
        <f t="shared" si="470"/>
        <v>14850000</v>
      </c>
      <c r="Y1335">
        <f t="shared" si="471"/>
        <v>0.24</v>
      </c>
      <c r="Z1335">
        <f t="shared" si="472"/>
        <v>0.77435897435897438</v>
      </c>
      <c r="AA1335" t="str">
        <f t="shared" si="473"/>
        <v>Tier 1 - Priority Fleet</v>
      </c>
      <c r="AB1335" s="3">
        <f t="shared" si="474"/>
        <v>132000</v>
      </c>
      <c r="AC1335" s="3">
        <f t="shared" si="475"/>
        <v>1650000</v>
      </c>
      <c r="AD1335" s="3">
        <f t="shared" si="476"/>
        <v>585000</v>
      </c>
      <c r="AE1335" s="5">
        <f t="shared" si="477"/>
        <v>3.6423841059602649</v>
      </c>
      <c r="AF1335" s="10">
        <f t="shared" si="478"/>
        <v>982080</v>
      </c>
      <c r="AG1335" s="10">
        <f t="shared" si="479"/>
        <v>316800</v>
      </c>
      <c r="AH1335" s="10">
        <f t="shared" si="480"/>
        <v>158400</v>
      </c>
      <c r="AI1335" s="10">
        <f t="shared" si="481"/>
        <v>79200</v>
      </c>
      <c r="AJ1335" s="10">
        <f t="shared" si="482"/>
        <v>47520</v>
      </c>
    </row>
    <row r="1336" spans="1:36" x14ac:dyDescent="0.3">
      <c r="A1336" t="s">
        <v>5121</v>
      </c>
      <c r="B1336" t="s">
        <v>5122</v>
      </c>
      <c r="C1336" t="s">
        <v>1758</v>
      </c>
      <c r="D1336" t="s">
        <v>14</v>
      </c>
      <c r="E1336">
        <v>91739</v>
      </c>
      <c r="F1336" t="s">
        <v>15</v>
      </c>
      <c r="G1336">
        <v>8</v>
      </c>
      <c r="H1336">
        <v>250</v>
      </c>
      <c r="I1336" t="str" cm="1">
        <f t="array" ref="I1336">_xlfn.IFS(H1336&lt;=120,"V1",H1336&lt;=150,"V2",H1336&lt;=250,"V3", H1336&lt;=350, "V4")</f>
        <v>V3</v>
      </c>
      <c r="J1336" t="s">
        <v>5123</v>
      </c>
      <c r="K1336" t="str">
        <f t="shared" si="460"/>
        <v>34.106627</v>
      </c>
      <c r="L1336" t="str">
        <f t="shared" si="461"/>
        <v>-117.527064</v>
      </c>
      <c r="M1336">
        <v>368</v>
      </c>
      <c r="N1336" s="1">
        <v>44461</v>
      </c>
      <c r="O1336" s="1">
        <v>46099</v>
      </c>
      <c r="P1336" s="2">
        <f t="shared" si="462"/>
        <v>4.4845995893223822</v>
      </c>
      <c r="Q1336" s="2" t="str">
        <f t="shared" si="463"/>
        <v>Mid</v>
      </c>
      <c r="R1336">
        <f t="shared" si="464"/>
        <v>2000</v>
      </c>
      <c r="S1336" t="str">
        <f t="shared" si="465"/>
        <v>Small</v>
      </c>
      <c r="T1336" t="str">
        <f t="shared" si="466"/>
        <v>High EV Adoption Corridor</v>
      </c>
      <c r="U1336" s="3">
        <f t="shared" si="467"/>
        <v>4680000</v>
      </c>
      <c r="V1336" s="4">
        <f t="shared" si="468"/>
        <v>1056000</v>
      </c>
      <c r="W1336" s="3">
        <f t="shared" si="469"/>
        <v>13200000.000000002</v>
      </c>
      <c r="X1336" s="3">
        <f t="shared" si="470"/>
        <v>9900000.0000000019</v>
      </c>
      <c r="Y1336">
        <f t="shared" si="471"/>
        <v>0.23999999999999996</v>
      </c>
      <c r="Z1336">
        <f t="shared" si="472"/>
        <v>0.77435897435897438</v>
      </c>
      <c r="AA1336" t="str">
        <f t="shared" si="473"/>
        <v>Tier 1 - Priority Fleet</v>
      </c>
      <c r="AB1336" s="3">
        <f t="shared" si="474"/>
        <v>132000</v>
      </c>
      <c r="AC1336" s="3">
        <f t="shared" si="475"/>
        <v>1650000.0000000002</v>
      </c>
      <c r="AD1336" s="3">
        <f t="shared" si="476"/>
        <v>585000</v>
      </c>
      <c r="AE1336" s="5">
        <f t="shared" si="477"/>
        <v>3.6423841059602653</v>
      </c>
      <c r="AF1336" s="10">
        <f t="shared" si="478"/>
        <v>654720</v>
      </c>
      <c r="AG1336" s="10">
        <f t="shared" si="479"/>
        <v>211200</v>
      </c>
      <c r="AH1336" s="10">
        <f t="shared" si="480"/>
        <v>105600</v>
      </c>
      <c r="AI1336" s="10">
        <f t="shared" si="481"/>
        <v>52800</v>
      </c>
      <c r="AJ1336" s="10">
        <f t="shared" si="482"/>
        <v>31680</v>
      </c>
    </row>
    <row r="1337" spans="1:36" x14ac:dyDescent="0.3">
      <c r="A1337" t="s">
        <v>5124</v>
      </c>
      <c r="B1337" t="s">
        <v>5125</v>
      </c>
      <c r="C1337" t="s">
        <v>5126</v>
      </c>
      <c r="D1337" t="s">
        <v>158</v>
      </c>
      <c r="E1337">
        <v>11577</v>
      </c>
      <c r="F1337" t="s">
        <v>15</v>
      </c>
      <c r="G1337">
        <v>8</v>
      </c>
      <c r="H1337">
        <v>250</v>
      </c>
      <c r="I1337" t="str" cm="1">
        <f t="array" ref="I1337">_xlfn.IFS(H1337&lt;=120,"V1",H1337&lt;=150,"V2",H1337&lt;=250,"V3", H1337&lt;=350, "V4")</f>
        <v>V3</v>
      </c>
      <c r="J1337" t="s">
        <v>5127</v>
      </c>
      <c r="K1337" t="str">
        <f t="shared" si="460"/>
        <v>40.77956</v>
      </c>
      <c r="L1337" t="str">
        <f t="shared" si="461"/>
        <v>-73.651063</v>
      </c>
      <c r="M1337">
        <v>38</v>
      </c>
      <c r="N1337" s="1">
        <v>44404</v>
      </c>
      <c r="O1337" s="1">
        <v>46099</v>
      </c>
      <c r="P1337" s="2">
        <f t="shared" si="462"/>
        <v>4.6406570841889119</v>
      </c>
      <c r="Q1337" s="2" t="str">
        <f t="shared" si="463"/>
        <v>Mid</v>
      </c>
      <c r="R1337">
        <f t="shared" si="464"/>
        <v>2000</v>
      </c>
      <c r="S1337" t="str">
        <f t="shared" si="465"/>
        <v>Small</v>
      </c>
      <c r="T1337" t="str">
        <f t="shared" si="466"/>
        <v>Lower EV Adoption Corridor</v>
      </c>
      <c r="U1337" s="3">
        <f t="shared" si="467"/>
        <v>3600000</v>
      </c>
      <c r="V1337" s="4">
        <f t="shared" si="468"/>
        <v>880000.00000000012</v>
      </c>
      <c r="W1337" s="3">
        <f t="shared" si="469"/>
        <v>12000000</v>
      </c>
      <c r="X1337" s="3">
        <f t="shared" si="470"/>
        <v>6600000.0000000009</v>
      </c>
      <c r="Y1337">
        <f t="shared" si="471"/>
        <v>0.31515151515151513</v>
      </c>
      <c r="Z1337">
        <f t="shared" si="472"/>
        <v>0.75555555555555554</v>
      </c>
      <c r="AA1337" t="str">
        <f t="shared" si="473"/>
        <v>Tier 2 - Growth Markets</v>
      </c>
      <c r="AB1337" s="3">
        <f t="shared" si="474"/>
        <v>110000.00000000001</v>
      </c>
      <c r="AC1337" s="3">
        <f t="shared" si="475"/>
        <v>1500000</v>
      </c>
      <c r="AD1337" s="3">
        <f t="shared" si="476"/>
        <v>450000</v>
      </c>
      <c r="AE1337" s="5">
        <f t="shared" si="477"/>
        <v>4.4117647058823533</v>
      </c>
      <c r="AF1337" s="10">
        <f t="shared" si="478"/>
        <v>545600.00000000012</v>
      </c>
      <c r="AG1337" s="10">
        <f t="shared" si="479"/>
        <v>176000.00000000003</v>
      </c>
      <c r="AH1337" s="10">
        <f t="shared" si="480"/>
        <v>88000.000000000015</v>
      </c>
      <c r="AI1337" s="10">
        <f t="shared" si="481"/>
        <v>44000.000000000007</v>
      </c>
      <c r="AJ1337" s="10">
        <f t="shared" si="482"/>
        <v>26400.000000000004</v>
      </c>
    </row>
    <row r="1338" spans="1:36" x14ac:dyDescent="0.3">
      <c r="A1338" t="s">
        <v>5128</v>
      </c>
      <c r="B1338" t="s">
        <v>5129</v>
      </c>
      <c r="C1338" t="s">
        <v>5130</v>
      </c>
      <c r="D1338" t="s">
        <v>230</v>
      </c>
      <c r="E1338">
        <v>99019</v>
      </c>
      <c r="F1338" t="s">
        <v>15</v>
      </c>
      <c r="G1338">
        <v>12</v>
      </c>
      <c r="H1338">
        <v>250</v>
      </c>
      <c r="I1338" t="str" cm="1">
        <f t="array" ref="I1338">_xlfn.IFS(H1338&lt;=120,"V1",H1338&lt;=150,"V2",H1338&lt;=250,"V3", H1338&lt;=350, "V4")</f>
        <v>V3</v>
      </c>
      <c r="J1338" t="s">
        <v>5131</v>
      </c>
      <c r="K1338" t="str">
        <f t="shared" si="460"/>
        <v>47.673313</v>
      </c>
      <c r="L1338" t="str">
        <f t="shared" si="461"/>
        <v>-117.113505</v>
      </c>
      <c r="M1338">
        <v>627</v>
      </c>
      <c r="N1338" s="1">
        <v>44649</v>
      </c>
      <c r="O1338" s="1">
        <v>46099</v>
      </c>
      <c r="P1338" s="2">
        <f t="shared" si="462"/>
        <v>3.9698836413415468</v>
      </c>
      <c r="Q1338" s="2" t="str">
        <f t="shared" si="463"/>
        <v>Mid</v>
      </c>
      <c r="R1338">
        <f t="shared" si="464"/>
        <v>3000</v>
      </c>
      <c r="S1338" t="str">
        <f t="shared" si="465"/>
        <v>Small</v>
      </c>
      <c r="T1338" t="str">
        <f t="shared" si="466"/>
        <v>High EV Adoption Corridor</v>
      </c>
      <c r="U1338" s="3">
        <f t="shared" si="467"/>
        <v>7020000</v>
      </c>
      <c r="V1338" s="4">
        <f t="shared" si="468"/>
        <v>1584000</v>
      </c>
      <c r="W1338" s="3">
        <f t="shared" si="469"/>
        <v>19800000</v>
      </c>
      <c r="X1338" s="3">
        <f t="shared" si="470"/>
        <v>14850000</v>
      </c>
      <c r="Y1338">
        <f t="shared" si="471"/>
        <v>0.24</v>
      </c>
      <c r="Z1338">
        <f t="shared" si="472"/>
        <v>0.77435897435897438</v>
      </c>
      <c r="AA1338" t="str">
        <f t="shared" si="473"/>
        <v>Tier 1 - Priority Fleet</v>
      </c>
      <c r="AB1338" s="3">
        <f t="shared" si="474"/>
        <v>132000</v>
      </c>
      <c r="AC1338" s="3">
        <f t="shared" si="475"/>
        <v>1650000</v>
      </c>
      <c r="AD1338" s="3">
        <f t="shared" si="476"/>
        <v>585000</v>
      </c>
      <c r="AE1338" s="5">
        <f t="shared" si="477"/>
        <v>3.6423841059602649</v>
      </c>
      <c r="AF1338" s="10">
        <f t="shared" si="478"/>
        <v>982080</v>
      </c>
      <c r="AG1338" s="10">
        <f t="shared" si="479"/>
        <v>316800</v>
      </c>
      <c r="AH1338" s="10">
        <f t="shared" si="480"/>
        <v>158400</v>
      </c>
      <c r="AI1338" s="10">
        <f t="shared" si="481"/>
        <v>79200</v>
      </c>
      <c r="AJ1338" s="10">
        <f t="shared" si="482"/>
        <v>47520</v>
      </c>
    </row>
    <row r="1339" spans="1:36" x14ac:dyDescent="0.3">
      <c r="A1339" t="s">
        <v>5132</v>
      </c>
      <c r="B1339" t="s">
        <v>5133</v>
      </c>
      <c r="C1339" t="s">
        <v>1859</v>
      </c>
      <c r="D1339" t="s">
        <v>14</v>
      </c>
      <c r="E1339">
        <v>90066</v>
      </c>
      <c r="F1339" t="s">
        <v>15</v>
      </c>
      <c r="G1339">
        <v>8</v>
      </c>
      <c r="H1339">
        <v>250</v>
      </c>
      <c r="I1339" t="str" cm="1">
        <f t="array" ref="I1339">_xlfn.IFS(H1339&lt;=120,"V1",H1339&lt;=150,"V2",H1339&lt;=250,"V3", H1339&lt;=350, "V4")</f>
        <v>V3</v>
      </c>
      <c r="J1339" t="s">
        <v>5134</v>
      </c>
      <c r="K1339" t="str">
        <f t="shared" si="460"/>
        <v>33.997487</v>
      </c>
      <c r="L1339" t="str">
        <f t="shared" si="461"/>
        <v>-118.421155</v>
      </c>
      <c r="M1339">
        <v>17</v>
      </c>
      <c r="N1339" s="1">
        <v>44609</v>
      </c>
      <c r="O1339" s="1">
        <v>46099</v>
      </c>
      <c r="P1339" s="2">
        <f t="shared" si="462"/>
        <v>4.0793976728268309</v>
      </c>
      <c r="Q1339" s="2" t="str">
        <f t="shared" si="463"/>
        <v>Mid</v>
      </c>
      <c r="R1339">
        <f t="shared" si="464"/>
        <v>2000</v>
      </c>
      <c r="S1339" t="str">
        <f t="shared" si="465"/>
        <v>Small</v>
      </c>
      <c r="T1339" t="str">
        <f t="shared" si="466"/>
        <v>High EV Adoption Corridor</v>
      </c>
      <c r="U1339" s="3">
        <f t="shared" si="467"/>
        <v>4680000</v>
      </c>
      <c r="V1339" s="4">
        <f t="shared" si="468"/>
        <v>1056000</v>
      </c>
      <c r="W1339" s="3">
        <f t="shared" si="469"/>
        <v>13200000.000000002</v>
      </c>
      <c r="X1339" s="3">
        <f t="shared" si="470"/>
        <v>9900000.0000000019</v>
      </c>
      <c r="Y1339">
        <f t="shared" si="471"/>
        <v>0.23999999999999996</v>
      </c>
      <c r="Z1339">
        <f t="shared" si="472"/>
        <v>0.77435897435897438</v>
      </c>
      <c r="AA1339" t="str">
        <f t="shared" si="473"/>
        <v>Tier 1 - Priority Fleet</v>
      </c>
      <c r="AB1339" s="3">
        <f t="shared" si="474"/>
        <v>132000</v>
      </c>
      <c r="AC1339" s="3">
        <f t="shared" si="475"/>
        <v>1650000.0000000002</v>
      </c>
      <c r="AD1339" s="3">
        <f t="shared" si="476"/>
        <v>585000</v>
      </c>
      <c r="AE1339" s="5">
        <f t="shared" si="477"/>
        <v>3.6423841059602653</v>
      </c>
      <c r="AF1339" s="10">
        <f t="shared" si="478"/>
        <v>654720</v>
      </c>
      <c r="AG1339" s="10">
        <f t="shared" si="479"/>
        <v>211200</v>
      </c>
      <c r="AH1339" s="10">
        <f t="shared" si="480"/>
        <v>105600</v>
      </c>
      <c r="AI1339" s="10">
        <f t="shared" si="481"/>
        <v>52800</v>
      </c>
      <c r="AJ1339" s="10">
        <f t="shared" si="482"/>
        <v>31680</v>
      </c>
    </row>
    <row r="1340" spans="1:36" x14ac:dyDescent="0.3">
      <c r="A1340" t="s">
        <v>5135</v>
      </c>
      <c r="B1340" t="s">
        <v>5136</v>
      </c>
      <c r="C1340" t="s">
        <v>1700</v>
      </c>
      <c r="D1340" t="s">
        <v>41</v>
      </c>
      <c r="E1340">
        <v>32836</v>
      </c>
      <c r="F1340" t="s">
        <v>15</v>
      </c>
      <c r="G1340">
        <v>8</v>
      </c>
      <c r="H1340">
        <v>250</v>
      </c>
      <c r="I1340" t="str" cm="1">
        <f t="array" ref="I1340">_xlfn.IFS(H1340&lt;=120,"V1",H1340&lt;=150,"V2",H1340&lt;=250,"V3", H1340&lt;=350, "V4")</f>
        <v>V3</v>
      </c>
      <c r="J1340" t="s">
        <v>5137</v>
      </c>
      <c r="K1340" t="str">
        <f t="shared" si="460"/>
        <v>28.3848995</v>
      </c>
      <c r="L1340" t="str">
        <f t="shared" si="461"/>
        <v>-81.5011005</v>
      </c>
      <c r="M1340">
        <v>34</v>
      </c>
      <c r="N1340" s="1">
        <v>44560</v>
      </c>
      <c r="O1340" s="1">
        <v>46099</v>
      </c>
      <c r="P1340" s="2">
        <f t="shared" si="462"/>
        <v>4.213552361396304</v>
      </c>
      <c r="Q1340" s="2" t="str">
        <f t="shared" si="463"/>
        <v>Mid</v>
      </c>
      <c r="R1340">
        <f t="shared" si="464"/>
        <v>2000</v>
      </c>
      <c r="S1340" t="str">
        <f t="shared" si="465"/>
        <v>Small</v>
      </c>
      <c r="T1340" t="str">
        <f t="shared" si="466"/>
        <v>High EV Adoption Corridor</v>
      </c>
      <c r="U1340" s="3">
        <f t="shared" si="467"/>
        <v>4680000</v>
      </c>
      <c r="V1340" s="4">
        <f t="shared" si="468"/>
        <v>1056000</v>
      </c>
      <c r="W1340" s="3">
        <f t="shared" si="469"/>
        <v>13200000.000000002</v>
      </c>
      <c r="X1340" s="3">
        <f t="shared" si="470"/>
        <v>9900000.0000000019</v>
      </c>
      <c r="Y1340">
        <f t="shared" si="471"/>
        <v>0.23999999999999996</v>
      </c>
      <c r="Z1340">
        <f t="shared" si="472"/>
        <v>0.77435897435897438</v>
      </c>
      <c r="AA1340" t="str">
        <f t="shared" si="473"/>
        <v>Tier 1 - Priority Fleet</v>
      </c>
      <c r="AB1340" s="3">
        <f t="shared" si="474"/>
        <v>132000</v>
      </c>
      <c r="AC1340" s="3">
        <f t="shared" si="475"/>
        <v>1650000.0000000002</v>
      </c>
      <c r="AD1340" s="3">
        <f t="shared" si="476"/>
        <v>585000</v>
      </c>
      <c r="AE1340" s="5">
        <f t="shared" si="477"/>
        <v>3.6423841059602653</v>
      </c>
      <c r="AF1340" s="10">
        <f t="shared" si="478"/>
        <v>654720</v>
      </c>
      <c r="AG1340" s="10">
        <f t="shared" si="479"/>
        <v>211200</v>
      </c>
      <c r="AH1340" s="10">
        <f t="shared" si="480"/>
        <v>105600</v>
      </c>
      <c r="AI1340" s="10">
        <f t="shared" si="481"/>
        <v>52800</v>
      </c>
      <c r="AJ1340" s="10">
        <f t="shared" si="482"/>
        <v>31680</v>
      </c>
    </row>
    <row r="1341" spans="1:36" x14ac:dyDescent="0.3">
      <c r="A1341" t="s">
        <v>5138</v>
      </c>
      <c r="B1341" t="s">
        <v>5139</v>
      </c>
      <c r="C1341" t="s">
        <v>2334</v>
      </c>
      <c r="D1341" t="s">
        <v>41</v>
      </c>
      <c r="E1341">
        <v>32210</v>
      </c>
      <c r="F1341" t="s">
        <v>15</v>
      </c>
      <c r="G1341">
        <v>8</v>
      </c>
      <c r="H1341">
        <v>250</v>
      </c>
      <c r="I1341" t="str" cm="1">
        <f t="array" ref="I1341">_xlfn.IFS(H1341&lt;=120,"V1",H1341&lt;=150,"V2",H1341&lt;=250,"V3", H1341&lt;=350, "V4")</f>
        <v>V3</v>
      </c>
      <c r="J1341" t="s">
        <v>5140</v>
      </c>
      <c r="K1341" t="str">
        <f t="shared" si="460"/>
        <v>30.270331</v>
      </c>
      <c r="L1341" t="str">
        <f t="shared" si="461"/>
        <v>-81.756107</v>
      </c>
      <c r="M1341">
        <v>11</v>
      </c>
      <c r="N1341" s="1">
        <v>44707</v>
      </c>
      <c r="O1341" s="1">
        <v>46099</v>
      </c>
      <c r="P1341" s="2">
        <f t="shared" si="462"/>
        <v>3.8110882956878851</v>
      </c>
      <c r="Q1341" s="2" t="str">
        <f t="shared" si="463"/>
        <v>Mid</v>
      </c>
      <c r="R1341">
        <f t="shared" si="464"/>
        <v>2000</v>
      </c>
      <c r="S1341" t="str">
        <f t="shared" si="465"/>
        <v>Small</v>
      </c>
      <c r="T1341" t="str">
        <f t="shared" si="466"/>
        <v>High EV Adoption Corridor</v>
      </c>
      <c r="U1341" s="3">
        <f t="shared" si="467"/>
        <v>4680000</v>
      </c>
      <c r="V1341" s="4">
        <f t="shared" si="468"/>
        <v>1056000</v>
      </c>
      <c r="W1341" s="3">
        <f t="shared" si="469"/>
        <v>13200000.000000002</v>
      </c>
      <c r="X1341" s="3">
        <f t="shared" si="470"/>
        <v>9900000.0000000019</v>
      </c>
      <c r="Y1341">
        <f t="shared" si="471"/>
        <v>0.23999999999999996</v>
      </c>
      <c r="Z1341">
        <f t="shared" si="472"/>
        <v>0.77435897435897438</v>
      </c>
      <c r="AA1341" t="str">
        <f t="shared" si="473"/>
        <v>Tier 1 - Priority Fleet</v>
      </c>
      <c r="AB1341" s="3">
        <f t="shared" si="474"/>
        <v>132000</v>
      </c>
      <c r="AC1341" s="3">
        <f t="shared" si="475"/>
        <v>1650000.0000000002</v>
      </c>
      <c r="AD1341" s="3">
        <f t="shared" si="476"/>
        <v>585000</v>
      </c>
      <c r="AE1341" s="5">
        <f t="shared" si="477"/>
        <v>3.6423841059602653</v>
      </c>
      <c r="AF1341" s="10">
        <f t="shared" si="478"/>
        <v>654720</v>
      </c>
      <c r="AG1341" s="10">
        <f t="shared" si="479"/>
        <v>211200</v>
      </c>
      <c r="AH1341" s="10">
        <f t="shared" si="480"/>
        <v>105600</v>
      </c>
      <c r="AI1341" s="10">
        <f t="shared" si="481"/>
        <v>52800</v>
      </c>
      <c r="AJ1341" s="10">
        <f t="shared" si="482"/>
        <v>31680</v>
      </c>
    </row>
    <row r="1342" spans="1:36" x14ac:dyDescent="0.3">
      <c r="A1342" t="s">
        <v>5141</v>
      </c>
      <c r="B1342" t="s">
        <v>5142</v>
      </c>
      <c r="C1342" t="s">
        <v>2451</v>
      </c>
      <c r="D1342" t="s">
        <v>158</v>
      </c>
      <c r="E1342">
        <v>12534</v>
      </c>
      <c r="F1342" t="s">
        <v>15</v>
      </c>
      <c r="G1342">
        <v>8</v>
      </c>
      <c r="H1342">
        <v>250</v>
      </c>
      <c r="I1342" t="str" cm="1">
        <f t="array" ref="I1342">_xlfn.IFS(H1342&lt;=120,"V1",H1342&lt;=150,"V2",H1342&lt;=250,"V3", H1342&lt;=350, "V4")</f>
        <v>V3</v>
      </c>
      <c r="J1342" t="s">
        <v>5143</v>
      </c>
      <c r="K1342" t="str">
        <f t="shared" si="460"/>
        <v>42.22314</v>
      </c>
      <c r="L1342" t="str">
        <f t="shared" si="461"/>
        <v>-73.826845</v>
      </c>
      <c r="M1342">
        <v>70</v>
      </c>
      <c r="N1342" s="1">
        <v>44587</v>
      </c>
      <c r="O1342" s="1">
        <v>46099</v>
      </c>
      <c r="P1342" s="2">
        <f t="shared" si="462"/>
        <v>4.1396303901437372</v>
      </c>
      <c r="Q1342" s="2" t="str">
        <f t="shared" si="463"/>
        <v>Mid</v>
      </c>
      <c r="R1342">
        <f t="shared" si="464"/>
        <v>2000</v>
      </c>
      <c r="S1342" t="str">
        <f t="shared" si="465"/>
        <v>Small</v>
      </c>
      <c r="T1342" t="str">
        <f t="shared" si="466"/>
        <v>Lower EV Adoption Corridor</v>
      </c>
      <c r="U1342" s="3">
        <f t="shared" si="467"/>
        <v>3600000</v>
      </c>
      <c r="V1342" s="4">
        <f t="shared" si="468"/>
        <v>880000.00000000012</v>
      </c>
      <c r="W1342" s="3">
        <f t="shared" si="469"/>
        <v>12000000</v>
      </c>
      <c r="X1342" s="3">
        <f t="shared" si="470"/>
        <v>6600000.0000000009</v>
      </c>
      <c r="Y1342">
        <f t="shared" si="471"/>
        <v>0.31515151515151513</v>
      </c>
      <c r="Z1342">
        <f t="shared" si="472"/>
        <v>0.75555555555555554</v>
      </c>
      <c r="AA1342" t="str">
        <f t="shared" si="473"/>
        <v>Tier 2 - Growth Markets</v>
      </c>
      <c r="AB1342" s="3">
        <f t="shared" si="474"/>
        <v>110000.00000000001</v>
      </c>
      <c r="AC1342" s="3">
        <f t="shared" si="475"/>
        <v>1500000</v>
      </c>
      <c r="AD1342" s="3">
        <f t="shared" si="476"/>
        <v>450000</v>
      </c>
      <c r="AE1342" s="5">
        <f t="shared" si="477"/>
        <v>4.4117647058823533</v>
      </c>
      <c r="AF1342" s="10">
        <f t="shared" si="478"/>
        <v>545600.00000000012</v>
      </c>
      <c r="AG1342" s="10">
        <f t="shared" si="479"/>
        <v>176000.00000000003</v>
      </c>
      <c r="AH1342" s="10">
        <f t="shared" si="480"/>
        <v>88000.000000000015</v>
      </c>
      <c r="AI1342" s="10">
        <f t="shared" si="481"/>
        <v>44000.000000000007</v>
      </c>
      <c r="AJ1342" s="10">
        <f t="shared" si="482"/>
        <v>26400.000000000004</v>
      </c>
    </row>
    <row r="1343" spans="1:36" x14ac:dyDescent="0.3">
      <c r="A1343" t="s">
        <v>5144</v>
      </c>
      <c r="B1343" t="s">
        <v>5145</v>
      </c>
      <c r="C1343" t="s">
        <v>93</v>
      </c>
      <c r="D1343" t="s">
        <v>72</v>
      </c>
      <c r="E1343">
        <v>85367</v>
      </c>
      <c r="F1343" t="s">
        <v>15</v>
      </c>
      <c r="G1343">
        <v>16</v>
      </c>
      <c r="H1343">
        <v>250</v>
      </c>
      <c r="I1343" t="str" cm="1">
        <f t="array" ref="I1343">_xlfn.IFS(H1343&lt;=120,"V1",H1343&lt;=150,"V2",H1343&lt;=250,"V3", H1343&lt;=350, "V4")</f>
        <v>V3</v>
      </c>
      <c r="J1343" t="s">
        <v>5146</v>
      </c>
      <c r="K1343" t="str">
        <f t="shared" si="460"/>
        <v>32.668143</v>
      </c>
      <c r="L1343" t="str">
        <f t="shared" si="461"/>
        <v>-114.443438</v>
      </c>
      <c r="M1343">
        <v>86</v>
      </c>
      <c r="N1343" s="1">
        <v>44858</v>
      </c>
      <c r="O1343" s="1">
        <v>46099</v>
      </c>
      <c r="P1343" s="2">
        <f t="shared" si="462"/>
        <v>3.3976728268309375</v>
      </c>
      <c r="Q1343" s="2" t="str">
        <f t="shared" si="463"/>
        <v>Mid</v>
      </c>
      <c r="R1343">
        <f t="shared" si="464"/>
        <v>4000</v>
      </c>
      <c r="S1343" t="str">
        <f t="shared" si="465"/>
        <v>Small</v>
      </c>
      <c r="T1343" t="str">
        <f t="shared" si="466"/>
        <v>Lower EV Adoption Corridor</v>
      </c>
      <c r="U1343" s="3">
        <f t="shared" si="467"/>
        <v>7200000</v>
      </c>
      <c r="V1343" s="4">
        <f t="shared" si="468"/>
        <v>1760000.0000000002</v>
      </c>
      <c r="W1343" s="3">
        <f t="shared" si="469"/>
        <v>24000000</v>
      </c>
      <c r="X1343" s="3">
        <f t="shared" si="470"/>
        <v>13200000.000000002</v>
      </c>
      <c r="Y1343">
        <f t="shared" si="471"/>
        <v>0.31515151515151513</v>
      </c>
      <c r="Z1343">
        <f t="shared" si="472"/>
        <v>0.75555555555555554</v>
      </c>
      <c r="AA1343" t="str">
        <f t="shared" si="473"/>
        <v>Tier 2 - Growth Markets</v>
      </c>
      <c r="AB1343" s="3">
        <f t="shared" si="474"/>
        <v>110000.00000000001</v>
      </c>
      <c r="AC1343" s="3">
        <f t="shared" si="475"/>
        <v>1500000</v>
      </c>
      <c r="AD1343" s="3">
        <f t="shared" si="476"/>
        <v>450000</v>
      </c>
      <c r="AE1343" s="5">
        <f t="shared" si="477"/>
        <v>4.4117647058823533</v>
      </c>
      <c r="AF1343" s="10">
        <f t="shared" si="478"/>
        <v>1091200.0000000002</v>
      </c>
      <c r="AG1343" s="10">
        <f t="shared" si="479"/>
        <v>352000.00000000006</v>
      </c>
      <c r="AH1343" s="10">
        <f t="shared" si="480"/>
        <v>176000.00000000003</v>
      </c>
      <c r="AI1343" s="10">
        <f t="shared" si="481"/>
        <v>88000.000000000015</v>
      </c>
      <c r="AJ1343" s="10">
        <f t="shared" si="482"/>
        <v>52800.000000000007</v>
      </c>
    </row>
    <row r="1344" spans="1:36" x14ac:dyDescent="0.3">
      <c r="A1344" t="s">
        <v>5147</v>
      </c>
      <c r="B1344" t="s">
        <v>5148</v>
      </c>
      <c r="C1344" t="s">
        <v>402</v>
      </c>
      <c r="D1344" t="s">
        <v>268</v>
      </c>
      <c r="E1344">
        <v>80224</v>
      </c>
      <c r="F1344" t="s">
        <v>15</v>
      </c>
      <c r="G1344">
        <v>16</v>
      </c>
      <c r="H1344">
        <v>250</v>
      </c>
      <c r="I1344" t="str" cm="1">
        <f t="array" ref="I1344">_xlfn.IFS(H1344&lt;=120,"V1",H1344&lt;=150,"V2",H1344&lt;=250,"V3", H1344&lt;=350, "V4")</f>
        <v>V3</v>
      </c>
      <c r="J1344" t="s">
        <v>5149</v>
      </c>
      <c r="K1344" t="str">
        <f t="shared" si="460"/>
        <v>39.717869</v>
      </c>
      <c r="L1344" t="str">
        <f t="shared" si="461"/>
        <v>-104.9057064</v>
      </c>
      <c r="M1344">
        <v>1646</v>
      </c>
      <c r="N1344" s="1">
        <v>44474</v>
      </c>
      <c r="O1344" s="1">
        <v>46099</v>
      </c>
      <c r="P1344" s="2">
        <f t="shared" si="462"/>
        <v>4.4490075290896645</v>
      </c>
      <c r="Q1344" s="2" t="str">
        <f t="shared" si="463"/>
        <v>Mid</v>
      </c>
      <c r="R1344">
        <f t="shared" si="464"/>
        <v>4000</v>
      </c>
      <c r="S1344" t="str">
        <f t="shared" si="465"/>
        <v>Small</v>
      </c>
      <c r="T1344" t="str">
        <f t="shared" si="466"/>
        <v>High EV Adoption Corridor</v>
      </c>
      <c r="U1344" s="3">
        <f t="shared" si="467"/>
        <v>9360000</v>
      </c>
      <c r="V1344" s="4">
        <f t="shared" si="468"/>
        <v>2112000</v>
      </c>
      <c r="W1344" s="3">
        <f t="shared" si="469"/>
        <v>26400000.000000004</v>
      </c>
      <c r="X1344" s="3">
        <f t="shared" si="470"/>
        <v>19800000.000000004</v>
      </c>
      <c r="Y1344">
        <f t="shared" si="471"/>
        <v>0.23999999999999996</v>
      </c>
      <c r="Z1344">
        <f t="shared" si="472"/>
        <v>0.77435897435897438</v>
      </c>
      <c r="AA1344" t="str">
        <f t="shared" si="473"/>
        <v>Tier 1 - Priority Fleet</v>
      </c>
      <c r="AB1344" s="3">
        <f t="shared" si="474"/>
        <v>132000</v>
      </c>
      <c r="AC1344" s="3">
        <f t="shared" si="475"/>
        <v>1650000.0000000002</v>
      </c>
      <c r="AD1344" s="3">
        <f t="shared" si="476"/>
        <v>585000</v>
      </c>
      <c r="AE1344" s="5">
        <f t="shared" si="477"/>
        <v>3.6423841059602653</v>
      </c>
      <c r="AF1344" s="10">
        <f t="shared" si="478"/>
        <v>1309440</v>
      </c>
      <c r="AG1344" s="10">
        <f t="shared" si="479"/>
        <v>422400</v>
      </c>
      <c r="AH1344" s="10">
        <f t="shared" si="480"/>
        <v>211200</v>
      </c>
      <c r="AI1344" s="10">
        <f t="shared" si="481"/>
        <v>105600</v>
      </c>
      <c r="AJ1344" s="10">
        <f t="shared" si="482"/>
        <v>63360</v>
      </c>
    </row>
    <row r="1345" spans="1:36" x14ac:dyDescent="0.3">
      <c r="A1345" t="s">
        <v>5150</v>
      </c>
      <c r="B1345" t="s">
        <v>5151</v>
      </c>
      <c r="C1345" t="s">
        <v>5152</v>
      </c>
      <c r="D1345" t="s">
        <v>41</v>
      </c>
      <c r="E1345">
        <v>33431</v>
      </c>
      <c r="F1345" t="s">
        <v>15</v>
      </c>
      <c r="G1345">
        <v>12</v>
      </c>
      <c r="H1345">
        <v>250</v>
      </c>
      <c r="I1345" t="str" cm="1">
        <f t="array" ref="I1345">_xlfn.IFS(H1345&lt;=120,"V1",H1345&lt;=150,"V2",H1345&lt;=250,"V3", H1345&lt;=350, "V4")</f>
        <v>V3</v>
      </c>
      <c r="J1345" t="s">
        <v>5153</v>
      </c>
      <c r="K1345" t="str">
        <f t="shared" si="460"/>
        <v>26.36496</v>
      </c>
      <c r="L1345" t="str">
        <f t="shared" si="461"/>
        <v>-80.133209</v>
      </c>
      <c r="M1345">
        <v>5</v>
      </c>
      <c r="N1345" s="1">
        <v>44904</v>
      </c>
      <c r="O1345" s="1">
        <v>46099</v>
      </c>
      <c r="P1345" s="2">
        <f t="shared" si="462"/>
        <v>3.2717316906228611</v>
      </c>
      <c r="Q1345" s="2" t="str">
        <f t="shared" si="463"/>
        <v>Mid</v>
      </c>
      <c r="R1345">
        <f t="shared" si="464"/>
        <v>3000</v>
      </c>
      <c r="S1345" t="str">
        <f t="shared" si="465"/>
        <v>Small</v>
      </c>
      <c r="T1345" t="str">
        <f t="shared" si="466"/>
        <v>High EV Adoption Corridor</v>
      </c>
      <c r="U1345" s="3">
        <f t="shared" si="467"/>
        <v>7020000</v>
      </c>
      <c r="V1345" s="4">
        <f t="shared" si="468"/>
        <v>1584000</v>
      </c>
      <c r="W1345" s="3">
        <f t="shared" si="469"/>
        <v>19800000</v>
      </c>
      <c r="X1345" s="3">
        <f t="shared" si="470"/>
        <v>14850000</v>
      </c>
      <c r="Y1345">
        <f t="shared" si="471"/>
        <v>0.24</v>
      </c>
      <c r="Z1345">
        <f t="shared" si="472"/>
        <v>0.77435897435897438</v>
      </c>
      <c r="AA1345" t="str">
        <f t="shared" si="473"/>
        <v>Tier 1 - Priority Fleet</v>
      </c>
      <c r="AB1345" s="3">
        <f t="shared" si="474"/>
        <v>132000</v>
      </c>
      <c r="AC1345" s="3">
        <f t="shared" si="475"/>
        <v>1650000</v>
      </c>
      <c r="AD1345" s="3">
        <f t="shared" si="476"/>
        <v>585000</v>
      </c>
      <c r="AE1345" s="5">
        <f t="shared" si="477"/>
        <v>3.6423841059602649</v>
      </c>
      <c r="AF1345" s="10">
        <f t="shared" si="478"/>
        <v>982080</v>
      </c>
      <c r="AG1345" s="10">
        <f t="shared" si="479"/>
        <v>316800</v>
      </c>
      <c r="AH1345" s="10">
        <f t="shared" si="480"/>
        <v>158400</v>
      </c>
      <c r="AI1345" s="10">
        <f t="shared" si="481"/>
        <v>79200</v>
      </c>
      <c r="AJ1345" s="10">
        <f t="shared" si="482"/>
        <v>47520</v>
      </c>
    </row>
    <row r="1346" spans="1:36" x14ac:dyDescent="0.3">
      <c r="A1346" t="s">
        <v>5154</v>
      </c>
      <c r="B1346" t="s">
        <v>5155</v>
      </c>
      <c r="C1346" t="s">
        <v>5156</v>
      </c>
      <c r="D1346" t="s">
        <v>28</v>
      </c>
      <c r="E1346">
        <v>31015</v>
      </c>
      <c r="F1346" t="s">
        <v>15</v>
      </c>
      <c r="G1346">
        <v>11</v>
      </c>
      <c r="H1346">
        <v>250</v>
      </c>
      <c r="I1346" t="str" cm="1">
        <f t="array" ref="I1346">_xlfn.IFS(H1346&lt;=120,"V1",H1346&lt;=150,"V2",H1346&lt;=250,"V3", H1346&lt;=350, "V4")</f>
        <v>V3</v>
      </c>
      <c r="J1346" t="s">
        <v>5157</v>
      </c>
      <c r="K1346" t="str">
        <f t="shared" si="460"/>
        <v>31.963626</v>
      </c>
      <c r="L1346" t="str">
        <f t="shared" si="461"/>
        <v>-83.766165</v>
      </c>
      <c r="M1346">
        <v>103</v>
      </c>
      <c r="N1346" s="1">
        <v>44435</v>
      </c>
      <c r="O1346" s="1">
        <v>46099</v>
      </c>
      <c r="P1346" s="2">
        <f t="shared" si="462"/>
        <v>4.5557837097878169</v>
      </c>
      <c r="Q1346" s="2" t="str">
        <f t="shared" si="463"/>
        <v>Mid</v>
      </c>
      <c r="R1346">
        <f t="shared" si="464"/>
        <v>2750</v>
      </c>
      <c r="S1346" t="str">
        <f t="shared" si="465"/>
        <v>Small</v>
      </c>
      <c r="T1346" t="str">
        <f t="shared" si="466"/>
        <v>Lower EV Adoption Corridor</v>
      </c>
      <c r="U1346" s="3">
        <f t="shared" si="467"/>
        <v>4950000</v>
      </c>
      <c r="V1346" s="4">
        <f t="shared" si="468"/>
        <v>1210000</v>
      </c>
      <c r="W1346" s="3">
        <f t="shared" si="469"/>
        <v>16500000</v>
      </c>
      <c r="X1346" s="3">
        <f t="shared" si="470"/>
        <v>9075000</v>
      </c>
      <c r="Y1346">
        <f t="shared" si="471"/>
        <v>0.31515151515151513</v>
      </c>
      <c r="Z1346">
        <f t="shared" si="472"/>
        <v>0.75555555555555554</v>
      </c>
      <c r="AA1346" t="str">
        <f t="shared" si="473"/>
        <v>Tier 2 - Growth Markets</v>
      </c>
      <c r="AB1346" s="3">
        <f t="shared" si="474"/>
        <v>110000</v>
      </c>
      <c r="AC1346" s="3">
        <f t="shared" si="475"/>
        <v>1500000</v>
      </c>
      <c r="AD1346" s="3">
        <f t="shared" si="476"/>
        <v>450000</v>
      </c>
      <c r="AE1346" s="5">
        <f t="shared" si="477"/>
        <v>4.4117647058823533</v>
      </c>
      <c r="AF1346" s="10">
        <f t="shared" si="478"/>
        <v>750200</v>
      </c>
      <c r="AG1346" s="10">
        <f t="shared" si="479"/>
        <v>242000</v>
      </c>
      <c r="AH1346" s="10">
        <f t="shared" si="480"/>
        <v>121000</v>
      </c>
      <c r="AI1346" s="10">
        <f t="shared" si="481"/>
        <v>60500</v>
      </c>
      <c r="AJ1346" s="10">
        <f t="shared" si="482"/>
        <v>36300</v>
      </c>
    </row>
    <row r="1347" spans="1:36" x14ac:dyDescent="0.3">
      <c r="A1347" t="s">
        <v>5158</v>
      </c>
      <c r="B1347" t="s">
        <v>5159</v>
      </c>
      <c r="C1347" t="s">
        <v>1619</v>
      </c>
      <c r="D1347" t="s">
        <v>50</v>
      </c>
      <c r="E1347">
        <v>78745</v>
      </c>
      <c r="F1347" t="s">
        <v>15</v>
      </c>
      <c r="G1347">
        <v>8</v>
      </c>
      <c r="H1347">
        <v>250</v>
      </c>
      <c r="I1347" t="str" cm="1">
        <f t="array" ref="I1347">_xlfn.IFS(H1347&lt;=120,"V1",H1347&lt;=150,"V2",H1347&lt;=250,"V3", H1347&lt;=350, "V4")</f>
        <v>V3</v>
      </c>
      <c r="J1347" t="s">
        <v>5160</v>
      </c>
      <c r="K1347" t="str">
        <f t="shared" ref="K1347:K1410" si="483">TRIM(LEFT(J1347, FIND(",", J1347) - 1))</f>
        <v>30.226235</v>
      </c>
      <c r="L1347" t="str">
        <f t="shared" ref="L1347:L1410" si="484">TRIM(MID(J1347, FIND(",", J1347) + 1, LEN(J1347)))</f>
        <v>-97.821991</v>
      </c>
      <c r="M1347">
        <v>217</v>
      </c>
      <c r="N1347" s="1">
        <v>44693</v>
      </c>
      <c r="O1347" s="1">
        <v>46099</v>
      </c>
      <c r="P1347" s="2">
        <f t="shared" ref="P1347:P1410" si="485">(O1347-N1347)/365.25</f>
        <v>3.8494182067077345</v>
      </c>
      <c r="Q1347" s="2" t="str">
        <f t="shared" ref="Q1347:Q1410" si="486">IF(P1347&lt;3,"New",IF(P1347&lt;=8,"Mid","Old"))</f>
        <v>Mid</v>
      </c>
      <c r="R1347">
        <f t="shared" ref="R1347:R1410" si="487">G1347*H1347</f>
        <v>2000</v>
      </c>
      <c r="S1347" t="str">
        <f t="shared" ref="S1347:S1410" si="488">IF(G1347&lt;=30,"Small",IF(G1347&lt;=60,"Medium","Large"))</f>
        <v>Small</v>
      </c>
      <c r="T1347" t="str">
        <f t="shared" ref="T1347:T1410" si="489">IF(OR(D1347="CA",D1347="FL",D1347="WA",D1347="CO",D1347="TX",D1347="NJ"),"High EV Adoption Corridor","Lower EV Adoption Corridor")</f>
        <v>High EV Adoption Corridor</v>
      </c>
      <c r="U1347" s="3">
        <f t="shared" ref="U1347:U1410" si="490" xml:space="preserve"> R1347 * 1500 *
  IF(I1347="V1",1,
     IF(I1347="V2",1.1,1.2)) *
  IF(T1347="High EV Adoption Corridor",1.3,1)</f>
        <v>4680000</v>
      </c>
      <c r="V1347" s="4">
        <f t="shared" ref="V1347:V1410" si="491" xml:space="preserve"> R1347 * 400 *
  IF(I1347="V1",0.9,
     IF(I1347="V2",1,1.1)) *
  IF(T1347="High EV Adoption Corridor",1.2,1)</f>
        <v>1056000</v>
      </c>
      <c r="W1347" s="3">
        <f t="shared" ref="W1347:W1410" si="492" xml:space="preserve"> R1347 * 5000 *
  IF(I1347="V1",0.8,
     IF(I1347="V2",1,1.2)) *
  IF(T1347="High EV Adoption Corridor",1.1,1)</f>
        <v>13200000.000000002</v>
      </c>
      <c r="X1347" s="3">
        <f t="shared" ref="X1347:X1410" si="493" xml:space="preserve"> R1347 * 3000 *
  IF(I1347="V1",0.9,
     IF(I1347="V2",1,1.1)) *
  IF(T1347="High EV Adoption Corridor",1.5,1)</f>
        <v>9900000.0000000019</v>
      </c>
      <c r="Y1347">
        <f t="shared" ref="Y1347:Y1410" si="494" xml:space="preserve"> ((W1347/10) + V1347) / X1347</f>
        <v>0.23999999999999996</v>
      </c>
      <c r="Z1347">
        <f t="shared" ref="Z1347:Z1410" si="495">(U1347-V1347)/U1347</f>
        <v>0.77435897435897438</v>
      </c>
      <c r="AA1347" t="str">
        <f t="shared" ref="AA1347:AA1410" si="496">IF(AND(I1347="V3",T1347="High EV Adoption Corridor"),
"Tier 1 - Priority Fleet",
IF(AND(I1347="V3",T1347="Lower EV Adoption Corridor"),
"Tier 2 - Growth Markets",
IF(AND(OR(I1347="V1",I1347="V2"),T1347="High EV Adoption Corridor"),
"Tier 3 - Upgrade Pipeline",
IF(AND(I1347="V2",T1347="Lower EV Adoption Corridor"),
"Tier 4 - Stable Network",
"Tier 5 - Retirement Pipeline"))))</f>
        <v>Tier 1 - Priority Fleet</v>
      </c>
      <c r="AB1347" s="3">
        <f t="shared" ref="AB1347:AB1410" si="497">V1347/G1347</f>
        <v>132000</v>
      </c>
      <c r="AC1347" s="3">
        <f t="shared" ref="AC1347:AC1410" si="498">W1347/G1347</f>
        <v>1650000.0000000002</v>
      </c>
      <c r="AD1347" s="3">
        <f t="shared" ref="AD1347:AD1410" si="499">U1347/G1347</f>
        <v>585000</v>
      </c>
      <c r="AE1347" s="5">
        <f t="shared" ref="AE1347:AE1410" si="500">W1347/(U1347-V1347)</f>
        <v>3.6423841059602653</v>
      </c>
      <c r="AF1347" s="10">
        <f t="shared" ref="AF1347:AF1410" si="501">V1347*0.62</f>
        <v>654720</v>
      </c>
      <c r="AG1347" s="10">
        <f t="shared" ref="AG1347:AG1410" si="502">V1347*0.2</f>
        <v>211200</v>
      </c>
      <c r="AH1347" s="10">
        <f t="shared" ref="AH1347:AH1410" si="503">V1347*0.1</f>
        <v>105600</v>
      </c>
      <c r="AI1347" s="10">
        <f t="shared" ref="AI1347:AI1410" si="504">V1347*0.05</f>
        <v>52800</v>
      </c>
      <c r="AJ1347" s="10">
        <f t="shared" ref="AJ1347:AJ1410" si="505">V1347*0.03</f>
        <v>31680</v>
      </c>
    </row>
    <row r="1348" spans="1:36" x14ac:dyDescent="0.3">
      <c r="A1348" t="s">
        <v>5161</v>
      </c>
      <c r="B1348" t="s">
        <v>5162</v>
      </c>
      <c r="C1348" t="s">
        <v>5163</v>
      </c>
      <c r="D1348" t="s">
        <v>189</v>
      </c>
      <c r="E1348">
        <v>54751</v>
      </c>
      <c r="F1348" t="s">
        <v>15</v>
      </c>
      <c r="G1348">
        <v>8</v>
      </c>
      <c r="H1348">
        <v>250</v>
      </c>
      <c r="I1348" t="str" cm="1">
        <f t="array" ref="I1348">_xlfn.IFS(H1348&lt;=120,"V1",H1348&lt;=150,"V2",H1348&lt;=250,"V3", H1348&lt;=350, "V4")</f>
        <v>V3</v>
      </c>
      <c r="J1348" t="s">
        <v>5164</v>
      </c>
      <c r="K1348" t="str">
        <f t="shared" si="483"/>
        <v>44.901325</v>
      </c>
      <c r="L1348" t="str">
        <f t="shared" si="484"/>
        <v>-91.933569</v>
      </c>
      <c r="M1348">
        <v>270</v>
      </c>
      <c r="N1348" s="1">
        <v>44515</v>
      </c>
      <c r="O1348" s="1">
        <v>46099</v>
      </c>
      <c r="P1348" s="2">
        <f t="shared" si="485"/>
        <v>4.3367556468172488</v>
      </c>
      <c r="Q1348" s="2" t="str">
        <f t="shared" si="486"/>
        <v>Mid</v>
      </c>
      <c r="R1348">
        <f t="shared" si="487"/>
        <v>2000</v>
      </c>
      <c r="S1348" t="str">
        <f t="shared" si="488"/>
        <v>Small</v>
      </c>
      <c r="T1348" t="str">
        <f t="shared" si="489"/>
        <v>Lower EV Adoption Corridor</v>
      </c>
      <c r="U1348" s="3">
        <f t="shared" si="490"/>
        <v>3600000</v>
      </c>
      <c r="V1348" s="4">
        <f t="shared" si="491"/>
        <v>880000.00000000012</v>
      </c>
      <c r="W1348" s="3">
        <f t="shared" si="492"/>
        <v>12000000</v>
      </c>
      <c r="X1348" s="3">
        <f t="shared" si="493"/>
        <v>6600000.0000000009</v>
      </c>
      <c r="Y1348">
        <f t="shared" si="494"/>
        <v>0.31515151515151513</v>
      </c>
      <c r="Z1348">
        <f t="shared" si="495"/>
        <v>0.75555555555555554</v>
      </c>
      <c r="AA1348" t="str">
        <f t="shared" si="496"/>
        <v>Tier 2 - Growth Markets</v>
      </c>
      <c r="AB1348" s="3">
        <f t="shared" si="497"/>
        <v>110000.00000000001</v>
      </c>
      <c r="AC1348" s="3">
        <f t="shared" si="498"/>
        <v>1500000</v>
      </c>
      <c r="AD1348" s="3">
        <f t="shared" si="499"/>
        <v>450000</v>
      </c>
      <c r="AE1348" s="5">
        <f t="shared" si="500"/>
        <v>4.4117647058823533</v>
      </c>
      <c r="AF1348" s="10">
        <f t="shared" si="501"/>
        <v>545600.00000000012</v>
      </c>
      <c r="AG1348" s="10">
        <f t="shared" si="502"/>
        <v>176000.00000000003</v>
      </c>
      <c r="AH1348" s="10">
        <f t="shared" si="503"/>
        <v>88000.000000000015</v>
      </c>
      <c r="AI1348" s="10">
        <f t="shared" si="504"/>
        <v>44000.000000000007</v>
      </c>
      <c r="AJ1348" s="10">
        <f t="shared" si="505"/>
        <v>26400.000000000004</v>
      </c>
    </row>
    <row r="1349" spans="1:36" x14ac:dyDescent="0.3">
      <c r="A1349" t="s">
        <v>5165</v>
      </c>
      <c r="B1349" t="s">
        <v>5166</v>
      </c>
      <c r="C1349" t="s">
        <v>5167</v>
      </c>
      <c r="D1349" t="s">
        <v>14</v>
      </c>
      <c r="E1349">
        <v>93933</v>
      </c>
      <c r="F1349" t="s">
        <v>15</v>
      </c>
      <c r="G1349">
        <v>12</v>
      </c>
      <c r="H1349">
        <v>250</v>
      </c>
      <c r="I1349" t="str" cm="1">
        <f t="array" ref="I1349">_xlfn.IFS(H1349&lt;=120,"V1",H1349&lt;=150,"V2",H1349&lt;=250,"V3", H1349&lt;=350, "V4")</f>
        <v>V3</v>
      </c>
      <c r="J1349" t="s">
        <v>5168</v>
      </c>
      <c r="K1349" t="str">
        <f t="shared" si="483"/>
        <v>36.666436</v>
      </c>
      <c r="L1349" t="str">
        <f t="shared" si="484"/>
        <v>-121.810168</v>
      </c>
      <c r="M1349">
        <v>24</v>
      </c>
      <c r="N1349" s="1">
        <v>44517</v>
      </c>
      <c r="O1349" s="1">
        <v>46099</v>
      </c>
      <c r="P1349" s="2">
        <f t="shared" si="485"/>
        <v>4.3312799452429847</v>
      </c>
      <c r="Q1349" s="2" t="str">
        <f t="shared" si="486"/>
        <v>Mid</v>
      </c>
      <c r="R1349">
        <f t="shared" si="487"/>
        <v>3000</v>
      </c>
      <c r="S1349" t="str">
        <f t="shared" si="488"/>
        <v>Small</v>
      </c>
      <c r="T1349" t="str">
        <f t="shared" si="489"/>
        <v>High EV Adoption Corridor</v>
      </c>
      <c r="U1349" s="3">
        <f t="shared" si="490"/>
        <v>7020000</v>
      </c>
      <c r="V1349" s="4">
        <f t="shared" si="491"/>
        <v>1584000</v>
      </c>
      <c r="W1349" s="3">
        <f t="shared" si="492"/>
        <v>19800000</v>
      </c>
      <c r="X1349" s="3">
        <f t="shared" si="493"/>
        <v>14850000</v>
      </c>
      <c r="Y1349">
        <f t="shared" si="494"/>
        <v>0.24</v>
      </c>
      <c r="Z1349">
        <f t="shared" si="495"/>
        <v>0.77435897435897438</v>
      </c>
      <c r="AA1349" t="str">
        <f t="shared" si="496"/>
        <v>Tier 1 - Priority Fleet</v>
      </c>
      <c r="AB1349" s="3">
        <f t="shared" si="497"/>
        <v>132000</v>
      </c>
      <c r="AC1349" s="3">
        <f t="shared" si="498"/>
        <v>1650000</v>
      </c>
      <c r="AD1349" s="3">
        <f t="shared" si="499"/>
        <v>585000</v>
      </c>
      <c r="AE1349" s="5">
        <f t="shared" si="500"/>
        <v>3.6423841059602649</v>
      </c>
      <c r="AF1349" s="10">
        <f t="shared" si="501"/>
        <v>982080</v>
      </c>
      <c r="AG1349" s="10">
        <f t="shared" si="502"/>
        <v>316800</v>
      </c>
      <c r="AH1349" s="10">
        <f t="shared" si="503"/>
        <v>158400</v>
      </c>
      <c r="AI1349" s="10">
        <f t="shared" si="504"/>
        <v>79200</v>
      </c>
      <c r="AJ1349" s="10">
        <f t="shared" si="505"/>
        <v>47520</v>
      </c>
    </row>
    <row r="1350" spans="1:36" x14ac:dyDescent="0.3">
      <c r="A1350" t="s">
        <v>5169</v>
      </c>
      <c r="B1350" t="s">
        <v>5170</v>
      </c>
      <c r="C1350" t="s">
        <v>5171</v>
      </c>
      <c r="D1350" t="s">
        <v>41</v>
      </c>
      <c r="E1350">
        <v>33157</v>
      </c>
      <c r="F1350" t="s">
        <v>15</v>
      </c>
      <c r="G1350">
        <v>8</v>
      </c>
      <c r="H1350">
        <v>250</v>
      </c>
      <c r="I1350" t="str" cm="1">
        <f t="array" ref="I1350">_xlfn.IFS(H1350&lt;=120,"V1",H1350&lt;=150,"V2",H1350&lt;=250,"V3", H1350&lt;=350, "V4")</f>
        <v>V3</v>
      </c>
      <c r="J1350" t="s">
        <v>5172</v>
      </c>
      <c r="K1350" t="str">
        <f t="shared" si="483"/>
        <v>25.598305</v>
      </c>
      <c r="L1350" t="str">
        <f t="shared" si="484"/>
        <v>-80.37199</v>
      </c>
      <c r="M1350">
        <v>3</v>
      </c>
      <c r="N1350" s="1">
        <v>44499</v>
      </c>
      <c r="O1350" s="1">
        <v>46099</v>
      </c>
      <c r="P1350" s="2">
        <f t="shared" si="485"/>
        <v>4.3805612594113619</v>
      </c>
      <c r="Q1350" s="2" t="str">
        <f t="shared" si="486"/>
        <v>Mid</v>
      </c>
      <c r="R1350">
        <f t="shared" si="487"/>
        <v>2000</v>
      </c>
      <c r="S1350" t="str">
        <f t="shared" si="488"/>
        <v>Small</v>
      </c>
      <c r="T1350" t="str">
        <f t="shared" si="489"/>
        <v>High EV Adoption Corridor</v>
      </c>
      <c r="U1350" s="3">
        <f t="shared" si="490"/>
        <v>4680000</v>
      </c>
      <c r="V1350" s="4">
        <f t="shared" si="491"/>
        <v>1056000</v>
      </c>
      <c r="W1350" s="3">
        <f t="shared" si="492"/>
        <v>13200000.000000002</v>
      </c>
      <c r="X1350" s="3">
        <f t="shared" si="493"/>
        <v>9900000.0000000019</v>
      </c>
      <c r="Y1350">
        <f t="shared" si="494"/>
        <v>0.23999999999999996</v>
      </c>
      <c r="Z1350">
        <f t="shared" si="495"/>
        <v>0.77435897435897438</v>
      </c>
      <c r="AA1350" t="str">
        <f t="shared" si="496"/>
        <v>Tier 1 - Priority Fleet</v>
      </c>
      <c r="AB1350" s="3">
        <f t="shared" si="497"/>
        <v>132000</v>
      </c>
      <c r="AC1350" s="3">
        <f t="shared" si="498"/>
        <v>1650000.0000000002</v>
      </c>
      <c r="AD1350" s="3">
        <f t="shared" si="499"/>
        <v>585000</v>
      </c>
      <c r="AE1350" s="5">
        <f t="shared" si="500"/>
        <v>3.6423841059602653</v>
      </c>
      <c r="AF1350" s="10">
        <f t="shared" si="501"/>
        <v>654720</v>
      </c>
      <c r="AG1350" s="10">
        <f t="shared" si="502"/>
        <v>211200</v>
      </c>
      <c r="AH1350" s="10">
        <f t="shared" si="503"/>
        <v>105600</v>
      </c>
      <c r="AI1350" s="10">
        <f t="shared" si="504"/>
        <v>52800</v>
      </c>
      <c r="AJ1350" s="10">
        <f t="shared" si="505"/>
        <v>31680</v>
      </c>
    </row>
    <row r="1351" spans="1:36" x14ac:dyDescent="0.3">
      <c r="A1351" t="s">
        <v>5173</v>
      </c>
      <c r="B1351" t="s">
        <v>5174</v>
      </c>
      <c r="C1351" t="s">
        <v>2322</v>
      </c>
      <c r="D1351" t="s">
        <v>153</v>
      </c>
      <c r="E1351">
        <v>16933</v>
      </c>
      <c r="F1351" t="s">
        <v>15</v>
      </c>
      <c r="G1351">
        <v>4</v>
      </c>
      <c r="H1351">
        <v>250</v>
      </c>
      <c r="I1351" t="str" cm="1">
        <f t="array" ref="I1351">_xlfn.IFS(H1351&lt;=120,"V1",H1351&lt;=150,"V2",H1351&lt;=250,"V3", H1351&lt;=350, "V4")</f>
        <v>V3</v>
      </c>
      <c r="J1351" t="s">
        <v>5175</v>
      </c>
      <c r="K1351" t="str">
        <f t="shared" si="483"/>
        <v>41.8049603</v>
      </c>
      <c r="L1351" t="str">
        <f t="shared" si="484"/>
        <v>-77.08515356</v>
      </c>
      <c r="M1351">
        <v>349</v>
      </c>
      <c r="N1351" s="1">
        <v>44415</v>
      </c>
      <c r="O1351" s="1">
        <v>46099</v>
      </c>
      <c r="P1351" s="2">
        <f t="shared" si="485"/>
        <v>4.6105407255304582</v>
      </c>
      <c r="Q1351" s="2" t="str">
        <f t="shared" si="486"/>
        <v>Mid</v>
      </c>
      <c r="R1351">
        <f t="shared" si="487"/>
        <v>1000</v>
      </c>
      <c r="S1351" t="str">
        <f t="shared" si="488"/>
        <v>Small</v>
      </c>
      <c r="T1351" t="str">
        <f t="shared" si="489"/>
        <v>Lower EV Adoption Corridor</v>
      </c>
      <c r="U1351" s="3">
        <f t="shared" si="490"/>
        <v>1800000</v>
      </c>
      <c r="V1351" s="4">
        <f t="shared" si="491"/>
        <v>440000.00000000006</v>
      </c>
      <c r="W1351" s="3">
        <f t="shared" si="492"/>
        <v>6000000</v>
      </c>
      <c r="X1351" s="3">
        <f t="shared" si="493"/>
        <v>3300000.0000000005</v>
      </c>
      <c r="Y1351">
        <f t="shared" si="494"/>
        <v>0.31515151515151513</v>
      </c>
      <c r="Z1351">
        <f t="shared" si="495"/>
        <v>0.75555555555555554</v>
      </c>
      <c r="AA1351" t="str">
        <f t="shared" si="496"/>
        <v>Tier 2 - Growth Markets</v>
      </c>
      <c r="AB1351" s="3">
        <f t="shared" si="497"/>
        <v>110000.00000000001</v>
      </c>
      <c r="AC1351" s="3">
        <f t="shared" si="498"/>
        <v>1500000</v>
      </c>
      <c r="AD1351" s="3">
        <f t="shared" si="499"/>
        <v>450000</v>
      </c>
      <c r="AE1351" s="5">
        <f t="shared" si="500"/>
        <v>4.4117647058823533</v>
      </c>
      <c r="AF1351" s="10">
        <f t="shared" si="501"/>
        <v>272800.00000000006</v>
      </c>
      <c r="AG1351" s="10">
        <f t="shared" si="502"/>
        <v>88000.000000000015</v>
      </c>
      <c r="AH1351" s="10">
        <f t="shared" si="503"/>
        <v>44000.000000000007</v>
      </c>
      <c r="AI1351" s="10">
        <f t="shared" si="504"/>
        <v>22000.000000000004</v>
      </c>
      <c r="AJ1351" s="10">
        <f t="shared" si="505"/>
        <v>13200.000000000002</v>
      </c>
    </row>
    <row r="1352" spans="1:36" x14ac:dyDescent="0.3">
      <c r="A1352" t="s">
        <v>5176</v>
      </c>
      <c r="B1352" t="s">
        <v>5177</v>
      </c>
      <c r="C1352" t="s">
        <v>5178</v>
      </c>
      <c r="D1352" t="s">
        <v>321</v>
      </c>
      <c r="E1352">
        <v>1020</v>
      </c>
      <c r="F1352" t="s">
        <v>15</v>
      </c>
      <c r="G1352">
        <v>12</v>
      </c>
      <c r="H1352">
        <v>250</v>
      </c>
      <c r="I1352" t="str" cm="1">
        <f t="array" ref="I1352">_xlfn.IFS(H1352&lt;=120,"V1",H1352&lt;=150,"V2",H1352&lt;=250,"V3", H1352&lt;=350, "V4")</f>
        <v>V3</v>
      </c>
      <c r="J1352" t="s">
        <v>5179</v>
      </c>
      <c r="K1352" t="str">
        <f t="shared" si="483"/>
        <v>42.174804</v>
      </c>
      <c r="L1352" t="str">
        <f t="shared" si="484"/>
        <v>-72.578159</v>
      </c>
      <c r="M1352">
        <v>69</v>
      </c>
      <c r="N1352" s="1">
        <v>44495</v>
      </c>
      <c r="O1352" s="1">
        <v>46099</v>
      </c>
      <c r="P1352" s="2">
        <f t="shared" si="485"/>
        <v>4.3915126625598901</v>
      </c>
      <c r="Q1352" s="2" t="str">
        <f t="shared" si="486"/>
        <v>Mid</v>
      </c>
      <c r="R1352">
        <f t="shared" si="487"/>
        <v>3000</v>
      </c>
      <c r="S1352" t="str">
        <f t="shared" si="488"/>
        <v>Small</v>
      </c>
      <c r="T1352" t="str">
        <f t="shared" si="489"/>
        <v>Lower EV Adoption Corridor</v>
      </c>
      <c r="U1352" s="3">
        <f t="shared" si="490"/>
        <v>5400000</v>
      </c>
      <c r="V1352" s="4">
        <f t="shared" si="491"/>
        <v>1320000</v>
      </c>
      <c r="W1352" s="3">
        <f t="shared" si="492"/>
        <v>18000000</v>
      </c>
      <c r="X1352" s="3">
        <f t="shared" si="493"/>
        <v>9900000</v>
      </c>
      <c r="Y1352">
        <f t="shared" si="494"/>
        <v>0.31515151515151513</v>
      </c>
      <c r="Z1352">
        <f t="shared" si="495"/>
        <v>0.75555555555555554</v>
      </c>
      <c r="AA1352" t="str">
        <f t="shared" si="496"/>
        <v>Tier 2 - Growth Markets</v>
      </c>
      <c r="AB1352" s="3">
        <f t="shared" si="497"/>
        <v>110000</v>
      </c>
      <c r="AC1352" s="3">
        <f t="shared" si="498"/>
        <v>1500000</v>
      </c>
      <c r="AD1352" s="3">
        <f t="shared" si="499"/>
        <v>450000</v>
      </c>
      <c r="AE1352" s="5">
        <f t="shared" si="500"/>
        <v>4.4117647058823533</v>
      </c>
      <c r="AF1352" s="10">
        <f t="shared" si="501"/>
        <v>818400</v>
      </c>
      <c r="AG1352" s="10">
        <f t="shared" si="502"/>
        <v>264000</v>
      </c>
      <c r="AH1352" s="10">
        <f t="shared" si="503"/>
        <v>132000</v>
      </c>
      <c r="AI1352" s="10">
        <f t="shared" si="504"/>
        <v>66000</v>
      </c>
      <c r="AJ1352" s="10">
        <f t="shared" si="505"/>
        <v>39600</v>
      </c>
    </row>
    <row r="1353" spans="1:36" x14ac:dyDescent="0.3">
      <c r="A1353" t="s">
        <v>5180</v>
      </c>
      <c r="B1353" t="s">
        <v>5181</v>
      </c>
      <c r="C1353" t="s">
        <v>5182</v>
      </c>
      <c r="D1353" t="s">
        <v>321</v>
      </c>
      <c r="E1353">
        <v>2038</v>
      </c>
      <c r="F1353" t="s">
        <v>15</v>
      </c>
      <c r="G1353">
        <v>12</v>
      </c>
      <c r="H1353">
        <v>250</v>
      </c>
      <c r="I1353" t="str" cm="1">
        <f t="array" ref="I1353">_xlfn.IFS(H1353&lt;=120,"V1",H1353&lt;=150,"V2",H1353&lt;=250,"V3", H1353&lt;=350, "V4")</f>
        <v>V3</v>
      </c>
      <c r="J1353" t="s">
        <v>5183</v>
      </c>
      <c r="K1353" t="str">
        <f t="shared" si="483"/>
        <v>42.090329</v>
      </c>
      <c r="L1353" t="str">
        <f t="shared" si="484"/>
        <v>-71.424835</v>
      </c>
      <c r="M1353">
        <v>82</v>
      </c>
      <c r="N1353" s="1">
        <v>44543</v>
      </c>
      <c r="O1353" s="1">
        <v>46099</v>
      </c>
      <c r="P1353" s="2">
        <f t="shared" si="485"/>
        <v>4.26009582477755</v>
      </c>
      <c r="Q1353" s="2" t="str">
        <f t="shared" si="486"/>
        <v>Mid</v>
      </c>
      <c r="R1353">
        <f t="shared" si="487"/>
        <v>3000</v>
      </c>
      <c r="S1353" t="str">
        <f t="shared" si="488"/>
        <v>Small</v>
      </c>
      <c r="T1353" t="str">
        <f t="shared" si="489"/>
        <v>Lower EV Adoption Corridor</v>
      </c>
      <c r="U1353" s="3">
        <f t="shared" si="490"/>
        <v>5400000</v>
      </c>
      <c r="V1353" s="4">
        <f t="shared" si="491"/>
        <v>1320000</v>
      </c>
      <c r="W1353" s="3">
        <f t="shared" si="492"/>
        <v>18000000</v>
      </c>
      <c r="X1353" s="3">
        <f t="shared" si="493"/>
        <v>9900000</v>
      </c>
      <c r="Y1353">
        <f t="shared" si="494"/>
        <v>0.31515151515151513</v>
      </c>
      <c r="Z1353">
        <f t="shared" si="495"/>
        <v>0.75555555555555554</v>
      </c>
      <c r="AA1353" t="str">
        <f t="shared" si="496"/>
        <v>Tier 2 - Growth Markets</v>
      </c>
      <c r="AB1353" s="3">
        <f t="shared" si="497"/>
        <v>110000</v>
      </c>
      <c r="AC1353" s="3">
        <f t="shared" si="498"/>
        <v>1500000</v>
      </c>
      <c r="AD1353" s="3">
        <f t="shared" si="499"/>
        <v>450000</v>
      </c>
      <c r="AE1353" s="5">
        <f t="shared" si="500"/>
        <v>4.4117647058823533</v>
      </c>
      <c r="AF1353" s="10">
        <f t="shared" si="501"/>
        <v>818400</v>
      </c>
      <c r="AG1353" s="10">
        <f t="shared" si="502"/>
        <v>264000</v>
      </c>
      <c r="AH1353" s="10">
        <f t="shared" si="503"/>
        <v>132000</v>
      </c>
      <c r="AI1353" s="10">
        <f t="shared" si="504"/>
        <v>66000</v>
      </c>
      <c r="AJ1353" s="10">
        <f t="shared" si="505"/>
        <v>39600</v>
      </c>
    </row>
    <row r="1354" spans="1:36" x14ac:dyDescent="0.3">
      <c r="A1354" t="s">
        <v>5184</v>
      </c>
      <c r="B1354" t="s">
        <v>5185</v>
      </c>
      <c r="C1354" t="s">
        <v>5186</v>
      </c>
      <c r="D1354" t="s">
        <v>28</v>
      </c>
      <c r="E1354">
        <v>30103</v>
      </c>
      <c r="F1354" t="s">
        <v>15</v>
      </c>
      <c r="G1354">
        <v>8</v>
      </c>
      <c r="H1354">
        <v>250</v>
      </c>
      <c r="I1354" t="str" cm="1">
        <f t="array" ref="I1354">_xlfn.IFS(H1354&lt;=120,"V1",H1354&lt;=150,"V2",H1354&lt;=250,"V3", H1354&lt;=350, "V4")</f>
        <v>V3</v>
      </c>
      <c r="J1354" t="s">
        <v>5187</v>
      </c>
      <c r="K1354" t="str">
        <f t="shared" si="483"/>
        <v>34.377883</v>
      </c>
      <c r="L1354" t="str">
        <f t="shared" si="484"/>
        <v>-84.915729</v>
      </c>
      <c r="M1354">
        <v>231</v>
      </c>
      <c r="N1354" s="1">
        <v>44425</v>
      </c>
      <c r="O1354" s="1">
        <v>46099</v>
      </c>
      <c r="P1354" s="2">
        <f t="shared" si="485"/>
        <v>4.5831622176591376</v>
      </c>
      <c r="Q1354" s="2" t="str">
        <f t="shared" si="486"/>
        <v>Mid</v>
      </c>
      <c r="R1354">
        <f t="shared" si="487"/>
        <v>2000</v>
      </c>
      <c r="S1354" t="str">
        <f t="shared" si="488"/>
        <v>Small</v>
      </c>
      <c r="T1354" t="str">
        <f t="shared" si="489"/>
        <v>Lower EV Adoption Corridor</v>
      </c>
      <c r="U1354" s="3">
        <f t="shared" si="490"/>
        <v>3600000</v>
      </c>
      <c r="V1354" s="4">
        <f t="shared" si="491"/>
        <v>880000.00000000012</v>
      </c>
      <c r="W1354" s="3">
        <f t="shared" si="492"/>
        <v>12000000</v>
      </c>
      <c r="X1354" s="3">
        <f t="shared" si="493"/>
        <v>6600000.0000000009</v>
      </c>
      <c r="Y1354">
        <f t="shared" si="494"/>
        <v>0.31515151515151513</v>
      </c>
      <c r="Z1354">
        <f t="shared" si="495"/>
        <v>0.75555555555555554</v>
      </c>
      <c r="AA1354" t="str">
        <f t="shared" si="496"/>
        <v>Tier 2 - Growth Markets</v>
      </c>
      <c r="AB1354" s="3">
        <f t="shared" si="497"/>
        <v>110000.00000000001</v>
      </c>
      <c r="AC1354" s="3">
        <f t="shared" si="498"/>
        <v>1500000</v>
      </c>
      <c r="AD1354" s="3">
        <f t="shared" si="499"/>
        <v>450000</v>
      </c>
      <c r="AE1354" s="5">
        <f t="shared" si="500"/>
        <v>4.4117647058823533</v>
      </c>
      <c r="AF1354" s="10">
        <f t="shared" si="501"/>
        <v>545600.00000000012</v>
      </c>
      <c r="AG1354" s="10">
        <f t="shared" si="502"/>
        <v>176000.00000000003</v>
      </c>
      <c r="AH1354" s="10">
        <f t="shared" si="503"/>
        <v>88000.000000000015</v>
      </c>
      <c r="AI1354" s="10">
        <f t="shared" si="504"/>
        <v>44000.000000000007</v>
      </c>
      <c r="AJ1354" s="10">
        <f t="shared" si="505"/>
        <v>26400.000000000004</v>
      </c>
    </row>
    <row r="1355" spans="1:36" x14ac:dyDescent="0.3">
      <c r="A1355" t="s">
        <v>5188</v>
      </c>
      <c r="B1355" t="s">
        <v>5189</v>
      </c>
      <c r="C1355" t="s">
        <v>1056</v>
      </c>
      <c r="D1355" t="s">
        <v>294</v>
      </c>
      <c r="E1355">
        <v>37919</v>
      </c>
      <c r="F1355" t="s">
        <v>15</v>
      </c>
      <c r="G1355">
        <v>8</v>
      </c>
      <c r="H1355">
        <v>250</v>
      </c>
      <c r="I1355" t="str" cm="1">
        <f t="array" ref="I1355">_xlfn.IFS(H1355&lt;=120,"V1",H1355&lt;=150,"V2",H1355&lt;=250,"V3", H1355&lt;=350, "V4")</f>
        <v>V3</v>
      </c>
      <c r="J1355" t="s">
        <v>5190</v>
      </c>
      <c r="K1355" t="str">
        <f t="shared" si="483"/>
        <v>35.935852</v>
      </c>
      <c r="L1355" t="str">
        <f t="shared" si="484"/>
        <v>-84.004146</v>
      </c>
      <c r="M1355">
        <v>272</v>
      </c>
      <c r="N1355" s="1">
        <v>44461</v>
      </c>
      <c r="O1355" s="1">
        <v>46099</v>
      </c>
      <c r="P1355" s="2">
        <f t="shared" si="485"/>
        <v>4.4845995893223822</v>
      </c>
      <c r="Q1355" s="2" t="str">
        <f t="shared" si="486"/>
        <v>Mid</v>
      </c>
      <c r="R1355">
        <f t="shared" si="487"/>
        <v>2000</v>
      </c>
      <c r="S1355" t="str">
        <f t="shared" si="488"/>
        <v>Small</v>
      </c>
      <c r="T1355" t="str">
        <f t="shared" si="489"/>
        <v>Lower EV Adoption Corridor</v>
      </c>
      <c r="U1355" s="3">
        <f t="shared" si="490"/>
        <v>3600000</v>
      </c>
      <c r="V1355" s="4">
        <f t="shared" si="491"/>
        <v>880000.00000000012</v>
      </c>
      <c r="W1355" s="3">
        <f t="shared" si="492"/>
        <v>12000000</v>
      </c>
      <c r="X1355" s="3">
        <f t="shared" si="493"/>
        <v>6600000.0000000009</v>
      </c>
      <c r="Y1355">
        <f t="shared" si="494"/>
        <v>0.31515151515151513</v>
      </c>
      <c r="Z1355">
        <f t="shared" si="495"/>
        <v>0.75555555555555554</v>
      </c>
      <c r="AA1355" t="str">
        <f t="shared" si="496"/>
        <v>Tier 2 - Growth Markets</v>
      </c>
      <c r="AB1355" s="3">
        <f t="shared" si="497"/>
        <v>110000.00000000001</v>
      </c>
      <c r="AC1355" s="3">
        <f t="shared" si="498"/>
        <v>1500000</v>
      </c>
      <c r="AD1355" s="3">
        <f t="shared" si="499"/>
        <v>450000</v>
      </c>
      <c r="AE1355" s="5">
        <f t="shared" si="500"/>
        <v>4.4117647058823533</v>
      </c>
      <c r="AF1355" s="10">
        <f t="shared" si="501"/>
        <v>545600.00000000012</v>
      </c>
      <c r="AG1355" s="10">
        <f t="shared" si="502"/>
        <v>176000.00000000003</v>
      </c>
      <c r="AH1355" s="10">
        <f t="shared" si="503"/>
        <v>88000.000000000015</v>
      </c>
      <c r="AI1355" s="10">
        <f t="shared" si="504"/>
        <v>44000.000000000007</v>
      </c>
      <c r="AJ1355" s="10">
        <f t="shared" si="505"/>
        <v>26400.000000000004</v>
      </c>
    </row>
    <row r="1356" spans="1:36" x14ac:dyDescent="0.3">
      <c r="A1356" t="s">
        <v>5191</v>
      </c>
      <c r="B1356" t="s">
        <v>5192</v>
      </c>
      <c r="C1356" t="s">
        <v>5193</v>
      </c>
      <c r="D1356" t="s">
        <v>546</v>
      </c>
      <c r="E1356">
        <v>42320</v>
      </c>
      <c r="F1356" t="s">
        <v>15</v>
      </c>
      <c r="G1356">
        <v>8</v>
      </c>
      <c r="H1356">
        <v>250</v>
      </c>
      <c r="I1356" t="str" cm="1">
        <f t="array" ref="I1356">_xlfn.IFS(H1356&lt;=120,"V1",H1356&lt;=150,"V2",H1356&lt;=250,"V3", H1356&lt;=350, "V4")</f>
        <v>V3</v>
      </c>
      <c r="J1356" t="s">
        <v>5194</v>
      </c>
      <c r="K1356" t="str">
        <f t="shared" si="483"/>
        <v>37.377254</v>
      </c>
      <c r="L1356" t="str">
        <f t="shared" si="484"/>
        <v>-86.82612</v>
      </c>
      <c r="M1356">
        <v>131</v>
      </c>
      <c r="N1356" s="1">
        <v>44489</v>
      </c>
      <c r="O1356" s="1">
        <v>46099</v>
      </c>
      <c r="P1356" s="2">
        <f t="shared" si="485"/>
        <v>4.4079397672826834</v>
      </c>
      <c r="Q1356" s="2" t="str">
        <f t="shared" si="486"/>
        <v>Mid</v>
      </c>
      <c r="R1356">
        <f t="shared" si="487"/>
        <v>2000</v>
      </c>
      <c r="S1356" t="str">
        <f t="shared" si="488"/>
        <v>Small</v>
      </c>
      <c r="T1356" t="str">
        <f t="shared" si="489"/>
        <v>Lower EV Adoption Corridor</v>
      </c>
      <c r="U1356" s="3">
        <f t="shared" si="490"/>
        <v>3600000</v>
      </c>
      <c r="V1356" s="4">
        <f t="shared" si="491"/>
        <v>880000.00000000012</v>
      </c>
      <c r="W1356" s="3">
        <f t="shared" si="492"/>
        <v>12000000</v>
      </c>
      <c r="X1356" s="3">
        <f t="shared" si="493"/>
        <v>6600000.0000000009</v>
      </c>
      <c r="Y1356">
        <f t="shared" si="494"/>
        <v>0.31515151515151513</v>
      </c>
      <c r="Z1356">
        <f t="shared" si="495"/>
        <v>0.75555555555555554</v>
      </c>
      <c r="AA1356" t="str">
        <f t="shared" si="496"/>
        <v>Tier 2 - Growth Markets</v>
      </c>
      <c r="AB1356" s="3">
        <f t="shared" si="497"/>
        <v>110000.00000000001</v>
      </c>
      <c r="AC1356" s="3">
        <f t="shared" si="498"/>
        <v>1500000</v>
      </c>
      <c r="AD1356" s="3">
        <f t="shared" si="499"/>
        <v>450000</v>
      </c>
      <c r="AE1356" s="5">
        <f t="shared" si="500"/>
        <v>4.4117647058823533</v>
      </c>
      <c r="AF1356" s="10">
        <f t="shared" si="501"/>
        <v>545600.00000000012</v>
      </c>
      <c r="AG1356" s="10">
        <f t="shared" si="502"/>
        <v>176000.00000000003</v>
      </c>
      <c r="AH1356" s="10">
        <f t="shared" si="503"/>
        <v>88000.000000000015</v>
      </c>
      <c r="AI1356" s="10">
        <f t="shared" si="504"/>
        <v>44000.000000000007</v>
      </c>
      <c r="AJ1356" s="10">
        <f t="shared" si="505"/>
        <v>26400.000000000004</v>
      </c>
    </row>
    <row r="1357" spans="1:36" x14ac:dyDescent="0.3">
      <c r="A1357" t="s">
        <v>5195</v>
      </c>
      <c r="B1357" t="s">
        <v>5196</v>
      </c>
      <c r="C1357" t="s">
        <v>4667</v>
      </c>
      <c r="D1357" t="s">
        <v>1189</v>
      </c>
      <c r="E1357">
        <v>26505</v>
      </c>
      <c r="F1357" t="s">
        <v>15</v>
      </c>
      <c r="G1357">
        <v>8</v>
      </c>
      <c r="H1357">
        <v>250</v>
      </c>
      <c r="I1357" t="str" cm="1">
        <f t="array" ref="I1357">_xlfn.IFS(H1357&lt;=120,"V1",H1357&lt;=150,"V2",H1357&lt;=250,"V3", H1357&lt;=350, "V4")</f>
        <v>V3</v>
      </c>
      <c r="J1357" t="s">
        <v>5197</v>
      </c>
      <c r="K1357" t="str">
        <f t="shared" si="483"/>
        <v>39.62</v>
      </c>
      <c r="L1357" t="str">
        <f t="shared" si="484"/>
        <v>-79.9234</v>
      </c>
      <c r="M1357">
        <v>261</v>
      </c>
      <c r="N1357" s="1">
        <v>44489</v>
      </c>
      <c r="O1357" s="1">
        <v>46099</v>
      </c>
      <c r="P1357" s="2">
        <f t="shared" si="485"/>
        <v>4.4079397672826834</v>
      </c>
      <c r="Q1357" s="2" t="str">
        <f t="shared" si="486"/>
        <v>Mid</v>
      </c>
      <c r="R1357">
        <f t="shared" si="487"/>
        <v>2000</v>
      </c>
      <c r="S1357" t="str">
        <f t="shared" si="488"/>
        <v>Small</v>
      </c>
      <c r="T1357" t="str">
        <f t="shared" si="489"/>
        <v>Lower EV Adoption Corridor</v>
      </c>
      <c r="U1357" s="3">
        <f t="shared" si="490"/>
        <v>3600000</v>
      </c>
      <c r="V1357" s="4">
        <f t="shared" si="491"/>
        <v>880000.00000000012</v>
      </c>
      <c r="W1357" s="3">
        <f t="shared" si="492"/>
        <v>12000000</v>
      </c>
      <c r="X1357" s="3">
        <f t="shared" si="493"/>
        <v>6600000.0000000009</v>
      </c>
      <c r="Y1357">
        <f t="shared" si="494"/>
        <v>0.31515151515151513</v>
      </c>
      <c r="Z1357">
        <f t="shared" si="495"/>
        <v>0.75555555555555554</v>
      </c>
      <c r="AA1357" t="str">
        <f t="shared" si="496"/>
        <v>Tier 2 - Growth Markets</v>
      </c>
      <c r="AB1357" s="3">
        <f t="shared" si="497"/>
        <v>110000.00000000001</v>
      </c>
      <c r="AC1357" s="3">
        <f t="shared" si="498"/>
        <v>1500000</v>
      </c>
      <c r="AD1357" s="3">
        <f t="shared" si="499"/>
        <v>450000</v>
      </c>
      <c r="AE1357" s="5">
        <f t="shared" si="500"/>
        <v>4.4117647058823533</v>
      </c>
      <c r="AF1357" s="10">
        <f t="shared" si="501"/>
        <v>545600.00000000012</v>
      </c>
      <c r="AG1357" s="10">
        <f t="shared" si="502"/>
        <v>176000.00000000003</v>
      </c>
      <c r="AH1357" s="10">
        <f t="shared" si="503"/>
        <v>88000.000000000015</v>
      </c>
      <c r="AI1357" s="10">
        <f t="shared" si="504"/>
        <v>44000.000000000007</v>
      </c>
      <c r="AJ1357" s="10">
        <f t="shared" si="505"/>
        <v>26400.000000000004</v>
      </c>
    </row>
    <row r="1358" spans="1:36" x14ac:dyDescent="0.3">
      <c r="A1358" t="s">
        <v>5198</v>
      </c>
      <c r="B1358" t="s">
        <v>5199</v>
      </c>
      <c r="C1358" t="s">
        <v>912</v>
      </c>
      <c r="D1358" t="s">
        <v>913</v>
      </c>
      <c r="E1358">
        <v>21001</v>
      </c>
      <c r="F1358" t="s">
        <v>15</v>
      </c>
      <c r="G1358">
        <v>8</v>
      </c>
      <c r="H1358">
        <v>250</v>
      </c>
      <c r="I1358" t="str" cm="1">
        <f t="array" ref="I1358">_xlfn.IFS(H1358&lt;=120,"V1",H1358&lt;=150,"V2",H1358&lt;=250,"V3", H1358&lt;=350, "V4")</f>
        <v>V3</v>
      </c>
      <c r="J1358" t="s">
        <v>5200</v>
      </c>
      <c r="K1358" t="str">
        <f t="shared" si="483"/>
        <v>39.529653</v>
      </c>
      <c r="L1358" t="str">
        <f t="shared" si="484"/>
        <v>-76.194605</v>
      </c>
      <c r="M1358">
        <v>88</v>
      </c>
      <c r="N1358" s="1">
        <v>44510</v>
      </c>
      <c r="O1358" s="1">
        <v>46099</v>
      </c>
      <c r="P1358" s="2">
        <f t="shared" si="485"/>
        <v>4.3504449007529091</v>
      </c>
      <c r="Q1358" s="2" t="str">
        <f t="shared" si="486"/>
        <v>Mid</v>
      </c>
      <c r="R1358">
        <f t="shared" si="487"/>
        <v>2000</v>
      </c>
      <c r="S1358" t="str">
        <f t="shared" si="488"/>
        <v>Small</v>
      </c>
      <c r="T1358" t="str">
        <f t="shared" si="489"/>
        <v>Lower EV Adoption Corridor</v>
      </c>
      <c r="U1358" s="3">
        <f t="shared" si="490"/>
        <v>3600000</v>
      </c>
      <c r="V1358" s="4">
        <f t="shared" si="491"/>
        <v>880000.00000000012</v>
      </c>
      <c r="W1358" s="3">
        <f t="shared" si="492"/>
        <v>12000000</v>
      </c>
      <c r="X1358" s="3">
        <f t="shared" si="493"/>
        <v>6600000.0000000009</v>
      </c>
      <c r="Y1358">
        <f t="shared" si="494"/>
        <v>0.31515151515151513</v>
      </c>
      <c r="Z1358">
        <f t="shared" si="495"/>
        <v>0.75555555555555554</v>
      </c>
      <c r="AA1358" t="str">
        <f t="shared" si="496"/>
        <v>Tier 2 - Growth Markets</v>
      </c>
      <c r="AB1358" s="3">
        <f t="shared" si="497"/>
        <v>110000.00000000001</v>
      </c>
      <c r="AC1358" s="3">
        <f t="shared" si="498"/>
        <v>1500000</v>
      </c>
      <c r="AD1358" s="3">
        <f t="shared" si="499"/>
        <v>450000</v>
      </c>
      <c r="AE1358" s="5">
        <f t="shared" si="500"/>
        <v>4.4117647058823533</v>
      </c>
      <c r="AF1358" s="10">
        <f t="shared" si="501"/>
        <v>545600.00000000012</v>
      </c>
      <c r="AG1358" s="10">
        <f t="shared" si="502"/>
        <v>176000.00000000003</v>
      </c>
      <c r="AH1358" s="10">
        <f t="shared" si="503"/>
        <v>88000.000000000015</v>
      </c>
      <c r="AI1358" s="10">
        <f t="shared" si="504"/>
        <v>44000.000000000007</v>
      </c>
      <c r="AJ1358" s="10">
        <f t="shared" si="505"/>
        <v>26400.000000000004</v>
      </c>
    </row>
    <row r="1359" spans="1:36" x14ac:dyDescent="0.3">
      <c r="A1359" t="s">
        <v>5201</v>
      </c>
      <c r="B1359" t="s">
        <v>5202</v>
      </c>
      <c r="C1359" t="s">
        <v>5203</v>
      </c>
      <c r="D1359" t="s">
        <v>189</v>
      </c>
      <c r="E1359">
        <v>54660</v>
      </c>
      <c r="F1359" t="s">
        <v>15</v>
      </c>
      <c r="G1359">
        <v>8</v>
      </c>
      <c r="H1359">
        <v>250</v>
      </c>
      <c r="I1359" t="str" cm="1">
        <f t="array" ref="I1359">_xlfn.IFS(H1359&lt;=120,"V1",H1359&lt;=150,"V2",H1359&lt;=250,"V3", H1359&lt;=350, "V4")</f>
        <v>V3</v>
      </c>
      <c r="J1359" t="s">
        <v>5204</v>
      </c>
      <c r="K1359" t="str">
        <f t="shared" si="483"/>
        <v>44.018885</v>
      </c>
      <c r="L1359" t="str">
        <f t="shared" si="484"/>
        <v>-90.507493</v>
      </c>
      <c r="M1359">
        <v>293</v>
      </c>
      <c r="N1359" s="1">
        <v>44516</v>
      </c>
      <c r="O1359" s="1">
        <v>46099</v>
      </c>
      <c r="P1359" s="2">
        <f t="shared" si="485"/>
        <v>4.3340177960301167</v>
      </c>
      <c r="Q1359" s="2" t="str">
        <f t="shared" si="486"/>
        <v>Mid</v>
      </c>
      <c r="R1359">
        <f t="shared" si="487"/>
        <v>2000</v>
      </c>
      <c r="S1359" t="str">
        <f t="shared" si="488"/>
        <v>Small</v>
      </c>
      <c r="T1359" t="str">
        <f t="shared" si="489"/>
        <v>Lower EV Adoption Corridor</v>
      </c>
      <c r="U1359" s="3">
        <f t="shared" si="490"/>
        <v>3600000</v>
      </c>
      <c r="V1359" s="4">
        <f t="shared" si="491"/>
        <v>880000.00000000012</v>
      </c>
      <c r="W1359" s="3">
        <f t="shared" si="492"/>
        <v>12000000</v>
      </c>
      <c r="X1359" s="3">
        <f t="shared" si="493"/>
        <v>6600000.0000000009</v>
      </c>
      <c r="Y1359">
        <f t="shared" si="494"/>
        <v>0.31515151515151513</v>
      </c>
      <c r="Z1359">
        <f t="shared" si="495"/>
        <v>0.75555555555555554</v>
      </c>
      <c r="AA1359" t="str">
        <f t="shared" si="496"/>
        <v>Tier 2 - Growth Markets</v>
      </c>
      <c r="AB1359" s="3">
        <f t="shared" si="497"/>
        <v>110000.00000000001</v>
      </c>
      <c r="AC1359" s="3">
        <f t="shared" si="498"/>
        <v>1500000</v>
      </c>
      <c r="AD1359" s="3">
        <f t="shared" si="499"/>
        <v>450000</v>
      </c>
      <c r="AE1359" s="5">
        <f t="shared" si="500"/>
        <v>4.4117647058823533</v>
      </c>
      <c r="AF1359" s="10">
        <f t="shared" si="501"/>
        <v>545600.00000000012</v>
      </c>
      <c r="AG1359" s="10">
        <f t="shared" si="502"/>
        <v>176000.00000000003</v>
      </c>
      <c r="AH1359" s="10">
        <f t="shared" si="503"/>
        <v>88000.000000000015</v>
      </c>
      <c r="AI1359" s="10">
        <f t="shared" si="504"/>
        <v>44000.000000000007</v>
      </c>
      <c r="AJ1359" s="10">
        <f t="shared" si="505"/>
        <v>26400.000000000004</v>
      </c>
    </row>
    <row r="1360" spans="1:36" x14ac:dyDescent="0.3">
      <c r="A1360" t="s">
        <v>5205</v>
      </c>
      <c r="B1360" t="s">
        <v>5206</v>
      </c>
      <c r="C1360" t="s">
        <v>5207</v>
      </c>
      <c r="D1360" t="s">
        <v>14</v>
      </c>
      <c r="E1360">
        <v>92886</v>
      </c>
      <c r="F1360" t="s">
        <v>15</v>
      </c>
      <c r="G1360">
        <v>8</v>
      </c>
      <c r="H1360">
        <v>250</v>
      </c>
      <c r="I1360" t="str" cm="1">
        <f t="array" ref="I1360">_xlfn.IFS(H1360&lt;=120,"V1",H1360&lt;=150,"V2",H1360&lt;=250,"V3", H1360&lt;=350, "V4")</f>
        <v>V3</v>
      </c>
      <c r="J1360" t="s">
        <v>5208</v>
      </c>
      <c r="K1360" t="str">
        <f t="shared" si="483"/>
        <v>33.889175</v>
      </c>
      <c r="L1360" t="str">
        <f t="shared" si="484"/>
        <v>-117.808082</v>
      </c>
      <c r="M1360">
        <v>121</v>
      </c>
      <c r="N1360" s="1">
        <v>45071</v>
      </c>
      <c r="O1360" s="1">
        <v>46099</v>
      </c>
      <c r="P1360" s="2">
        <f t="shared" si="485"/>
        <v>2.8145106091718</v>
      </c>
      <c r="Q1360" s="2" t="str">
        <f t="shared" si="486"/>
        <v>New</v>
      </c>
      <c r="R1360">
        <f t="shared" si="487"/>
        <v>2000</v>
      </c>
      <c r="S1360" t="str">
        <f t="shared" si="488"/>
        <v>Small</v>
      </c>
      <c r="T1360" t="str">
        <f t="shared" si="489"/>
        <v>High EV Adoption Corridor</v>
      </c>
      <c r="U1360" s="3">
        <f t="shared" si="490"/>
        <v>4680000</v>
      </c>
      <c r="V1360" s="4">
        <f t="shared" si="491"/>
        <v>1056000</v>
      </c>
      <c r="W1360" s="3">
        <f t="shared" si="492"/>
        <v>13200000.000000002</v>
      </c>
      <c r="X1360" s="3">
        <f t="shared" si="493"/>
        <v>9900000.0000000019</v>
      </c>
      <c r="Y1360">
        <f t="shared" si="494"/>
        <v>0.23999999999999996</v>
      </c>
      <c r="Z1360">
        <f t="shared" si="495"/>
        <v>0.77435897435897438</v>
      </c>
      <c r="AA1360" t="str">
        <f t="shared" si="496"/>
        <v>Tier 1 - Priority Fleet</v>
      </c>
      <c r="AB1360" s="3">
        <f t="shared" si="497"/>
        <v>132000</v>
      </c>
      <c r="AC1360" s="3">
        <f t="shared" si="498"/>
        <v>1650000.0000000002</v>
      </c>
      <c r="AD1360" s="3">
        <f t="shared" si="499"/>
        <v>585000</v>
      </c>
      <c r="AE1360" s="5">
        <f t="shared" si="500"/>
        <v>3.6423841059602653</v>
      </c>
      <c r="AF1360" s="10">
        <f t="shared" si="501"/>
        <v>654720</v>
      </c>
      <c r="AG1360" s="10">
        <f t="shared" si="502"/>
        <v>211200</v>
      </c>
      <c r="AH1360" s="10">
        <f t="shared" si="503"/>
        <v>105600</v>
      </c>
      <c r="AI1360" s="10">
        <f t="shared" si="504"/>
        <v>52800</v>
      </c>
      <c r="AJ1360" s="10">
        <f t="shared" si="505"/>
        <v>31680</v>
      </c>
    </row>
    <row r="1361" spans="1:36" x14ac:dyDescent="0.3">
      <c r="A1361" t="s">
        <v>5209</v>
      </c>
      <c r="B1361" t="s">
        <v>5210</v>
      </c>
      <c r="C1361" t="s">
        <v>138</v>
      </c>
      <c r="D1361" t="s">
        <v>546</v>
      </c>
      <c r="E1361">
        <v>40475</v>
      </c>
      <c r="F1361" t="s">
        <v>15</v>
      </c>
      <c r="G1361">
        <v>12</v>
      </c>
      <c r="H1361">
        <v>250</v>
      </c>
      <c r="I1361" t="str" cm="1">
        <f t="array" ref="I1361">_xlfn.IFS(H1361&lt;=120,"V1",H1361&lt;=150,"V2",H1361&lt;=250,"V3", H1361&lt;=350, "V4")</f>
        <v>V3</v>
      </c>
      <c r="J1361" t="s">
        <v>5211</v>
      </c>
      <c r="K1361" t="str">
        <f t="shared" si="483"/>
        <v>37.67173</v>
      </c>
      <c r="L1361" t="str">
        <f t="shared" si="484"/>
        <v>-84.308365</v>
      </c>
      <c r="M1361">
        <v>311</v>
      </c>
      <c r="N1361" s="1">
        <v>45029</v>
      </c>
      <c r="O1361" s="1">
        <v>46099</v>
      </c>
      <c r="P1361" s="2">
        <f t="shared" si="485"/>
        <v>2.9295003422313486</v>
      </c>
      <c r="Q1361" s="2" t="str">
        <f t="shared" si="486"/>
        <v>New</v>
      </c>
      <c r="R1361">
        <f t="shared" si="487"/>
        <v>3000</v>
      </c>
      <c r="S1361" t="str">
        <f t="shared" si="488"/>
        <v>Small</v>
      </c>
      <c r="T1361" t="str">
        <f t="shared" si="489"/>
        <v>Lower EV Adoption Corridor</v>
      </c>
      <c r="U1361" s="3">
        <f t="shared" si="490"/>
        <v>5400000</v>
      </c>
      <c r="V1361" s="4">
        <f t="shared" si="491"/>
        <v>1320000</v>
      </c>
      <c r="W1361" s="3">
        <f t="shared" si="492"/>
        <v>18000000</v>
      </c>
      <c r="X1361" s="3">
        <f t="shared" si="493"/>
        <v>9900000</v>
      </c>
      <c r="Y1361">
        <f t="shared" si="494"/>
        <v>0.31515151515151513</v>
      </c>
      <c r="Z1361">
        <f t="shared" si="495"/>
        <v>0.75555555555555554</v>
      </c>
      <c r="AA1361" t="str">
        <f t="shared" si="496"/>
        <v>Tier 2 - Growth Markets</v>
      </c>
      <c r="AB1361" s="3">
        <f t="shared" si="497"/>
        <v>110000</v>
      </c>
      <c r="AC1361" s="3">
        <f t="shared" si="498"/>
        <v>1500000</v>
      </c>
      <c r="AD1361" s="3">
        <f t="shared" si="499"/>
        <v>450000</v>
      </c>
      <c r="AE1361" s="5">
        <f t="shared" si="500"/>
        <v>4.4117647058823533</v>
      </c>
      <c r="AF1361" s="10">
        <f t="shared" si="501"/>
        <v>818400</v>
      </c>
      <c r="AG1361" s="10">
        <f t="shared" si="502"/>
        <v>264000</v>
      </c>
      <c r="AH1361" s="10">
        <f t="shared" si="503"/>
        <v>132000</v>
      </c>
      <c r="AI1361" s="10">
        <f t="shared" si="504"/>
        <v>66000</v>
      </c>
      <c r="AJ1361" s="10">
        <f t="shared" si="505"/>
        <v>39600</v>
      </c>
    </row>
    <row r="1362" spans="1:36" x14ac:dyDescent="0.3">
      <c r="A1362" t="s">
        <v>5212</v>
      </c>
      <c r="B1362" t="s">
        <v>5213</v>
      </c>
      <c r="C1362" t="s">
        <v>5214</v>
      </c>
      <c r="D1362" t="s">
        <v>50</v>
      </c>
      <c r="E1362">
        <v>78738</v>
      </c>
      <c r="F1362" t="s">
        <v>15</v>
      </c>
      <c r="G1362">
        <v>8</v>
      </c>
      <c r="H1362">
        <v>250</v>
      </c>
      <c r="I1362" t="str" cm="1">
        <f t="array" ref="I1362">_xlfn.IFS(H1362&lt;=120,"V1",H1362&lt;=150,"V2",H1362&lt;=250,"V3", H1362&lt;=350, "V4")</f>
        <v>V3</v>
      </c>
      <c r="J1362" t="s">
        <v>5215</v>
      </c>
      <c r="K1362" t="str">
        <f t="shared" si="483"/>
        <v>30.303714</v>
      </c>
      <c r="L1362" t="str">
        <f t="shared" si="484"/>
        <v>-97.941726</v>
      </c>
      <c r="M1362">
        <v>263</v>
      </c>
      <c r="N1362" s="1">
        <v>44679</v>
      </c>
      <c r="O1362" s="1">
        <v>46099</v>
      </c>
      <c r="P1362" s="2">
        <f t="shared" si="485"/>
        <v>3.8877481177275839</v>
      </c>
      <c r="Q1362" s="2" t="str">
        <f t="shared" si="486"/>
        <v>Mid</v>
      </c>
      <c r="R1362">
        <f t="shared" si="487"/>
        <v>2000</v>
      </c>
      <c r="S1362" t="str">
        <f t="shared" si="488"/>
        <v>Small</v>
      </c>
      <c r="T1362" t="str">
        <f t="shared" si="489"/>
        <v>High EV Adoption Corridor</v>
      </c>
      <c r="U1362" s="3">
        <f t="shared" si="490"/>
        <v>4680000</v>
      </c>
      <c r="V1362" s="4">
        <f t="shared" si="491"/>
        <v>1056000</v>
      </c>
      <c r="W1362" s="3">
        <f t="shared" si="492"/>
        <v>13200000.000000002</v>
      </c>
      <c r="X1362" s="3">
        <f t="shared" si="493"/>
        <v>9900000.0000000019</v>
      </c>
      <c r="Y1362">
        <f t="shared" si="494"/>
        <v>0.23999999999999996</v>
      </c>
      <c r="Z1362">
        <f t="shared" si="495"/>
        <v>0.77435897435897438</v>
      </c>
      <c r="AA1362" t="str">
        <f t="shared" si="496"/>
        <v>Tier 1 - Priority Fleet</v>
      </c>
      <c r="AB1362" s="3">
        <f t="shared" si="497"/>
        <v>132000</v>
      </c>
      <c r="AC1362" s="3">
        <f t="shared" si="498"/>
        <v>1650000.0000000002</v>
      </c>
      <c r="AD1362" s="3">
        <f t="shared" si="499"/>
        <v>585000</v>
      </c>
      <c r="AE1362" s="5">
        <f t="shared" si="500"/>
        <v>3.6423841059602653</v>
      </c>
      <c r="AF1362" s="10">
        <f t="shared" si="501"/>
        <v>654720</v>
      </c>
      <c r="AG1362" s="10">
        <f t="shared" si="502"/>
        <v>211200</v>
      </c>
      <c r="AH1362" s="10">
        <f t="shared" si="503"/>
        <v>105600</v>
      </c>
      <c r="AI1362" s="10">
        <f t="shared" si="504"/>
        <v>52800</v>
      </c>
      <c r="AJ1362" s="10">
        <f t="shared" si="505"/>
        <v>31680</v>
      </c>
    </row>
    <row r="1363" spans="1:36" x14ac:dyDescent="0.3">
      <c r="A1363" t="s">
        <v>5216</v>
      </c>
      <c r="B1363" t="s">
        <v>5217</v>
      </c>
      <c r="C1363" t="s">
        <v>5218</v>
      </c>
      <c r="D1363" t="s">
        <v>125</v>
      </c>
      <c r="E1363">
        <v>29945</v>
      </c>
      <c r="F1363" t="s">
        <v>15</v>
      </c>
      <c r="G1363">
        <v>8</v>
      </c>
      <c r="H1363">
        <v>250</v>
      </c>
      <c r="I1363" t="str" cm="1">
        <f t="array" ref="I1363">_xlfn.IFS(H1363&lt;=120,"V1",H1363&lt;=150,"V2",H1363&lt;=250,"V3", H1363&lt;=350, "V4")</f>
        <v>V3</v>
      </c>
      <c r="J1363" t="s">
        <v>5219</v>
      </c>
      <c r="K1363" t="str">
        <f t="shared" si="483"/>
        <v>32.634231</v>
      </c>
      <c r="L1363" t="str">
        <f t="shared" si="484"/>
        <v>-80.875183</v>
      </c>
      <c r="M1363">
        <v>7</v>
      </c>
      <c r="N1363" s="1">
        <v>44433</v>
      </c>
      <c r="O1363" s="1">
        <v>46099</v>
      </c>
      <c r="P1363" s="2">
        <f t="shared" si="485"/>
        <v>4.561259411362081</v>
      </c>
      <c r="Q1363" s="2" t="str">
        <f t="shared" si="486"/>
        <v>Mid</v>
      </c>
      <c r="R1363">
        <f t="shared" si="487"/>
        <v>2000</v>
      </c>
      <c r="S1363" t="str">
        <f t="shared" si="488"/>
        <v>Small</v>
      </c>
      <c r="T1363" t="str">
        <f t="shared" si="489"/>
        <v>Lower EV Adoption Corridor</v>
      </c>
      <c r="U1363" s="3">
        <f t="shared" si="490"/>
        <v>3600000</v>
      </c>
      <c r="V1363" s="4">
        <f t="shared" si="491"/>
        <v>880000.00000000012</v>
      </c>
      <c r="W1363" s="3">
        <f t="shared" si="492"/>
        <v>12000000</v>
      </c>
      <c r="X1363" s="3">
        <f t="shared" si="493"/>
        <v>6600000.0000000009</v>
      </c>
      <c r="Y1363">
        <f t="shared" si="494"/>
        <v>0.31515151515151513</v>
      </c>
      <c r="Z1363">
        <f t="shared" si="495"/>
        <v>0.75555555555555554</v>
      </c>
      <c r="AA1363" t="str">
        <f t="shared" si="496"/>
        <v>Tier 2 - Growth Markets</v>
      </c>
      <c r="AB1363" s="3">
        <f t="shared" si="497"/>
        <v>110000.00000000001</v>
      </c>
      <c r="AC1363" s="3">
        <f t="shared" si="498"/>
        <v>1500000</v>
      </c>
      <c r="AD1363" s="3">
        <f t="shared" si="499"/>
        <v>450000</v>
      </c>
      <c r="AE1363" s="5">
        <f t="shared" si="500"/>
        <v>4.4117647058823533</v>
      </c>
      <c r="AF1363" s="10">
        <f t="shared" si="501"/>
        <v>545600.00000000012</v>
      </c>
      <c r="AG1363" s="10">
        <f t="shared" si="502"/>
        <v>176000.00000000003</v>
      </c>
      <c r="AH1363" s="10">
        <f t="shared" si="503"/>
        <v>88000.000000000015</v>
      </c>
      <c r="AI1363" s="10">
        <f t="shared" si="504"/>
        <v>44000.000000000007</v>
      </c>
      <c r="AJ1363" s="10">
        <f t="shared" si="505"/>
        <v>26400.000000000004</v>
      </c>
    </row>
    <row r="1364" spans="1:36" x14ac:dyDescent="0.3">
      <c r="A1364" t="s">
        <v>5220</v>
      </c>
      <c r="B1364" t="s">
        <v>5221</v>
      </c>
      <c r="C1364" t="s">
        <v>5222</v>
      </c>
      <c r="D1364" t="s">
        <v>111</v>
      </c>
      <c r="E1364">
        <v>55616</v>
      </c>
      <c r="F1364" t="s">
        <v>15</v>
      </c>
      <c r="G1364">
        <v>8</v>
      </c>
      <c r="H1364">
        <v>250</v>
      </c>
      <c r="I1364" t="str" cm="1">
        <f t="array" ref="I1364">_xlfn.IFS(H1364&lt;=120,"V1",H1364&lt;=150,"V2",H1364&lt;=250,"V3", H1364&lt;=350, "V4")</f>
        <v>V3</v>
      </c>
      <c r="J1364" t="s">
        <v>5223</v>
      </c>
      <c r="K1364" t="str">
        <f t="shared" si="483"/>
        <v>47.028302</v>
      </c>
      <c r="L1364" t="str">
        <f t="shared" si="484"/>
        <v>-91.6808</v>
      </c>
      <c r="M1364">
        <v>222</v>
      </c>
      <c r="N1364" s="1">
        <v>44916</v>
      </c>
      <c r="O1364" s="1">
        <v>46099</v>
      </c>
      <c r="P1364" s="2">
        <f t="shared" si="485"/>
        <v>3.2388774811772758</v>
      </c>
      <c r="Q1364" s="2" t="str">
        <f t="shared" si="486"/>
        <v>Mid</v>
      </c>
      <c r="R1364">
        <f t="shared" si="487"/>
        <v>2000</v>
      </c>
      <c r="S1364" t="str">
        <f t="shared" si="488"/>
        <v>Small</v>
      </c>
      <c r="T1364" t="str">
        <f t="shared" si="489"/>
        <v>Lower EV Adoption Corridor</v>
      </c>
      <c r="U1364" s="3">
        <f t="shared" si="490"/>
        <v>3600000</v>
      </c>
      <c r="V1364" s="4">
        <f t="shared" si="491"/>
        <v>880000.00000000012</v>
      </c>
      <c r="W1364" s="3">
        <f t="shared" si="492"/>
        <v>12000000</v>
      </c>
      <c r="X1364" s="3">
        <f t="shared" si="493"/>
        <v>6600000.0000000009</v>
      </c>
      <c r="Y1364">
        <f t="shared" si="494"/>
        <v>0.31515151515151513</v>
      </c>
      <c r="Z1364">
        <f t="shared" si="495"/>
        <v>0.75555555555555554</v>
      </c>
      <c r="AA1364" t="str">
        <f t="shared" si="496"/>
        <v>Tier 2 - Growth Markets</v>
      </c>
      <c r="AB1364" s="3">
        <f t="shared" si="497"/>
        <v>110000.00000000001</v>
      </c>
      <c r="AC1364" s="3">
        <f t="shared" si="498"/>
        <v>1500000</v>
      </c>
      <c r="AD1364" s="3">
        <f t="shared" si="499"/>
        <v>450000</v>
      </c>
      <c r="AE1364" s="5">
        <f t="shared" si="500"/>
        <v>4.4117647058823533</v>
      </c>
      <c r="AF1364" s="10">
        <f t="shared" si="501"/>
        <v>545600.00000000012</v>
      </c>
      <c r="AG1364" s="10">
        <f t="shared" si="502"/>
        <v>176000.00000000003</v>
      </c>
      <c r="AH1364" s="10">
        <f t="shared" si="503"/>
        <v>88000.000000000015</v>
      </c>
      <c r="AI1364" s="10">
        <f t="shared" si="504"/>
        <v>44000.000000000007</v>
      </c>
      <c r="AJ1364" s="10">
        <f t="shared" si="505"/>
        <v>26400.000000000004</v>
      </c>
    </row>
    <row r="1365" spans="1:36" x14ac:dyDescent="0.3">
      <c r="A1365" t="s">
        <v>5224</v>
      </c>
      <c r="B1365" t="s">
        <v>5225</v>
      </c>
      <c r="C1365" t="s">
        <v>5226</v>
      </c>
      <c r="D1365" t="s">
        <v>316</v>
      </c>
      <c r="E1365">
        <v>97141</v>
      </c>
      <c r="F1365" t="s">
        <v>15</v>
      </c>
      <c r="G1365">
        <v>12</v>
      </c>
      <c r="H1365">
        <v>250</v>
      </c>
      <c r="I1365" t="str" cm="1">
        <f t="array" ref="I1365">_xlfn.IFS(H1365&lt;=120,"V1",H1365&lt;=150,"V2",H1365&lt;=250,"V3", H1365&lt;=350, "V4")</f>
        <v>V3</v>
      </c>
      <c r="J1365" t="s">
        <v>5227</v>
      </c>
      <c r="K1365" t="str">
        <f t="shared" si="483"/>
        <v>45.481359</v>
      </c>
      <c r="L1365" t="str">
        <f t="shared" si="484"/>
        <v>-123.843893</v>
      </c>
      <c r="M1365">
        <v>7</v>
      </c>
      <c r="N1365" s="1">
        <v>44825</v>
      </c>
      <c r="O1365" s="1">
        <v>46099</v>
      </c>
      <c r="P1365" s="2">
        <f t="shared" si="485"/>
        <v>3.4880219028062971</v>
      </c>
      <c r="Q1365" s="2" t="str">
        <f t="shared" si="486"/>
        <v>Mid</v>
      </c>
      <c r="R1365">
        <f t="shared" si="487"/>
        <v>3000</v>
      </c>
      <c r="S1365" t="str">
        <f t="shared" si="488"/>
        <v>Small</v>
      </c>
      <c r="T1365" t="str">
        <f t="shared" si="489"/>
        <v>Lower EV Adoption Corridor</v>
      </c>
      <c r="U1365" s="3">
        <f t="shared" si="490"/>
        <v>5400000</v>
      </c>
      <c r="V1365" s="4">
        <f t="shared" si="491"/>
        <v>1320000</v>
      </c>
      <c r="W1365" s="3">
        <f t="shared" si="492"/>
        <v>18000000</v>
      </c>
      <c r="X1365" s="3">
        <f t="shared" si="493"/>
        <v>9900000</v>
      </c>
      <c r="Y1365">
        <f t="shared" si="494"/>
        <v>0.31515151515151513</v>
      </c>
      <c r="Z1365">
        <f t="shared" si="495"/>
        <v>0.75555555555555554</v>
      </c>
      <c r="AA1365" t="str">
        <f t="shared" si="496"/>
        <v>Tier 2 - Growth Markets</v>
      </c>
      <c r="AB1365" s="3">
        <f t="shared" si="497"/>
        <v>110000</v>
      </c>
      <c r="AC1365" s="3">
        <f t="shared" si="498"/>
        <v>1500000</v>
      </c>
      <c r="AD1365" s="3">
        <f t="shared" si="499"/>
        <v>450000</v>
      </c>
      <c r="AE1365" s="5">
        <f t="shared" si="500"/>
        <v>4.4117647058823533</v>
      </c>
      <c r="AF1365" s="10">
        <f t="shared" si="501"/>
        <v>818400</v>
      </c>
      <c r="AG1365" s="10">
        <f t="shared" si="502"/>
        <v>264000</v>
      </c>
      <c r="AH1365" s="10">
        <f t="shared" si="503"/>
        <v>132000</v>
      </c>
      <c r="AI1365" s="10">
        <f t="shared" si="504"/>
        <v>66000</v>
      </c>
      <c r="AJ1365" s="10">
        <f t="shared" si="505"/>
        <v>39600</v>
      </c>
    </row>
    <row r="1366" spans="1:36" x14ac:dyDescent="0.3">
      <c r="A1366" t="s">
        <v>5228</v>
      </c>
      <c r="B1366" t="s">
        <v>5229</v>
      </c>
      <c r="C1366" t="s">
        <v>2025</v>
      </c>
      <c r="D1366" t="s">
        <v>321</v>
      </c>
      <c r="E1366">
        <v>2339</v>
      </c>
      <c r="F1366" t="s">
        <v>15</v>
      </c>
      <c r="G1366">
        <v>12</v>
      </c>
      <c r="H1366">
        <v>250</v>
      </c>
      <c r="I1366" t="str" cm="1">
        <f t="array" ref="I1366">_xlfn.IFS(H1366&lt;=120,"V1",H1366&lt;=150,"V2",H1366&lt;=250,"V3", H1366&lt;=350, "V4")</f>
        <v>V3</v>
      </c>
      <c r="J1366" t="s">
        <v>5230</v>
      </c>
      <c r="K1366" t="str">
        <f t="shared" si="483"/>
        <v>42.1474</v>
      </c>
      <c r="L1366" t="str">
        <f t="shared" si="484"/>
        <v>-70.8432</v>
      </c>
      <c r="M1366">
        <v>33</v>
      </c>
      <c r="N1366" s="1">
        <v>44743</v>
      </c>
      <c r="O1366" s="1">
        <v>46099</v>
      </c>
      <c r="P1366" s="2">
        <f t="shared" si="485"/>
        <v>3.7125256673511293</v>
      </c>
      <c r="Q1366" s="2" t="str">
        <f t="shared" si="486"/>
        <v>Mid</v>
      </c>
      <c r="R1366">
        <f t="shared" si="487"/>
        <v>3000</v>
      </c>
      <c r="S1366" t="str">
        <f t="shared" si="488"/>
        <v>Small</v>
      </c>
      <c r="T1366" t="str">
        <f t="shared" si="489"/>
        <v>Lower EV Adoption Corridor</v>
      </c>
      <c r="U1366" s="3">
        <f t="shared" si="490"/>
        <v>5400000</v>
      </c>
      <c r="V1366" s="4">
        <f t="shared" si="491"/>
        <v>1320000</v>
      </c>
      <c r="W1366" s="3">
        <f t="shared" si="492"/>
        <v>18000000</v>
      </c>
      <c r="X1366" s="3">
        <f t="shared" si="493"/>
        <v>9900000</v>
      </c>
      <c r="Y1366">
        <f t="shared" si="494"/>
        <v>0.31515151515151513</v>
      </c>
      <c r="Z1366">
        <f t="shared" si="495"/>
        <v>0.75555555555555554</v>
      </c>
      <c r="AA1366" t="str">
        <f t="shared" si="496"/>
        <v>Tier 2 - Growth Markets</v>
      </c>
      <c r="AB1366" s="3">
        <f t="shared" si="497"/>
        <v>110000</v>
      </c>
      <c r="AC1366" s="3">
        <f t="shared" si="498"/>
        <v>1500000</v>
      </c>
      <c r="AD1366" s="3">
        <f t="shared" si="499"/>
        <v>450000</v>
      </c>
      <c r="AE1366" s="5">
        <f t="shared" si="500"/>
        <v>4.4117647058823533</v>
      </c>
      <c r="AF1366" s="10">
        <f t="shared" si="501"/>
        <v>818400</v>
      </c>
      <c r="AG1366" s="10">
        <f t="shared" si="502"/>
        <v>264000</v>
      </c>
      <c r="AH1366" s="10">
        <f t="shared" si="503"/>
        <v>132000</v>
      </c>
      <c r="AI1366" s="10">
        <f t="shared" si="504"/>
        <v>66000</v>
      </c>
      <c r="AJ1366" s="10">
        <f t="shared" si="505"/>
        <v>39600</v>
      </c>
    </row>
    <row r="1367" spans="1:36" x14ac:dyDescent="0.3">
      <c r="A1367" t="s">
        <v>5231</v>
      </c>
      <c r="B1367" t="s">
        <v>5232</v>
      </c>
      <c r="C1367" t="s">
        <v>1627</v>
      </c>
      <c r="D1367" t="s">
        <v>14</v>
      </c>
      <c r="E1367">
        <v>92131</v>
      </c>
      <c r="F1367" t="s">
        <v>15</v>
      </c>
      <c r="G1367">
        <v>12</v>
      </c>
      <c r="H1367">
        <v>250</v>
      </c>
      <c r="I1367" t="str" cm="1">
        <f t="array" ref="I1367">_xlfn.IFS(H1367&lt;=120,"V1",H1367&lt;=150,"V2",H1367&lt;=250,"V3", H1367&lt;=350, "V4")</f>
        <v>V3</v>
      </c>
      <c r="J1367" t="s">
        <v>5233</v>
      </c>
      <c r="K1367" t="str">
        <f t="shared" si="483"/>
        <v>32.9362</v>
      </c>
      <c r="L1367" t="str">
        <f t="shared" si="484"/>
        <v>-117.098848</v>
      </c>
      <c r="M1367">
        <v>187</v>
      </c>
      <c r="N1367" s="1">
        <v>44509</v>
      </c>
      <c r="O1367" s="1">
        <v>46099</v>
      </c>
      <c r="P1367" s="2">
        <f t="shared" si="485"/>
        <v>4.3531827515400412</v>
      </c>
      <c r="Q1367" s="2" t="str">
        <f t="shared" si="486"/>
        <v>Mid</v>
      </c>
      <c r="R1367">
        <f t="shared" si="487"/>
        <v>3000</v>
      </c>
      <c r="S1367" t="str">
        <f t="shared" si="488"/>
        <v>Small</v>
      </c>
      <c r="T1367" t="str">
        <f t="shared" si="489"/>
        <v>High EV Adoption Corridor</v>
      </c>
      <c r="U1367" s="3">
        <f t="shared" si="490"/>
        <v>7020000</v>
      </c>
      <c r="V1367" s="4">
        <f t="shared" si="491"/>
        <v>1584000</v>
      </c>
      <c r="W1367" s="3">
        <f t="shared" si="492"/>
        <v>19800000</v>
      </c>
      <c r="X1367" s="3">
        <f t="shared" si="493"/>
        <v>14850000</v>
      </c>
      <c r="Y1367">
        <f t="shared" si="494"/>
        <v>0.24</v>
      </c>
      <c r="Z1367">
        <f t="shared" si="495"/>
        <v>0.77435897435897438</v>
      </c>
      <c r="AA1367" t="str">
        <f t="shared" si="496"/>
        <v>Tier 1 - Priority Fleet</v>
      </c>
      <c r="AB1367" s="3">
        <f t="shared" si="497"/>
        <v>132000</v>
      </c>
      <c r="AC1367" s="3">
        <f t="shared" si="498"/>
        <v>1650000</v>
      </c>
      <c r="AD1367" s="3">
        <f t="shared" si="499"/>
        <v>585000</v>
      </c>
      <c r="AE1367" s="5">
        <f t="shared" si="500"/>
        <v>3.6423841059602649</v>
      </c>
      <c r="AF1367" s="10">
        <f t="shared" si="501"/>
        <v>982080</v>
      </c>
      <c r="AG1367" s="10">
        <f t="shared" si="502"/>
        <v>316800</v>
      </c>
      <c r="AH1367" s="10">
        <f t="shared" si="503"/>
        <v>158400</v>
      </c>
      <c r="AI1367" s="10">
        <f t="shared" si="504"/>
        <v>79200</v>
      </c>
      <c r="AJ1367" s="10">
        <f t="shared" si="505"/>
        <v>47520</v>
      </c>
    </row>
    <row r="1368" spans="1:36" x14ac:dyDescent="0.3">
      <c r="A1368" t="s">
        <v>5234</v>
      </c>
      <c r="B1368" t="s">
        <v>5235</v>
      </c>
      <c r="C1368" t="s">
        <v>5236</v>
      </c>
      <c r="D1368" t="s">
        <v>316</v>
      </c>
      <c r="E1368">
        <v>97479</v>
      </c>
      <c r="F1368" t="s">
        <v>15</v>
      </c>
      <c r="G1368">
        <v>51</v>
      </c>
      <c r="H1368">
        <v>250</v>
      </c>
      <c r="I1368" t="str" cm="1">
        <f t="array" ref="I1368">_xlfn.IFS(H1368&lt;=120,"V1",H1368&lt;=150,"V2",H1368&lt;=250,"V3", H1368&lt;=350, "V4")</f>
        <v>V3</v>
      </c>
      <c r="J1368" t="s">
        <v>5237</v>
      </c>
      <c r="K1368" t="str">
        <f t="shared" si="483"/>
        <v>43.386902</v>
      </c>
      <c r="L1368" t="str">
        <f t="shared" si="484"/>
        <v>-123.341367</v>
      </c>
      <c r="M1368">
        <v>136</v>
      </c>
      <c r="N1368" s="1">
        <v>44974</v>
      </c>
      <c r="O1368" s="1">
        <v>46099</v>
      </c>
      <c r="P1368" s="2">
        <f t="shared" si="485"/>
        <v>3.0800821355236141</v>
      </c>
      <c r="Q1368" s="2" t="str">
        <f t="shared" si="486"/>
        <v>Mid</v>
      </c>
      <c r="R1368">
        <f t="shared" si="487"/>
        <v>12750</v>
      </c>
      <c r="S1368" t="str">
        <f t="shared" si="488"/>
        <v>Medium</v>
      </c>
      <c r="T1368" t="str">
        <f t="shared" si="489"/>
        <v>Lower EV Adoption Corridor</v>
      </c>
      <c r="U1368" s="3">
        <f t="shared" si="490"/>
        <v>22950000</v>
      </c>
      <c r="V1368" s="4">
        <f t="shared" si="491"/>
        <v>5610000</v>
      </c>
      <c r="W1368" s="3">
        <f t="shared" si="492"/>
        <v>76500000</v>
      </c>
      <c r="X1368" s="3">
        <f t="shared" si="493"/>
        <v>42075000</v>
      </c>
      <c r="Y1368">
        <f t="shared" si="494"/>
        <v>0.31515151515151513</v>
      </c>
      <c r="Z1368">
        <f t="shared" si="495"/>
        <v>0.75555555555555554</v>
      </c>
      <c r="AA1368" t="str">
        <f t="shared" si="496"/>
        <v>Tier 2 - Growth Markets</v>
      </c>
      <c r="AB1368" s="3">
        <f t="shared" si="497"/>
        <v>110000</v>
      </c>
      <c r="AC1368" s="3">
        <f t="shared" si="498"/>
        <v>1500000</v>
      </c>
      <c r="AD1368" s="3">
        <f t="shared" si="499"/>
        <v>450000</v>
      </c>
      <c r="AE1368" s="5">
        <f t="shared" si="500"/>
        <v>4.4117647058823533</v>
      </c>
      <c r="AF1368" s="10">
        <f t="shared" si="501"/>
        <v>3478200</v>
      </c>
      <c r="AG1368" s="10">
        <f t="shared" si="502"/>
        <v>1122000</v>
      </c>
      <c r="AH1368" s="10">
        <f t="shared" si="503"/>
        <v>561000</v>
      </c>
      <c r="AI1368" s="10">
        <f t="shared" si="504"/>
        <v>280500</v>
      </c>
      <c r="AJ1368" s="10">
        <f t="shared" si="505"/>
        <v>168300</v>
      </c>
    </row>
    <row r="1369" spans="1:36" x14ac:dyDescent="0.3">
      <c r="A1369" t="s">
        <v>5238</v>
      </c>
      <c r="B1369" t="s">
        <v>5239</v>
      </c>
      <c r="C1369" t="s">
        <v>5240</v>
      </c>
      <c r="D1369" t="s">
        <v>28</v>
      </c>
      <c r="E1369">
        <v>30442</v>
      </c>
      <c r="F1369" t="s">
        <v>15</v>
      </c>
      <c r="G1369">
        <v>8</v>
      </c>
      <c r="H1369">
        <v>250</v>
      </c>
      <c r="I1369" t="str" cm="1">
        <f t="array" ref="I1369">_xlfn.IFS(H1369&lt;=120,"V1",H1369&lt;=150,"V2",H1369&lt;=250,"V3", H1369&lt;=350, "V4")</f>
        <v>V3</v>
      </c>
      <c r="J1369" t="s">
        <v>5241</v>
      </c>
      <c r="K1369" t="str">
        <f t="shared" si="483"/>
        <v>32.8032</v>
      </c>
      <c r="L1369" t="str">
        <f t="shared" si="484"/>
        <v>-81.9486</v>
      </c>
      <c r="M1369">
        <v>50</v>
      </c>
      <c r="N1369" s="1">
        <v>44681</v>
      </c>
      <c r="O1369" s="1">
        <v>46099</v>
      </c>
      <c r="P1369" s="2">
        <f t="shared" si="485"/>
        <v>3.8822724161533197</v>
      </c>
      <c r="Q1369" s="2" t="str">
        <f t="shared" si="486"/>
        <v>Mid</v>
      </c>
      <c r="R1369">
        <f t="shared" si="487"/>
        <v>2000</v>
      </c>
      <c r="S1369" t="str">
        <f t="shared" si="488"/>
        <v>Small</v>
      </c>
      <c r="T1369" t="str">
        <f t="shared" si="489"/>
        <v>Lower EV Adoption Corridor</v>
      </c>
      <c r="U1369" s="3">
        <f t="shared" si="490"/>
        <v>3600000</v>
      </c>
      <c r="V1369" s="4">
        <f t="shared" si="491"/>
        <v>880000.00000000012</v>
      </c>
      <c r="W1369" s="3">
        <f t="shared" si="492"/>
        <v>12000000</v>
      </c>
      <c r="X1369" s="3">
        <f t="shared" si="493"/>
        <v>6600000.0000000009</v>
      </c>
      <c r="Y1369">
        <f t="shared" si="494"/>
        <v>0.31515151515151513</v>
      </c>
      <c r="Z1369">
        <f t="shared" si="495"/>
        <v>0.75555555555555554</v>
      </c>
      <c r="AA1369" t="str">
        <f t="shared" si="496"/>
        <v>Tier 2 - Growth Markets</v>
      </c>
      <c r="AB1369" s="3">
        <f t="shared" si="497"/>
        <v>110000.00000000001</v>
      </c>
      <c r="AC1369" s="3">
        <f t="shared" si="498"/>
        <v>1500000</v>
      </c>
      <c r="AD1369" s="3">
        <f t="shared" si="499"/>
        <v>450000</v>
      </c>
      <c r="AE1369" s="5">
        <f t="shared" si="500"/>
        <v>4.4117647058823533</v>
      </c>
      <c r="AF1369" s="10">
        <f t="shared" si="501"/>
        <v>545600.00000000012</v>
      </c>
      <c r="AG1369" s="10">
        <f t="shared" si="502"/>
        <v>176000.00000000003</v>
      </c>
      <c r="AH1369" s="10">
        <f t="shared" si="503"/>
        <v>88000.000000000015</v>
      </c>
      <c r="AI1369" s="10">
        <f t="shared" si="504"/>
        <v>44000.000000000007</v>
      </c>
      <c r="AJ1369" s="10">
        <f t="shared" si="505"/>
        <v>26400.000000000004</v>
      </c>
    </row>
    <row r="1370" spans="1:36" x14ac:dyDescent="0.3">
      <c r="A1370" t="s">
        <v>5242</v>
      </c>
      <c r="B1370" t="s">
        <v>5243</v>
      </c>
      <c r="C1370" t="s">
        <v>5244</v>
      </c>
      <c r="D1370" t="s">
        <v>913</v>
      </c>
      <c r="E1370">
        <v>21085</v>
      </c>
      <c r="F1370" t="s">
        <v>15</v>
      </c>
      <c r="G1370">
        <v>8</v>
      </c>
      <c r="H1370">
        <v>250</v>
      </c>
      <c r="I1370" t="str" cm="1">
        <f t="array" ref="I1370">_xlfn.IFS(H1370&lt;=120,"V1",H1370&lt;=150,"V2",H1370&lt;=250,"V3", H1370&lt;=350, "V4")</f>
        <v>V3</v>
      </c>
      <c r="J1370" t="s">
        <v>5245</v>
      </c>
      <c r="K1370" t="str">
        <f t="shared" si="483"/>
        <v>39.440207</v>
      </c>
      <c r="L1370" t="str">
        <f t="shared" si="484"/>
        <v>-76.345305</v>
      </c>
      <c r="M1370">
        <v>48</v>
      </c>
      <c r="N1370" s="1">
        <v>45050</v>
      </c>
      <c r="O1370" s="1">
        <v>46099</v>
      </c>
      <c r="P1370" s="2">
        <f t="shared" si="485"/>
        <v>2.8720054757015743</v>
      </c>
      <c r="Q1370" s="2" t="str">
        <f t="shared" si="486"/>
        <v>New</v>
      </c>
      <c r="R1370">
        <f t="shared" si="487"/>
        <v>2000</v>
      </c>
      <c r="S1370" t="str">
        <f t="shared" si="488"/>
        <v>Small</v>
      </c>
      <c r="T1370" t="str">
        <f t="shared" si="489"/>
        <v>Lower EV Adoption Corridor</v>
      </c>
      <c r="U1370" s="3">
        <f t="shared" si="490"/>
        <v>3600000</v>
      </c>
      <c r="V1370" s="4">
        <f t="shared" si="491"/>
        <v>880000.00000000012</v>
      </c>
      <c r="W1370" s="3">
        <f t="shared" si="492"/>
        <v>12000000</v>
      </c>
      <c r="X1370" s="3">
        <f t="shared" si="493"/>
        <v>6600000.0000000009</v>
      </c>
      <c r="Y1370">
        <f t="shared" si="494"/>
        <v>0.31515151515151513</v>
      </c>
      <c r="Z1370">
        <f t="shared" si="495"/>
        <v>0.75555555555555554</v>
      </c>
      <c r="AA1370" t="str">
        <f t="shared" si="496"/>
        <v>Tier 2 - Growth Markets</v>
      </c>
      <c r="AB1370" s="3">
        <f t="shared" si="497"/>
        <v>110000.00000000001</v>
      </c>
      <c r="AC1370" s="3">
        <f t="shared" si="498"/>
        <v>1500000</v>
      </c>
      <c r="AD1370" s="3">
        <f t="shared" si="499"/>
        <v>450000</v>
      </c>
      <c r="AE1370" s="5">
        <f t="shared" si="500"/>
        <v>4.4117647058823533</v>
      </c>
      <c r="AF1370" s="10">
        <f t="shared" si="501"/>
        <v>545600.00000000012</v>
      </c>
      <c r="AG1370" s="10">
        <f t="shared" si="502"/>
        <v>176000.00000000003</v>
      </c>
      <c r="AH1370" s="10">
        <f t="shared" si="503"/>
        <v>88000.000000000015</v>
      </c>
      <c r="AI1370" s="10">
        <f t="shared" si="504"/>
        <v>44000.000000000007</v>
      </c>
      <c r="AJ1370" s="10">
        <f t="shared" si="505"/>
        <v>26400.000000000004</v>
      </c>
    </row>
    <row r="1371" spans="1:36" x14ac:dyDescent="0.3">
      <c r="A1371" t="s">
        <v>5246</v>
      </c>
      <c r="B1371" t="s">
        <v>5247</v>
      </c>
      <c r="C1371" t="s">
        <v>5248</v>
      </c>
      <c r="D1371" t="s">
        <v>189</v>
      </c>
      <c r="E1371">
        <v>53545</v>
      </c>
      <c r="F1371" t="s">
        <v>15</v>
      </c>
      <c r="G1371">
        <v>8</v>
      </c>
      <c r="H1371">
        <v>250</v>
      </c>
      <c r="I1371" t="str" cm="1">
        <f t="array" ref="I1371">_xlfn.IFS(H1371&lt;=120,"V1",H1371&lt;=150,"V2",H1371&lt;=250,"V3", H1371&lt;=350, "V4")</f>
        <v>V3</v>
      </c>
      <c r="J1371" t="s">
        <v>5249</v>
      </c>
      <c r="K1371" t="str">
        <f t="shared" si="483"/>
        <v>42.7176917</v>
      </c>
      <c r="L1371" t="str">
        <f t="shared" si="484"/>
        <v>-88.9947624</v>
      </c>
      <c r="M1371">
        <v>271</v>
      </c>
      <c r="N1371" s="1">
        <v>44737</v>
      </c>
      <c r="O1371" s="1">
        <v>46099</v>
      </c>
      <c r="P1371" s="2">
        <f t="shared" si="485"/>
        <v>3.7289527720739222</v>
      </c>
      <c r="Q1371" s="2" t="str">
        <f t="shared" si="486"/>
        <v>Mid</v>
      </c>
      <c r="R1371">
        <f t="shared" si="487"/>
        <v>2000</v>
      </c>
      <c r="S1371" t="str">
        <f t="shared" si="488"/>
        <v>Small</v>
      </c>
      <c r="T1371" t="str">
        <f t="shared" si="489"/>
        <v>Lower EV Adoption Corridor</v>
      </c>
      <c r="U1371" s="3">
        <f t="shared" si="490"/>
        <v>3600000</v>
      </c>
      <c r="V1371" s="4">
        <f t="shared" si="491"/>
        <v>880000.00000000012</v>
      </c>
      <c r="W1371" s="3">
        <f t="shared" si="492"/>
        <v>12000000</v>
      </c>
      <c r="X1371" s="3">
        <f t="shared" si="493"/>
        <v>6600000.0000000009</v>
      </c>
      <c r="Y1371">
        <f t="shared" si="494"/>
        <v>0.31515151515151513</v>
      </c>
      <c r="Z1371">
        <f t="shared" si="495"/>
        <v>0.75555555555555554</v>
      </c>
      <c r="AA1371" t="str">
        <f t="shared" si="496"/>
        <v>Tier 2 - Growth Markets</v>
      </c>
      <c r="AB1371" s="3">
        <f t="shared" si="497"/>
        <v>110000.00000000001</v>
      </c>
      <c r="AC1371" s="3">
        <f t="shared" si="498"/>
        <v>1500000</v>
      </c>
      <c r="AD1371" s="3">
        <f t="shared" si="499"/>
        <v>450000</v>
      </c>
      <c r="AE1371" s="5">
        <f t="shared" si="500"/>
        <v>4.4117647058823533</v>
      </c>
      <c r="AF1371" s="10">
        <f t="shared" si="501"/>
        <v>545600.00000000012</v>
      </c>
      <c r="AG1371" s="10">
        <f t="shared" si="502"/>
        <v>176000.00000000003</v>
      </c>
      <c r="AH1371" s="10">
        <f t="shared" si="503"/>
        <v>88000.000000000015</v>
      </c>
      <c r="AI1371" s="10">
        <f t="shared" si="504"/>
        <v>44000.000000000007</v>
      </c>
      <c r="AJ1371" s="10">
        <f t="shared" si="505"/>
        <v>26400.000000000004</v>
      </c>
    </row>
    <row r="1372" spans="1:36" x14ac:dyDescent="0.3">
      <c r="A1372" t="s">
        <v>5250</v>
      </c>
      <c r="B1372" t="s">
        <v>5251</v>
      </c>
      <c r="C1372" t="s">
        <v>4074</v>
      </c>
      <c r="D1372" t="s">
        <v>14</v>
      </c>
      <c r="E1372">
        <v>90232</v>
      </c>
      <c r="F1372" t="s">
        <v>15</v>
      </c>
      <c r="G1372">
        <v>8</v>
      </c>
      <c r="H1372">
        <v>250</v>
      </c>
      <c r="I1372" t="str" cm="1">
        <f t="array" ref="I1372">_xlfn.IFS(H1372&lt;=120,"V1",H1372&lt;=150,"V2",H1372&lt;=250,"V3", H1372&lt;=350, "V4")</f>
        <v>V3</v>
      </c>
      <c r="J1372" t="s">
        <v>5252</v>
      </c>
      <c r="K1372" t="str">
        <f t="shared" si="483"/>
        <v>34.027046</v>
      </c>
      <c r="L1372" t="str">
        <f t="shared" si="484"/>
        <v>-118.388416</v>
      </c>
      <c r="M1372">
        <v>33</v>
      </c>
      <c r="N1372" s="1">
        <v>44462</v>
      </c>
      <c r="O1372" s="1">
        <v>46099</v>
      </c>
      <c r="P1372" s="2">
        <f t="shared" si="485"/>
        <v>4.4818617385352502</v>
      </c>
      <c r="Q1372" s="2" t="str">
        <f t="shared" si="486"/>
        <v>Mid</v>
      </c>
      <c r="R1372">
        <f t="shared" si="487"/>
        <v>2000</v>
      </c>
      <c r="S1372" t="str">
        <f t="shared" si="488"/>
        <v>Small</v>
      </c>
      <c r="T1372" t="str">
        <f t="shared" si="489"/>
        <v>High EV Adoption Corridor</v>
      </c>
      <c r="U1372" s="3">
        <f t="shared" si="490"/>
        <v>4680000</v>
      </c>
      <c r="V1372" s="4">
        <f t="shared" si="491"/>
        <v>1056000</v>
      </c>
      <c r="W1372" s="3">
        <f t="shared" si="492"/>
        <v>13200000.000000002</v>
      </c>
      <c r="X1372" s="3">
        <f t="shared" si="493"/>
        <v>9900000.0000000019</v>
      </c>
      <c r="Y1372">
        <f t="shared" si="494"/>
        <v>0.23999999999999996</v>
      </c>
      <c r="Z1372">
        <f t="shared" si="495"/>
        <v>0.77435897435897438</v>
      </c>
      <c r="AA1372" t="str">
        <f t="shared" si="496"/>
        <v>Tier 1 - Priority Fleet</v>
      </c>
      <c r="AB1372" s="3">
        <f t="shared" si="497"/>
        <v>132000</v>
      </c>
      <c r="AC1372" s="3">
        <f t="shared" si="498"/>
        <v>1650000.0000000002</v>
      </c>
      <c r="AD1372" s="3">
        <f t="shared" si="499"/>
        <v>585000</v>
      </c>
      <c r="AE1372" s="5">
        <f t="shared" si="500"/>
        <v>3.6423841059602653</v>
      </c>
      <c r="AF1372" s="10">
        <f t="shared" si="501"/>
        <v>654720</v>
      </c>
      <c r="AG1372" s="10">
        <f t="shared" si="502"/>
        <v>211200</v>
      </c>
      <c r="AH1372" s="10">
        <f t="shared" si="503"/>
        <v>105600</v>
      </c>
      <c r="AI1372" s="10">
        <f t="shared" si="504"/>
        <v>52800</v>
      </c>
      <c r="AJ1372" s="10">
        <f t="shared" si="505"/>
        <v>31680</v>
      </c>
    </row>
    <row r="1373" spans="1:36" x14ac:dyDescent="0.3">
      <c r="A1373" t="s">
        <v>5253</v>
      </c>
      <c r="B1373" t="s">
        <v>5254</v>
      </c>
      <c r="C1373" t="s">
        <v>557</v>
      </c>
      <c r="D1373" t="s">
        <v>433</v>
      </c>
      <c r="E1373">
        <v>89101</v>
      </c>
      <c r="F1373" t="s">
        <v>15</v>
      </c>
      <c r="G1373">
        <v>6</v>
      </c>
      <c r="H1373">
        <v>120</v>
      </c>
      <c r="I1373" t="str" cm="1">
        <f t="array" ref="I1373">_xlfn.IFS(H1373&lt;=120,"V1",H1373&lt;=150,"V2",H1373&lt;=250,"V3", H1373&lt;=350, "V4")</f>
        <v>V1</v>
      </c>
      <c r="J1373" t="s">
        <v>5255</v>
      </c>
      <c r="K1373" t="str">
        <f t="shared" si="483"/>
        <v>36.165906</v>
      </c>
      <c r="L1373" t="str">
        <f t="shared" si="484"/>
        <v>-115.138655</v>
      </c>
      <c r="M1373">
        <v>609</v>
      </c>
      <c r="N1373" s="1">
        <v>41689</v>
      </c>
      <c r="O1373" s="1">
        <v>46099</v>
      </c>
      <c r="P1373" s="2">
        <f t="shared" si="485"/>
        <v>12.073921971252567</v>
      </c>
      <c r="Q1373" s="2" t="str">
        <f t="shared" si="486"/>
        <v>Old</v>
      </c>
      <c r="R1373">
        <f t="shared" si="487"/>
        <v>720</v>
      </c>
      <c r="S1373" t="str">
        <f t="shared" si="488"/>
        <v>Small</v>
      </c>
      <c r="T1373" t="str">
        <f t="shared" si="489"/>
        <v>Lower EV Adoption Corridor</v>
      </c>
      <c r="U1373" s="3">
        <f t="shared" si="490"/>
        <v>1080000</v>
      </c>
      <c r="V1373" s="4">
        <f t="shared" si="491"/>
        <v>259200</v>
      </c>
      <c r="W1373" s="3">
        <f t="shared" si="492"/>
        <v>2880000</v>
      </c>
      <c r="X1373" s="3">
        <f t="shared" si="493"/>
        <v>1944000</v>
      </c>
      <c r="Y1373">
        <f t="shared" si="494"/>
        <v>0.2814814814814815</v>
      </c>
      <c r="Z1373">
        <f t="shared" si="495"/>
        <v>0.76</v>
      </c>
      <c r="AA1373" t="str">
        <f t="shared" si="496"/>
        <v>Tier 5 - Retirement Pipeline</v>
      </c>
      <c r="AB1373" s="3">
        <f t="shared" si="497"/>
        <v>43200</v>
      </c>
      <c r="AC1373" s="3">
        <f t="shared" si="498"/>
        <v>480000</v>
      </c>
      <c r="AD1373" s="3">
        <f t="shared" si="499"/>
        <v>180000</v>
      </c>
      <c r="AE1373" s="5">
        <f t="shared" si="500"/>
        <v>3.5087719298245612</v>
      </c>
      <c r="AF1373" s="10">
        <f t="shared" si="501"/>
        <v>160704</v>
      </c>
      <c r="AG1373" s="10">
        <f t="shared" si="502"/>
        <v>51840</v>
      </c>
      <c r="AH1373" s="10">
        <f t="shared" si="503"/>
        <v>25920</v>
      </c>
      <c r="AI1373" s="10">
        <f t="shared" si="504"/>
        <v>12960</v>
      </c>
      <c r="AJ1373" s="10">
        <f t="shared" si="505"/>
        <v>7776</v>
      </c>
    </row>
    <row r="1374" spans="1:36" x14ac:dyDescent="0.3">
      <c r="A1374" t="s">
        <v>5256</v>
      </c>
      <c r="B1374" t="s">
        <v>5257</v>
      </c>
      <c r="C1374" t="s">
        <v>557</v>
      </c>
      <c r="D1374" t="s">
        <v>433</v>
      </c>
      <c r="E1374">
        <v>89109</v>
      </c>
      <c r="F1374" t="s">
        <v>15</v>
      </c>
      <c r="G1374">
        <v>24</v>
      </c>
      <c r="H1374">
        <v>250</v>
      </c>
      <c r="I1374" t="str" cm="1">
        <f t="array" ref="I1374">_xlfn.IFS(H1374&lt;=120,"V1",H1374&lt;=150,"V2",H1374&lt;=250,"V3", H1374&lt;=350, "V4")</f>
        <v>V3</v>
      </c>
      <c r="J1374" t="s">
        <v>5258</v>
      </c>
      <c r="K1374" t="str">
        <f t="shared" si="483"/>
        <v>36.11671</v>
      </c>
      <c r="L1374" t="str">
        <f t="shared" si="484"/>
        <v>-115.168258</v>
      </c>
      <c r="M1374">
        <v>636</v>
      </c>
      <c r="N1374" s="1">
        <v>43665</v>
      </c>
      <c r="O1374" s="1">
        <v>46099</v>
      </c>
      <c r="P1374" s="2">
        <f t="shared" si="485"/>
        <v>6.6639288158795349</v>
      </c>
      <c r="Q1374" s="2" t="str">
        <f t="shared" si="486"/>
        <v>Mid</v>
      </c>
      <c r="R1374">
        <f t="shared" si="487"/>
        <v>6000</v>
      </c>
      <c r="S1374" t="str">
        <f t="shared" si="488"/>
        <v>Small</v>
      </c>
      <c r="T1374" t="str">
        <f t="shared" si="489"/>
        <v>Lower EV Adoption Corridor</v>
      </c>
      <c r="U1374" s="3">
        <f t="shared" si="490"/>
        <v>10800000</v>
      </c>
      <c r="V1374" s="4">
        <f t="shared" si="491"/>
        <v>2640000</v>
      </c>
      <c r="W1374" s="3">
        <f t="shared" si="492"/>
        <v>36000000</v>
      </c>
      <c r="X1374" s="3">
        <f t="shared" si="493"/>
        <v>19800000</v>
      </c>
      <c r="Y1374">
        <f t="shared" si="494"/>
        <v>0.31515151515151513</v>
      </c>
      <c r="Z1374">
        <f t="shared" si="495"/>
        <v>0.75555555555555554</v>
      </c>
      <c r="AA1374" t="str">
        <f t="shared" si="496"/>
        <v>Tier 2 - Growth Markets</v>
      </c>
      <c r="AB1374" s="3">
        <f t="shared" si="497"/>
        <v>110000</v>
      </c>
      <c r="AC1374" s="3">
        <f t="shared" si="498"/>
        <v>1500000</v>
      </c>
      <c r="AD1374" s="3">
        <f t="shared" si="499"/>
        <v>450000</v>
      </c>
      <c r="AE1374" s="5">
        <f t="shared" si="500"/>
        <v>4.4117647058823533</v>
      </c>
      <c r="AF1374" s="10">
        <f t="shared" si="501"/>
        <v>1636800</v>
      </c>
      <c r="AG1374" s="10">
        <f t="shared" si="502"/>
        <v>528000</v>
      </c>
      <c r="AH1374" s="10">
        <f t="shared" si="503"/>
        <v>264000</v>
      </c>
      <c r="AI1374" s="10">
        <f t="shared" si="504"/>
        <v>132000</v>
      </c>
      <c r="AJ1374" s="10">
        <f t="shared" si="505"/>
        <v>79200</v>
      </c>
    </row>
    <row r="1375" spans="1:36" x14ac:dyDescent="0.3">
      <c r="A1375" t="s">
        <v>5259</v>
      </c>
      <c r="B1375" t="s">
        <v>5260</v>
      </c>
      <c r="C1375" t="s">
        <v>5261</v>
      </c>
      <c r="D1375" t="s">
        <v>41</v>
      </c>
      <c r="E1375">
        <v>32615</v>
      </c>
      <c r="F1375" t="s">
        <v>15</v>
      </c>
      <c r="G1375">
        <v>12</v>
      </c>
      <c r="H1375">
        <v>250</v>
      </c>
      <c r="I1375" t="str" cm="1">
        <f t="array" ref="I1375">_xlfn.IFS(H1375&lt;=120,"V1",H1375&lt;=150,"V2",H1375&lt;=250,"V3", H1375&lt;=350, "V4")</f>
        <v>V3</v>
      </c>
      <c r="J1375" t="s">
        <v>5262</v>
      </c>
      <c r="K1375" t="str">
        <f t="shared" si="483"/>
        <v>29.796918</v>
      </c>
      <c r="L1375" t="str">
        <f t="shared" si="484"/>
        <v>-82.500844</v>
      </c>
      <c r="M1375">
        <v>20</v>
      </c>
      <c r="N1375" s="1">
        <v>44720</v>
      </c>
      <c r="O1375" s="1">
        <v>46099</v>
      </c>
      <c r="P1375" s="2">
        <f t="shared" si="485"/>
        <v>3.7754962354551678</v>
      </c>
      <c r="Q1375" s="2" t="str">
        <f t="shared" si="486"/>
        <v>Mid</v>
      </c>
      <c r="R1375">
        <f t="shared" si="487"/>
        <v>3000</v>
      </c>
      <c r="S1375" t="str">
        <f t="shared" si="488"/>
        <v>Small</v>
      </c>
      <c r="T1375" t="str">
        <f t="shared" si="489"/>
        <v>High EV Adoption Corridor</v>
      </c>
      <c r="U1375" s="3">
        <f t="shared" si="490"/>
        <v>7020000</v>
      </c>
      <c r="V1375" s="4">
        <f t="shared" si="491"/>
        <v>1584000</v>
      </c>
      <c r="W1375" s="3">
        <f t="shared" si="492"/>
        <v>19800000</v>
      </c>
      <c r="X1375" s="3">
        <f t="shared" si="493"/>
        <v>14850000</v>
      </c>
      <c r="Y1375">
        <f t="shared" si="494"/>
        <v>0.24</v>
      </c>
      <c r="Z1375">
        <f t="shared" si="495"/>
        <v>0.77435897435897438</v>
      </c>
      <c r="AA1375" t="str">
        <f t="shared" si="496"/>
        <v>Tier 1 - Priority Fleet</v>
      </c>
      <c r="AB1375" s="3">
        <f t="shared" si="497"/>
        <v>132000</v>
      </c>
      <c r="AC1375" s="3">
        <f t="shared" si="498"/>
        <v>1650000</v>
      </c>
      <c r="AD1375" s="3">
        <f t="shared" si="499"/>
        <v>585000</v>
      </c>
      <c r="AE1375" s="5">
        <f t="shared" si="500"/>
        <v>3.6423841059602649</v>
      </c>
      <c r="AF1375" s="10">
        <f t="shared" si="501"/>
        <v>982080</v>
      </c>
      <c r="AG1375" s="10">
        <f t="shared" si="502"/>
        <v>316800</v>
      </c>
      <c r="AH1375" s="10">
        <f t="shared" si="503"/>
        <v>158400</v>
      </c>
      <c r="AI1375" s="10">
        <f t="shared" si="504"/>
        <v>79200</v>
      </c>
      <c r="AJ1375" s="10">
        <f t="shared" si="505"/>
        <v>47520</v>
      </c>
    </row>
    <row r="1376" spans="1:36" x14ac:dyDescent="0.3">
      <c r="A1376" t="s">
        <v>5263</v>
      </c>
      <c r="B1376" t="s">
        <v>5264</v>
      </c>
      <c r="C1376" t="s">
        <v>5265</v>
      </c>
      <c r="D1376" t="s">
        <v>98</v>
      </c>
      <c r="E1376">
        <v>6067</v>
      </c>
      <c r="F1376" t="s">
        <v>15</v>
      </c>
      <c r="G1376">
        <v>12</v>
      </c>
      <c r="H1376">
        <v>250</v>
      </c>
      <c r="I1376" t="str" cm="1">
        <f t="array" ref="I1376">_xlfn.IFS(H1376&lt;=120,"V1",H1376&lt;=150,"V2",H1376&lt;=250,"V3", H1376&lt;=350, "V4")</f>
        <v>V3</v>
      </c>
      <c r="J1376" t="s">
        <v>5266</v>
      </c>
      <c r="K1376" t="str">
        <f t="shared" si="483"/>
        <v>41.653283</v>
      </c>
      <c r="L1376" t="str">
        <f t="shared" si="484"/>
        <v>-72.679252</v>
      </c>
      <c r="M1376">
        <v>54</v>
      </c>
      <c r="N1376" s="1">
        <v>44813</v>
      </c>
      <c r="O1376" s="1">
        <v>46099</v>
      </c>
      <c r="P1376" s="2">
        <f t="shared" si="485"/>
        <v>3.5208761122518824</v>
      </c>
      <c r="Q1376" s="2" t="str">
        <f t="shared" si="486"/>
        <v>Mid</v>
      </c>
      <c r="R1376">
        <f t="shared" si="487"/>
        <v>3000</v>
      </c>
      <c r="S1376" t="str">
        <f t="shared" si="488"/>
        <v>Small</v>
      </c>
      <c r="T1376" t="str">
        <f t="shared" si="489"/>
        <v>Lower EV Adoption Corridor</v>
      </c>
      <c r="U1376" s="3">
        <f t="shared" si="490"/>
        <v>5400000</v>
      </c>
      <c r="V1376" s="4">
        <f t="shared" si="491"/>
        <v>1320000</v>
      </c>
      <c r="W1376" s="3">
        <f t="shared" si="492"/>
        <v>18000000</v>
      </c>
      <c r="X1376" s="3">
        <f t="shared" si="493"/>
        <v>9900000</v>
      </c>
      <c r="Y1376">
        <f t="shared" si="494"/>
        <v>0.31515151515151513</v>
      </c>
      <c r="Z1376">
        <f t="shared" si="495"/>
        <v>0.75555555555555554</v>
      </c>
      <c r="AA1376" t="str">
        <f t="shared" si="496"/>
        <v>Tier 2 - Growth Markets</v>
      </c>
      <c r="AB1376" s="3">
        <f t="shared" si="497"/>
        <v>110000</v>
      </c>
      <c r="AC1376" s="3">
        <f t="shared" si="498"/>
        <v>1500000</v>
      </c>
      <c r="AD1376" s="3">
        <f t="shared" si="499"/>
        <v>450000</v>
      </c>
      <c r="AE1376" s="5">
        <f t="shared" si="500"/>
        <v>4.4117647058823533</v>
      </c>
      <c r="AF1376" s="10">
        <f t="shared" si="501"/>
        <v>818400</v>
      </c>
      <c r="AG1376" s="10">
        <f t="shared" si="502"/>
        <v>264000</v>
      </c>
      <c r="AH1376" s="10">
        <f t="shared" si="503"/>
        <v>132000</v>
      </c>
      <c r="AI1376" s="10">
        <f t="shared" si="504"/>
        <v>66000</v>
      </c>
      <c r="AJ1376" s="10">
        <f t="shared" si="505"/>
        <v>39600</v>
      </c>
    </row>
    <row r="1377" spans="1:36" x14ac:dyDescent="0.3">
      <c r="A1377" t="s">
        <v>5267</v>
      </c>
      <c r="B1377" t="s">
        <v>5268</v>
      </c>
      <c r="C1377" t="s">
        <v>5269</v>
      </c>
      <c r="D1377" t="s">
        <v>77</v>
      </c>
      <c r="E1377">
        <v>28451</v>
      </c>
      <c r="F1377" t="s">
        <v>15</v>
      </c>
      <c r="G1377">
        <v>12</v>
      </c>
      <c r="H1377">
        <v>250</v>
      </c>
      <c r="I1377" t="str" cm="1">
        <f t="array" ref="I1377">_xlfn.IFS(H1377&lt;=120,"V1",H1377&lt;=150,"V2",H1377&lt;=250,"V3", H1377&lt;=350, "V4")</f>
        <v>V3</v>
      </c>
      <c r="J1377" t="s">
        <v>5270</v>
      </c>
      <c r="K1377" t="str">
        <f t="shared" si="483"/>
        <v>34.2173</v>
      </c>
      <c r="L1377" t="str">
        <f t="shared" si="484"/>
        <v>-78.0185</v>
      </c>
      <c r="M1377">
        <v>8</v>
      </c>
      <c r="N1377" s="1">
        <v>44616</v>
      </c>
      <c r="O1377" s="1">
        <v>46099</v>
      </c>
      <c r="P1377" s="2">
        <f t="shared" si="485"/>
        <v>4.0602327173169064</v>
      </c>
      <c r="Q1377" s="2" t="str">
        <f t="shared" si="486"/>
        <v>Mid</v>
      </c>
      <c r="R1377">
        <f t="shared" si="487"/>
        <v>3000</v>
      </c>
      <c r="S1377" t="str">
        <f t="shared" si="488"/>
        <v>Small</v>
      </c>
      <c r="T1377" t="str">
        <f t="shared" si="489"/>
        <v>Lower EV Adoption Corridor</v>
      </c>
      <c r="U1377" s="3">
        <f t="shared" si="490"/>
        <v>5400000</v>
      </c>
      <c r="V1377" s="4">
        <f t="shared" si="491"/>
        <v>1320000</v>
      </c>
      <c r="W1377" s="3">
        <f t="shared" si="492"/>
        <v>18000000</v>
      </c>
      <c r="X1377" s="3">
        <f t="shared" si="493"/>
        <v>9900000</v>
      </c>
      <c r="Y1377">
        <f t="shared" si="494"/>
        <v>0.31515151515151513</v>
      </c>
      <c r="Z1377">
        <f t="shared" si="495"/>
        <v>0.75555555555555554</v>
      </c>
      <c r="AA1377" t="str">
        <f t="shared" si="496"/>
        <v>Tier 2 - Growth Markets</v>
      </c>
      <c r="AB1377" s="3">
        <f t="shared" si="497"/>
        <v>110000</v>
      </c>
      <c r="AC1377" s="3">
        <f t="shared" si="498"/>
        <v>1500000</v>
      </c>
      <c r="AD1377" s="3">
        <f t="shared" si="499"/>
        <v>450000</v>
      </c>
      <c r="AE1377" s="5">
        <f t="shared" si="500"/>
        <v>4.4117647058823533</v>
      </c>
      <c r="AF1377" s="10">
        <f t="shared" si="501"/>
        <v>818400</v>
      </c>
      <c r="AG1377" s="10">
        <f t="shared" si="502"/>
        <v>264000</v>
      </c>
      <c r="AH1377" s="10">
        <f t="shared" si="503"/>
        <v>132000</v>
      </c>
      <c r="AI1377" s="10">
        <f t="shared" si="504"/>
        <v>66000</v>
      </c>
      <c r="AJ1377" s="10">
        <f t="shared" si="505"/>
        <v>39600</v>
      </c>
    </row>
    <row r="1378" spans="1:36" x14ac:dyDescent="0.3">
      <c r="A1378" t="s">
        <v>5271</v>
      </c>
      <c r="B1378" t="s">
        <v>5272</v>
      </c>
      <c r="C1378" t="s">
        <v>5273</v>
      </c>
      <c r="D1378" t="s">
        <v>189</v>
      </c>
      <c r="E1378">
        <v>54913</v>
      </c>
      <c r="F1378" t="s">
        <v>15</v>
      </c>
      <c r="G1378">
        <v>8</v>
      </c>
      <c r="H1378">
        <v>250</v>
      </c>
      <c r="I1378" t="str" cm="1">
        <f t="array" ref="I1378">_xlfn.IFS(H1378&lt;=120,"V1",H1378&lt;=150,"V2",H1378&lt;=250,"V3", H1378&lt;=350, "V4")</f>
        <v>V3</v>
      </c>
      <c r="J1378" t="s">
        <v>5274</v>
      </c>
      <c r="K1378" t="str">
        <f t="shared" si="483"/>
        <v>44.301045</v>
      </c>
      <c r="L1378" t="str">
        <f t="shared" si="484"/>
        <v>-88.416975</v>
      </c>
      <c r="M1378">
        <v>254</v>
      </c>
      <c r="N1378" s="1">
        <v>44915</v>
      </c>
      <c r="O1378" s="1">
        <v>46099</v>
      </c>
      <c r="P1378" s="2">
        <f t="shared" si="485"/>
        <v>3.2416153319644079</v>
      </c>
      <c r="Q1378" s="2" t="str">
        <f t="shared" si="486"/>
        <v>Mid</v>
      </c>
      <c r="R1378">
        <f t="shared" si="487"/>
        <v>2000</v>
      </c>
      <c r="S1378" t="str">
        <f t="shared" si="488"/>
        <v>Small</v>
      </c>
      <c r="T1378" t="str">
        <f t="shared" si="489"/>
        <v>Lower EV Adoption Corridor</v>
      </c>
      <c r="U1378" s="3">
        <f t="shared" si="490"/>
        <v>3600000</v>
      </c>
      <c r="V1378" s="4">
        <f t="shared" si="491"/>
        <v>880000.00000000012</v>
      </c>
      <c r="W1378" s="3">
        <f t="shared" si="492"/>
        <v>12000000</v>
      </c>
      <c r="X1378" s="3">
        <f t="shared" si="493"/>
        <v>6600000.0000000009</v>
      </c>
      <c r="Y1378">
        <f t="shared" si="494"/>
        <v>0.31515151515151513</v>
      </c>
      <c r="Z1378">
        <f t="shared" si="495"/>
        <v>0.75555555555555554</v>
      </c>
      <c r="AA1378" t="str">
        <f t="shared" si="496"/>
        <v>Tier 2 - Growth Markets</v>
      </c>
      <c r="AB1378" s="3">
        <f t="shared" si="497"/>
        <v>110000.00000000001</v>
      </c>
      <c r="AC1378" s="3">
        <f t="shared" si="498"/>
        <v>1500000</v>
      </c>
      <c r="AD1378" s="3">
        <f t="shared" si="499"/>
        <v>450000</v>
      </c>
      <c r="AE1378" s="5">
        <f t="shared" si="500"/>
        <v>4.4117647058823533</v>
      </c>
      <c r="AF1378" s="10">
        <f t="shared" si="501"/>
        <v>545600.00000000012</v>
      </c>
      <c r="AG1378" s="10">
        <f t="shared" si="502"/>
        <v>176000.00000000003</v>
      </c>
      <c r="AH1378" s="10">
        <f t="shared" si="503"/>
        <v>88000.000000000015</v>
      </c>
      <c r="AI1378" s="10">
        <f t="shared" si="504"/>
        <v>44000.000000000007</v>
      </c>
      <c r="AJ1378" s="10">
        <f t="shared" si="505"/>
        <v>26400.000000000004</v>
      </c>
    </row>
    <row r="1379" spans="1:36" x14ac:dyDescent="0.3">
      <c r="A1379" t="s">
        <v>5275</v>
      </c>
      <c r="B1379" t="s">
        <v>5276</v>
      </c>
      <c r="C1379" t="s">
        <v>5277</v>
      </c>
      <c r="D1379" t="s">
        <v>350</v>
      </c>
      <c r="E1379">
        <v>71457</v>
      </c>
      <c r="F1379" t="s">
        <v>15</v>
      </c>
      <c r="G1379">
        <v>8</v>
      </c>
      <c r="H1379">
        <v>250</v>
      </c>
      <c r="I1379" t="str" cm="1">
        <f t="array" ref="I1379">_xlfn.IFS(H1379&lt;=120,"V1",H1379&lt;=150,"V2",H1379&lt;=250,"V3", H1379&lt;=350, "V4")</f>
        <v>V3</v>
      </c>
      <c r="J1379" t="s">
        <v>5278</v>
      </c>
      <c r="K1379" t="str">
        <f t="shared" si="483"/>
        <v>31.724944</v>
      </c>
      <c r="L1379" t="str">
        <f t="shared" si="484"/>
        <v>-93.162309</v>
      </c>
      <c r="M1379">
        <v>64</v>
      </c>
      <c r="N1379" s="1">
        <v>44723</v>
      </c>
      <c r="O1379" s="1">
        <v>46099</v>
      </c>
      <c r="P1379" s="2">
        <f t="shared" si="485"/>
        <v>3.7672826830937716</v>
      </c>
      <c r="Q1379" s="2" t="str">
        <f t="shared" si="486"/>
        <v>Mid</v>
      </c>
      <c r="R1379">
        <f t="shared" si="487"/>
        <v>2000</v>
      </c>
      <c r="S1379" t="str">
        <f t="shared" si="488"/>
        <v>Small</v>
      </c>
      <c r="T1379" t="str">
        <f t="shared" si="489"/>
        <v>Lower EV Adoption Corridor</v>
      </c>
      <c r="U1379" s="3">
        <f t="shared" si="490"/>
        <v>3600000</v>
      </c>
      <c r="V1379" s="4">
        <f t="shared" si="491"/>
        <v>880000.00000000012</v>
      </c>
      <c r="W1379" s="3">
        <f t="shared" si="492"/>
        <v>12000000</v>
      </c>
      <c r="X1379" s="3">
        <f t="shared" si="493"/>
        <v>6600000.0000000009</v>
      </c>
      <c r="Y1379">
        <f t="shared" si="494"/>
        <v>0.31515151515151513</v>
      </c>
      <c r="Z1379">
        <f t="shared" si="495"/>
        <v>0.75555555555555554</v>
      </c>
      <c r="AA1379" t="str">
        <f t="shared" si="496"/>
        <v>Tier 2 - Growth Markets</v>
      </c>
      <c r="AB1379" s="3">
        <f t="shared" si="497"/>
        <v>110000.00000000001</v>
      </c>
      <c r="AC1379" s="3">
        <f t="shared" si="498"/>
        <v>1500000</v>
      </c>
      <c r="AD1379" s="3">
        <f t="shared" si="499"/>
        <v>450000</v>
      </c>
      <c r="AE1379" s="5">
        <f t="shared" si="500"/>
        <v>4.4117647058823533</v>
      </c>
      <c r="AF1379" s="10">
        <f t="shared" si="501"/>
        <v>545600.00000000012</v>
      </c>
      <c r="AG1379" s="10">
        <f t="shared" si="502"/>
        <v>176000.00000000003</v>
      </c>
      <c r="AH1379" s="10">
        <f t="shared" si="503"/>
        <v>88000.000000000015</v>
      </c>
      <c r="AI1379" s="10">
        <f t="shared" si="504"/>
        <v>44000.000000000007</v>
      </c>
      <c r="AJ1379" s="10">
        <f t="shared" si="505"/>
        <v>26400.000000000004</v>
      </c>
    </row>
    <row r="1380" spans="1:36" x14ac:dyDescent="0.3">
      <c r="A1380" t="s">
        <v>5279</v>
      </c>
      <c r="B1380" t="s">
        <v>5280</v>
      </c>
      <c r="C1380" t="s">
        <v>5281</v>
      </c>
      <c r="D1380" t="s">
        <v>77</v>
      </c>
      <c r="E1380">
        <v>28398</v>
      </c>
      <c r="F1380" t="s">
        <v>15</v>
      </c>
      <c r="G1380">
        <v>12</v>
      </c>
      <c r="H1380">
        <v>250</v>
      </c>
      <c r="I1380" t="str" cm="1">
        <f t="array" ref="I1380">_xlfn.IFS(H1380&lt;=120,"V1",H1380&lt;=150,"V2",H1380&lt;=250,"V3", H1380&lt;=350, "V4")</f>
        <v>V3</v>
      </c>
      <c r="J1380" t="s">
        <v>5282</v>
      </c>
      <c r="K1380" t="str">
        <f t="shared" si="483"/>
        <v>34.992695</v>
      </c>
      <c r="L1380" t="str">
        <f t="shared" si="484"/>
        <v>-78.135604</v>
      </c>
      <c r="M1380">
        <v>47</v>
      </c>
      <c r="N1380" s="1">
        <v>44456</v>
      </c>
      <c r="O1380" s="1">
        <v>46099</v>
      </c>
      <c r="P1380" s="2">
        <f t="shared" si="485"/>
        <v>4.4982888432580426</v>
      </c>
      <c r="Q1380" s="2" t="str">
        <f t="shared" si="486"/>
        <v>Mid</v>
      </c>
      <c r="R1380">
        <f t="shared" si="487"/>
        <v>3000</v>
      </c>
      <c r="S1380" t="str">
        <f t="shared" si="488"/>
        <v>Small</v>
      </c>
      <c r="T1380" t="str">
        <f t="shared" si="489"/>
        <v>Lower EV Adoption Corridor</v>
      </c>
      <c r="U1380" s="3">
        <f t="shared" si="490"/>
        <v>5400000</v>
      </c>
      <c r="V1380" s="4">
        <f t="shared" si="491"/>
        <v>1320000</v>
      </c>
      <c r="W1380" s="3">
        <f t="shared" si="492"/>
        <v>18000000</v>
      </c>
      <c r="X1380" s="3">
        <f t="shared" si="493"/>
        <v>9900000</v>
      </c>
      <c r="Y1380">
        <f t="shared" si="494"/>
        <v>0.31515151515151513</v>
      </c>
      <c r="Z1380">
        <f t="shared" si="495"/>
        <v>0.75555555555555554</v>
      </c>
      <c r="AA1380" t="str">
        <f t="shared" si="496"/>
        <v>Tier 2 - Growth Markets</v>
      </c>
      <c r="AB1380" s="3">
        <f t="shared" si="497"/>
        <v>110000</v>
      </c>
      <c r="AC1380" s="3">
        <f t="shared" si="498"/>
        <v>1500000</v>
      </c>
      <c r="AD1380" s="3">
        <f t="shared" si="499"/>
        <v>450000</v>
      </c>
      <c r="AE1380" s="5">
        <f t="shared" si="500"/>
        <v>4.4117647058823533</v>
      </c>
      <c r="AF1380" s="10">
        <f t="shared" si="501"/>
        <v>818400</v>
      </c>
      <c r="AG1380" s="10">
        <f t="shared" si="502"/>
        <v>264000</v>
      </c>
      <c r="AH1380" s="10">
        <f t="shared" si="503"/>
        <v>132000</v>
      </c>
      <c r="AI1380" s="10">
        <f t="shared" si="504"/>
        <v>66000</v>
      </c>
      <c r="AJ1380" s="10">
        <f t="shared" si="505"/>
        <v>39600</v>
      </c>
    </row>
    <row r="1381" spans="1:36" x14ac:dyDescent="0.3">
      <c r="A1381" t="s">
        <v>5283</v>
      </c>
      <c r="B1381" t="s">
        <v>5284</v>
      </c>
      <c r="C1381" t="s">
        <v>5285</v>
      </c>
      <c r="D1381" t="s">
        <v>630</v>
      </c>
      <c r="E1381">
        <v>48197</v>
      </c>
      <c r="F1381" t="s">
        <v>15</v>
      </c>
      <c r="G1381">
        <v>12</v>
      </c>
      <c r="H1381">
        <v>250</v>
      </c>
      <c r="I1381" t="str" cm="1">
        <f t="array" ref="I1381">_xlfn.IFS(H1381&lt;=120,"V1",H1381&lt;=150,"V2",H1381&lt;=250,"V3", H1381&lt;=350, "V4")</f>
        <v>V3</v>
      </c>
      <c r="J1381" t="s">
        <v>5286</v>
      </c>
      <c r="K1381" t="str">
        <f t="shared" si="483"/>
        <v>42.232722</v>
      </c>
      <c r="L1381" t="str">
        <f t="shared" si="484"/>
        <v>-83.678722</v>
      </c>
      <c r="M1381">
        <v>253</v>
      </c>
      <c r="N1381" s="1">
        <v>44868</v>
      </c>
      <c r="O1381" s="1">
        <v>46099</v>
      </c>
      <c r="P1381" s="2">
        <f t="shared" si="485"/>
        <v>3.3702943189596168</v>
      </c>
      <c r="Q1381" s="2" t="str">
        <f t="shared" si="486"/>
        <v>Mid</v>
      </c>
      <c r="R1381">
        <f t="shared" si="487"/>
        <v>3000</v>
      </c>
      <c r="S1381" t="str">
        <f t="shared" si="488"/>
        <v>Small</v>
      </c>
      <c r="T1381" t="str">
        <f t="shared" si="489"/>
        <v>Lower EV Adoption Corridor</v>
      </c>
      <c r="U1381" s="3">
        <f t="shared" si="490"/>
        <v>5400000</v>
      </c>
      <c r="V1381" s="4">
        <f t="shared" si="491"/>
        <v>1320000</v>
      </c>
      <c r="W1381" s="3">
        <f t="shared" si="492"/>
        <v>18000000</v>
      </c>
      <c r="X1381" s="3">
        <f t="shared" si="493"/>
        <v>9900000</v>
      </c>
      <c r="Y1381">
        <f t="shared" si="494"/>
        <v>0.31515151515151513</v>
      </c>
      <c r="Z1381">
        <f t="shared" si="495"/>
        <v>0.75555555555555554</v>
      </c>
      <c r="AA1381" t="str">
        <f t="shared" si="496"/>
        <v>Tier 2 - Growth Markets</v>
      </c>
      <c r="AB1381" s="3">
        <f t="shared" si="497"/>
        <v>110000</v>
      </c>
      <c r="AC1381" s="3">
        <f t="shared" si="498"/>
        <v>1500000</v>
      </c>
      <c r="AD1381" s="3">
        <f t="shared" si="499"/>
        <v>450000</v>
      </c>
      <c r="AE1381" s="5">
        <f t="shared" si="500"/>
        <v>4.4117647058823533</v>
      </c>
      <c r="AF1381" s="10">
        <f t="shared" si="501"/>
        <v>818400</v>
      </c>
      <c r="AG1381" s="10">
        <f t="shared" si="502"/>
        <v>264000</v>
      </c>
      <c r="AH1381" s="10">
        <f t="shared" si="503"/>
        <v>132000</v>
      </c>
      <c r="AI1381" s="10">
        <f t="shared" si="504"/>
        <v>66000</v>
      </c>
      <c r="AJ1381" s="10">
        <f t="shared" si="505"/>
        <v>39600</v>
      </c>
    </row>
    <row r="1382" spans="1:36" x14ac:dyDescent="0.3">
      <c r="A1382" t="s">
        <v>5287</v>
      </c>
      <c r="B1382" t="s">
        <v>5288</v>
      </c>
      <c r="C1382" t="s">
        <v>3995</v>
      </c>
      <c r="D1382" t="s">
        <v>230</v>
      </c>
      <c r="E1382">
        <v>98926</v>
      </c>
      <c r="F1382" t="s">
        <v>15</v>
      </c>
      <c r="G1382">
        <v>12</v>
      </c>
      <c r="H1382">
        <v>250</v>
      </c>
      <c r="I1382" t="str" cm="1">
        <f t="array" ref="I1382">_xlfn.IFS(H1382&lt;=120,"V1",H1382&lt;=150,"V2",H1382&lt;=250,"V3", H1382&lt;=350, "V4")</f>
        <v>V3</v>
      </c>
      <c r="J1382" t="s">
        <v>5289</v>
      </c>
      <c r="K1382" t="str">
        <f t="shared" si="483"/>
        <v>46.978013</v>
      </c>
      <c r="L1382" t="str">
        <f t="shared" si="484"/>
        <v>-120.542423</v>
      </c>
      <c r="M1382">
        <v>454</v>
      </c>
      <c r="N1382" s="1">
        <v>44679</v>
      </c>
      <c r="O1382" s="1">
        <v>46099</v>
      </c>
      <c r="P1382" s="2">
        <f t="shared" si="485"/>
        <v>3.8877481177275839</v>
      </c>
      <c r="Q1382" s="2" t="str">
        <f t="shared" si="486"/>
        <v>Mid</v>
      </c>
      <c r="R1382">
        <f t="shared" si="487"/>
        <v>3000</v>
      </c>
      <c r="S1382" t="str">
        <f t="shared" si="488"/>
        <v>Small</v>
      </c>
      <c r="T1382" t="str">
        <f t="shared" si="489"/>
        <v>High EV Adoption Corridor</v>
      </c>
      <c r="U1382" s="3">
        <f t="shared" si="490"/>
        <v>7020000</v>
      </c>
      <c r="V1382" s="4">
        <f t="shared" si="491"/>
        <v>1584000</v>
      </c>
      <c r="W1382" s="3">
        <f t="shared" si="492"/>
        <v>19800000</v>
      </c>
      <c r="X1382" s="3">
        <f t="shared" si="493"/>
        <v>14850000</v>
      </c>
      <c r="Y1382">
        <f t="shared" si="494"/>
        <v>0.24</v>
      </c>
      <c r="Z1382">
        <f t="shared" si="495"/>
        <v>0.77435897435897438</v>
      </c>
      <c r="AA1382" t="str">
        <f t="shared" si="496"/>
        <v>Tier 1 - Priority Fleet</v>
      </c>
      <c r="AB1382" s="3">
        <f t="shared" si="497"/>
        <v>132000</v>
      </c>
      <c r="AC1382" s="3">
        <f t="shared" si="498"/>
        <v>1650000</v>
      </c>
      <c r="AD1382" s="3">
        <f t="shared" si="499"/>
        <v>585000</v>
      </c>
      <c r="AE1382" s="5">
        <f t="shared" si="500"/>
        <v>3.6423841059602649</v>
      </c>
      <c r="AF1382" s="10">
        <f t="shared" si="501"/>
        <v>982080</v>
      </c>
      <c r="AG1382" s="10">
        <f t="shared" si="502"/>
        <v>316800</v>
      </c>
      <c r="AH1382" s="10">
        <f t="shared" si="503"/>
        <v>158400</v>
      </c>
      <c r="AI1382" s="10">
        <f t="shared" si="504"/>
        <v>79200</v>
      </c>
      <c r="AJ1382" s="10">
        <f t="shared" si="505"/>
        <v>47520</v>
      </c>
    </row>
    <row r="1383" spans="1:36" x14ac:dyDescent="0.3">
      <c r="A1383" t="s">
        <v>5290</v>
      </c>
      <c r="B1383" t="s">
        <v>5291</v>
      </c>
      <c r="C1383" t="s">
        <v>5292</v>
      </c>
      <c r="D1383" t="s">
        <v>50</v>
      </c>
      <c r="E1383">
        <v>75013</v>
      </c>
      <c r="F1383" t="s">
        <v>15</v>
      </c>
      <c r="G1383">
        <v>12</v>
      </c>
      <c r="H1383">
        <v>250</v>
      </c>
      <c r="I1383" t="str" cm="1">
        <f t="array" ref="I1383">_xlfn.IFS(H1383&lt;=120,"V1",H1383&lt;=150,"V2",H1383&lt;=250,"V3", H1383&lt;=350, "V4")</f>
        <v>V3</v>
      </c>
      <c r="J1383" t="s">
        <v>5293</v>
      </c>
      <c r="K1383" t="str">
        <f t="shared" si="483"/>
        <v>33.129609</v>
      </c>
      <c r="L1383" t="str">
        <f t="shared" si="484"/>
        <v>-96.673894</v>
      </c>
      <c r="M1383">
        <v>205</v>
      </c>
      <c r="N1383" s="1">
        <v>44895</v>
      </c>
      <c r="O1383" s="1">
        <v>46099</v>
      </c>
      <c r="P1383" s="2">
        <f t="shared" si="485"/>
        <v>3.2963723477070501</v>
      </c>
      <c r="Q1383" s="2" t="str">
        <f t="shared" si="486"/>
        <v>Mid</v>
      </c>
      <c r="R1383">
        <f t="shared" si="487"/>
        <v>3000</v>
      </c>
      <c r="S1383" t="str">
        <f t="shared" si="488"/>
        <v>Small</v>
      </c>
      <c r="T1383" t="str">
        <f t="shared" si="489"/>
        <v>High EV Adoption Corridor</v>
      </c>
      <c r="U1383" s="3">
        <f t="shared" si="490"/>
        <v>7020000</v>
      </c>
      <c r="V1383" s="4">
        <f t="shared" si="491"/>
        <v>1584000</v>
      </c>
      <c r="W1383" s="3">
        <f t="shared" si="492"/>
        <v>19800000</v>
      </c>
      <c r="X1383" s="3">
        <f t="shared" si="493"/>
        <v>14850000</v>
      </c>
      <c r="Y1383">
        <f t="shared" si="494"/>
        <v>0.24</v>
      </c>
      <c r="Z1383">
        <f t="shared" si="495"/>
        <v>0.77435897435897438</v>
      </c>
      <c r="AA1383" t="str">
        <f t="shared" si="496"/>
        <v>Tier 1 - Priority Fleet</v>
      </c>
      <c r="AB1383" s="3">
        <f t="shared" si="497"/>
        <v>132000</v>
      </c>
      <c r="AC1383" s="3">
        <f t="shared" si="498"/>
        <v>1650000</v>
      </c>
      <c r="AD1383" s="3">
        <f t="shared" si="499"/>
        <v>585000</v>
      </c>
      <c r="AE1383" s="5">
        <f t="shared" si="500"/>
        <v>3.6423841059602649</v>
      </c>
      <c r="AF1383" s="10">
        <f t="shared" si="501"/>
        <v>982080</v>
      </c>
      <c r="AG1383" s="10">
        <f t="shared" si="502"/>
        <v>316800</v>
      </c>
      <c r="AH1383" s="10">
        <f t="shared" si="503"/>
        <v>158400</v>
      </c>
      <c r="AI1383" s="10">
        <f t="shared" si="504"/>
        <v>79200</v>
      </c>
      <c r="AJ1383" s="10">
        <f t="shared" si="505"/>
        <v>47520</v>
      </c>
    </row>
    <row r="1384" spans="1:36" x14ac:dyDescent="0.3">
      <c r="A1384" t="s">
        <v>5294</v>
      </c>
      <c r="B1384" t="s">
        <v>5295</v>
      </c>
      <c r="C1384" t="s">
        <v>5296</v>
      </c>
      <c r="D1384" t="s">
        <v>321</v>
      </c>
      <c r="E1384">
        <v>2720</v>
      </c>
      <c r="F1384" t="s">
        <v>15</v>
      </c>
      <c r="G1384">
        <v>8</v>
      </c>
      <c r="H1384">
        <v>250</v>
      </c>
      <c r="I1384" t="str" cm="1">
        <f t="array" ref="I1384">_xlfn.IFS(H1384&lt;=120,"V1",H1384&lt;=150,"V2",H1384&lt;=250,"V3", H1384&lt;=350, "V4")</f>
        <v>V3</v>
      </c>
      <c r="J1384" t="s">
        <v>5297</v>
      </c>
      <c r="K1384" t="str">
        <f t="shared" si="483"/>
        <v>41.7628</v>
      </c>
      <c r="L1384" t="str">
        <f t="shared" si="484"/>
        <v>-71.0955</v>
      </c>
      <c r="M1384">
        <v>47</v>
      </c>
      <c r="N1384" s="1">
        <v>44916</v>
      </c>
      <c r="O1384" s="1">
        <v>46099</v>
      </c>
      <c r="P1384" s="2">
        <f t="shared" si="485"/>
        <v>3.2388774811772758</v>
      </c>
      <c r="Q1384" s="2" t="str">
        <f t="shared" si="486"/>
        <v>Mid</v>
      </c>
      <c r="R1384">
        <f t="shared" si="487"/>
        <v>2000</v>
      </c>
      <c r="S1384" t="str">
        <f t="shared" si="488"/>
        <v>Small</v>
      </c>
      <c r="T1384" t="str">
        <f t="shared" si="489"/>
        <v>Lower EV Adoption Corridor</v>
      </c>
      <c r="U1384" s="3">
        <f t="shared" si="490"/>
        <v>3600000</v>
      </c>
      <c r="V1384" s="4">
        <f t="shared" si="491"/>
        <v>880000.00000000012</v>
      </c>
      <c r="W1384" s="3">
        <f t="shared" si="492"/>
        <v>12000000</v>
      </c>
      <c r="X1384" s="3">
        <f t="shared" si="493"/>
        <v>6600000.0000000009</v>
      </c>
      <c r="Y1384">
        <f t="shared" si="494"/>
        <v>0.31515151515151513</v>
      </c>
      <c r="Z1384">
        <f t="shared" si="495"/>
        <v>0.75555555555555554</v>
      </c>
      <c r="AA1384" t="str">
        <f t="shared" si="496"/>
        <v>Tier 2 - Growth Markets</v>
      </c>
      <c r="AB1384" s="3">
        <f t="shared" si="497"/>
        <v>110000.00000000001</v>
      </c>
      <c r="AC1384" s="3">
        <f t="shared" si="498"/>
        <v>1500000</v>
      </c>
      <c r="AD1384" s="3">
        <f t="shared" si="499"/>
        <v>450000</v>
      </c>
      <c r="AE1384" s="5">
        <f t="shared" si="500"/>
        <v>4.4117647058823533</v>
      </c>
      <c r="AF1384" s="10">
        <f t="shared" si="501"/>
        <v>545600.00000000012</v>
      </c>
      <c r="AG1384" s="10">
        <f t="shared" si="502"/>
        <v>176000.00000000003</v>
      </c>
      <c r="AH1384" s="10">
        <f t="shared" si="503"/>
        <v>88000.000000000015</v>
      </c>
      <c r="AI1384" s="10">
        <f t="shared" si="504"/>
        <v>44000.000000000007</v>
      </c>
      <c r="AJ1384" s="10">
        <f t="shared" si="505"/>
        <v>26400.000000000004</v>
      </c>
    </row>
    <row r="1385" spans="1:36" x14ac:dyDescent="0.3">
      <c r="A1385" t="s">
        <v>5298</v>
      </c>
      <c r="B1385" t="s">
        <v>5299</v>
      </c>
      <c r="C1385" t="s">
        <v>349</v>
      </c>
      <c r="D1385" t="s">
        <v>350</v>
      </c>
      <c r="E1385">
        <v>70809</v>
      </c>
      <c r="F1385" t="s">
        <v>15</v>
      </c>
      <c r="G1385">
        <v>12</v>
      </c>
      <c r="H1385">
        <v>250</v>
      </c>
      <c r="I1385" t="str" cm="1">
        <f t="array" ref="I1385">_xlfn.IFS(H1385&lt;=120,"V1",H1385&lt;=150,"V2",H1385&lt;=250,"V3", H1385&lt;=350, "V4")</f>
        <v>V3</v>
      </c>
      <c r="J1385" t="s">
        <v>5300</v>
      </c>
      <c r="K1385" t="str">
        <f t="shared" si="483"/>
        <v>30.432893</v>
      </c>
      <c r="L1385" t="str">
        <f t="shared" si="484"/>
        <v>-91.081966</v>
      </c>
      <c r="M1385">
        <v>14</v>
      </c>
      <c r="N1385" s="1">
        <v>44953</v>
      </c>
      <c r="O1385" s="1">
        <v>46099</v>
      </c>
      <c r="P1385" s="2">
        <f t="shared" si="485"/>
        <v>3.137577002053388</v>
      </c>
      <c r="Q1385" s="2" t="str">
        <f t="shared" si="486"/>
        <v>Mid</v>
      </c>
      <c r="R1385">
        <f t="shared" si="487"/>
        <v>3000</v>
      </c>
      <c r="S1385" t="str">
        <f t="shared" si="488"/>
        <v>Small</v>
      </c>
      <c r="T1385" t="str">
        <f t="shared" si="489"/>
        <v>Lower EV Adoption Corridor</v>
      </c>
      <c r="U1385" s="3">
        <f t="shared" si="490"/>
        <v>5400000</v>
      </c>
      <c r="V1385" s="4">
        <f t="shared" si="491"/>
        <v>1320000</v>
      </c>
      <c r="W1385" s="3">
        <f t="shared" si="492"/>
        <v>18000000</v>
      </c>
      <c r="X1385" s="3">
        <f t="shared" si="493"/>
        <v>9900000</v>
      </c>
      <c r="Y1385">
        <f t="shared" si="494"/>
        <v>0.31515151515151513</v>
      </c>
      <c r="Z1385">
        <f t="shared" si="495"/>
        <v>0.75555555555555554</v>
      </c>
      <c r="AA1385" t="str">
        <f t="shared" si="496"/>
        <v>Tier 2 - Growth Markets</v>
      </c>
      <c r="AB1385" s="3">
        <f t="shared" si="497"/>
        <v>110000</v>
      </c>
      <c r="AC1385" s="3">
        <f t="shared" si="498"/>
        <v>1500000</v>
      </c>
      <c r="AD1385" s="3">
        <f t="shared" si="499"/>
        <v>450000</v>
      </c>
      <c r="AE1385" s="5">
        <f t="shared" si="500"/>
        <v>4.4117647058823533</v>
      </c>
      <c r="AF1385" s="10">
        <f t="shared" si="501"/>
        <v>818400</v>
      </c>
      <c r="AG1385" s="10">
        <f t="shared" si="502"/>
        <v>264000</v>
      </c>
      <c r="AH1385" s="10">
        <f t="shared" si="503"/>
        <v>132000</v>
      </c>
      <c r="AI1385" s="10">
        <f t="shared" si="504"/>
        <v>66000</v>
      </c>
      <c r="AJ1385" s="10">
        <f t="shared" si="505"/>
        <v>39600</v>
      </c>
    </row>
    <row r="1386" spans="1:36" x14ac:dyDescent="0.3">
      <c r="A1386" t="s">
        <v>5301</v>
      </c>
      <c r="B1386" t="s">
        <v>5302</v>
      </c>
      <c r="C1386" t="s">
        <v>1582</v>
      </c>
      <c r="D1386" t="s">
        <v>72</v>
      </c>
      <c r="E1386">
        <v>85260</v>
      </c>
      <c r="F1386" t="s">
        <v>15</v>
      </c>
      <c r="G1386">
        <v>16</v>
      </c>
      <c r="H1386">
        <v>250</v>
      </c>
      <c r="I1386" t="str" cm="1">
        <f t="array" ref="I1386">_xlfn.IFS(H1386&lt;=120,"V1",H1386&lt;=150,"V2",H1386&lt;=250,"V3", H1386&lt;=350, "V4")</f>
        <v>V3</v>
      </c>
      <c r="J1386" t="s">
        <v>5303</v>
      </c>
      <c r="K1386" t="str">
        <f t="shared" si="483"/>
        <v>33.5835</v>
      </c>
      <c r="L1386" t="str">
        <f t="shared" si="484"/>
        <v>-111.894</v>
      </c>
      <c r="M1386">
        <v>419</v>
      </c>
      <c r="N1386" s="1">
        <v>44742</v>
      </c>
      <c r="O1386" s="1">
        <v>46099</v>
      </c>
      <c r="P1386" s="2">
        <f t="shared" si="485"/>
        <v>3.7152635181382614</v>
      </c>
      <c r="Q1386" s="2" t="str">
        <f t="shared" si="486"/>
        <v>Mid</v>
      </c>
      <c r="R1386">
        <f t="shared" si="487"/>
        <v>4000</v>
      </c>
      <c r="S1386" t="str">
        <f t="shared" si="488"/>
        <v>Small</v>
      </c>
      <c r="T1386" t="str">
        <f t="shared" si="489"/>
        <v>Lower EV Adoption Corridor</v>
      </c>
      <c r="U1386" s="3">
        <f t="shared" si="490"/>
        <v>7200000</v>
      </c>
      <c r="V1386" s="4">
        <f t="shared" si="491"/>
        <v>1760000.0000000002</v>
      </c>
      <c r="W1386" s="3">
        <f t="shared" si="492"/>
        <v>24000000</v>
      </c>
      <c r="X1386" s="3">
        <f t="shared" si="493"/>
        <v>13200000.000000002</v>
      </c>
      <c r="Y1386">
        <f t="shared" si="494"/>
        <v>0.31515151515151513</v>
      </c>
      <c r="Z1386">
        <f t="shared" si="495"/>
        <v>0.75555555555555554</v>
      </c>
      <c r="AA1386" t="str">
        <f t="shared" si="496"/>
        <v>Tier 2 - Growth Markets</v>
      </c>
      <c r="AB1386" s="3">
        <f t="shared" si="497"/>
        <v>110000.00000000001</v>
      </c>
      <c r="AC1386" s="3">
        <f t="shared" si="498"/>
        <v>1500000</v>
      </c>
      <c r="AD1386" s="3">
        <f t="shared" si="499"/>
        <v>450000</v>
      </c>
      <c r="AE1386" s="5">
        <f t="shared" si="500"/>
        <v>4.4117647058823533</v>
      </c>
      <c r="AF1386" s="10">
        <f t="shared" si="501"/>
        <v>1091200.0000000002</v>
      </c>
      <c r="AG1386" s="10">
        <f t="shared" si="502"/>
        <v>352000.00000000006</v>
      </c>
      <c r="AH1386" s="10">
        <f t="shared" si="503"/>
        <v>176000.00000000003</v>
      </c>
      <c r="AI1386" s="10">
        <f t="shared" si="504"/>
        <v>88000.000000000015</v>
      </c>
      <c r="AJ1386" s="10">
        <f t="shared" si="505"/>
        <v>52800.000000000007</v>
      </c>
    </row>
    <row r="1387" spans="1:36" x14ac:dyDescent="0.3">
      <c r="A1387" t="s">
        <v>5304</v>
      </c>
      <c r="B1387" t="s">
        <v>5305</v>
      </c>
      <c r="C1387" t="s">
        <v>5306</v>
      </c>
      <c r="D1387" t="s">
        <v>158</v>
      </c>
      <c r="E1387">
        <v>13204</v>
      </c>
      <c r="F1387" t="s">
        <v>15</v>
      </c>
      <c r="G1387">
        <v>12</v>
      </c>
      <c r="H1387">
        <v>250</v>
      </c>
      <c r="I1387" t="str" cm="1">
        <f t="array" ref="I1387">_xlfn.IFS(H1387&lt;=120,"V1",H1387&lt;=150,"V2",H1387&lt;=250,"V3", H1387&lt;=350, "V4")</f>
        <v>V3</v>
      </c>
      <c r="J1387" t="s">
        <v>5307</v>
      </c>
      <c r="K1387" t="str">
        <f t="shared" si="483"/>
        <v>43.0674</v>
      </c>
      <c r="L1387" t="str">
        <f t="shared" si="484"/>
        <v>-76.1753</v>
      </c>
      <c r="M1387">
        <v>114</v>
      </c>
      <c r="N1387" s="1">
        <v>44742</v>
      </c>
      <c r="O1387" s="1">
        <v>46099</v>
      </c>
      <c r="P1387" s="2">
        <f t="shared" si="485"/>
        <v>3.7152635181382614</v>
      </c>
      <c r="Q1387" s="2" t="str">
        <f t="shared" si="486"/>
        <v>Mid</v>
      </c>
      <c r="R1387">
        <f t="shared" si="487"/>
        <v>3000</v>
      </c>
      <c r="S1387" t="str">
        <f t="shared" si="488"/>
        <v>Small</v>
      </c>
      <c r="T1387" t="str">
        <f t="shared" si="489"/>
        <v>Lower EV Adoption Corridor</v>
      </c>
      <c r="U1387" s="3">
        <f t="shared" si="490"/>
        <v>5400000</v>
      </c>
      <c r="V1387" s="4">
        <f t="shared" si="491"/>
        <v>1320000</v>
      </c>
      <c r="W1387" s="3">
        <f t="shared" si="492"/>
        <v>18000000</v>
      </c>
      <c r="X1387" s="3">
        <f t="shared" si="493"/>
        <v>9900000</v>
      </c>
      <c r="Y1387">
        <f t="shared" si="494"/>
        <v>0.31515151515151513</v>
      </c>
      <c r="Z1387">
        <f t="shared" si="495"/>
        <v>0.75555555555555554</v>
      </c>
      <c r="AA1387" t="str">
        <f t="shared" si="496"/>
        <v>Tier 2 - Growth Markets</v>
      </c>
      <c r="AB1387" s="3">
        <f t="shared" si="497"/>
        <v>110000</v>
      </c>
      <c r="AC1387" s="3">
        <f t="shared" si="498"/>
        <v>1500000</v>
      </c>
      <c r="AD1387" s="3">
        <f t="shared" si="499"/>
        <v>450000</v>
      </c>
      <c r="AE1387" s="5">
        <f t="shared" si="500"/>
        <v>4.4117647058823533</v>
      </c>
      <c r="AF1387" s="10">
        <f t="shared" si="501"/>
        <v>818400</v>
      </c>
      <c r="AG1387" s="10">
        <f t="shared" si="502"/>
        <v>264000</v>
      </c>
      <c r="AH1387" s="10">
        <f t="shared" si="503"/>
        <v>132000</v>
      </c>
      <c r="AI1387" s="10">
        <f t="shared" si="504"/>
        <v>66000</v>
      </c>
      <c r="AJ1387" s="10">
        <f t="shared" si="505"/>
        <v>39600</v>
      </c>
    </row>
    <row r="1388" spans="1:36" x14ac:dyDescent="0.3">
      <c r="A1388" t="s">
        <v>5308</v>
      </c>
      <c r="B1388" t="s">
        <v>5309</v>
      </c>
      <c r="C1388" t="s">
        <v>5310</v>
      </c>
      <c r="D1388" t="s">
        <v>158</v>
      </c>
      <c r="E1388">
        <v>13478</v>
      </c>
      <c r="F1388" t="s">
        <v>15</v>
      </c>
      <c r="G1388">
        <v>12</v>
      </c>
      <c r="H1388">
        <v>250</v>
      </c>
      <c r="I1388" t="str" cm="1">
        <f t="array" ref="I1388">_xlfn.IFS(H1388&lt;=120,"V1",H1388&lt;=150,"V2",H1388&lt;=250,"V3", H1388&lt;=350, "V4")</f>
        <v>V3</v>
      </c>
      <c r="J1388" t="s">
        <v>5311</v>
      </c>
      <c r="K1388" t="str">
        <f t="shared" si="483"/>
        <v>43.113201</v>
      </c>
      <c r="L1388" t="str">
        <f t="shared" si="484"/>
        <v>-75.591176</v>
      </c>
      <c r="M1388">
        <v>160</v>
      </c>
      <c r="N1388" s="1">
        <v>44834</v>
      </c>
      <c r="O1388" s="1">
        <v>46099</v>
      </c>
      <c r="P1388" s="2">
        <f t="shared" si="485"/>
        <v>3.463381245722108</v>
      </c>
      <c r="Q1388" s="2" t="str">
        <f t="shared" si="486"/>
        <v>Mid</v>
      </c>
      <c r="R1388">
        <f t="shared" si="487"/>
        <v>3000</v>
      </c>
      <c r="S1388" t="str">
        <f t="shared" si="488"/>
        <v>Small</v>
      </c>
      <c r="T1388" t="str">
        <f t="shared" si="489"/>
        <v>Lower EV Adoption Corridor</v>
      </c>
      <c r="U1388" s="3">
        <f t="shared" si="490"/>
        <v>5400000</v>
      </c>
      <c r="V1388" s="4">
        <f t="shared" si="491"/>
        <v>1320000</v>
      </c>
      <c r="W1388" s="3">
        <f t="shared" si="492"/>
        <v>18000000</v>
      </c>
      <c r="X1388" s="3">
        <f t="shared" si="493"/>
        <v>9900000</v>
      </c>
      <c r="Y1388">
        <f t="shared" si="494"/>
        <v>0.31515151515151513</v>
      </c>
      <c r="Z1388">
        <f t="shared" si="495"/>
        <v>0.75555555555555554</v>
      </c>
      <c r="AA1388" t="str">
        <f t="shared" si="496"/>
        <v>Tier 2 - Growth Markets</v>
      </c>
      <c r="AB1388" s="3">
        <f t="shared" si="497"/>
        <v>110000</v>
      </c>
      <c r="AC1388" s="3">
        <f t="shared" si="498"/>
        <v>1500000</v>
      </c>
      <c r="AD1388" s="3">
        <f t="shared" si="499"/>
        <v>450000</v>
      </c>
      <c r="AE1388" s="5">
        <f t="shared" si="500"/>
        <v>4.4117647058823533</v>
      </c>
      <c r="AF1388" s="10">
        <f t="shared" si="501"/>
        <v>818400</v>
      </c>
      <c r="AG1388" s="10">
        <f t="shared" si="502"/>
        <v>264000</v>
      </c>
      <c r="AH1388" s="10">
        <f t="shared" si="503"/>
        <v>132000</v>
      </c>
      <c r="AI1388" s="10">
        <f t="shared" si="504"/>
        <v>66000</v>
      </c>
      <c r="AJ1388" s="10">
        <f t="shared" si="505"/>
        <v>39600</v>
      </c>
    </row>
    <row r="1389" spans="1:36" x14ac:dyDescent="0.3">
      <c r="A1389" t="s">
        <v>5312</v>
      </c>
      <c r="B1389" t="s">
        <v>5313</v>
      </c>
      <c r="C1389" t="s">
        <v>1638</v>
      </c>
      <c r="D1389" t="s">
        <v>189</v>
      </c>
      <c r="E1389">
        <v>53217</v>
      </c>
      <c r="F1389" t="s">
        <v>15</v>
      </c>
      <c r="G1389">
        <v>12</v>
      </c>
      <c r="H1389">
        <v>250</v>
      </c>
      <c r="I1389" t="str" cm="1">
        <f t="array" ref="I1389">_xlfn.IFS(H1389&lt;=120,"V1",H1389&lt;=150,"V2",H1389&lt;=250,"V3", H1389&lt;=350, "V4")</f>
        <v>V3</v>
      </c>
      <c r="J1389" t="s">
        <v>5314</v>
      </c>
      <c r="K1389" t="str">
        <f t="shared" si="483"/>
        <v>43.121</v>
      </c>
      <c r="L1389" t="str">
        <f t="shared" si="484"/>
        <v>-87.916222</v>
      </c>
      <c r="M1389">
        <v>195</v>
      </c>
      <c r="N1389" s="1">
        <v>44806</v>
      </c>
      <c r="O1389" s="1">
        <v>46099</v>
      </c>
      <c r="P1389" s="2">
        <f t="shared" si="485"/>
        <v>3.5400410677618068</v>
      </c>
      <c r="Q1389" s="2" t="str">
        <f t="shared" si="486"/>
        <v>Mid</v>
      </c>
      <c r="R1389">
        <f t="shared" si="487"/>
        <v>3000</v>
      </c>
      <c r="S1389" t="str">
        <f t="shared" si="488"/>
        <v>Small</v>
      </c>
      <c r="T1389" t="str">
        <f t="shared" si="489"/>
        <v>Lower EV Adoption Corridor</v>
      </c>
      <c r="U1389" s="3">
        <f t="shared" si="490"/>
        <v>5400000</v>
      </c>
      <c r="V1389" s="4">
        <f t="shared" si="491"/>
        <v>1320000</v>
      </c>
      <c r="W1389" s="3">
        <f t="shared" si="492"/>
        <v>18000000</v>
      </c>
      <c r="X1389" s="3">
        <f t="shared" si="493"/>
        <v>9900000</v>
      </c>
      <c r="Y1389">
        <f t="shared" si="494"/>
        <v>0.31515151515151513</v>
      </c>
      <c r="Z1389">
        <f t="shared" si="495"/>
        <v>0.75555555555555554</v>
      </c>
      <c r="AA1389" t="str">
        <f t="shared" si="496"/>
        <v>Tier 2 - Growth Markets</v>
      </c>
      <c r="AB1389" s="3">
        <f t="shared" si="497"/>
        <v>110000</v>
      </c>
      <c r="AC1389" s="3">
        <f t="shared" si="498"/>
        <v>1500000</v>
      </c>
      <c r="AD1389" s="3">
        <f t="shared" si="499"/>
        <v>450000</v>
      </c>
      <c r="AE1389" s="5">
        <f t="shared" si="500"/>
        <v>4.4117647058823533</v>
      </c>
      <c r="AF1389" s="10">
        <f t="shared" si="501"/>
        <v>818400</v>
      </c>
      <c r="AG1389" s="10">
        <f t="shared" si="502"/>
        <v>264000</v>
      </c>
      <c r="AH1389" s="10">
        <f t="shared" si="503"/>
        <v>132000</v>
      </c>
      <c r="AI1389" s="10">
        <f t="shared" si="504"/>
        <v>66000</v>
      </c>
      <c r="AJ1389" s="10">
        <f t="shared" si="505"/>
        <v>39600</v>
      </c>
    </row>
    <row r="1390" spans="1:36" x14ac:dyDescent="0.3">
      <c r="A1390" t="s">
        <v>5315</v>
      </c>
      <c r="B1390" t="s">
        <v>5316</v>
      </c>
      <c r="C1390" t="s">
        <v>5317</v>
      </c>
      <c r="D1390" t="s">
        <v>158</v>
      </c>
      <c r="E1390">
        <v>11514</v>
      </c>
      <c r="F1390" t="s">
        <v>15</v>
      </c>
      <c r="G1390">
        <v>12</v>
      </c>
      <c r="H1390">
        <v>250</v>
      </c>
      <c r="I1390" t="str" cm="1">
        <f t="array" ref="I1390">_xlfn.IFS(H1390&lt;=120,"V1",H1390&lt;=150,"V2",H1390&lt;=250,"V3", H1390&lt;=350, "V4")</f>
        <v>V3</v>
      </c>
      <c r="J1390" t="s">
        <v>5318</v>
      </c>
      <c r="K1390" t="str">
        <f t="shared" si="483"/>
        <v>40.744718</v>
      </c>
      <c r="L1390" t="str">
        <f t="shared" si="484"/>
        <v>-73.61626</v>
      </c>
      <c r="M1390">
        <v>27</v>
      </c>
      <c r="N1390" s="1">
        <v>44518</v>
      </c>
      <c r="O1390" s="1">
        <v>46099</v>
      </c>
      <c r="P1390" s="2">
        <f t="shared" si="485"/>
        <v>4.3285420944558526</v>
      </c>
      <c r="Q1390" s="2" t="str">
        <f t="shared" si="486"/>
        <v>Mid</v>
      </c>
      <c r="R1390">
        <f t="shared" si="487"/>
        <v>3000</v>
      </c>
      <c r="S1390" t="str">
        <f t="shared" si="488"/>
        <v>Small</v>
      </c>
      <c r="T1390" t="str">
        <f t="shared" si="489"/>
        <v>Lower EV Adoption Corridor</v>
      </c>
      <c r="U1390" s="3">
        <f t="shared" si="490"/>
        <v>5400000</v>
      </c>
      <c r="V1390" s="4">
        <f t="shared" si="491"/>
        <v>1320000</v>
      </c>
      <c r="W1390" s="3">
        <f t="shared" si="492"/>
        <v>18000000</v>
      </c>
      <c r="X1390" s="3">
        <f t="shared" si="493"/>
        <v>9900000</v>
      </c>
      <c r="Y1390">
        <f t="shared" si="494"/>
        <v>0.31515151515151513</v>
      </c>
      <c r="Z1390">
        <f t="shared" si="495"/>
        <v>0.75555555555555554</v>
      </c>
      <c r="AA1390" t="str">
        <f t="shared" si="496"/>
        <v>Tier 2 - Growth Markets</v>
      </c>
      <c r="AB1390" s="3">
        <f t="shared" si="497"/>
        <v>110000</v>
      </c>
      <c r="AC1390" s="3">
        <f t="shared" si="498"/>
        <v>1500000</v>
      </c>
      <c r="AD1390" s="3">
        <f t="shared" si="499"/>
        <v>450000</v>
      </c>
      <c r="AE1390" s="5">
        <f t="shared" si="500"/>
        <v>4.4117647058823533</v>
      </c>
      <c r="AF1390" s="10">
        <f t="shared" si="501"/>
        <v>818400</v>
      </c>
      <c r="AG1390" s="10">
        <f t="shared" si="502"/>
        <v>264000</v>
      </c>
      <c r="AH1390" s="10">
        <f t="shared" si="503"/>
        <v>132000</v>
      </c>
      <c r="AI1390" s="10">
        <f t="shared" si="504"/>
        <v>66000</v>
      </c>
      <c r="AJ1390" s="10">
        <f t="shared" si="505"/>
        <v>39600</v>
      </c>
    </row>
    <row r="1391" spans="1:36" x14ac:dyDescent="0.3">
      <c r="A1391" t="s">
        <v>5319</v>
      </c>
      <c r="B1391" t="s">
        <v>5320</v>
      </c>
      <c r="C1391" t="s">
        <v>1436</v>
      </c>
      <c r="D1391" t="s">
        <v>41</v>
      </c>
      <c r="E1391">
        <v>33304</v>
      </c>
      <c r="F1391" t="s">
        <v>15</v>
      </c>
      <c r="G1391">
        <v>16</v>
      </c>
      <c r="H1391">
        <v>250</v>
      </c>
      <c r="I1391" t="str" cm="1">
        <f t="array" ref="I1391">_xlfn.IFS(H1391&lt;=120,"V1",H1391&lt;=150,"V2",H1391&lt;=250,"V3", H1391&lt;=350, "V4")</f>
        <v>V3</v>
      </c>
      <c r="J1391" t="s">
        <v>5321</v>
      </c>
      <c r="K1391" t="str">
        <f t="shared" si="483"/>
        <v>26.136936</v>
      </c>
      <c r="L1391" t="str">
        <f t="shared" si="484"/>
        <v>-80.113134</v>
      </c>
      <c r="M1391">
        <v>1</v>
      </c>
      <c r="N1391" s="1">
        <v>44891</v>
      </c>
      <c r="O1391" s="1">
        <v>46099</v>
      </c>
      <c r="P1391" s="2">
        <f t="shared" si="485"/>
        <v>3.3073237508555784</v>
      </c>
      <c r="Q1391" s="2" t="str">
        <f t="shared" si="486"/>
        <v>Mid</v>
      </c>
      <c r="R1391">
        <f t="shared" si="487"/>
        <v>4000</v>
      </c>
      <c r="S1391" t="str">
        <f t="shared" si="488"/>
        <v>Small</v>
      </c>
      <c r="T1391" t="str">
        <f t="shared" si="489"/>
        <v>High EV Adoption Corridor</v>
      </c>
      <c r="U1391" s="3">
        <f t="shared" si="490"/>
        <v>9360000</v>
      </c>
      <c r="V1391" s="4">
        <f t="shared" si="491"/>
        <v>2112000</v>
      </c>
      <c r="W1391" s="3">
        <f t="shared" si="492"/>
        <v>26400000.000000004</v>
      </c>
      <c r="X1391" s="3">
        <f t="shared" si="493"/>
        <v>19800000.000000004</v>
      </c>
      <c r="Y1391">
        <f t="shared" si="494"/>
        <v>0.23999999999999996</v>
      </c>
      <c r="Z1391">
        <f t="shared" si="495"/>
        <v>0.77435897435897438</v>
      </c>
      <c r="AA1391" t="str">
        <f t="shared" si="496"/>
        <v>Tier 1 - Priority Fleet</v>
      </c>
      <c r="AB1391" s="3">
        <f t="shared" si="497"/>
        <v>132000</v>
      </c>
      <c r="AC1391" s="3">
        <f t="shared" si="498"/>
        <v>1650000.0000000002</v>
      </c>
      <c r="AD1391" s="3">
        <f t="shared" si="499"/>
        <v>585000</v>
      </c>
      <c r="AE1391" s="5">
        <f t="shared" si="500"/>
        <v>3.6423841059602653</v>
      </c>
      <c r="AF1391" s="10">
        <f t="shared" si="501"/>
        <v>1309440</v>
      </c>
      <c r="AG1391" s="10">
        <f t="shared" si="502"/>
        <v>422400</v>
      </c>
      <c r="AH1391" s="10">
        <f t="shared" si="503"/>
        <v>211200</v>
      </c>
      <c r="AI1391" s="10">
        <f t="shared" si="504"/>
        <v>105600</v>
      </c>
      <c r="AJ1391" s="10">
        <f t="shared" si="505"/>
        <v>63360</v>
      </c>
    </row>
    <row r="1392" spans="1:36" x14ac:dyDescent="0.3">
      <c r="A1392" t="s">
        <v>5322</v>
      </c>
      <c r="B1392" t="s">
        <v>5323</v>
      </c>
      <c r="C1392" t="s">
        <v>5324</v>
      </c>
      <c r="D1392" t="s">
        <v>50</v>
      </c>
      <c r="E1392">
        <v>76621</v>
      </c>
      <c r="F1392" t="s">
        <v>15</v>
      </c>
      <c r="G1392">
        <v>8</v>
      </c>
      <c r="H1392">
        <v>250</v>
      </c>
      <c r="I1392" t="str" cm="1">
        <f t="array" ref="I1392">_xlfn.IFS(H1392&lt;=120,"V1",H1392&lt;=150,"V2",H1392&lt;=250,"V3", H1392&lt;=350, "V4")</f>
        <v>V3</v>
      </c>
      <c r="J1392" t="s">
        <v>5325</v>
      </c>
      <c r="K1392" t="str">
        <f t="shared" si="483"/>
        <v>31.898651</v>
      </c>
      <c r="L1392" t="str">
        <f t="shared" si="484"/>
        <v>-97.091114</v>
      </c>
      <c r="M1392">
        <v>198</v>
      </c>
      <c r="N1392" s="1">
        <v>44524</v>
      </c>
      <c r="O1392" s="1">
        <v>46099</v>
      </c>
      <c r="P1392" s="2">
        <f t="shared" si="485"/>
        <v>4.3121149897330593</v>
      </c>
      <c r="Q1392" s="2" t="str">
        <f t="shared" si="486"/>
        <v>Mid</v>
      </c>
      <c r="R1392">
        <f t="shared" si="487"/>
        <v>2000</v>
      </c>
      <c r="S1392" t="str">
        <f t="shared" si="488"/>
        <v>Small</v>
      </c>
      <c r="T1392" t="str">
        <f t="shared" si="489"/>
        <v>High EV Adoption Corridor</v>
      </c>
      <c r="U1392" s="3">
        <f t="shared" si="490"/>
        <v>4680000</v>
      </c>
      <c r="V1392" s="4">
        <f t="shared" si="491"/>
        <v>1056000</v>
      </c>
      <c r="W1392" s="3">
        <f t="shared" si="492"/>
        <v>13200000.000000002</v>
      </c>
      <c r="X1392" s="3">
        <f t="shared" si="493"/>
        <v>9900000.0000000019</v>
      </c>
      <c r="Y1392">
        <f t="shared" si="494"/>
        <v>0.23999999999999996</v>
      </c>
      <c r="Z1392">
        <f t="shared" si="495"/>
        <v>0.77435897435897438</v>
      </c>
      <c r="AA1392" t="str">
        <f t="shared" si="496"/>
        <v>Tier 1 - Priority Fleet</v>
      </c>
      <c r="AB1392" s="3">
        <f t="shared" si="497"/>
        <v>132000</v>
      </c>
      <c r="AC1392" s="3">
        <f t="shared" si="498"/>
        <v>1650000.0000000002</v>
      </c>
      <c r="AD1392" s="3">
        <f t="shared" si="499"/>
        <v>585000</v>
      </c>
      <c r="AE1392" s="5">
        <f t="shared" si="500"/>
        <v>3.6423841059602653</v>
      </c>
      <c r="AF1392" s="10">
        <f t="shared" si="501"/>
        <v>654720</v>
      </c>
      <c r="AG1392" s="10">
        <f t="shared" si="502"/>
        <v>211200</v>
      </c>
      <c r="AH1392" s="10">
        <f t="shared" si="503"/>
        <v>105600</v>
      </c>
      <c r="AI1392" s="10">
        <f t="shared" si="504"/>
        <v>52800</v>
      </c>
      <c r="AJ1392" s="10">
        <f t="shared" si="505"/>
        <v>31680</v>
      </c>
    </row>
    <row r="1393" spans="1:36" x14ac:dyDescent="0.3">
      <c r="A1393" t="s">
        <v>5326</v>
      </c>
      <c r="B1393" t="s">
        <v>5327</v>
      </c>
      <c r="C1393" t="s">
        <v>5328</v>
      </c>
      <c r="D1393" t="s">
        <v>14</v>
      </c>
      <c r="E1393">
        <v>92532</v>
      </c>
      <c r="F1393" t="s">
        <v>15</v>
      </c>
      <c r="G1393">
        <v>8</v>
      </c>
      <c r="H1393">
        <v>250</v>
      </c>
      <c r="I1393" t="str" cm="1">
        <f t="array" ref="I1393">_xlfn.IFS(H1393&lt;=120,"V1",H1393&lt;=150,"V2",H1393&lt;=250,"V3", H1393&lt;=350, "V4")</f>
        <v>V3</v>
      </c>
      <c r="J1393" t="s">
        <v>5329</v>
      </c>
      <c r="K1393" t="str">
        <f t="shared" si="483"/>
        <v>34.250676</v>
      </c>
      <c r="L1393" t="str">
        <f t="shared" si="484"/>
        <v>-117.189756</v>
      </c>
      <c r="M1393">
        <v>1577</v>
      </c>
      <c r="N1393" s="1">
        <v>44517</v>
      </c>
      <c r="O1393" s="1">
        <v>46099</v>
      </c>
      <c r="P1393" s="2">
        <f t="shared" si="485"/>
        <v>4.3312799452429847</v>
      </c>
      <c r="Q1393" s="2" t="str">
        <f t="shared" si="486"/>
        <v>Mid</v>
      </c>
      <c r="R1393">
        <f t="shared" si="487"/>
        <v>2000</v>
      </c>
      <c r="S1393" t="str">
        <f t="shared" si="488"/>
        <v>Small</v>
      </c>
      <c r="T1393" t="str">
        <f t="shared" si="489"/>
        <v>High EV Adoption Corridor</v>
      </c>
      <c r="U1393" s="3">
        <f t="shared" si="490"/>
        <v>4680000</v>
      </c>
      <c r="V1393" s="4">
        <f t="shared" si="491"/>
        <v>1056000</v>
      </c>
      <c r="W1393" s="3">
        <f t="shared" si="492"/>
        <v>13200000.000000002</v>
      </c>
      <c r="X1393" s="3">
        <f t="shared" si="493"/>
        <v>9900000.0000000019</v>
      </c>
      <c r="Y1393">
        <f t="shared" si="494"/>
        <v>0.23999999999999996</v>
      </c>
      <c r="Z1393">
        <f t="shared" si="495"/>
        <v>0.77435897435897438</v>
      </c>
      <c r="AA1393" t="str">
        <f t="shared" si="496"/>
        <v>Tier 1 - Priority Fleet</v>
      </c>
      <c r="AB1393" s="3">
        <f t="shared" si="497"/>
        <v>132000</v>
      </c>
      <c r="AC1393" s="3">
        <f t="shared" si="498"/>
        <v>1650000.0000000002</v>
      </c>
      <c r="AD1393" s="3">
        <f t="shared" si="499"/>
        <v>585000</v>
      </c>
      <c r="AE1393" s="5">
        <f t="shared" si="500"/>
        <v>3.6423841059602653</v>
      </c>
      <c r="AF1393" s="10">
        <f t="shared" si="501"/>
        <v>654720</v>
      </c>
      <c r="AG1393" s="10">
        <f t="shared" si="502"/>
        <v>211200</v>
      </c>
      <c r="AH1393" s="10">
        <f t="shared" si="503"/>
        <v>105600</v>
      </c>
      <c r="AI1393" s="10">
        <f t="shared" si="504"/>
        <v>52800</v>
      </c>
      <c r="AJ1393" s="10">
        <f t="shared" si="505"/>
        <v>31680</v>
      </c>
    </row>
    <row r="1394" spans="1:36" x14ac:dyDescent="0.3">
      <c r="A1394" t="s">
        <v>5330</v>
      </c>
      <c r="B1394" t="s">
        <v>5331</v>
      </c>
      <c r="C1394" t="s">
        <v>3597</v>
      </c>
      <c r="D1394" t="s">
        <v>14</v>
      </c>
      <c r="E1394">
        <v>95212</v>
      </c>
      <c r="F1394" t="s">
        <v>15</v>
      </c>
      <c r="G1394">
        <v>12</v>
      </c>
      <c r="H1394">
        <v>250</v>
      </c>
      <c r="I1394" t="str" cm="1">
        <f t="array" ref="I1394">_xlfn.IFS(H1394&lt;=120,"V1",H1394&lt;=150,"V2",H1394&lt;=250,"V3", H1394&lt;=350, "V4")</f>
        <v>V3</v>
      </c>
      <c r="J1394" t="s">
        <v>5332</v>
      </c>
      <c r="K1394" t="str">
        <f t="shared" si="483"/>
        <v>38.039095</v>
      </c>
      <c r="L1394" t="str">
        <f t="shared" si="484"/>
        <v>-121.260928</v>
      </c>
      <c r="M1394">
        <v>11</v>
      </c>
      <c r="N1394" s="1">
        <v>44615</v>
      </c>
      <c r="O1394" s="1">
        <v>46099</v>
      </c>
      <c r="P1394" s="2">
        <f t="shared" si="485"/>
        <v>4.0629705681040384</v>
      </c>
      <c r="Q1394" s="2" t="str">
        <f t="shared" si="486"/>
        <v>Mid</v>
      </c>
      <c r="R1394">
        <f t="shared" si="487"/>
        <v>3000</v>
      </c>
      <c r="S1394" t="str">
        <f t="shared" si="488"/>
        <v>Small</v>
      </c>
      <c r="T1394" t="str">
        <f t="shared" si="489"/>
        <v>High EV Adoption Corridor</v>
      </c>
      <c r="U1394" s="3">
        <f t="shared" si="490"/>
        <v>7020000</v>
      </c>
      <c r="V1394" s="4">
        <f t="shared" si="491"/>
        <v>1584000</v>
      </c>
      <c r="W1394" s="3">
        <f t="shared" si="492"/>
        <v>19800000</v>
      </c>
      <c r="X1394" s="3">
        <f t="shared" si="493"/>
        <v>14850000</v>
      </c>
      <c r="Y1394">
        <f t="shared" si="494"/>
        <v>0.24</v>
      </c>
      <c r="Z1394">
        <f t="shared" si="495"/>
        <v>0.77435897435897438</v>
      </c>
      <c r="AA1394" t="str">
        <f t="shared" si="496"/>
        <v>Tier 1 - Priority Fleet</v>
      </c>
      <c r="AB1394" s="3">
        <f t="shared" si="497"/>
        <v>132000</v>
      </c>
      <c r="AC1394" s="3">
        <f t="shared" si="498"/>
        <v>1650000</v>
      </c>
      <c r="AD1394" s="3">
        <f t="shared" si="499"/>
        <v>585000</v>
      </c>
      <c r="AE1394" s="5">
        <f t="shared" si="500"/>
        <v>3.6423841059602649</v>
      </c>
      <c r="AF1394" s="10">
        <f t="shared" si="501"/>
        <v>982080</v>
      </c>
      <c r="AG1394" s="10">
        <f t="shared" si="502"/>
        <v>316800</v>
      </c>
      <c r="AH1394" s="10">
        <f t="shared" si="503"/>
        <v>158400</v>
      </c>
      <c r="AI1394" s="10">
        <f t="shared" si="504"/>
        <v>79200</v>
      </c>
      <c r="AJ1394" s="10">
        <f t="shared" si="505"/>
        <v>47520</v>
      </c>
    </row>
    <row r="1395" spans="1:36" x14ac:dyDescent="0.3">
      <c r="A1395" t="s">
        <v>5333</v>
      </c>
      <c r="B1395" t="s">
        <v>5334</v>
      </c>
      <c r="C1395" t="s">
        <v>5335</v>
      </c>
      <c r="D1395" t="s">
        <v>316</v>
      </c>
      <c r="E1395">
        <v>97457</v>
      </c>
      <c r="F1395" t="s">
        <v>15</v>
      </c>
      <c r="G1395">
        <v>8</v>
      </c>
      <c r="H1395">
        <v>250</v>
      </c>
      <c r="I1395" t="str" cm="1">
        <f t="array" ref="I1395">_xlfn.IFS(H1395&lt;=120,"V1",H1395&lt;=150,"V2",H1395&lt;=250,"V3", H1395&lt;=350, "V4")</f>
        <v>V3</v>
      </c>
      <c r="J1395" t="s">
        <v>5336</v>
      </c>
      <c r="K1395" t="str">
        <f t="shared" si="483"/>
        <v>42.97264</v>
      </c>
      <c r="L1395" t="str">
        <f t="shared" si="484"/>
        <v>-123.339021</v>
      </c>
      <c r="M1395">
        <v>194</v>
      </c>
      <c r="N1395" s="1">
        <v>44490</v>
      </c>
      <c r="O1395" s="1">
        <v>46099</v>
      </c>
      <c r="P1395" s="2">
        <f t="shared" si="485"/>
        <v>4.4052019164955514</v>
      </c>
      <c r="Q1395" s="2" t="str">
        <f t="shared" si="486"/>
        <v>Mid</v>
      </c>
      <c r="R1395">
        <f t="shared" si="487"/>
        <v>2000</v>
      </c>
      <c r="S1395" t="str">
        <f t="shared" si="488"/>
        <v>Small</v>
      </c>
      <c r="T1395" t="str">
        <f t="shared" si="489"/>
        <v>Lower EV Adoption Corridor</v>
      </c>
      <c r="U1395" s="3">
        <f t="shared" si="490"/>
        <v>3600000</v>
      </c>
      <c r="V1395" s="4">
        <f t="shared" si="491"/>
        <v>880000.00000000012</v>
      </c>
      <c r="W1395" s="3">
        <f t="shared" si="492"/>
        <v>12000000</v>
      </c>
      <c r="X1395" s="3">
        <f t="shared" si="493"/>
        <v>6600000.0000000009</v>
      </c>
      <c r="Y1395">
        <f t="shared" si="494"/>
        <v>0.31515151515151513</v>
      </c>
      <c r="Z1395">
        <f t="shared" si="495"/>
        <v>0.75555555555555554</v>
      </c>
      <c r="AA1395" t="str">
        <f t="shared" si="496"/>
        <v>Tier 2 - Growth Markets</v>
      </c>
      <c r="AB1395" s="3">
        <f t="shared" si="497"/>
        <v>110000.00000000001</v>
      </c>
      <c r="AC1395" s="3">
        <f t="shared" si="498"/>
        <v>1500000</v>
      </c>
      <c r="AD1395" s="3">
        <f t="shared" si="499"/>
        <v>450000</v>
      </c>
      <c r="AE1395" s="5">
        <f t="shared" si="500"/>
        <v>4.4117647058823533</v>
      </c>
      <c r="AF1395" s="10">
        <f t="shared" si="501"/>
        <v>545600.00000000012</v>
      </c>
      <c r="AG1395" s="10">
        <f t="shared" si="502"/>
        <v>176000.00000000003</v>
      </c>
      <c r="AH1395" s="10">
        <f t="shared" si="503"/>
        <v>88000.000000000015</v>
      </c>
      <c r="AI1395" s="10">
        <f t="shared" si="504"/>
        <v>44000.000000000007</v>
      </c>
      <c r="AJ1395" s="10">
        <f t="shared" si="505"/>
        <v>26400.000000000004</v>
      </c>
    </row>
    <row r="1396" spans="1:36" x14ac:dyDescent="0.3">
      <c r="A1396" t="s">
        <v>5337</v>
      </c>
      <c r="B1396" t="s">
        <v>5338</v>
      </c>
      <c r="C1396" t="s">
        <v>5339</v>
      </c>
      <c r="D1396" t="s">
        <v>50</v>
      </c>
      <c r="E1396">
        <v>78617</v>
      </c>
      <c r="F1396" t="s">
        <v>15</v>
      </c>
      <c r="G1396">
        <v>8</v>
      </c>
      <c r="H1396">
        <v>250</v>
      </c>
      <c r="I1396" t="str" cm="1">
        <f t="array" ref="I1396">_xlfn.IFS(H1396&lt;=120,"V1",H1396&lt;=150,"V2",H1396&lt;=250,"V3", H1396&lt;=350, "V4")</f>
        <v>V3</v>
      </c>
      <c r="J1396" t="s">
        <v>5340</v>
      </c>
      <c r="K1396" t="str">
        <f t="shared" si="483"/>
        <v>30.172397</v>
      </c>
      <c r="L1396" t="str">
        <f t="shared" si="484"/>
        <v>-97.630394</v>
      </c>
      <c r="M1396">
        <v>154</v>
      </c>
      <c r="N1396" s="1">
        <v>44652</v>
      </c>
      <c r="O1396" s="1">
        <v>46099</v>
      </c>
      <c r="P1396" s="2">
        <f t="shared" si="485"/>
        <v>3.9616700889801506</v>
      </c>
      <c r="Q1396" s="2" t="str">
        <f t="shared" si="486"/>
        <v>Mid</v>
      </c>
      <c r="R1396">
        <f t="shared" si="487"/>
        <v>2000</v>
      </c>
      <c r="S1396" t="str">
        <f t="shared" si="488"/>
        <v>Small</v>
      </c>
      <c r="T1396" t="str">
        <f t="shared" si="489"/>
        <v>High EV Adoption Corridor</v>
      </c>
      <c r="U1396" s="3">
        <f t="shared" si="490"/>
        <v>4680000</v>
      </c>
      <c r="V1396" s="4">
        <f t="shared" si="491"/>
        <v>1056000</v>
      </c>
      <c r="W1396" s="3">
        <f t="shared" si="492"/>
        <v>13200000.000000002</v>
      </c>
      <c r="X1396" s="3">
        <f t="shared" si="493"/>
        <v>9900000.0000000019</v>
      </c>
      <c r="Y1396">
        <f t="shared" si="494"/>
        <v>0.23999999999999996</v>
      </c>
      <c r="Z1396">
        <f t="shared" si="495"/>
        <v>0.77435897435897438</v>
      </c>
      <c r="AA1396" t="str">
        <f t="shared" si="496"/>
        <v>Tier 1 - Priority Fleet</v>
      </c>
      <c r="AB1396" s="3">
        <f t="shared" si="497"/>
        <v>132000</v>
      </c>
      <c r="AC1396" s="3">
        <f t="shared" si="498"/>
        <v>1650000.0000000002</v>
      </c>
      <c r="AD1396" s="3">
        <f t="shared" si="499"/>
        <v>585000</v>
      </c>
      <c r="AE1396" s="5">
        <f t="shared" si="500"/>
        <v>3.6423841059602653</v>
      </c>
      <c r="AF1396" s="10">
        <f t="shared" si="501"/>
        <v>654720</v>
      </c>
      <c r="AG1396" s="10">
        <f t="shared" si="502"/>
        <v>211200</v>
      </c>
      <c r="AH1396" s="10">
        <f t="shared" si="503"/>
        <v>105600</v>
      </c>
      <c r="AI1396" s="10">
        <f t="shared" si="504"/>
        <v>52800</v>
      </c>
      <c r="AJ1396" s="10">
        <f t="shared" si="505"/>
        <v>31680</v>
      </c>
    </row>
    <row r="1397" spans="1:36" x14ac:dyDescent="0.3">
      <c r="A1397" t="s">
        <v>5341</v>
      </c>
      <c r="B1397" t="s">
        <v>5342</v>
      </c>
      <c r="C1397" t="s">
        <v>5343</v>
      </c>
      <c r="D1397" t="s">
        <v>316</v>
      </c>
      <c r="E1397">
        <v>97060</v>
      </c>
      <c r="F1397" t="s">
        <v>15</v>
      </c>
      <c r="G1397">
        <v>8</v>
      </c>
      <c r="H1397">
        <v>250</v>
      </c>
      <c r="I1397" t="str" cm="1">
        <f t="array" ref="I1397">_xlfn.IFS(H1397&lt;=120,"V1",H1397&lt;=150,"V2",H1397&lt;=250,"V3", H1397&lt;=350, "V4")</f>
        <v>V3</v>
      </c>
      <c r="J1397" t="s">
        <v>5344</v>
      </c>
      <c r="K1397" t="str">
        <f t="shared" si="483"/>
        <v>45.542901</v>
      </c>
      <c r="L1397" t="str">
        <f t="shared" si="484"/>
        <v>-122.38935</v>
      </c>
      <c r="M1397">
        <v>13</v>
      </c>
      <c r="N1397" s="1">
        <v>44584</v>
      </c>
      <c r="O1397" s="1">
        <v>46099</v>
      </c>
      <c r="P1397" s="2">
        <f t="shared" si="485"/>
        <v>4.1478439425051334</v>
      </c>
      <c r="Q1397" s="2" t="str">
        <f t="shared" si="486"/>
        <v>Mid</v>
      </c>
      <c r="R1397">
        <f t="shared" si="487"/>
        <v>2000</v>
      </c>
      <c r="S1397" t="str">
        <f t="shared" si="488"/>
        <v>Small</v>
      </c>
      <c r="T1397" t="str">
        <f t="shared" si="489"/>
        <v>Lower EV Adoption Corridor</v>
      </c>
      <c r="U1397" s="3">
        <f t="shared" si="490"/>
        <v>3600000</v>
      </c>
      <c r="V1397" s="4">
        <f t="shared" si="491"/>
        <v>880000.00000000012</v>
      </c>
      <c r="W1397" s="3">
        <f t="shared" si="492"/>
        <v>12000000</v>
      </c>
      <c r="X1397" s="3">
        <f t="shared" si="493"/>
        <v>6600000.0000000009</v>
      </c>
      <c r="Y1397">
        <f t="shared" si="494"/>
        <v>0.31515151515151513</v>
      </c>
      <c r="Z1397">
        <f t="shared" si="495"/>
        <v>0.75555555555555554</v>
      </c>
      <c r="AA1397" t="str">
        <f t="shared" si="496"/>
        <v>Tier 2 - Growth Markets</v>
      </c>
      <c r="AB1397" s="3">
        <f t="shared" si="497"/>
        <v>110000.00000000001</v>
      </c>
      <c r="AC1397" s="3">
        <f t="shared" si="498"/>
        <v>1500000</v>
      </c>
      <c r="AD1397" s="3">
        <f t="shared" si="499"/>
        <v>450000</v>
      </c>
      <c r="AE1397" s="5">
        <f t="shared" si="500"/>
        <v>4.4117647058823533</v>
      </c>
      <c r="AF1397" s="10">
        <f t="shared" si="501"/>
        <v>545600.00000000012</v>
      </c>
      <c r="AG1397" s="10">
        <f t="shared" si="502"/>
        <v>176000.00000000003</v>
      </c>
      <c r="AH1397" s="10">
        <f t="shared" si="503"/>
        <v>88000.000000000015</v>
      </c>
      <c r="AI1397" s="10">
        <f t="shared" si="504"/>
        <v>44000.000000000007</v>
      </c>
      <c r="AJ1397" s="10">
        <f t="shared" si="505"/>
        <v>26400.000000000004</v>
      </c>
    </row>
    <row r="1398" spans="1:36" x14ac:dyDescent="0.3">
      <c r="A1398" t="s">
        <v>5345</v>
      </c>
      <c r="B1398" t="s">
        <v>5346</v>
      </c>
      <c r="C1398" t="s">
        <v>5347</v>
      </c>
      <c r="D1398" t="s">
        <v>158</v>
      </c>
      <c r="E1398">
        <v>10475</v>
      </c>
      <c r="F1398" t="s">
        <v>15</v>
      </c>
      <c r="G1398">
        <v>12</v>
      </c>
      <c r="H1398">
        <v>72</v>
      </c>
      <c r="I1398" t="str" cm="1">
        <f t="array" ref="I1398">_xlfn.IFS(H1398&lt;=120,"V1",H1398&lt;=150,"V2",H1398&lt;=250,"V3", H1398&lt;=350, "V4")</f>
        <v>V1</v>
      </c>
      <c r="J1398" t="s">
        <v>5348</v>
      </c>
      <c r="K1398" t="str">
        <f t="shared" si="483"/>
        <v>40.86368</v>
      </c>
      <c r="L1398" t="str">
        <f t="shared" si="484"/>
        <v>-73.82916</v>
      </c>
      <c r="M1398">
        <v>4</v>
      </c>
      <c r="N1398" s="1">
        <v>43566</v>
      </c>
      <c r="O1398" s="1">
        <v>46099</v>
      </c>
      <c r="P1398" s="2">
        <f t="shared" si="485"/>
        <v>6.9349760438056123</v>
      </c>
      <c r="Q1398" s="2" t="str">
        <f t="shared" si="486"/>
        <v>Mid</v>
      </c>
      <c r="R1398">
        <f t="shared" si="487"/>
        <v>864</v>
      </c>
      <c r="S1398" t="str">
        <f t="shared" si="488"/>
        <v>Small</v>
      </c>
      <c r="T1398" t="str">
        <f t="shared" si="489"/>
        <v>Lower EV Adoption Corridor</v>
      </c>
      <c r="U1398" s="3">
        <f t="shared" si="490"/>
        <v>1296000</v>
      </c>
      <c r="V1398" s="4">
        <f t="shared" si="491"/>
        <v>311040</v>
      </c>
      <c r="W1398" s="3">
        <f t="shared" si="492"/>
        <v>3456000</v>
      </c>
      <c r="X1398" s="3">
        <f t="shared" si="493"/>
        <v>2332800</v>
      </c>
      <c r="Y1398">
        <f t="shared" si="494"/>
        <v>0.2814814814814815</v>
      </c>
      <c r="Z1398">
        <f t="shared" si="495"/>
        <v>0.76</v>
      </c>
      <c r="AA1398" t="str">
        <f t="shared" si="496"/>
        <v>Tier 5 - Retirement Pipeline</v>
      </c>
      <c r="AB1398" s="3">
        <f t="shared" si="497"/>
        <v>25920</v>
      </c>
      <c r="AC1398" s="3">
        <f t="shared" si="498"/>
        <v>288000</v>
      </c>
      <c r="AD1398" s="3">
        <f t="shared" si="499"/>
        <v>108000</v>
      </c>
      <c r="AE1398" s="5">
        <f t="shared" si="500"/>
        <v>3.5087719298245612</v>
      </c>
      <c r="AF1398" s="10">
        <f t="shared" si="501"/>
        <v>192844.79999999999</v>
      </c>
      <c r="AG1398" s="10">
        <f t="shared" si="502"/>
        <v>62208</v>
      </c>
      <c r="AH1398" s="10">
        <f t="shared" si="503"/>
        <v>31104</v>
      </c>
      <c r="AI1398" s="10">
        <f t="shared" si="504"/>
        <v>15552</v>
      </c>
      <c r="AJ1398" s="10">
        <f t="shared" si="505"/>
        <v>9331.1999999999989</v>
      </c>
    </row>
    <row r="1399" spans="1:36" x14ac:dyDescent="0.3">
      <c r="A1399" t="s">
        <v>5349</v>
      </c>
      <c r="B1399" t="s">
        <v>5350</v>
      </c>
      <c r="C1399" t="s">
        <v>5351</v>
      </c>
      <c r="D1399" t="s">
        <v>225</v>
      </c>
      <c r="E1399">
        <v>84713</v>
      </c>
      <c r="F1399" t="s">
        <v>15</v>
      </c>
      <c r="G1399">
        <v>24</v>
      </c>
      <c r="H1399">
        <v>250</v>
      </c>
      <c r="I1399" t="str" cm="1">
        <f t="array" ref="I1399">_xlfn.IFS(H1399&lt;=120,"V1",H1399&lt;=150,"V2",H1399&lt;=250,"V3", H1399&lt;=350, "V4")</f>
        <v>V3</v>
      </c>
      <c r="J1399" t="s">
        <v>5352</v>
      </c>
      <c r="K1399" t="str">
        <f t="shared" si="483"/>
        <v>38.2484296</v>
      </c>
      <c r="L1399" t="str">
        <f t="shared" si="484"/>
        <v>-112.6531868</v>
      </c>
      <c r="M1399">
        <v>1792</v>
      </c>
      <c r="N1399" s="1">
        <v>44300</v>
      </c>
      <c r="O1399" s="1">
        <v>46099</v>
      </c>
      <c r="P1399" s="2">
        <f t="shared" si="485"/>
        <v>4.9253935660506505</v>
      </c>
      <c r="Q1399" s="2" t="str">
        <f t="shared" si="486"/>
        <v>Mid</v>
      </c>
      <c r="R1399">
        <f t="shared" si="487"/>
        <v>6000</v>
      </c>
      <c r="S1399" t="str">
        <f t="shared" si="488"/>
        <v>Small</v>
      </c>
      <c r="T1399" t="str">
        <f t="shared" si="489"/>
        <v>Lower EV Adoption Corridor</v>
      </c>
      <c r="U1399" s="3">
        <f t="shared" si="490"/>
        <v>10800000</v>
      </c>
      <c r="V1399" s="4">
        <f t="shared" si="491"/>
        <v>2640000</v>
      </c>
      <c r="W1399" s="3">
        <f t="shared" si="492"/>
        <v>36000000</v>
      </c>
      <c r="X1399" s="3">
        <f t="shared" si="493"/>
        <v>19800000</v>
      </c>
      <c r="Y1399">
        <f t="shared" si="494"/>
        <v>0.31515151515151513</v>
      </c>
      <c r="Z1399">
        <f t="shared" si="495"/>
        <v>0.75555555555555554</v>
      </c>
      <c r="AA1399" t="str">
        <f t="shared" si="496"/>
        <v>Tier 2 - Growth Markets</v>
      </c>
      <c r="AB1399" s="3">
        <f t="shared" si="497"/>
        <v>110000</v>
      </c>
      <c r="AC1399" s="3">
        <f t="shared" si="498"/>
        <v>1500000</v>
      </c>
      <c r="AD1399" s="3">
        <f t="shared" si="499"/>
        <v>450000</v>
      </c>
      <c r="AE1399" s="5">
        <f t="shared" si="500"/>
        <v>4.4117647058823533</v>
      </c>
      <c r="AF1399" s="10">
        <f t="shared" si="501"/>
        <v>1636800</v>
      </c>
      <c r="AG1399" s="10">
        <f t="shared" si="502"/>
        <v>528000</v>
      </c>
      <c r="AH1399" s="10">
        <f t="shared" si="503"/>
        <v>264000</v>
      </c>
      <c r="AI1399" s="10">
        <f t="shared" si="504"/>
        <v>132000</v>
      </c>
      <c r="AJ1399" s="10">
        <f t="shared" si="505"/>
        <v>79200</v>
      </c>
    </row>
    <row r="1400" spans="1:36" x14ac:dyDescent="0.3">
      <c r="A1400" t="s">
        <v>5353</v>
      </c>
      <c r="B1400" t="s">
        <v>5354</v>
      </c>
      <c r="C1400" t="s">
        <v>5355</v>
      </c>
      <c r="D1400" t="s">
        <v>77</v>
      </c>
      <c r="E1400">
        <v>28562</v>
      </c>
      <c r="F1400" t="s">
        <v>15</v>
      </c>
      <c r="G1400">
        <v>8</v>
      </c>
      <c r="H1400">
        <v>250</v>
      </c>
      <c r="I1400" t="str" cm="1">
        <f t="array" ref="I1400">_xlfn.IFS(H1400&lt;=120,"V1",H1400&lt;=150,"V2",H1400&lt;=250,"V3", H1400&lt;=350, "V4")</f>
        <v>V3</v>
      </c>
      <c r="J1400" t="s">
        <v>5356</v>
      </c>
      <c r="K1400" t="str">
        <f t="shared" si="483"/>
        <v>35.104124</v>
      </c>
      <c r="L1400" t="str">
        <f t="shared" si="484"/>
        <v>-77.080448</v>
      </c>
      <c r="M1400">
        <v>7</v>
      </c>
      <c r="N1400" s="1">
        <v>44443</v>
      </c>
      <c r="O1400" s="1">
        <v>46099</v>
      </c>
      <c r="P1400" s="2">
        <f t="shared" si="485"/>
        <v>4.5338809034907595</v>
      </c>
      <c r="Q1400" s="2" t="str">
        <f t="shared" si="486"/>
        <v>Mid</v>
      </c>
      <c r="R1400">
        <f t="shared" si="487"/>
        <v>2000</v>
      </c>
      <c r="S1400" t="str">
        <f t="shared" si="488"/>
        <v>Small</v>
      </c>
      <c r="T1400" t="str">
        <f t="shared" si="489"/>
        <v>Lower EV Adoption Corridor</v>
      </c>
      <c r="U1400" s="3">
        <f t="shared" si="490"/>
        <v>3600000</v>
      </c>
      <c r="V1400" s="4">
        <f t="shared" si="491"/>
        <v>880000.00000000012</v>
      </c>
      <c r="W1400" s="3">
        <f t="shared" si="492"/>
        <v>12000000</v>
      </c>
      <c r="X1400" s="3">
        <f t="shared" si="493"/>
        <v>6600000.0000000009</v>
      </c>
      <c r="Y1400">
        <f t="shared" si="494"/>
        <v>0.31515151515151513</v>
      </c>
      <c r="Z1400">
        <f t="shared" si="495"/>
        <v>0.75555555555555554</v>
      </c>
      <c r="AA1400" t="str">
        <f t="shared" si="496"/>
        <v>Tier 2 - Growth Markets</v>
      </c>
      <c r="AB1400" s="3">
        <f t="shared" si="497"/>
        <v>110000.00000000001</v>
      </c>
      <c r="AC1400" s="3">
        <f t="shared" si="498"/>
        <v>1500000</v>
      </c>
      <c r="AD1400" s="3">
        <f t="shared" si="499"/>
        <v>450000</v>
      </c>
      <c r="AE1400" s="5">
        <f t="shared" si="500"/>
        <v>4.4117647058823533</v>
      </c>
      <c r="AF1400" s="10">
        <f t="shared" si="501"/>
        <v>545600.00000000012</v>
      </c>
      <c r="AG1400" s="10">
        <f t="shared" si="502"/>
        <v>176000.00000000003</v>
      </c>
      <c r="AH1400" s="10">
        <f t="shared" si="503"/>
        <v>88000.000000000015</v>
      </c>
      <c r="AI1400" s="10">
        <f t="shared" si="504"/>
        <v>44000.000000000007</v>
      </c>
      <c r="AJ1400" s="10">
        <f t="shared" si="505"/>
        <v>26400.000000000004</v>
      </c>
    </row>
    <row r="1401" spans="1:36" x14ac:dyDescent="0.3">
      <c r="A1401" t="s">
        <v>5357</v>
      </c>
      <c r="B1401" t="s">
        <v>5358</v>
      </c>
      <c r="C1401" t="s">
        <v>5359</v>
      </c>
      <c r="D1401" t="s">
        <v>130</v>
      </c>
      <c r="E1401">
        <v>47943</v>
      </c>
      <c r="F1401" t="s">
        <v>15</v>
      </c>
      <c r="G1401">
        <v>12</v>
      </c>
      <c r="H1401">
        <v>250</v>
      </c>
      <c r="I1401" t="str" cm="1">
        <f t="array" ref="I1401">_xlfn.IFS(H1401&lt;=120,"V1",H1401&lt;=150,"V2",H1401&lt;=250,"V3", H1401&lt;=350, "V4")</f>
        <v>V3</v>
      </c>
      <c r="J1401" t="s">
        <v>5360</v>
      </c>
      <c r="K1401" t="str">
        <f t="shared" si="483"/>
        <v>41.010608</v>
      </c>
      <c r="L1401" t="str">
        <f t="shared" si="484"/>
        <v>-87.276583</v>
      </c>
      <c r="M1401">
        <v>209</v>
      </c>
      <c r="N1401" s="1">
        <v>44436</v>
      </c>
      <c r="O1401" s="1">
        <v>46099</v>
      </c>
      <c r="P1401" s="2">
        <f t="shared" si="485"/>
        <v>4.5530458590006848</v>
      </c>
      <c r="Q1401" s="2" t="str">
        <f t="shared" si="486"/>
        <v>Mid</v>
      </c>
      <c r="R1401">
        <f t="shared" si="487"/>
        <v>3000</v>
      </c>
      <c r="S1401" t="str">
        <f t="shared" si="488"/>
        <v>Small</v>
      </c>
      <c r="T1401" t="str">
        <f t="shared" si="489"/>
        <v>Lower EV Adoption Corridor</v>
      </c>
      <c r="U1401" s="3">
        <f t="shared" si="490"/>
        <v>5400000</v>
      </c>
      <c r="V1401" s="4">
        <f t="shared" si="491"/>
        <v>1320000</v>
      </c>
      <c r="W1401" s="3">
        <f t="shared" si="492"/>
        <v>18000000</v>
      </c>
      <c r="X1401" s="3">
        <f t="shared" si="493"/>
        <v>9900000</v>
      </c>
      <c r="Y1401">
        <f t="shared" si="494"/>
        <v>0.31515151515151513</v>
      </c>
      <c r="Z1401">
        <f t="shared" si="495"/>
        <v>0.75555555555555554</v>
      </c>
      <c r="AA1401" t="str">
        <f t="shared" si="496"/>
        <v>Tier 2 - Growth Markets</v>
      </c>
      <c r="AB1401" s="3">
        <f t="shared" si="497"/>
        <v>110000</v>
      </c>
      <c r="AC1401" s="3">
        <f t="shared" si="498"/>
        <v>1500000</v>
      </c>
      <c r="AD1401" s="3">
        <f t="shared" si="499"/>
        <v>450000</v>
      </c>
      <c r="AE1401" s="5">
        <f t="shared" si="500"/>
        <v>4.4117647058823533</v>
      </c>
      <c r="AF1401" s="10">
        <f t="shared" si="501"/>
        <v>818400</v>
      </c>
      <c r="AG1401" s="10">
        <f t="shared" si="502"/>
        <v>264000</v>
      </c>
      <c r="AH1401" s="10">
        <f t="shared" si="503"/>
        <v>132000</v>
      </c>
      <c r="AI1401" s="10">
        <f t="shared" si="504"/>
        <v>66000</v>
      </c>
      <c r="AJ1401" s="10">
        <f t="shared" si="505"/>
        <v>39600</v>
      </c>
    </row>
    <row r="1402" spans="1:36" x14ac:dyDescent="0.3">
      <c r="A1402" t="s">
        <v>5361</v>
      </c>
      <c r="B1402" t="s">
        <v>5362</v>
      </c>
      <c r="C1402" t="s">
        <v>5363</v>
      </c>
      <c r="D1402" t="s">
        <v>158</v>
      </c>
      <c r="E1402">
        <v>11758</v>
      </c>
      <c r="F1402" t="s">
        <v>15</v>
      </c>
      <c r="G1402">
        <v>8</v>
      </c>
      <c r="H1402">
        <v>250</v>
      </c>
      <c r="I1402" t="str" cm="1">
        <f t="array" ref="I1402">_xlfn.IFS(H1402&lt;=120,"V1",H1402&lt;=150,"V2",H1402&lt;=250,"V3", H1402&lt;=350, "V4")</f>
        <v>V3</v>
      </c>
      <c r="J1402" t="s">
        <v>5364</v>
      </c>
      <c r="K1402" t="str">
        <f t="shared" si="483"/>
        <v>40.701916</v>
      </c>
      <c r="L1402" t="str">
        <f t="shared" si="484"/>
        <v>-73.432817</v>
      </c>
      <c r="M1402">
        <v>13</v>
      </c>
      <c r="N1402" s="1">
        <v>44457</v>
      </c>
      <c r="O1402" s="1">
        <v>46099</v>
      </c>
      <c r="P1402" s="2">
        <f t="shared" si="485"/>
        <v>4.4955509924709105</v>
      </c>
      <c r="Q1402" s="2" t="str">
        <f t="shared" si="486"/>
        <v>Mid</v>
      </c>
      <c r="R1402">
        <f t="shared" si="487"/>
        <v>2000</v>
      </c>
      <c r="S1402" t="str">
        <f t="shared" si="488"/>
        <v>Small</v>
      </c>
      <c r="T1402" t="str">
        <f t="shared" si="489"/>
        <v>Lower EV Adoption Corridor</v>
      </c>
      <c r="U1402" s="3">
        <f t="shared" si="490"/>
        <v>3600000</v>
      </c>
      <c r="V1402" s="4">
        <f t="shared" si="491"/>
        <v>880000.00000000012</v>
      </c>
      <c r="W1402" s="3">
        <f t="shared" si="492"/>
        <v>12000000</v>
      </c>
      <c r="X1402" s="3">
        <f t="shared" si="493"/>
        <v>6600000.0000000009</v>
      </c>
      <c r="Y1402">
        <f t="shared" si="494"/>
        <v>0.31515151515151513</v>
      </c>
      <c r="Z1402">
        <f t="shared" si="495"/>
        <v>0.75555555555555554</v>
      </c>
      <c r="AA1402" t="str">
        <f t="shared" si="496"/>
        <v>Tier 2 - Growth Markets</v>
      </c>
      <c r="AB1402" s="3">
        <f t="shared" si="497"/>
        <v>110000.00000000001</v>
      </c>
      <c r="AC1402" s="3">
        <f t="shared" si="498"/>
        <v>1500000</v>
      </c>
      <c r="AD1402" s="3">
        <f t="shared" si="499"/>
        <v>450000</v>
      </c>
      <c r="AE1402" s="5">
        <f t="shared" si="500"/>
        <v>4.4117647058823533</v>
      </c>
      <c r="AF1402" s="10">
        <f t="shared" si="501"/>
        <v>545600.00000000012</v>
      </c>
      <c r="AG1402" s="10">
        <f t="shared" si="502"/>
        <v>176000.00000000003</v>
      </c>
      <c r="AH1402" s="10">
        <f t="shared" si="503"/>
        <v>88000.000000000015</v>
      </c>
      <c r="AI1402" s="10">
        <f t="shared" si="504"/>
        <v>44000.000000000007</v>
      </c>
      <c r="AJ1402" s="10">
        <f t="shared" si="505"/>
        <v>26400.000000000004</v>
      </c>
    </row>
    <row r="1403" spans="1:36" x14ac:dyDescent="0.3">
      <c r="A1403" t="s">
        <v>5365</v>
      </c>
      <c r="B1403" t="s">
        <v>5366</v>
      </c>
      <c r="C1403" t="s">
        <v>224</v>
      </c>
      <c r="D1403" t="s">
        <v>125</v>
      </c>
      <c r="E1403">
        <v>29477</v>
      </c>
      <c r="F1403" t="s">
        <v>15</v>
      </c>
      <c r="G1403">
        <v>12</v>
      </c>
      <c r="H1403">
        <v>250</v>
      </c>
      <c r="I1403" t="str" cm="1">
        <f t="array" ref="I1403">_xlfn.IFS(H1403&lt;=120,"V1",H1403&lt;=150,"V2",H1403&lt;=250,"V3", H1403&lt;=350, "V4")</f>
        <v>V3</v>
      </c>
      <c r="J1403" t="s">
        <v>5367</v>
      </c>
      <c r="K1403" t="str">
        <f t="shared" si="483"/>
        <v>33.195556</v>
      </c>
      <c r="L1403" t="str">
        <f t="shared" si="484"/>
        <v>-80.599395</v>
      </c>
      <c r="M1403">
        <v>28</v>
      </c>
      <c r="N1403" s="1">
        <v>44442</v>
      </c>
      <c r="O1403" s="1">
        <v>46099</v>
      </c>
      <c r="P1403" s="2">
        <f t="shared" si="485"/>
        <v>4.5366187542778915</v>
      </c>
      <c r="Q1403" s="2" t="str">
        <f t="shared" si="486"/>
        <v>Mid</v>
      </c>
      <c r="R1403">
        <f t="shared" si="487"/>
        <v>3000</v>
      </c>
      <c r="S1403" t="str">
        <f t="shared" si="488"/>
        <v>Small</v>
      </c>
      <c r="T1403" t="str">
        <f t="shared" si="489"/>
        <v>Lower EV Adoption Corridor</v>
      </c>
      <c r="U1403" s="3">
        <f t="shared" si="490"/>
        <v>5400000</v>
      </c>
      <c r="V1403" s="4">
        <f t="shared" si="491"/>
        <v>1320000</v>
      </c>
      <c r="W1403" s="3">
        <f t="shared" si="492"/>
        <v>18000000</v>
      </c>
      <c r="X1403" s="3">
        <f t="shared" si="493"/>
        <v>9900000</v>
      </c>
      <c r="Y1403">
        <f t="shared" si="494"/>
        <v>0.31515151515151513</v>
      </c>
      <c r="Z1403">
        <f t="shared" si="495"/>
        <v>0.75555555555555554</v>
      </c>
      <c r="AA1403" t="str">
        <f t="shared" si="496"/>
        <v>Tier 2 - Growth Markets</v>
      </c>
      <c r="AB1403" s="3">
        <f t="shared" si="497"/>
        <v>110000</v>
      </c>
      <c r="AC1403" s="3">
        <f t="shared" si="498"/>
        <v>1500000</v>
      </c>
      <c r="AD1403" s="3">
        <f t="shared" si="499"/>
        <v>450000</v>
      </c>
      <c r="AE1403" s="5">
        <f t="shared" si="500"/>
        <v>4.4117647058823533</v>
      </c>
      <c r="AF1403" s="10">
        <f t="shared" si="501"/>
        <v>818400</v>
      </c>
      <c r="AG1403" s="10">
        <f t="shared" si="502"/>
        <v>264000</v>
      </c>
      <c r="AH1403" s="10">
        <f t="shared" si="503"/>
        <v>132000</v>
      </c>
      <c r="AI1403" s="10">
        <f t="shared" si="504"/>
        <v>66000</v>
      </c>
      <c r="AJ1403" s="10">
        <f t="shared" si="505"/>
        <v>39600</v>
      </c>
    </row>
    <row r="1404" spans="1:36" x14ac:dyDescent="0.3">
      <c r="A1404" t="s">
        <v>5368</v>
      </c>
      <c r="B1404" t="s">
        <v>5369</v>
      </c>
      <c r="C1404" t="s">
        <v>5370</v>
      </c>
      <c r="D1404" t="s">
        <v>77</v>
      </c>
      <c r="E1404">
        <v>27529</v>
      </c>
      <c r="F1404" t="s">
        <v>15</v>
      </c>
      <c r="G1404">
        <v>8</v>
      </c>
      <c r="H1404">
        <v>250</v>
      </c>
      <c r="I1404" t="str" cm="1">
        <f t="array" ref="I1404">_xlfn.IFS(H1404&lt;=120,"V1",H1404&lt;=150,"V2",H1404&lt;=250,"V3", H1404&lt;=350, "V4")</f>
        <v>V3</v>
      </c>
      <c r="J1404" t="s">
        <v>5371</v>
      </c>
      <c r="K1404" t="str">
        <f t="shared" si="483"/>
        <v>35.608443</v>
      </c>
      <c r="L1404" t="str">
        <f t="shared" si="484"/>
        <v>-78.563054</v>
      </c>
      <c r="M1404">
        <v>92</v>
      </c>
      <c r="N1404" s="1">
        <v>44443</v>
      </c>
      <c r="O1404" s="1">
        <v>46099</v>
      </c>
      <c r="P1404" s="2">
        <f t="shared" si="485"/>
        <v>4.5338809034907595</v>
      </c>
      <c r="Q1404" s="2" t="str">
        <f t="shared" si="486"/>
        <v>Mid</v>
      </c>
      <c r="R1404">
        <f t="shared" si="487"/>
        <v>2000</v>
      </c>
      <c r="S1404" t="str">
        <f t="shared" si="488"/>
        <v>Small</v>
      </c>
      <c r="T1404" t="str">
        <f t="shared" si="489"/>
        <v>Lower EV Adoption Corridor</v>
      </c>
      <c r="U1404" s="3">
        <f t="shared" si="490"/>
        <v>3600000</v>
      </c>
      <c r="V1404" s="4">
        <f t="shared" si="491"/>
        <v>880000.00000000012</v>
      </c>
      <c r="W1404" s="3">
        <f t="shared" si="492"/>
        <v>12000000</v>
      </c>
      <c r="X1404" s="3">
        <f t="shared" si="493"/>
        <v>6600000.0000000009</v>
      </c>
      <c r="Y1404">
        <f t="shared" si="494"/>
        <v>0.31515151515151513</v>
      </c>
      <c r="Z1404">
        <f t="shared" si="495"/>
        <v>0.75555555555555554</v>
      </c>
      <c r="AA1404" t="str">
        <f t="shared" si="496"/>
        <v>Tier 2 - Growth Markets</v>
      </c>
      <c r="AB1404" s="3">
        <f t="shared" si="497"/>
        <v>110000.00000000001</v>
      </c>
      <c r="AC1404" s="3">
        <f t="shared" si="498"/>
        <v>1500000</v>
      </c>
      <c r="AD1404" s="3">
        <f t="shared" si="499"/>
        <v>450000</v>
      </c>
      <c r="AE1404" s="5">
        <f t="shared" si="500"/>
        <v>4.4117647058823533</v>
      </c>
      <c r="AF1404" s="10">
        <f t="shared" si="501"/>
        <v>545600.00000000012</v>
      </c>
      <c r="AG1404" s="10">
        <f t="shared" si="502"/>
        <v>176000.00000000003</v>
      </c>
      <c r="AH1404" s="10">
        <f t="shared" si="503"/>
        <v>88000.000000000015</v>
      </c>
      <c r="AI1404" s="10">
        <f t="shared" si="504"/>
        <v>44000.000000000007</v>
      </c>
      <c r="AJ1404" s="10">
        <f t="shared" si="505"/>
        <v>26400.000000000004</v>
      </c>
    </row>
    <row r="1405" spans="1:36" x14ac:dyDescent="0.3">
      <c r="A1405" t="s">
        <v>5372</v>
      </c>
      <c r="B1405" t="s">
        <v>5373</v>
      </c>
      <c r="C1405" t="s">
        <v>5374</v>
      </c>
      <c r="D1405" t="s">
        <v>268</v>
      </c>
      <c r="E1405">
        <v>81632</v>
      </c>
      <c r="F1405" t="s">
        <v>15</v>
      </c>
      <c r="G1405">
        <v>8</v>
      </c>
      <c r="H1405">
        <v>250</v>
      </c>
      <c r="I1405" t="str" cm="1">
        <f t="array" ref="I1405">_xlfn.IFS(H1405&lt;=120,"V1",H1405&lt;=150,"V2",H1405&lt;=250,"V3", H1405&lt;=350, "V4")</f>
        <v>V3</v>
      </c>
      <c r="J1405" t="s">
        <v>5375</v>
      </c>
      <c r="K1405" t="str">
        <f t="shared" si="483"/>
        <v>39.648581</v>
      </c>
      <c r="L1405" t="str">
        <f t="shared" si="484"/>
        <v>-106.587182</v>
      </c>
      <c r="M1405">
        <v>2216</v>
      </c>
      <c r="N1405" s="1">
        <v>44443</v>
      </c>
      <c r="O1405" s="1">
        <v>46099</v>
      </c>
      <c r="P1405" s="2">
        <f t="shared" si="485"/>
        <v>4.5338809034907595</v>
      </c>
      <c r="Q1405" s="2" t="str">
        <f t="shared" si="486"/>
        <v>Mid</v>
      </c>
      <c r="R1405">
        <f t="shared" si="487"/>
        <v>2000</v>
      </c>
      <c r="S1405" t="str">
        <f t="shared" si="488"/>
        <v>Small</v>
      </c>
      <c r="T1405" t="str">
        <f t="shared" si="489"/>
        <v>High EV Adoption Corridor</v>
      </c>
      <c r="U1405" s="3">
        <f t="shared" si="490"/>
        <v>4680000</v>
      </c>
      <c r="V1405" s="4">
        <f t="shared" si="491"/>
        <v>1056000</v>
      </c>
      <c r="W1405" s="3">
        <f t="shared" si="492"/>
        <v>13200000.000000002</v>
      </c>
      <c r="X1405" s="3">
        <f t="shared" si="493"/>
        <v>9900000.0000000019</v>
      </c>
      <c r="Y1405">
        <f t="shared" si="494"/>
        <v>0.23999999999999996</v>
      </c>
      <c r="Z1405">
        <f t="shared" si="495"/>
        <v>0.77435897435897438</v>
      </c>
      <c r="AA1405" t="str">
        <f t="shared" si="496"/>
        <v>Tier 1 - Priority Fleet</v>
      </c>
      <c r="AB1405" s="3">
        <f t="shared" si="497"/>
        <v>132000</v>
      </c>
      <c r="AC1405" s="3">
        <f t="shared" si="498"/>
        <v>1650000.0000000002</v>
      </c>
      <c r="AD1405" s="3">
        <f t="shared" si="499"/>
        <v>585000</v>
      </c>
      <c r="AE1405" s="5">
        <f t="shared" si="500"/>
        <v>3.6423841059602653</v>
      </c>
      <c r="AF1405" s="10">
        <f t="shared" si="501"/>
        <v>654720</v>
      </c>
      <c r="AG1405" s="10">
        <f t="shared" si="502"/>
        <v>211200</v>
      </c>
      <c r="AH1405" s="10">
        <f t="shared" si="503"/>
        <v>105600</v>
      </c>
      <c r="AI1405" s="10">
        <f t="shared" si="504"/>
        <v>52800</v>
      </c>
      <c r="AJ1405" s="10">
        <f t="shared" si="505"/>
        <v>31680</v>
      </c>
    </row>
    <row r="1406" spans="1:36" x14ac:dyDescent="0.3">
      <c r="A1406" t="s">
        <v>5376</v>
      </c>
      <c r="B1406" t="s">
        <v>5377</v>
      </c>
      <c r="C1406" t="s">
        <v>545</v>
      </c>
      <c r="D1406" t="s">
        <v>125</v>
      </c>
      <c r="E1406">
        <v>29073</v>
      </c>
      <c r="F1406" t="s">
        <v>15</v>
      </c>
      <c r="G1406">
        <v>12</v>
      </c>
      <c r="H1406">
        <v>250</v>
      </c>
      <c r="I1406" t="str" cm="1">
        <f t="array" ref="I1406">_xlfn.IFS(H1406&lt;=120,"V1",H1406&lt;=150,"V2",H1406&lt;=250,"V3", H1406&lt;=350, "V4")</f>
        <v>V3</v>
      </c>
      <c r="J1406" t="s">
        <v>5378</v>
      </c>
      <c r="K1406" t="str">
        <f t="shared" si="483"/>
        <v>33.9521519</v>
      </c>
      <c r="L1406" t="str">
        <f t="shared" si="484"/>
        <v>-81.2326944</v>
      </c>
      <c r="M1406">
        <v>130</v>
      </c>
      <c r="N1406" s="1">
        <v>44460</v>
      </c>
      <c r="O1406" s="1">
        <v>46099</v>
      </c>
      <c r="P1406" s="2">
        <f t="shared" si="485"/>
        <v>4.4873374401095143</v>
      </c>
      <c r="Q1406" s="2" t="str">
        <f t="shared" si="486"/>
        <v>Mid</v>
      </c>
      <c r="R1406">
        <f t="shared" si="487"/>
        <v>3000</v>
      </c>
      <c r="S1406" t="str">
        <f t="shared" si="488"/>
        <v>Small</v>
      </c>
      <c r="T1406" t="str">
        <f t="shared" si="489"/>
        <v>Lower EV Adoption Corridor</v>
      </c>
      <c r="U1406" s="3">
        <f t="shared" si="490"/>
        <v>5400000</v>
      </c>
      <c r="V1406" s="4">
        <f t="shared" si="491"/>
        <v>1320000</v>
      </c>
      <c r="W1406" s="3">
        <f t="shared" si="492"/>
        <v>18000000</v>
      </c>
      <c r="X1406" s="3">
        <f t="shared" si="493"/>
        <v>9900000</v>
      </c>
      <c r="Y1406">
        <f t="shared" si="494"/>
        <v>0.31515151515151513</v>
      </c>
      <c r="Z1406">
        <f t="shared" si="495"/>
        <v>0.75555555555555554</v>
      </c>
      <c r="AA1406" t="str">
        <f t="shared" si="496"/>
        <v>Tier 2 - Growth Markets</v>
      </c>
      <c r="AB1406" s="3">
        <f t="shared" si="497"/>
        <v>110000</v>
      </c>
      <c r="AC1406" s="3">
        <f t="shared" si="498"/>
        <v>1500000</v>
      </c>
      <c r="AD1406" s="3">
        <f t="shared" si="499"/>
        <v>450000</v>
      </c>
      <c r="AE1406" s="5">
        <f t="shared" si="500"/>
        <v>4.4117647058823533</v>
      </c>
      <c r="AF1406" s="10">
        <f t="shared" si="501"/>
        <v>818400</v>
      </c>
      <c r="AG1406" s="10">
        <f t="shared" si="502"/>
        <v>264000</v>
      </c>
      <c r="AH1406" s="10">
        <f t="shared" si="503"/>
        <v>132000</v>
      </c>
      <c r="AI1406" s="10">
        <f t="shared" si="504"/>
        <v>66000</v>
      </c>
      <c r="AJ1406" s="10">
        <f t="shared" si="505"/>
        <v>39600</v>
      </c>
    </row>
    <row r="1407" spans="1:36" x14ac:dyDescent="0.3">
      <c r="A1407" t="s">
        <v>5379</v>
      </c>
      <c r="B1407" t="s">
        <v>5380</v>
      </c>
      <c r="C1407" t="s">
        <v>5381</v>
      </c>
      <c r="D1407" t="s">
        <v>158</v>
      </c>
      <c r="E1407">
        <v>11530</v>
      </c>
      <c r="F1407" t="s">
        <v>15</v>
      </c>
      <c r="G1407">
        <v>12</v>
      </c>
      <c r="H1407">
        <v>250</v>
      </c>
      <c r="I1407" t="str" cm="1">
        <f t="array" ref="I1407">_xlfn.IFS(H1407&lt;=120,"V1",H1407&lt;=150,"V2",H1407&lt;=250,"V3", H1407&lt;=350, "V4")</f>
        <v>V3</v>
      </c>
      <c r="J1407" t="s">
        <v>5382</v>
      </c>
      <c r="K1407" t="str">
        <f t="shared" si="483"/>
        <v>40.7416044</v>
      </c>
      <c r="L1407" t="str">
        <f t="shared" si="484"/>
        <v>-73.6129391</v>
      </c>
      <c r="M1407">
        <v>27</v>
      </c>
      <c r="N1407" s="1">
        <v>44504</v>
      </c>
      <c r="O1407" s="1">
        <v>46099</v>
      </c>
      <c r="P1407" s="2">
        <f t="shared" si="485"/>
        <v>4.3668720054757015</v>
      </c>
      <c r="Q1407" s="2" t="str">
        <f t="shared" si="486"/>
        <v>Mid</v>
      </c>
      <c r="R1407">
        <f t="shared" si="487"/>
        <v>3000</v>
      </c>
      <c r="S1407" t="str">
        <f t="shared" si="488"/>
        <v>Small</v>
      </c>
      <c r="T1407" t="str">
        <f t="shared" si="489"/>
        <v>Lower EV Adoption Corridor</v>
      </c>
      <c r="U1407" s="3">
        <f t="shared" si="490"/>
        <v>5400000</v>
      </c>
      <c r="V1407" s="4">
        <f t="shared" si="491"/>
        <v>1320000</v>
      </c>
      <c r="W1407" s="3">
        <f t="shared" si="492"/>
        <v>18000000</v>
      </c>
      <c r="X1407" s="3">
        <f t="shared" si="493"/>
        <v>9900000</v>
      </c>
      <c r="Y1407">
        <f t="shared" si="494"/>
        <v>0.31515151515151513</v>
      </c>
      <c r="Z1407">
        <f t="shared" si="495"/>
        <v>0.75555555555555554</v>
      </c>
      <c r="AA1407" t="str">
        <f t="shared" si="496"/>
        <v>Tier 2 - Growth Markets</v>
      </c>
      <c r="AB1407" s="3">
        <f t="shared" si="497"/>
        <v>110000</v>
      </c>
      <c r="AC1407" s="3">
        <f t="shared" si="498"/>
        <v>1500000</v>
      </c>
      <c r="AD1407" s="3">
        <f t="shared" si="499"/>
        <v>450000</v>
      </c>
      <c r="AE1407" s="5">
        <f t="shared" si="500"/>
        <v>4.4117647058823533</v>
      </c>
      <c r="AF1407" s="10">
        <f t="shared" si="501"/>
        <v>818400</v>
      </c>
      <c r="AG1407" s="10">
        <f t="shared" si="502"/>
        <v>264000</v>
      </c>
      <c r="AH1407" s="10">
        <f t="shared" si="503"/>
        <v>132000</v>
      </c>
      <c r="AI1407" s="10">
        <f t="shared" si="504"/>
        <v>66000</v>
      </c>
      <c r="AJ1407" s="10">
        <f t="shared" si="505"/>
        <v>39600</v>
      </c>
    </row>
    <row r="1408" spans="1:36" x14ac:dyDescent="0.3">
      <c r="A1408" t="s">
        <v>5383</v>
      </c>
      <c r="B1408" t="s">
        <v>5384</v>
      </c>
      <c r="C1408" t="s">
        <v>5385</v>
      </c>
      <c r="D1408" t="s">
        <v>41</v>
      </c>
      <c r="E1408">
        <v>33181</v>
      </c>
      <c r="F1408" t="s">
        <v>15</v>
      </c>
      <c r="G1408">
        <v>12</v>
      </c>
      <c r="H1408">
        <v>250</v>
      </c>
      <c r="I1408" t="str" cm="1">
        <f t="array" ref="I1408">_xlfn.IFS(H1408&lt;=120,"V1",H1408&lt;=150,"V2",H1408&lt;=250,"V3", H1408&lt;=350, "V4")</f>
        <v>V3</v>
      </c>
      <c r="J1408" t="s">
        <v>5386</v>
      </c>
      <c r="K1408" t="str">
        <f t="shared" si="483"/>
        <v>25.906606</v>
      </c>
      <c r="L1408" t="str">
        <f t="shared" si="484"/>
        <v>-80.157279</v>
      </c>
      <c r="M1408">
        <v>2</v>
      </c>
      <c r="N1408" s="1">
        <v>44809</v>
      </c>
      <c r="O1408" s="1">
        <v>46099</v>
      </c>
      <c r="P1408" s="2">
        <f t="shared" si="485"/>
        <v>3.5318275154004106</v>
      </c>
      <c r="Q1408" s="2" t="str">
        <f t="shared" si="486"/>
        <v>Mid</v>
      </c>
      <c r="R1408">
        <f t="shared" si="487"/>
        <v>3000</v>
      </c>
      <c r="S1408" t="str">
        <f t="shared" si="488"/>
        <v>Small</v>
      </c>
      <c r="T1408" t="str">
        <f t="shared" si="489"/>
        <v>High EV Adoption Corridor</v>
      </c>
      <c r="U1408" s="3">
        <f t="shared" si="490"/>
        <v>7020000</v>
      </c>
      <c r="V1408" s="4">
        <f t="shared" si="491"/>
        <v>1584000</v>
      </c>
      <c r="W1408" s="3">
        <f t="shared" si="492"/>
        <v>19800000</v>
      </c>
      <c r="X1408" s="3">
        <f t="shared" si="493"/>
        <v>14850000</v>
      </c>
      <c r="Y1408">
        <f t="shared" si="494"/>
        <v>0.24</v>
      </c>
      <c r="Z1408">
        <f t="shared" si="495"/>
        <v>0.77435897435897438</v>
      </c>
      <c r="AA1408" t="str">
        <f t="shared" si="496"/>
        <v>Tier 1 - Priority Fleet</v>
      </c>
      <c r="AB1408" s="3">
        <f t="shared" si="497"/>
        <v>132000</v>
      </c>
      <c r="AC1408" s="3">
        <f t="shared" si="498"/>
        <v>1650000</v>
      </c>
      <c r="AD1408" s="3">
        <f t="shared" si="499"/>
        <v>585000</v>
      </c>
      <c r="AE1408" s="5">
        <f t="shared" si="500"/>
        <v>3.6423841059602649</v>
      </c>
      <c r="AF1408" s="10">
        <f t="shared" si="501"/>
        <v>982080</v>
      </c>
      <c r="AG1408" s="10">
        <f t="shared" si="502"/>
        <v>316800</v>
      </c>
      <c r="AH1408" s="10">
        <f t="shared" si="503"/>
        <v>158400</v>
      </c>
      <c r="AI1408" s="10">
        <f t="shared" si="504"/>
        <v>79200</v>
      </c>
      <c r="AJ1408" s="10">
        <f t="shared" si="505"/>
        <v>47520</v>
      </c>
    </row>
    <row r="1409" spans="1:36" x14ac:dyDescent="0.3">
      <c r="A1409" t="s">
        <v>5387</v>
      </c>
      <c r="B1409" t="s">
        <v>5388</v>
      </c>
      <c r="C1409" t="s">
        <v>5389</v>
      </c>
      <c r="D1409" t="s">
        <v>299</v>
      </c>
      <c r="E1409">
        <v>23322</v>
      </c>
      <c r="F1409" t="s">
        <v>15</v>
      </c>
      <c r="G1409">
        <v>8</v>
      </c>
      <c r="H1409">
        <v>250</v>
      </c>
      <c r="I1409" t="str" cm="1">
        <f t="array" ref="I1409">_xlfn.IFS(H1409&lt;=120,"V1",H1409&lt;=150,"V2",H1409&lt;=250,"V3", H1409&lt;=350, "V4")</f>
        <v>V3</v>
      </c>
      <c r="J1409" t="s">
        <v>5390</v>
      </c>
      <c r="K1409" t="str">
        <f t="shared" si="483"/>
        <v>36.657929</v>
      </c>
      <c r="L1409" t="str">
        <f t="shared" si="484"/>
        <v>-76.224462</v>
      </c>
      <c r="M1409">
        <v>8</v>
      </c>
      <c r="N1409" s="1">
        <v>44524</v>
      </c>
      <c r="O1409" s="1">
        <v>46099</v>
      </c>
      <c r="P1409" s="2">
        <f t="shared" si="485"/>
        <v>4.3121149897330593</v>
      </c>
      <c r="Q1409" s="2" t="str">
        <f t="shared" si="486"/>
        <v>Mid</v>
      </c>
      <c r="R1409">
        <f t="shared" si="487"/>
        <v>2000</v>
      </c>
      <c r="S1409" t="str">
        <f t="shared" si="488"/>
        <v>Small</v>
      </c>
      <c r="T1409" t="str">
        <f t="shared" si="489"/>
        <v>Lower EV Adoption Corridor</v>
      </c>
      <c r="U1409" s="3">
        <f t="shared" si="490"/>
        <v>3600000</v>
      </c>
      <c r="V1409" s="4">
        <f t="shared" si="491"/>
        <v>880000.00000000012</v>
      </c>
      <c r="W1409" s="3">
        <f t="shared" si="492"/>
        <v>12000000</v>
      </c>
      <c r="X1409" s="3">
        <f t="shared" si="493"/>
        <v>6600000.0000000009</v>
      </c>
      <c r="Y1409">
        <f t="shared" si="494"/>
        <v>0.31515151515151513</v>
      </c>
      <c r="Z1409">
        <f t="shared" si="495"/>
        <v>0.75555555555555554</v>
      </c>
      <c r="AA1409" t="str">
        <f t="shared" si="496"/>
        <v>Tier 2 - Growth Markets</v>
      </c>
      <c r="AB1409" s="3">
        <f t="shared" si="497"/>
        <v>110000.00000000001</v>
      </c>
      <c r="AC1409" s="3">
        <f t="shared" si="498"/>
        <v>1500000</v>
      </c>
      <c r="AD1409" s="3">
        <f t="shared" si="499"/>
        <v>450000</v>
      </c>
      <c r="AE1409" s="5">
        <f t="shared" si="500"/>
        <v>4.4117647058823533</v>
      </c>
      <c r="AF1409" s="10">
        <f t="shared" si="501"/>
        <v>545600.00000000012</v>
      </c>
      <c r="AG1409" s="10">
        <f t="shared" si="502"/>
        <v>176000.00000000003</v>
      </c>
      <c r="AH1409" s="10">
        <f t="shared" si="503"/>
        <v>88000.000000000015</v>
      </c>
      <c r="AI1409" s="10">
        <f t="shared" si="504"/>
        <v>44000.000000000007</v>
      </c>
      <c r="AJ1409" s="10">
        <f t="shared" si="505"/>
        <v>26400.000000000004</v>
      </c>
    </row>
    <row r="1410" spans="1:36" x14ac:dyDescent="0.3">
      <c r="A1410" t="s">
        <v>5391</v>
      </c>
      <c r="B1410" t="s">
        <v>5392</v>
      </c>
      <c r="C1410" t="s">
        <v>5393</v>
      </c>
      <c r="D1410" t="s">
        <v>77</v>
      </c>
      <c r="E1410">
        <v>27839</v>
      </c>
      <c r="F1410" t="s">
        <v>15</v>
      </c>
      <c r="G1410">
        <v>12</v>
      </c>
      <c r="H1410">
        <v>250</v>
      </c>
      <c r="I1410" t="str" cm="1">
        <f t="array" ref="I1410">_xlfn.IFS(H1410&lt;=120,"V1",H1410&lt;=150,"V2",H1410&lt;=250,"V3", H1410&lt;=350, "V4")</f>
        <v>V3</v>
      </c>
      <c r="J1410" t="s">
        <v>5394</v>
      </c>
      <c r="K1410" t="str">
        <f t="shared" si="483"/>
        <v>36.366063</v>
      </c>
      <c r="L1410" t="str">
        <f t="shared" si="484"/>
        <v>-77.674315</v>
      </c>
      <c r="M1410">
        <v>49</v>
      </c>
      <c r="N1410" s="1">
        <v>44464</v>
      </c>
      <c r="O1410" s="1">
        <v>46099</v>
      </c>
      <c r="P1410" s="2">
        <f t="shared" si="485"/>
        <v>4.476386036960986</v>
      </c>
      <c r="Q1410" s="2" t="str">
        <f t="shared" si="486"/>
        <v>Mid</v>
      </c>
      <c r="R1410">
        <f t="shared" si="487"/>
        <v>3000</v>
      </c>
      <c r="S1410" t="str">
        <f t="shared" si="488"/>
        <v>Small</v>
      </c>
      <c r="T1410" t="str">
        <f t="shared" si="489"/>
        <v>Lower EV Adoption Corridor</v>
      </c>
      <c r="U1410" s="3">
        <f t="shared" si="490"/>
        <v>5400000</v>
      </c>
      <c r="V1410" s="4">
        <f t="shared" si="491"/>
        <v>1320000</v>
      </c>
      <c r="W1410" s="3">
        <f t="shared" si="492"/>
        <v>18000000</v>
      </c>
      <c r="X1410" s="3">
        <f t="shared" si="493"/>
        <v>9900000</v>
      </c>
      <c r="Y1410">
        <f t="shared" si="494"/>
        <v>0.31515151515151513</v>
      </c>
      <c r="Z1410">
        <f t="shared" si="495"/>
        <v>0.75555555555555554</v>
      </c>
      <c r="AA1410" t="str">
        <f t="shared" si="496"/>
        <v>Tier 2 - Growth Markets</v>
      </c>
      <c r="AB1410" s="3">
        <f t="shared" si="497"/>
        <v>110000</v>
      </c>
      <c r="AC1410" s="3">
        <f t="shared" si="498"/>
        <v>1500000</v>
      </c>
      <c r="AD1410" s="3">
        <f t="shared" si="499"/>
        <v>450000</v>
      </c>
      <c r="AE1410" s="5">
        <f t="shared" si="500"/>
        <v>4.4117647058823533</v>
      </c>
      <c r="AF1410" s="10">
        <f t="shared" si="501"/>
        <v>818400</v>
      </c>
      <c r="AG1410" s="10">
        <f t="shared" si="502"/>
        <v>264000</v>
      </c>
      <c r="AH1410" s="10">
        <f t="shared" si="503"/>
        <v>132000</v>
      </c>
      <c r="AI1410" s="10">
        <f t="shared" si="504"/>
        <v>66000</v>
      </c>
      <c r="AJ1410" s="10">
        <f t="shared" si="505"/>
        <v>39600</v>
      </c>
    </row>
    <row r="1411" spans="1:36" x14ac:dyDescent="0.3">
      <c r="A1411" t="s">
        <v>5395</v>
      </c>
      <c r="B1411" t="s">
        <v>5396</v>
      </c>
      <c r="C1411" t="s">
        <v>5397</v>
      </c>
      <c r="D1411" t="s">
        <v>913</v>
      </c>
      <c r="E1411">
        <v>21409</v>
      </c>
      <c r="F1411" t="s">
        <v>15</v>
      </c>
      <c r="G1411">
        <v>8</v>
      </c>
      <c r="H1411">
        <v>250</v>
      </c>
      <c r="I1411" t="str" cm="1">
        <f t="array" ref="I1411">_xlfn.IFS(H1411&lt;=120,"V1",H1411&lt;=150,"V2",H1411&lt;=250,"V3", H1411&lt;=350, "V4")</f>
        <v>V3</v>
      </c>
      <c r="J1411" t="s">
        <v>5398</v>
      </c>
      <c r="K1411" t="str">
        <f t="shared" ref="K1411:K1474" si="506">TRIM(LEFT(J1411, FIND(",", J1411) - 1))</f>
        <v>39.027063</v>
      </c>
      <c r="L1411" t="str">
        <f t="shared" ref="L1411:L1474" si="507">TRIM(MID(J1411, FIND(",", J1411) + 1, LEN(J1411)))</f>
        <v>-76.455758</v>
      </c>
      <c r="M1411">
        <v>9</v>
      </c>
      <c r="N1411" s="1">
        <v>45055</v>
      </c>
      <c r="O1411" s="1">
        <v>46099</v>
      </c>
      <c r="P1411" s="2">
        <f t="shared" ref="P1411:P1474" si="508">(O1411-N1411)/365.25</f>
        <v>2.8583162217659139</v>
      </c>
      <c r="Q1411" s="2" t="str">
        <f t="shared" ref="Q1411:Q1474" si="509">IF(P1411&lt;3,"New",IF(P1411&lt;=8,"Mid","Old"))</f>
        <v>New</v>
      </c>
      <c r="R1411">
        <f t="shared" ref="R1411:R1474" si="510">G1411*H1411</f>
        <v>2000</v>
      </c>
      <c r="S1411" t="str">
        <f t="shared" ref="S1411:S1474" si="511">IF(G1411&lt;=30,"Small",IF(G1411&lt;=60,"Medium","Large"))</f>
        <v>Small</v>
      </c>
      <c r="T1411" t="str">
        <f t="shared" ref="T1411:T1474" si="512">IF(OR(D1411="CA",D1411="FL",D1411="WA",D1411="CO",D1411="TX",D1411="NJ"),"High EV Adoption Corridor","Lower EV Adoption Corridor")</f>
        <v>Lower EV Adoption Corridor</v>
      </c>
      <c r="U1411" s="3">
        <f t="shared" ref="U1411:U1474" si="513" xml:space="preserve"> R1411 * 1500 *
  IF(I1411="V1",1,
     IF(I1411="V2",1.1,1.2)) *
  IF(T1411="High EV Adoption Corridor",1.3,1)</f>
        <v>3600000</v>
      </c>
      <c r="V1411" s="4">
        <f t="shared" ref="V1411:V1474" si="514" xml:space="preserve"> R1411 * 400 *
  IF(I1411="V1",0.9,
     IF(I1411="V2",1,1.1)) *
  IF(T1411="High EV Adoption Corridor",1.2,1)</f>
        <v>880000.00000000012</v>
      </c>
      <c r="W1411" s="3">
        <f t="shared" ref="W1411:W1474" si="515" xml:space="preserve"> R1411 * 5000 *
  IF(I1411="V1",0.8,
     IF(I1411="V2",1,1.2)) *
  IF(T1411="High EV Adoption Corridor",1.1,1)</f>
        <v>12000000</v>
      </c>
      <c r="X1411" s="3">
        <f t="shared" ref="X1411:X1474" si="516" xml:space="preserve"> R1411 * 3000 *
  IF(I1411="V1",0.9,
     IF(I1411="V2",1,1.1)) *
  IF(T1411="High EV Adoption Corridor",1.5,1)</f>
        <v>6600000.0000000009</v>
      </c>
      <c r="Y1411">
        <f t="shared" ref="Y1411:Y1474" si="517" xml:space="preserve"> ((W1411/10) + V1411) / X1411</f>
        <v>0.31515151515151513</v>
      </c>
      <c r="Z1411">
        <f t="shared" ref="Z1411:Z1474" si="518">(U1411-V1411)/U1411</f>
        <v>0.75555555555555554</v>
      </c>
      <c r="AA1411" t="str">
        <f t="shared" ref="AA1411:AA1474" si="519">IF(AND(I1411="V3",T1411="High EV Adoption Corridor"),
"Tier 1 - Priority Fleet",
IF(AND(I1411="V3",T1411="Lower EV Adoption Corridor"),
"Tier 2 - Growth Markets",
IF(AND(OR(I1411="V1",I1411="V2"),T1411="High EV Adoption Corridor"),
"Tier 3 - Upgrade Pipeline",
IF(AND(I1411="V2",T1411="Lower EV Adoption Corridor"),
"Tier 4 - Stable Network",
"Tier 5 - Retirement Pipeline"))))</f>
        <v>Tier 2 - Growth Markets</v>
      </c>
      <c r="AB1411" s="3">
        <f t="shared" ref="AB1411:AB1474" si="520">V1411/G1411</f>
        <v>110000.00000000001</v>
      </c>
      <c r="AC1411" s="3">
        <f t="shared" ref="AC1411:AC1474" si="521">W1411/G1411</f>
        <v>1500000</v>
      </c>
      <c r="AD1411" s="3">
        <f t="shared" ref="AD1411:AD1474" si="522">U1411/G1411</f>
        <v>450000</v>
      </c>
      <c r="AE1411" s="5">
        <f t="shared" ref="AE1411:AE1474" si="523">W1411/(U1411-V1411)</f>
        <v>4.4117647058823533</v>
      </c>
      <c r="AF1411" s="10">
        <f t="shared" ref="AF1411:AF1474" si="524">V1411*0.62</f>
        <v>545600.00000000012</v>
      </c>
      <c r="AG1411" s="10">
        <f t="shared" ref="AG1411:AG1474" si="525">V1411*0.2</f>
        <v>176000.00000000003</v>
      </c>
      <c r="AH1411" s="10">
        <f t="shared" ref="AH1411:AH1474" si="526">V1411*0.1</f>
        <v>88000.000000000015</v>
      </c>
      <c r="AI1411" s="10">
        <f t="shared" ref="AI1411:AI1474" si="527">V1411*0.05</f>
        <v>44000.000000000007</v>
      </c>
      <c r="AJ1411" s="10">
        <f t="shared" ref="AJ1411:AJ1474" si="528">V1411*0.03</f>
        <v>26400.000000000004</v>
      </c>
    </row>
    <row r="1412" spans="1:36" x14ac:dyDescent="0.3">
      <c r="A1412" t="s">
        <v>5399</v>
      </c>
      <c r="B1412" t="s">
        <v>5400</v>
      </c>
      <c r="C1412" t="s">
        <v>5401</v>
      </c>
      <c r="D1412" t="s">
        <v>153</v>
      </c>
      <c r="E1412">
        <v>15102</v>
      </c>
      <c r="F1412" t="s">
        <v>15</v>
      </c>
      <c r="G1412">
        <v>8</v>
      </c>
      <c r="H1412">
        <v>250</v>
      </c>
      <c r="I1412" t="str" cm="1">
        <f t="array" ref="I1412">_xlfn.IFS(H1412&lt;=120,"V1",H1412&lt;=150,"V2",H1412&lt;=250,"V3", H1412&lt;=350, "V4")</f>
        <v>V3</v>
      </c>
      <c r="J1412" t="s">
        <v>5402</v>
      </c>
      <c r="K1412" t="str">
        <f t="shared" si="506"/>
        <v>40.346018</v>
      </c>
      <c r="L1412" t="str">
        <f t="shared" si="507"/>
        <v>-80.047168</v>
      </c>
      <c r="M1412">
        <v>363</v>
      </c>
      <c r="N1412" s="1">
        <v>44887</v>
      </c>
      <c r="O1412" s="1">
        <v>46099</v>
      </c>
      <c r="P1412" s="2">
        <f t="shared" si="508"/>
        <v>3.3182751540041067</v>
      </c>
      <c r="Q1412" s="2" t="str">
        <f t="shared" si="509"/>
        <v>Mid</v>
      </c>
      <c r="R1412">
        <f t="shared" si="510"/>
        <v>2000</v>
      </c>
      <c r="S1412" t="str">
        <f t="shared" si="511"/>
        <v>Small</v>
      </c>
      <c r="T1412" t="str">
        <f t="shared" si="512"/>
        <v>Lower EV Adoption Corridor</v>
      </c>
      <c r="U1412" s="3">
        <f t="shared" si="513"/>
        <v>3600000</v>
      </c>
      <c r="V1412" s="4">
        <f t="shared" si="514"/>
        <v>880000.00000000012</v>
      </c>
      <c r="W1412" s="3">
        <f t="shared" si="515"/>
        <v>12000000</v>
      </c>
      <c r="X1412" s="3">
        <f t="shared" si="516"/>
        <v>6600000.0000000009</v>
      </c>
      <c r="Y1412">
        <f t="shared" si="517"/>
        <v>0.31515151515151513</v>
      </c>
      <c r="Z1412">
        <f t="shared" si="518"/>
        <v>0.75555555555555554</v>
      </c>
      <c r="AA1412" t="str">
        <f t="shared" si="519"/>
        <v>Tier 2 - Growth Markets</v>
      </c>
      <c r="AB1412" s="3">
        <f t="shared" si="520"/>
        <v>110000.00000000001</v>
      </c>
      <c r="AC1412" s="3">
        <f t="shared" si="521"/>
        <v>1500000</v>
      </c>
      <c r="AD1412" s="3">
        <f t="shared" si="522"/>
        <v>450000</v>
      </c>
      <c r="AE1412" s="5">
        <f t="shared" si="523"/>
        <v>4.4117647058823533</v>
      </c>
      <c r="AF1412" s="10">
        <f t="shared" si="524"/>
        <v>545600.00000000012</v>
      </c>
      <c r="AG1412" s="10">
        <f t="shared" si="525"/>
        <v>176000.00000000003</v>
      </c>
      <c r="AH1412" s="10">
        <f t="shared" si="526"/>
        <v>88000.000000000015</v>
      </c>
      <c r="AI1412" s="10">
        <f t="shared" si="527"/>
        <v>44000.000000000007</v>
      </c>
      <c r="AJ1412" s="10">
        <f t="shared" si="528"/>
        <v>26400.000000000004</v>
      </c>
    </row>
    <row r="1413" spans="1:36" x14ac:dyDescent="0.3">
      <c r="A1413" t="s">
        <v>5403</v>
      </c>
      <c r="B1413" t="s">
        <v>5404</v>
      </c>
      <c r="C1413" t="s">
        <v>5405</v>
      </c>
      <c r="D1413" t="s">
        <v>59</v>
      </c>
      <c r="E1413">
        <v>60527</v>
      </c>
      <c r="F1413" t="s">
        <v>15</v>
      </c>
      <c r="G1413">
        <v>16</v>
      </c>
      <c r="H1413">
        <v>250</v>
      </c>
      <c r="I1413" t="str" cm="1">
        <f t="array" ref="I1413">_xlfn.IFS(H1413&lt;=120,"V1",H1413&lt;=150,"V2",H1413&lt;=250,"V3", H1413&lt;=350, "V4")</f>
        <v>V3</v>
      </c>
      <c r="J1413" t="s">
        <v>5406</v>
      </c>
      <c r="K1413" t="str">
        <f t="shared" si="506"/>
        <v>41.7523</v>
      </c>
      <c r="L1413" t="str">
        <f t="shared" si="507"/>
        <v>-87.9137</v>
      </c>
      <c r="M1413">
        <v>213</v>
      </c>
      <c r="N1413" s="1">
        <v>44705</v>
      </c>
      <c r="O1413" s="1">
        <v>46099</v>
      </c>
      <c r="P1413" s="2">
        <f t="shared" si="508"/>
        <v>3.8165639972621492</v>
      </c>
      <c r="Q1413" s="2" t="str">
        <f t="shared" si="509"/>
        <v>Mid</v>
      </c>
      <c r="R1413">
        <f t="shared" si="510"/>
        <v>4000</v>
      </c>
      <c r="S1413" t="str">
        <f t="shared" si="511"/>
        <v>Small</v>
      </c>
      <c r="T1413" t="str">
        <f t="shared" si="512"/>
        <v>Lower EV Adoption Corridor</v>
      </c>
      <c r="U1413" s="3">
        <f t="shared" si="513"/>
        <v>7200000</v>
      </c>
      <c r="V1413" s="4">
        <f t="shared" si="514"/>
        <v>1760000.0000000002</v>
      </c>
      <c r="W1413" s="3">
        <f t="shared" si="515"/>
        <v>24000000</v>
      </c>
      <c r="X1413" s="3">
        <f t="shared" si="516"/>
        <v>13200000.000000002</v>
      </c>
      <c r="Y1413">
        <f t="shared" si="517"/>
        <v>0.31515151515151513</v>
      </c>
      <c r="Z1413">
        <f t="shared" si="518"/>
        <v>0.75555555555555554</v>
      </c>
      <c r="AA1413" t="str">
        <f t="shared" si="519"/>
        <v>Tier 2 - Growth Markets</v>
      </c>
      <c r="AB1413" s="3">
        <f t="shared" si="520"/>
        <v>110000.00000000001</v>
      </c>
      <c r="AC1413" s="3">
        <f t="shared" si="521"/>
        <v>1500000</v>
      </c>
      <c r="AD1413" s="3">
        <f t="shared" si="522"/>
        <v>450000</v>
      </c>
      <c r="AE1413" s="5">
        <f t="shared" si="523"/>
        <v>4.4117647058823533</v>
      </c>
      <c r="AF1413" s="10">
        <f t="shared" si="524"/>
        <v>1091200.0000000002</v>
      </c>
      <c r="AG1413" s="10">
        <f t="shared" si="525"/>
        <v>352000.00000000006</v>
      </c>
      <c r="AH1413" s="10">
        <f t="shared" si="526"/>
        <v>176000.00000000003</v>
      </c>
      <c r="AI1413" s="10">
        <f t="shared" si="527"/>
        <v>88000.000000000015</v>
      </c>
      <c r="AJ1413" s="10">
        <f t="shared" si="528"/>
        <v>52800.000000000007</v>
      </c>
    </row>
    <row r="1414" spans="1:36" x14ac:dyDescent="0.3">
      <c r="A1414" t="s">
        <v>5407</v>
      </c>
      <c r="B1414" t="s">
        <v>5408</v>
      </c>
      <c r="C1414" t="s">
        <v>5409</v>
      </c>
      <c r="D1414" t="s">
        <v>50</v>
      </c>
      <c r="E1414">
        <v>78634</v>
      </c>
      <c r="F1414" t="s">
        <v>15</v>
      </c>
      <c r="G1414">
        <v>12</v>
      </c>
      <c r="H1414">
        <v>250</v>
      </c>
      <c r="I1414" t="str" cm="1">
        <f t="array" ref="I1414">_xlfn.IFS(H1414&lt;=120,"V1",H1414&lt;=150,"V2",H1414&lt;=250,"V3", H1414&lt;=350, "V4")</f>
        <v>V3</v>
      </c>
      <c r="J1414" t="s">
        <v>5410</v>
      </c>
      <c r="K1414" t="str">
        <f t="shared" si="506"/>
        <v>30.502813</v>
      </c>
      <c r="L1414" t="str">
        <f t="shared" si="507"/>
        <v>-97.580947</v>
      </c>
      <c r="M1414">
        <v>232</v>
      </c>
      <c r="N1414" s="1">
        <v>44642</v>
      </c>
      <c r="O1414" s="1">
        <v>46099</v>
      </c>
      <c r="P1414" s="2">
        <f t="shared" si="508"/>
        <v>3.9890485968514717</v>
      </c>
      <c r="Q1414" s="2" t="str">
        <f t="shared" si="509"/>
        <v>Mid</v>
      </c>
      <c r="R1414">
        <f t="shared" si="510"/>
        <v>3000</v>
      </c>
      <c r="S1414" t="str">
        <f t="shared" si="511"/>
        <v>Small</v>
      </c>
      <c r="T1414" t="str">
        <f t="shared" si="512"/>
        <v>High EV Adoption Corridor</v>
      </c>
      <c r="U1414" s="3">
        <f t="shared" si="513"/>
        <v>7020000</v>
      </c>
      <c r="V1414" s="4">
        <f t="shared" si="514"/>
        <v>1584000</v>
      </c>
      <c r="W1414" s="3">
        <f t="shared" si="515"/>
        <v>19800000</v>
      </c>
      <c r="X1414" s="3">
        <f t="shared" si="516"/>
        <v>14850000</v>
      </c>
      <c r="Y1414">
        <f t="shared" si="517"/>
        <v>0.24</v>
      </c>
      <c r="Z1414">
        <f t="shared" si="518"/>
        <v>0.77435897435897438</v>
      </c>
      <c r="AA1414" t="str">
        <f t="shared" si="519"/>
        <v>Tier 1 - Priority Fleet</v>
      </c>
      <c r="AB1414" s="3">
        <f t="shared" si="520"/>
        <v>132000</v>
      </c>
      <c r="AC1414" s="3">
        <f t="shared" si="521"/>
        <v>1650000</v>
      </c>
      <c r="AD1414" s="3">
        <f t="shared" si="522"/>
        <v>585000</v>
      </c>
      <c r="AE1414" s="5">
        <f t="shared" si="523"/>
        <v>3.6423841059602649</v>
      </c>
      <c r="AF1414" s="10">
        <f t="shared" si="524"/>
        <v>982080</v>
      </c>
      <c r="AG1414" s="10">
        <f t="shared" si="525"/>
        <v>316800</v>
      </c>
      <c r="AH1414" s="10">
        <f t="shared" si="526"/>
        <v>158400</v>
      </c>
      <c r="AI1414" s="10">
        <f t="shared" si="527"/>
        <v>79200</v>
      </c>
      <c r="AJ1414" s="10">
        <f t="shared" si="528"/>
        <v>47520</v>
      </c>
    </row>
    <row r="1415" spans="1:36" x14ac:dyDescent="0.3">
      <c r="A1415" t="s">
        <v>5411</v>
      </c>
      <c r="B1415" t="s">
        <v>5412</v>
      </c>
      <c r="C1415" t="s">
        <v>5413</v>
      </c>
      <c r="D1415" t="s">
        <v>958</v>
      </c>
      <c r="E1415">
        <v>4105</v>
      </c>
      <c r="F1415" t="s">
        <v>15</v>
      </c>
      <c r="G1415">
        <v>8</v>
      </c>
      <c r="H1415">
        <v>250</v>
      </c>
      <c r="I1415" t="str" cm="1">
        <f t="array" ref="I1415">_xlfn.IFS(H1415&lt;=120,"V1",H1415&lt;=150,"V2",H1415&lt;=250,"V3", H1415&lt;=350, "V4")</f>
        <v>V3</v>
      </c>
      <c r="J1415" t="s">
        <v>5414</v>
      </c>
      <c r="K1415" t="str">
        <f t="shared" si="506"/>
        <v>43.734299</v>
      </c>
      <c r="L1415" t="str">
        <f t="shared" si="507"/>
        <v>-70.293547</v>
      </c>
      <c r="M1415">
        <v>21</v>
      </c>
      <c r="N1415" s="1">
        <v>44905</v>
      </c>
      <c r="O1415" s="1">
        <v>46099</v>
      </c>
      <c r="P1415" s="2">
        <f t="shared" si="508"/>
        <v>3.268993839835729</v>
      </c>
      <c r="Q1415" s="2" t="str">
        <f t="shared" si="509"/>
        <v>Mid</v>
      </c>
      <c r="R1415">
        <f t="shared" si="510"/>
        <v>2000</v>
      </c>
      <c r="S1415" t="str">
        <f t="shared" si="511"/>
        <v>Small</v>
      </c>
      <c r="T1415" t="str">
        <f t="shared" si="512"/>
        <v>Lower EV Adoption Corridor</v>
      </c>
      <c r="U1415" s="3">
        <f t="shared" si="513"/>
        <v>3600000</v>
      </c>
      <c r="V1415" s="4">
        <f t="shared" si="514"/>
        <v>880000.00000000012</v>
      </c>
      <c r="W1415" s="3">
        <f t="shared" si="515"/>
        <v>12000000</v>
      </c>
      <c r="X1415" s="3">
        <f t="shared" si="516"/>
        <v>6600000.0000000009</v>
      </c>
      <c r="Y1415">
        <f t="shared" si="517"/>
        <v>0.31515151515151513</v>
      </c>
      <c r="Z1415">
        <f t="shared" si="518"/>
        <v>0.75555555555555554</v>
      </c>
      <c r="AA1415" t="str">
        <f t="shared" si="519"/>
        <v>Tier 2 - Growth Markets</v>
      </c>
      <c r="AB1415" s="3">
        <f t="shared" si="520"/>
        <v>110000.00000000001</v>
      </c>
      <c r="AC1415" s="3">
        <f t="shared" si="521"/>
        <v>1500000</v>
      </c>
      <c r="AD1415" s="3">
        <f t="shared" si="522"/>
        <v>450000</v>
      </c>
      <c r="AE1415" s="5">
        <f t="shared" si="523"/>
        <v>4.4117647058823533</v>
      </c>
      <c r="AF1415" s="10">
        <f t="shared" si="524"/>
        <v>545600.00000000012</v>
      </c>
      <c r="AG1415" s="10">
        <f t="shared" si="525"/>
        <v>176000.00000000003</v>
      </c>
      <c r="AH1415" s="10">
        <f t="shared" si="526"/>
        <v>88000.000000000015</v>
      </c>
      <c r="AI1415" s="10">
        <f t="shared" si="527"/>
        <v>44000.000000000007</v>
      </c>
      <c r="AJ1415" s="10">
        <f t="shared" si="528"/>
        <v>26400.000000000004</v>
      </c>
    </row>
    <row r="1416" spans="1:36" x14ac:dyDescent="0.3">
      <c r="A1416" t="s">
        <v>5415</v>
      </c>
      <c r="B1416" t="s">
        <v>5416</v>
      </c>
      <c r="C1416" t="s">
        <v>5417</v>
      </c>
      <c r="D1416" t="s">
        <v>59</v>
      </c>
      <c r="E1416">
        <v>60102</v>
      </c>
      <c r="F1416" t="s">
        <v>15</v>
      </c>
      <c r="G1416">
        <v>12</v>
      </c>
      <c r="H1416">
        <v>250</v>
      </c>
      <c r="I1416" t="str" cm="1">
        <f t="array" ref="I1416">_xlfn.IFS(H1416&lt;=120,"V1",H1416&lt;=150,"V2",H1416&lt;=250,"V3", H1416&lt;=350, "V4")</f>
        <v>V3</v>
      </c>
      <c r="J1416" t="s">
        <v>5418</v>
      </c>
      <c r="K1416" t="str">
        <f t="shared" si="506"/>
        <v>42.171166</v>
      </c>
      <c r="L1416" t="str">
        <f t="shared" si="507"/>
        <v>-88.336632</v>
      </c>
      <c r="M1416">
        <v>277</v>
      </c>
      <c r="N1416" s="1">
        <v>44764</v>
      </c>
      <c r="O1416" s="1">
        <v>46099</v>
      </c>
      <c r="P1416" s="2">
        <f t="shared" si="508"/>
        <v>3.6550308008213555</v>
      </c>
      <c r="Q1416" s="2" t="str">
        <f t="shared" si="509"/>
        <v>Mid</v>
      </c>
      <c r="R1416">
        <f t="shared" si="510"/>
        <v>3000</v>
      </c>
      <c r="S1416" t="str">
        <f t="shared" si="511"/>
        <v>Small</v>
      </c>
      <c r="T1416" t="str">
        <f t="shared" si="512"/>
        <v>Lower EV Adoption Corridor</v>
      </c>
      <c r="U1416" s="3">
        <f t="shared" si="513"/>
        <v>5400000</v>
      </c>
      <c r="V1416" s="4">
        <f t="shared" si="514"/>
        <v>1320000</v>
      </c>
      <c r="W1416" s="3">
        <f t="shared" si="515"/>
        <v>18000000</v>
      </c>
      <c r="X1416" s="3">
        <f t="shared" si="516"/>
        <v>9900000</v>
      </c>
      <c r="Y1416">
        <f t="shared" si="517"/>
        <v>0.31515151515151513</v>
      </c>
      <c r="Z1416">
        <f t="shared" si="518"/>
        <v>0.75555555555555554</v>
      </c>
      <c r="AA1416" t="str">
        <f t="shared" si="519"/>
        <v>Tier 2 - Growth Markets</v>
      </c>
      <c r="AB1416" s="3">
        <f t="shared" si="520"/>
        <v>110000</v>
      </c>
      <c r="AC1416" s="3">
        <f t="shared" si="521"/>
        <v>1500000</v>
      </c>
      <c r="AD1416" s="3">
        <f t="shared" si="522"/>
        <v>450000</v>
      </c>
      <c r="AE1416" s="5">
        <f t="shared" si="523"/>
        <v>4.4117647058823533</v>
      </c>
      <c r="AF1416" s="10">
        <f t="shared" si="524"/>
        <v>818400</v>
      </c>
      <c r="AG1416" s="10">
        <f t="shared" si="525"/>
        <v>264000</v>
      </c>
      <c r="AH1416" s="10">
        <f t="shared" si="526"/>
        <v>132000</v>
      </c>
      <c r="AI1416" s="10">
        <f t="shared" si="527"/>
        <v>66000</v>
      </c>
      <c r="AJ1416" s="10">
        <f t="shared" si="528"/>
        <v>39600</v>
      </c>
    </row>
    <row r="1417" spans="1:36" x14ac:dyDescent="0.3">
      <c r="A1417" t="s">
        <v>5419</v>
      </c>
      <c r="B1417" t="s">
        <v>5420</v>
      </c>
      <c r="C1417" t="s">
        <v>5421</v>
      </c>
      <c r="D1417" t="s">
        <v>958</v>
      </c>
      <c r="E1417">
        <v>4901</v>
      </c>
      <c r="F1417" t="s">
        <v>15</v>
      </c>
      <c r="G1417">
        <v>12</v>
      </c>
      <c r="H1417">
        <v>250</v>
      </c>
      <c r="I1417" t="str" cm="1">
        <f t="array" ref="I1417">_xlfn.IFS(H1417&lt;=120,"V1",H1417&lt;=150,"V2",H1417&lt;=250,"V3", H1417&lt;=350, "V4")</f>
        <v>V3</v>
      </c>
      <c r="J1417" t="s">
        <v>5422</v>
      </c>
      <c r="K1417" t="str">
        <f t="shared" si="506"/>
        <v>44.569032</v>
      </c>
      <c r="L1417" t="str">
        <f t="shared" si="507"/>
        <v>-69.639469</v>
      </c>
      <c r="M1417">
        <v>57</v>
      </c>
      <c r="N1417" s="1">
        <v>44833</v>
      </c>
      <c r="O1417" s="1">
        <v>46099</v>
      </c>
      <c r="P1417" s="2">
        <f t="shared" si="508"/>
        <v>3.4661190965092401</v>
      </c>
      <c r="Q1417" s="2" t="str">
        <f t="shared" si="509"/>
        <v>Mid</v>
      </c>
      <c r="R1417">
        <f t="shared" si="510"/>
        <v>3000</v>
      </c>
      <c r="S1417" t="str">
        <f t="shared" si="511"/>
        <v>Small</v>
      </c>
      <c r="T1417" t="str">
        <f t="shared" si="512"/>
        <v>Lower EV Adoption Corridor</v>
      </c>
      <c r="U1417" s="3">
        <f t="shared" si="513"/>
        <v>5400000</v>
      </c>
      <c r="V1417" s="4">
        <f t="shared" si="514"/>
        <v>1320000</v>
      </c>
      <c r="W1417" s="3">
        <f t="shared" si="515"/>
        <v>18000000</v>
      </c>
      <c r="X1417" s="3">
        <f t="shared" si="516"/>
        <v>9900000</v>
      </c>
      <c r="Y1417">
        <f t="shared" si="517"/>
        <v>0.31515151515151513</v>
      </c>
      <c r="Z1417">
        <f t="shared" si="518"/>
        <v>0.75555555555555554</v>
      </c>
      <c r="AA1417" t="str">
        <f t="shared" si="519"/>
        <v>Tier 2 - Growth Markets</v>
      </c>
      <c r="AB1417" s="3">
        <f t="shared" si="520"/>
        <v>110000</v>
      </c>
      <c r="AC1417" s="3">
        <f t="shared" si="521"/>
        <v>1500000</v>
      </c>
      <c r="AD1417" s="3">
        <f t="shared" si="522"/>
        <v>450000</v>
      </c>
      <c r="AE1417" s="5">
        <f t="shared" si="523"/>
        <v>4.4117647058823533</v>
      </c>
      <c r="AF1417" s="10">
        <f t="shared" si="524"/>
        <v>818400</v>
      </c>
      <c r="AG1417" s="10">
        <f t="shared" si="525"/>
        <v>264000</v>
      </c>
      <c r="AH1417" s="10">
        <f t="shared" si="526"/>
        <v>132000</v>
      </c>
      <c r="AI1417" s="10">
        <f t="shared" si="527"/>
        <v>66000</v>
      </c>
      <c r="AJ1417" s="10">
        <f t="shared" si="528"/>
        <v>39600</v>
      </c>
    </row>
    <row r="1418" spans="1:36" x14ac:dyDescent="0.3">
      <c r="A1418" t="s">
        <v>5423</v>
      </c>
      <c r="B1418" t="s">
        <v>5424</v>
      </c>
      <c r="C1418" t="s">
        <v>5425</v>
      </c>
      <c r="D1418" t="s">
        <v>50</v>
      </c>
      <c r="E1418">
        <v>75154</v>
      </c>
      <c r="F1418" t="s">
        <v>15</v>
      </c>
      <c r="G1418">
        <v>16</v>
      </c>
      <c r="H1418">
        <v>250</v>
      </c>
      <c r="I1418" t="str" cm="1">
        <f t="array" ref="I1418">_xlfn.IFS(H1418&lt;=120,"V1",H1418&lt;=150,"V2",H1418&lt;=250,"V3", H1418&lt;=350, "V4")</f>
        <v>V3</v>
      </c>
      <c r="J1418" t="s">
        <v>5426</v>
      </c>
      <c r="K1418" t="str">
        <f t="shared" si="506"/>
        <v>32.517</v>
      </c>
      <c r="L1418" t="str">
        <f t="shared" si="507"/>
        <v>-96.8214</v>
      </c>
      <c r="M1418">
        <v>179</v>
      </c>
      <c r="N1418" s="1">
        <v>44907</v>
      </c>
      <c r="O1418" s="1">
        <v>46099</v>
      </c>
      <c r="P1418" s="2">
        <f t="shared" si="508"/>
        <v>3.2635181382614649</v>
      </c>
      <c r="Q1418" s="2" t="str">
        <f t="shared" si="509"/>
        <v>Mid</v>
      </c>
      <c r="R1418">
        <f t="shared" si="510"/>
        <v>4000</v>
      </c>
      <c r="S1418" t="str">
        <f t="shared" si="511"/>
        <v>Small</v>
      </c>
      <c r="T1418" t="str">
        <f t="shared" si="512"/>
        <v>High EV Adoption Corridor</v>
      </c>
      <c r="U1418" s="3">
        <f t="shared" si="513"/>
        <v>9360000</v>
      </c>
      <c r="V1418" s="4">
        <f t="shared" si="514"/>
        <v>2112000</v>
      </c>
      <c r="W1418" s="3">
        <f t="shared" si="515"/>
        <v>26400000.000000004</v>
      </c>
      <c r="X1418" s="3">
        <f t="shared" si="516"/>
        <v>19800000.000000004</v>
      </c>
      <c r="Y1418">
        <f t="shared" si="517"/>
        <v>0.23999999999999996</v>
      </c>
      <c r="Z1418">
        <f t="shared" si="518"/>
        <v>0.77435897435897438</v>
      </c>
      <c r="AA1418" t="str">
        <f t="shared" si="519"/>
        <v>Tier 1 - Priority Fleet</v>
      </c>
      <c r="AB1418" s="3">
        <f t="shared" si="520"/>
        <v>132000</v>
      </c>
      <c r="AC1418" s="3">
        <f t="shared" si="521"/>
        <v>1650000.0000000002</v>
      </c>
      <c r="AD1418" s="3">
        <f t="shared" si="522"/>
        <v>585000</v>
      </c>
      <c r="AE1418" s="5">
        <f t="shared" si="523"/>
        <v>3.6423841059602653</v>
      </c>
      <c r="AF1418" s="10">
        <f t="shared" si="524"/>
        <v>1309440</v>
      </c>
      <c r="AG1418" s="10">
        <f t="shared" si="525"/>
        <v>422400</v>
      </c>
      <c r="AH1418" s="10">
        <f t="shared" si="526"/>
        <v>211200</v>
      </c>
      <c r="AI1418" s="10">
        <f t="shared" si="527"/>
        <v>105600</v>
      </c>
      <c r="AJ1418" s="10">
        <f t="shared" si="528"/>
        <v>63360</v>
      </c>
    </row>
    <row r="1419" spans="1:36" x14ac:dyDescent="0.3">
      <c r="A1419" t="s">
        <v>5427</v>
      </c>
      <c r="B1419" t="s">
        <v>5428</v>
      </c>
      <c r="C1419" t="s">
        <v>2338</v>
      </c>
      <c r="D1419" t="s">
        <v>484</v>
      </c>
      <c r="E1419">
        <v>35806</v>
      </c>
      <c r="F1419" t="s">
        <v>15</v>
      </c>
      <c r="G1419">
        <v>12</v>
      </c>
      <c r="H1419">
        <v>250</v>
      </c>
      <c r="I1419" t="str" cm="1">
        <f t="array" ref="I1419">_xlfn.IFS(H1419&lt;=120,"V1",H1419&lt;=150,"V2",H1419&lt;=250,"V3", H1419&lt;=350, "V4")</f>
        <v>V3</v>
      </c>
      <c r="J1419" t="s">
        <v>5429</v>
      </c>
      <c r="K1419" t="str">
        <f t="shared" si="506"/>
        <v>34.739127</v>
      </c>
      <c r="L1419" t="str">
        <f t="shared" si="507"/>
        <v>-86.666295</v>
      </c>
      <c r="M1419">
        <v>211</v>
      </c>
      <c r="N1419" s="1">
        <v>44726</v>
      </c>
      <c r="O1419" s="1">
        <v>46099</v>
      </c>
      <c r="P1419" s="2">
        <f t="shared" si="508"/>
        <v>3.7590691307323749</v>
      </c>
      <c r="Q1419" s="2" t="str">
        <f t="shared" si="509"/>
        <v>Mid</v>
      </c>
      <c r="R1419">
        <f t="shared" si="510"/>
        <v>3000</v>
      </c>
      <c r="S1419" t="str">
        <f t="shared" si="511"/>
        <v>Small</v>
      </c>
      <c r="T1419" t="str">
        <f t="shared" si="512"/>
        <v>Lower EV Adoption Corridor</v>
      </c>
      <c r="U1419" s="3">
        <f t="shared" si="513"/>
        <v>5400000</v>
      </c>
      <c r="V1419" s="4">
        <f t="shared" si="514"/>
        <v>1320000</v>
      </c>
      <c r="W1419" s="3">
        <f t="shared" si="515"/>
        <v>18000000</v>
      </c>
      <c r="X1419" s="3">
        <f t="shared" si="516"/>
        <v>9900000</v>
      </c>
      <c r="Y1419">
        <f t="shared" si="517"/>
        <v>0.31515151515151513</v>
      </c>
      <c r="Z1419">
        <f t="shared" si="518"/>
        <v>0.75555555555555554</v>
      </c>
      <c r="AA1419" t="str">
        <f t="shared" si="519"/>
        <v>Tier 2 - Growth Markets</v>
      </c>
      <c r="AB1419" s="3">
        <f t="shared" si="520"/>
        <v>110000</v>
      </c>
      <c r="AC1419" s="3">
        <f t="shared" si="521"/>
        <v>1500000</v>
      </c>
      <c r="AD1419" s="3">
        <f t="shared" si="522"/>
        <v>450000</v>
      </c>
      <c r="AE1419" s="5">
        <f t="shared" si="523"/>
        <v>4.4117647058823533</v>
      </c>
      <c r="AF1419" s="10">
        <f t="shared" si="524"/>
        <v>818400</v>
      </c>
      <c r="AG1419" s="10">
        <f t="shared" si="525"/>
        <v>264000</v>
      </c>
      <c r="AH1419" s="10">
        <f t="shared" si="526"/>
        <v>132000</v>
      </c>
      <c r="AI1419" s="10">
        <f t="shared" si="527"/>
        <v>66000</v>
      </c>
      <c r="AJ1419" s="10">
        <f t="shared" si="528"/>
        <v>39600</v>
      </c>
    </row>
    <row r="1420" spans="1:36" x14ac:dyDescent="0.3">
      <c r="A1420" t="s">
        <v>5430</v>
      </c>
      <c r="B1420" t="s">
        <v>5431</v>
      </c>
      <c r="C1420" t="s">
        <v>1344</v>
      </c>
      <c r="D1420" t="s">
        <v>130</v>
      </c>
      <c r="E1420">
        <v>46804</v>
      </c>
      <c r="F1420" t="s">
        <v>15</v>
      </c>
      <c r="G1420">
        <v>12</v>
      </c>
      <c r="H1420">
        <v>250</v>
      </c>
      <c r="I1420" t="str" cm="1">
        <f t="array" ref="I1420">_xlfn.IFS(H1420&lt;=120,"V1",H1420&lt;=150,"V2",H1420&lt;=250,"V3", H1420&lt;=350, "V4")</f>
        <v>V3</v>
      </c>
      <c r="J1420" t="s">
        <v>5432</v>
      </c>
      <c r="K1420" t="str">
        <f t="shared" si="506"/>
        <v>41.07321</v>
      </c>
      <c r="L1420" t="str">
        <f t="shared" si="507"/>
        <v>-85.21819</v>
      </c>
      <c r="M1420">
        <v>250</v>
      </c>
      <c r="N1420" s="1">
        <v>44736</v>
      </c>
      <c r="O1420" s="1">
        <v>46099</v>
      </c>
      <c r="P1420" s="2">
        <f t="shared" si="508"/>
        <v>3.7316906228610542</v>
      </c>
      <c r="Q1420" s="2" t="str">
        <f t="shared" si="509"/>
        <v>Mid</v>
      </c>
      <c r="R1420">
        <f t="shared" si="510"/>
        <v>3000</v>
      </c>
      <c r="S1420" t="str">
        <f t="shared" si="511"/>
        <v>Small</v>
      </c>
      <c r="T1420" t="str">
        <f t="shared" si="512"/>
        <v>Lower EV Adoption Corridor</v>
      </c>
      <c r="U1420" s="3">
        <f t="shared" si="513"/>
        <v>5400000</v>
      </c>
      <c r="V1420" s="4">
        <f t="shared" si="514"/>
        <v>1320000</v>
      </c>
      <c r="W1420" s="3">
        <f t="shared" si="515"/>
        <v>18000000</v>
      </c>
      <c r="X1420" s="3">
        <f t="shared" si="516"/>
        <v>9900000</v>
      </c>
      <c r="Y1420">
        <f t="shared" si="517"/>
        <v>0.31515151515151513</v>
      </c>
      <c r="Z1420">
        <f t="shared" si="518"/>
        <v>0.75555555555555554</v>
      </c>
      <c r="AA1420" t="str">
        <f t="shared" si="519"/>
        <v>Tier 2 - Growth Markets</v>
      </c>
      <c r="AB1420" s="3">
        <f t="shared" si="520"/>
        <v>110000</v>
      </c>
      <c r="AC1420" s="3">
        <f t="shared" si="521"/>
        <v>1500000</v>
      </c>
      <c r="AD1420" s="3">
        <f t="shared" si="522"/>
        <v>450000</v>
      </c>
      <c r="AE1420" s="5">
        <f t="shared" si="523"/>
        <v>4.4117647058823533</v>
      </c>
      <c r="AF1420" s="10">
        <f t="shared" si="524"/>
        <v>818400</v>
      </c>
      <c r="AG1420" s="10">
        <f t="shared" si="525"/>
        <v>264000</v>
      </c>
      <c r="AH1420" s="10">
        <f t="shared" si="526"/>
        <v>132000</v>
      </c>
      <c r="AI1420" s="10">
        <f t="shared" si="527"/>
        <v>66000</v>
      </c>
      <c r="AJ1420" s="10">
        <f t="shared" si="528"/>
        <v>39600</v>
      </c>
    </row>
    <row r="1421" spans="1:36" x14ac:dyDescent="0.3">
      <c r="A1421" t="s">
        <v>5433</v>
      </c>
      <c r="B1421" t="s">
        <v>5434</v>
      </c>
      <c r="C1421" t="s">
        <v>5435</v>
      </c>
      <c r="D1421" t="s">
        <v>14</v>
      </c>
      <c r="E1421">
        <v>91302</v>
      </c>
      <c r="F1421" t="s">
        <v>15</v>
      </c>
      <c r="G1421">
        <v>20</v>
      </c>
      <c r="H1421">
        <v>250</v>
      </c>
      <c r="I1421" t="str" cm="1">
        <f t="array" ref="I1421">_xlfn.IFS(H1421&lt;=120,"V1",H1421&lt;=150,"V2",H1421&lt;=250,"V3", H1421&lt;=350, "V4")</f>
        <v>V3</v>
      </c>
      <c r="J1421" t="s">
        <v>5436</v>
      </c>
      <c r="K1421" t="str">
        <f t="shared" si="506"/>
        <v>34.154607</v>
      </c>
      <c r="L1421" t="str">
        <f t="shared" si="507"/>
        <v>-118.645367</v>
      </c>
      <c r="M1421">
        <v>292</v>
      </c>
      <c r="N1421" s="1">
        <v>44693</v>
      </c>
      <c r="O1421" s="1">
        <v>46099</v>
      </c>
      <c r="P1421" s="2">
        <f t="shared" si="508"/>
        <v>3.8494182067077345</v>
      </c>
      <c r="Q1421" s="2" t="str">
        <f t="shared" si="509"/>
        <v>Mid</v>
      </c>
      <c r="R1421">
        <f t="shared" si="510"/>
        <v>5000</v>
      </c>
      <c r="S1421" t="str">
        <f t="shared" si="511"/>
        <v>Small</v>
      </c>
      <c r="T1421" t="str">
        <f t="shared" si="512"/>
        <v>High EV Adoption Corridor</v>
      </c>
      <c r="U1421" s="3">
        <f t="shared" si="513"/>
        <v>11700000</v>
      </c>
      <c r="V1421" s="4">
        <f t="shared" si="514"/>
        <v>2640000</v>
      </c>
      <c r="W1421" s="3">
        <f t="shared" si="515"/>
        <v>33000000.000000004</v>
      </c>
      <c r="X1421" s="3">
        <f t="shared" si="516"/>
        <v>24750000.000000004</v>
      </c>
      <c r="Y1421">
        <f t="shared" si="517"/>
        <v>0.23999999999999996</v>
      </c>
      <c r="Z1421">
        <f t="shared" si="518"/>
        <v>0.77435897435897438</v>
      </c>
      <c r="AA1421" t="str">
        <f t="shared" si="519"/>
        <v>Tier 1 - Priority Fleet</v>
      </c>
      <c r="AB1421" s="3">
        <f t="shared" si="520"/>
        <v>132000</v>
      </c>
      <c r="AC1421" s="3">
        <f t="shared" si="521"/>
        <v>1650000.0000000002</v>
      </c>
      <c r="AD1421" s="3">
        <f t="shared" si="522"/>
        <v>585000</v>
      </c>
      <c r="AE1421" s="5">
        <f t="shared" si="523"/>
        <v>3.6423841059602653</v>
      </c>
      <c r="AF1421" s="10">
        <f t="shared" si="524"/>
        <v>1636800</v>
      </c>
      <c r="AG1421" s="10">
        <f t="shared" si="525"/>
        <v>528000</v>
      </c>
      <c r="AH1421" s="10">
        <f t="shared" si="526"/>
        <v>264000</v>
      </c>
      <c r="AI1421" s="10">
        <f t="shared" si="527"/>
        <v>132000</v>
      </c>
      <c r="AJ1421" s="10">
        <f t="shared" si="528"/>
        <v>79200</v>
      </c>
    </row>
    <row r="1422" spans="1:36" x14ac:dyDescent="0.3">
      <c r="A1422" t="s">
        <v>5437</v>
      </c>
      <c r="B1422" t="s">
        <v>5438</v>
      </c>
      <c r="C1422" t="s">
        <v>5439</v>
      </c>
      <c r="D1422" t="s">
        <v>958</v>
      </c>
      <c r="E1422">
        <v>4072</v>
      </c>
      <c r="F1422" t="s">
        <v>15</v>
      </c>
      <c r="G1422">
        <v>8</v>
      </c>
      <c r="H1422">
        <v>250</v>
      </c>
      <c r="I1422" t="str" cm="1">
        <f t="array" ref="I1422">_xlfn.IFS(H1422&lt;=120,"V1",H1422&lt;=150,"V2",H1422&lt;=250,"V3", H1422&lt;=350, "V4")</f>
        <v>V3</v>
      </c>
      <c r="J1422" t="s">
        <v>5440</v>
      </c>
      <c r="K1422" t="str">
        <f t="shared" si="506"/>
        <v>43.5112</v>
      </c>
      <c r="L1422" t="str">
        <f t="shared" si="507"/>
        <v>-70.4348</v>
      </c>
      <c r="M1422">
        <v>32</v>
      </c>
      <c r="N1422" s="1">
        <v>44992</v>
      </c>
      <c r="O1422" s="1">
        <v>46099</v>
      </c>
      <c r="P1422" s="2">
        <f t="shared" si="508"/>
        <v>3.030800821355236</v>
      </c>
      <c r="Q1422" s="2" t="str">
        <f t="shared" si="509"/>
        <v>Mid</v>
      </c>
      <c r="R1422">
        <f t="shared" si="510"/>
        <v>2000</v>
      </c>
      <c r="S1422" t="str">
        <f t="shared" si="511"/>
        <v>Small</v>
      </c>
      <c r="T1422" t="str">
        <f t="shared" si="512"/>
        <v>Lower EV Adoption Corridor</v>
      </c>
      <c r="U1422" s="3">
        <f t="shared" si="513"/>
        <v>3600000</v>
      </c>
      <c r="V1422" s="4">
        <f t="shared" si="514"/>
        <v>880000.00000000012</v>
      </c>
      <c r="W1422" s="3">
        <f t="shared" si="515"/>
        <v>12000000</v>
      </c>
      <c r="X1422" s="3">
        <f t="shared" si="516"/>
        <v>6600000.0000000009</v>
      </c>
      <c r="Y1422">
        <f t="shared" si="517"/>
        <v>0.31515151515151513</v>
      </c>
      <c r="Z1422">
        <f t="shared" si="518"/>
        <v>0.75555555555555554</v>
      </c>
      <c r="AA1422" t="str">
        <f t="shared" si="519"/>
        <v>Tier 2 - Growth Markets</v>
      </c>
      <c r="AB1422" s="3">
        <f t="shared" si="520"/>
        <v>110000.00000000001</v>
      </c>
      <c r="AC1422" s="3">
        <f t="shared" si="521"/>
        <v>1500000</v>
      </c>
      <c r="AD1422" s="3">
        <f t="shared" si="522"/>
        <v>450000</v>
      </c>
      <c r="AE1422" s="5">
        <f t="shared" si="523"/>
        <v>4.4117647058823533</v>
      </c>
      <c r="AF1422" s="10">
        <f t="shared" si="524"/>
        <v>545600.00000000012</v>
      </c>
      <c r="AG1422" s="10">
        <f t="shared" si="525"/>
        <v>176000.00000000003</v>
      </c>
      <c r="AH1422" s="10">
        <f t="shared" si="526"/>
        <v>88000.000000000015</v>
      </c>
      <c r="AI1422" s="10">
        <f t="shared" si="527"/>
        <v>44000.000000000007</v>
      </c>
      <c r="AJ1422" s="10">
        <f t="shared" si="528"/>
        <v>26400.000000000004</v>
      </c>
    </row>
    <row r="1423" spans="1:36" x14ac:dyDescent="0.3">
      <c r="A1423" t="s">
        <v>5441</v>
      </c>
      <c r="B1423" t="s">
        <v>5442</v>
      </c>
      <c r="C1423" t="s">
        <v>5443</v>
      </c>
      <c r="D1423" t="s">
        <v>316</v>
      </c>
      <c r="E1423">
        <v>97056</v>
      </c>
      <c r="F1423" t="s">
        <v>15</v>
      </c>
      <c r="G1423">
        <v>4</v>
      </c>
      <c r="H1423">
        <v>250</v>
      </c>
      <c r="I1423" t="str" cm="1">
        <f t="array" ref="I1423">_xlfn.IFS(H1423&lt;=120,"V1",H1423&lt;=150,"V2",H1423&lt;=250,"V3", H1423&lt;=350, "V4")</f>
        <v>V3</v>
      </c>
      <c r="J1423" t="s">
        <v>5444</v>
      </c>
      <c r="K1423" t="str">
        <f t="shared" si="506"/>
        <v>45.7562</v>
      </c>
      <c r="L1423" t="str">
        <f t="shared" si="507"/>
        <v>-122.8764</v>
      </c>
      <c r="M1423">
        <v>19</v>
      </c>
      <c r="N1423" s="1">
        <v>45070</v>
      </c>
      <c r="O1423" s="1">
        <v>46099</v>
      </c>
      <c r="P1423" s="2">
        <f t="shared" si="508"/>
        <v>2.817248459958932</v>
      </c>
      <c r="Q1423" s="2" t="str">
        <f t="shared" si="509"/>
        <v>New</v>
      </c>
      <c r="R1423">
        <f t="shared" si="510"/>
        <v>1000</v>
      </c>
      <c r="S1423" t="str">
        <f t="shared" si="511"/>
        <v>Small</v>
      </c>
      <c r="T1423" t="str">
        <f t="shared" si="512"/>
        <v>Lower EV Adoption Corridor</v>
      </c>
      <c r="U1423" s="3">
        <f t="shared" si="513"/>
        <v>1800000</v>
      </c>
      <c r="V1423" s="4">
        <f t="shared" si="514"/>
        <v>440000.00000000006</v>
      </c>
      <c r="W1423" s="3">
        <f t="shared" si="515"/>
        <v>6000000</v>
      </c>
      <c r="X1423" s="3">
        <f t="shared" si="516"/>
        <v>3300000.0000000005</v>
      </c>
      <c r="Y1423">
        <f t="shared" si="517"/>
        <v>0.31515151515151513</v>
      </c>
      <c r="Z1423">
        <f t="shared" si="518"/>
        <v>0.75555555555555554</v>
      </c>
      <c r="AA1423" t="str">
        <f t="shared" si="519"/>
        <v>Tier 2 - Growth Markets</v>
      </c>
      <c r="AB1423" s="3">
        <f t="shared" si="520"/>
        <v>110000.00000000001</v>
      </c>
      <c r="AC1423" s="3">
        <f t="shared" si="521"/>
        <v>1500000</v>
      </c>
      <c r="AD1423" s="3">
        <f t="shared" si="522"/>
        <v>450000</v>
      </c>
      <c r="AE1423" s="5">
        <f t="shared" si="523"/>
        <v>4.4117647058823533</v>
      </c>
      <c r="AF1423" s="10">
        <f t="shared" si="524"/>
        <v>272800.00000000006</v>
      </c>
      <c r="AG1423" s="10">
        <f t="shared" si="525"/>
        <v>88000.000000000015</v>
      </c>
      <c r="AH1423" s="10">
        <f t="shared" si="526"/>
        <v>44000.000000000007</v>
      </c>
      <c r="AI1423" s="10">
        <f t="shared" si="527"/>
        <v>22000.000000000004</v>
      </c>
      <c r="AJ1423" s="10">
        <f t="shared" si="528"/>
        <v>13200.000000000002</v>
      </c>
    </row>
    <row r="1424" spans="1:36" x14ac:dyDescent="0.3">
      <c r="A1424" t="s">
        <v>5445</v>
      </c>
      <c r="B1424" t="s">
        <v>5446</v>
      </c>
      <c r="C1424" t="s">
        <v>5447</v>
      </c>
      <c r="D1424" t="s">
        <v>14</v>
      </c>
      <c r="E1424">
        <v>92346</v>
      </c>
      <c r="F1424" t="s">
        <v>15</v>
      </c>
      <c r="G1424">
        <v>8</v>
      </c>
      <c r="H1424">
        <v>250</v>
      </c>
      <c r="I1424" t="str" cm="1">
        <f t="array" ref="I1424">_xlfn.IFS(H1424&lt;=120,"V1",H1424&lt;=150,"V2",H1424&lt;=250,"V3", H1424&lt;=350, "V4")</f>
        <v>V3</v>
      </c>
      <c r="J1424" t="s">
        <v>5448</v>
      </c>
      <c r="K1424" t="str">
        <f t="shared" si="506"/>
        <v>34.135136</v>
      </c>
      <c r="L1424" t="str">
        <f t="shared" si="507"/>
        <v>-117.195193</v>
      </c>
      <c r="M1424">
        <v>450</v>
      </c>
      <c r="N1424" s="1">
        <v>44443</v>
      </c>
      <c r="O1424" s="1">
        <v>46099</v>
      </c>
      <c r="P1424" s="2">
        <f t="shared" si="508"/>
        <v>4.5338809034907595</v>
      </c>
      <c r="Q1424" s="2" t="str">
        <f t="shared" si="509"/>
        <v>Mid</v>
      </c>
      <c r="R1424">
        <f t="shared" si="510"/>
        <v>2000</v>
      </c>
      <c r="S1424" t="str">
        <f t="shared" si="511"/>
        <v>Small</v>
      </c>
      <c r="T1424" t="str">
        <f t="shared" si="512"/>
        <v>High EV Adoption Corridor</v>
      </c>
      <c r="U1424" s="3">
        <f t="shared" si="513"/>
        <v>4680000</v>
      </c>
      <c r="V1424" s="4">
        <f t="shared" si="514"/>
        <v>1056000</v>
      </c>
      <c r="W1424" s="3">
        <f t="shared" si="515"/>
        <v>13200000.000000002</v>
      </c>
      <c r="X1424" s="3">
        <f t="shared" si="516"/>
        <v>9900000.0000000019</v>
      </c>
      <c r="Y1424">
        <f t="shared" si="517"/>
        <v>0.23999999999999996</v>
      </c>
      <c r="Z1424">
        <f t="shared" si="518"/>
        <v>0.77435897435897438</v>
      </c>
      <c r="AA1424" t="str">
        <f t="shared" si="519"/>
        <v>Tier 1 - Priority Fleet</v>
      </c>
      <c r="AB1424" s="3">
        <f t="shared" si="520"/>
        <v>132000</v>
      </c>
      <c r="AC1424" s="3">
        <f t="shared" si="521"/>
        <v>1650000.0000000002</v>
      </c>
      <c r="AD1424" s="3">
        <f t="shared" si="522"/>
        <v>585000</v>
      </c>
      <c r="AE1424" s="5">
        <f t="shared" si="523"/>
        <v>3.6423841059602653</v>
      </c>
      <c r="AF1424" s="10">
        <f t="shared" si="524"/>
        <v>654720</v>
      </c>
      <c r="AG1424" s="10">
        <f t="shared" si="525"/>
        <v>211200</v>
      </c>
      <c r="AH1424" s="10">
        <f t="shared" si="526"/>
        <v>105600</v>
      </c>
      <c r="AI1424" s="10">
        <f t="shared" si="527"/>
        <v>52800</v>
      </c>
      <c r="AJ1424" s="10">
        <f t="shared" si="528"/>
        <v>31680</v>
      </c>
    </row>
    <row r="1425" spans="1:36" x14ac:dyDescent="0.3">
      <c r="A1425" t="s">
        <v>5449</v>
      </c>
      <c r="B1425" t="s">
        <v>5450</v>
      </c>
      <c r="C1425" t="s">
        <v>5451</v>
      </c>
      <c r="D1425" t="s">
        <v>50</v>
      </c>
      <c r="E1425">
        <v>77385</v>
      </c>
      <c r="F1425" t="s">
        <v>15</v>
      </c>
      <c r="G1425">
        <v>8</v>
      </c>
      <c r="H1425">
        <v>250</v>
      </c>
      <c r="I1425" t="str" cm="1">
        <f t="array" ref="I1425">_xlfn.IFS(H1425&lt;=120,"V1",H1425&lt;=150,"V2",H1425&lt;=250,"V3", H1425&lt;=350, "V4")</f>
        <v>V3</v>
      </c>
      <c r="J1425" t="s">
        <v>5452</v>
      </c>
      <c r="K1425" t="str">
        <f t="shared" si="506"/>
        <v>30.188746</v>
      </c>
      <c r="L1425" t="str">
        <f t="shared" si="507"/>
        <v>-95.452171</v>
      </c>
      <c r="M1425">
        <v>43</v>
      </c>
      <c r="N1425" s="1">
        <v>44869</v>
      </c>
      <c r="O1425" s="1">
        <v>46099</v>
      </c>
      <c r="P1425" s="2">
        <f t="shared" si="508"/>
        <v>3.3675564681724848</v>
      </c>
      <c r="Q1425" s="2" t="str">
        <f t="shared" si="509"/>
        <v>Mid</v>
      </c>
      <c r="R1425">
        <f t="shared" si="510"/>
        <v>2000</v>
      </c>
      <c r="S1425" t="str">
        <f t="shared" si="511"/>
        <v>Small</v>
      </c>
      <c r="T1425" t="str">
        <f t="shared" si="512"/>
        <v>High EV Adoption Corridor</v>
      </c>
      <c r="U1425" s="3">
        <f t="shared" si="513"/>
        <v>4680000</v>
      </c>
      <c r="V1425" s="4">
        <f t="shared" si="514"/>
        <v>1056000</v>
      </c>
      <c r="W1425" s="3">
        <f t="shared" si="515"/>
        <v>13200000.000000002</v>
      </c>
      <c r="X1425" s="3">
        <f t="shared" si="516"/>
        <v>9900000.0000000019</v>
      </c>
      <c r="Y1425">
        <f t="shared" si="517"/>
        <v>0.23999999999999996</v>
      </c>
      <c r="Z1425">
        <f t="shared" si="518"/>
        <v>0.77435897435897438</v>
      </c>
      <c r="AA1425" t="str">
        <f t="shared" si="519"/>
        <v>Tier 1 - Priority Fleet</v>
      </c>
      <c r="AB1425" s="3">
        <f t="shared" si="520"/>
        <v>132000</v>
      </c>
      <c r="AC1425" s="3">
        <f t="shared" si="521"/>
        <v>1650000.0000000002</v>
      </c>
      <c r="AD1425" s="3">
        <f t="shared" si="522"/>
        <v>585000</v>
      </c>
      <c r="AE1425" s="5">
        <f t="shared" si="523"/>
        <v>3.6423841059602653</v>
      </c>
      <c r="AF1425" s="10">
        <f t="shared" si="524"/>
        <v>654720</v>
      </c>
      <c r="AG1425" s="10">
        <f t="shared" si="525"/>
        <v>211200</v>
      </c>
      <c r="AH1425" s="10">
        <f t="shared" si="526"/>
        <v>105600</v>
      </c>
      <c r="AI1425" s="10">
        <f t="shared" si="527"/>
        <v>52800</v>
      </c>
      <c r="AJ1425" s="10">
        <f t="shared" si="528"/>
        <v>31680</v>
      </c>
    </row>
    <row r="1426" spans="1:36" x14ac:dyDescent="0.3">
      <c r="A1426" t="s">
        <v>5453</v>
      </c>
      <c r="B1426" t="s">
        <v>5454</v>
      </c>
      <c r="C1426" t="s">
        <v>5455</v>
      </c>
      <c r="D1426" t="s">
        <v>184</v>
      </c>
      <c r="E1426">
        <v>43430</v>
      </c>
      <c r="F1426" t="s">
        <v>15</v>
      </c>
      <c r="G1426">
        <v>8</v>
      </c>
      <c r="H1426">
        <v>250</v>
      </c>
      <c r="I1426" t="str" cm="1">
        <f t="array" ref="I1426">_xlfn.IFS(H1426&lt;=120,"V1",H1426&lt;=150,"V2",H1426&lt;=250,"V3", H1426&lt;=350, "V4")</f>
        <v>V3</v>
      </c>
      <c r="J1426" t="s">
        <v>5456</v>
      </c>
      <c r="K1426" t="str">
        <f t="shared" si="506"/>
        <v>41.489964</v>
      </c>
      <c r="L1426" t="str">
        <f t="shared" si="507"/>
        <v>-83.37048</v>
      </c>
      <c r="M1426">
        <v>192</v>
      </c>
      <c r="N1426" s="1">
        <v>44551</v>
      </c>
      <c r="O1426" s="1">
        <v>46099</v>
      </c>
      <c r="P1426" s="2">
        <f t="shared" si="508"/>
        <v>4.2381930184804926</v>
      </c>
      <c r="Q1426" s="2" t="str">
        <f t="shared" si="509"/>
        <v>Mid</v>
      </c>
      <c r="R1426">
        <f t="shared" si="510"/>
        <v>2000</v>
      </c>
      <c r="S1426" t="str">
        <f t="shared" si="511"/>
        <v>Small</v>
      </c>
      <c r="T1426" t="str">
        <f t="shared" si="512"/>
        <v>Lower EV Adoption Corridor</v>
      </c>
      <c r="U1426" s="3">
        <f t="shared" si="513"/>
        <v>3600000</v>
      </c>
      <c r="V1426" s="4">
        <f t="shared" si="514"/>
        <v>880000.00000000012</v>
      </c>
      <c r="W1426" s="3">
        <f t="shared" si="515"/>
        <v>12000000</v>
      </c>
      <c r="X1426" s="3">
        <f t="shared" si="516"/>
        <v>6600000.0000000009</v>
      </c>
      <c r="Y1426">
        <f t="shared" si="517"/>
        <v>0.31515151515151513</v>
      </c>
      <c r="Z1426">
        <f t="shared" si="518"/>
        <v>0.75555555555555554</v>
      </c>
      <c r="AA1426" t="str">
        <f t="shared" si="519"/>
        <v>Tier 2 - Growth Markets</v>
      </c>
      <c r="AB1426" s="3">
        <f t="shared" si="520"/>
        <v>110000.00000000001</v>
      </c>
      <c r="AC1426" s="3">
        <f t="shared" si="521"/>
        <v>1500000</v>
      </c>
      <c r="AD1426" s="3">
        <f t="shared" si="522"/>
        <v>450000</v>
      </c>
      <c r="AE1426" s="5">
        <f t="shared" si="523"/>
        <v>4.4117647058823533</v>
      </c>
      <c r="AF1426" s="10">
        <f t="shared" si="524"/>
        <v>545600.00000000012</v>
      </c>
      <c r="AG1426" s="10">
        <f t="shared" si="525"/>
        <v>176000.00000000003</v>
      </c>
      <c r="AH1426" s="10">
        <f t="shared" si="526"/>
        <v>88000.000000000015</v>
      </c>
      <c r="AI1426" s="10">
        <f t="shared" si="527"/>
        <v>44000.000000000007</v>
      </c>
      <c r="AJ1426" s="10">
        <f t="shared" si="528"/>
        <v>26400.000000000004</v>
      </c>
    </row>
    <row r="1427" spans="1:36" x14ac:dyDescent="0.3">
      <c r="A1427" t="s">
        <v>5457</v>
      </c>
      <c r="B1427" t="s">
        <v>5458</v>
      </c>
      <c r="C1427" t="s">
        <v>5459</v>
      </c>
      <c r="D1427" t="s">
        <v>98</v>
      </c>
      <c r="E1427">
        <v>6355</v>
      </c>
      <c r="F1427" t="s">
        <v>15</v>
      </c>
      <c r="G1427">
        <v>12</v>
      </c>
      <c r="H1427">
        <v>250</v>
      </c>
      <c r="I1427" t="str" cm="1">
        <f t="array" ref="I1427">_xlfn.IFS(H1427&lt;=120,"V1",H1427&lt;=150,"V2",H1427&lt;=250,"V3", H1427&lt;=350, "V4")</f>
        <v>V3</v>
      </c>
      <c r="J1427" t="s">
        <v>5460</v>
      </c>
      <c r="K1427" t="str">
        <f t="shared" si="506"/>
        <v>41.372386</v>
      </c>
      <c r="L1427" t="str">
        <f t="shared" si="507"/>
        <v>-71.956586</v>
      </c>
      <c r="M1427">
        <v>13</v>
      </c>
      <c r="N1427" s="1">
        <v>44713</v>
      </c>
      <c r="O1427" s="1">
        <v>46099</v>
      </c>
      <c r="P1427" s="2">
        <f t="shared" si="508"/>
        <v>3.7946611909650922</v>
      </c>
      <c r="Q1427" s="2" t="str">
        <f t="shared" si="509"/>
        <v>Mid</v>
      </c>
      <c r="R1427">
        <f t="shared" si="510"/>
        <v>3000</v>
      </c>
      <c r="S1427" t="str">
        <f t="shared" si="511"/>
        <v>Small</v>
      </c>
      <c r="T1427" t="str">
        <f t="shared" si="512"/>
        <v>Lower EV Adoption Corridor</v>
      </c>
      <c r="U1427" s="3">
        <f t="shared" si="513"/>
        <v>5400000</v>
      </c>
      <c r="V1427" s="4">
        <f t="shared" si="514"/>
        <v>1320000</v>
      </c>
      <c r="W1427" s="3">
        <f t="shared" si="515"/>
        <v>18000000</v>
      </c>
      <c r="X1427" s="3">
        <f t="shared" si="516"/>
        <v>9900000</v>
      </c>
      <c r="Y1427">
        <f t="shared" si="517"/>
        <v>0.31515151515151513</v>
      </c>
      <c r="Z1427">
        <f t="shared" si="518"/>
        <v>0.75555555555555554</v>
      </c>
      <c r="AA1427" t="str">
        <f t="shared" si="519"/>
        <v>Tier 2 - Growth Markets</v>
      </c>
      <c r="AB1427" s="3">
        <f t="shared" si="520"/>
        <v>110000</v>
      </c>
      <c r="AC1427" s="3">
        <f t="shared" si="521"/>
        <v>1500000</v>
      </c>
      <c r="AD1427" s="3">
        <f t="shared" si="522"/>
        <v>450000</v>
      </c>
      <c r="AE1427" s="5">
        <f t="shared" si="523"/>
        <v>4.4117647058823533</v>
      </c>
      <c r="AF1427" s="10">
        <f t="shared" si="524"/>
        <v>818400</v>
      </c>
      <c r="AG1427" s="10">
        <f t="shared" si="525"/>
        <v>264000</v>
      </c>
      <c r="AH1427" s="10">
        <f t="shared" si="526"/>
        <v>132000</v>
      </c>
      <c r="AI1427" s="10">
        <f t="shared" si="527"/>
        <v>66000</v>
      </c>
      <c r="AJ1427" s="10">
        <f t="shared" si="528"/>
        <v>39600</v>
      </c>
    </row>
    <row r="1428" spans="1:36" x14ac:dyDescent="0.3">
      <c r="A1428" t="s">
        <v>5461</v>
      </c>
      <c r="B1428" t="s">
        <v>5462</v>
      </c>
      <c r="C1428" t="s">
        <v>5463</v>
      </c>
      <c r="D1428" t="s">
        <v>50</v>
      </c>
      <c r="E1428">
        <v>79424</v>
      </c>
      <c r="F1428" t="s">
        <v>15</v>
      </c>
      <c r="G1428">
        <v>4</v>
      </c>
      <c r="H1428">
        <v>250</v>
      </c>
      <c r="I1428" t="str" cm="1">
        <f t="array" ref="I1428">_xlfn.IFS(H1428&lt;=120,"V1",H1428&lt;=150,"V2",H1428&lt;=250,"V3", H1428&lt;=350, "V4")</f>
        <v>V3</v>
      </c>
      <c r="J1428" t="s">
        <v>5464</v>
      </c>
      <c r="K1428" t="str">
        <f t="shared" si="506"/>
        <v>33.520954</v>
      </c>
      <c r="L1428" t="str">
        <f t="shared" si="507"/>
        <v>-101.961588</v>
      </c>
      <c r="M1428">
        <v>1001</v>
      </c>
      <c r="N1428" s="1">
        <v>44707</v>
      </c>
      <c r="O1428" s="1">
        <v>46099</v>
      </c>
      <c r="P1428" s="2">
        <f t="shared" si="508"/>
        <v>3.8110882956878851</v>
      </c>
      <c r="Q1428" s="2" t="str">
        <f t="shared" si="509"/>
        <v>Mid</v>
      </c>
      <c r="R1428">
        <f t="shared" si="510"/>
        <v>1000</v>
      </c>
      <c r="S1428" t="str">
        <f t="shared" si="511"/>
        <v>Small</v>
      </c>
      <c r="T1428" t="str">
        <f t="shared" si="512"/>
        <v>High EV Adoption Corridor</v>
      </c>
      <c r="U1428" s="3">
        <f t="shared" si="513"/>
        <v>2340000</v>
      </c>
      <c r="V1428" s="4">
        <f t="shared" si="514"/>
        <v>528000</v>
      </c>
      <c r="W1428" s="3">
        <f t="shared" si="515"/>
        <v>6600000.0000000009</v>
      </c>
      <c r="X1428" s="3">
        <f t="shared" si="516"/>
        <v>4950000.0000000009</v>
      </c>
      <c r="Y1428">
        <f t="shared" si="517"/>
        <v>0.23999999999999996</v>
      </c>
      <c r="Z1428">
        <f t="shared" si="518"/>
        <v>0.77435897435897438</v>
      </c>
      <c r="AA1428" t="str">
        <f t="shared" si="519"/>
        <v>Tier 1 - Priority Fleet</v>
      </c>
      <c r="AB1428" s="3">
        <f t="shared" si="520"/>
        <v>132000</v>
      </c>
      <c r="AC1428" s="3">
        <f t="shared" si="521"/>
        <v>1650000.0000000002</v>
      </c>
      <c r="AD1428" s="3">
        <f t="shared" si="522"/>
        <v>585000</v>
      </c>
      <c r="AE1428" s="5">
        <f t="shared" si="523"/>
        <v>3.6423841059602653</v>
      </c>
      <c r="AF1428" s="10">
        <f t="shared" si="524"/>
        <v>327360</v>
      </c>
      <c r="AG1428" s="10">
        <f t="shared" si="525"/>
        <v>105600</v>
      </c>
      <c r="AH1428" s="10">
        <f t="shared" si="526"/>
        <v>52800</v>
      </c>
      <c r="AI1428" s="10">
        <f t="shared" si="527"/>
        <v>26400</v>
      </c>
      <c r="AJ1428" s="10">
        <f t="shared" si="528"/>
        <v>15840</v>
      </c>
    </row>
    <row r="1429" spans="1:36" x14ac:dyDescent="0.3">
      <c r="A1429" t="s">
        <v>5465</v>
      </c>
      <c r="B1429" t="s">
        <v>5466</v>
      </c>
      <c r="C1429" t="s">
        <v>49</v>
      </c>
      <c r="D1429" t="s">
        <v>50</v>
      </c>
      <c r="E1429">
        <v>75231</v>
      </c>
      <c r="F1429" t="s">
        <v>15</v>
      </c>
      <c r="G1429">
        <v>12</v>
      </c>
      <c r="H1429">
        <v>72</v>
      </c>
      <c r="I1429" t="str" cm="1">
        <f t="array" ref="I1429">_xlfn.IFS(H1429&lt;=120,"V1",H1429&lt;=150,"V2",H1429&lt;=250,"V3", H1429&lt;=350, "V4")</f>
        <v>V1</v>
      </c>
      <c r="J1429" t="s">
        <v>5467</v>
      </c>
      <c r="K1429" t="str">
        <f t="shared" si="506"/>
        <v>32.881155</v>
      </c>
      <c r="L1429" t="str">
        <f t="shared" si="507"/>
        <v>-96.769519</v>
      </c>
      <c r="M1429">
        <v>170</v>
      </c>
      <c r="N1429" s="1">
        <v>43209</v>
      </c>
      <c r="O1429" s="1">
        <v>46099</v>
      </c>
      <c r="P1429" s="2">
        <f t="shared" si="508"/>
        <v>7.9123887748117729</v>
      </c>
      <c r="Q1429" s="2" t="str">
        <f t="shared" si="509"/>
        <v>Mid</v>
      </c>
      <c r="R1429">
        <f t="shared" si="510"/>
        <v>864</v>
      </c>
      <c r="S1429" t="str">
        <f t="shared" si="511"/>
        <v>Small</v>
      </c>
      <c r="T1429" t="str">
        <f t="shared" si="512"/>
        <v>High EV Adoption Corridor</v>
      </c>
      <c r="U1429" s="3">
        <f t="shared" si="513"/>
        <v>1684800</v>
      </c>
      <c r="V1429" s="4">
        <f t="shared" si="514"/>
        <v>373248</v>
      </c>
      <c r="W1429" s="3">
        <f t="shared" si="515"/>
        <v>3801600.0000000005</v>
      </c>
      <c r="X1429" s="3">
        <f t="shared" si="516"/>
        <v>3499200</v>
      </c>
      <c r="Y1429">
        <f t="shared" si="517"/>
        <v>0.21530864197530863</v>
      </c>
      <c r="Z1429">
        <f t="shared" si="518"/>
        <v>0.77846153846153843</v>
      </c>
      <c r="AA1429" t="str">
        <f t="shared" si="519"/>
        <v>Tier 3 - Upgrade Pipeline</v>
      </c>
      <c r="AB1429" s="3">
        <f t="shared" si="520"/>
        <v>31104</v>
      </c>
      <c r="AC1429" s="3">
        <f t="shared" si="521"/>
        <v>316800.00000000006</v>
      </c>
      <c r="AD1429" s="3">
        <f t="shared" si="522"/>
        <v>140400</v>
      </c>
      <c r="AE1429" s="5">
        <f t="shared" si="523"/>
        <v>2.8985507246376816</v>
      </c>
      <c r="AF1429" s="10">
        <f t="shared" si="524"/>
        <v>231413.76000000001</v>
      </c>
      <c r="AG1429" s="10">
        <f t="shared" si="525"/>
        <v>74649.600000000006</v>
      </c>
      <c r="AH1429" s="10">
        <f t="shared" si="526"/>
        <v>37324.800000000003</v>
      </c>
      <c r="AI1429" s="10">
        <f t="shared" si="527"/>
        <v>18662.400000000001</v>
      </c>
      <c r="AJ1429" s="10">
        <f t="shared" si="528"/>
        <v>11197.439999999999</v>
      </c>
    </row>
    <row r="1430" spans="1:36" x14ac:dyDescent="0.3">
      <c r="A1430" t="s">
        <v>5468</v>
      </c>
      <c r="B1430" t="s">
        <v>5469</v>
      </c>
      <c r="C1430" t="s">
        <v>5470</v>
      </c>
      <c r="D1430" t="s">
        <v>630</v>
      </c>
      <c r="E1430">
        <v>48413</v>
      </c>
      <c r="F1430" t="s">
        <v>15</v>
      </c>
      <c r="G1430">
        <v>6</v>
      </c>
      <c r="H1430">
        <v>250</v>
      </c>
      <c r="I1430" t="str" cm="1">
        <f t="array" ref="I1430">_xlfn.IFS(H1430&lt;=120,"V1",H1430&lt;=150,"V2",H1430&lt;=250,"V3", H1430&lt;=350, "V4")</f>
        <v>V3</v>
      </c>
      <c r="J1430" t="s">
        <v>5471</v>
      </c>
      <c r="K1430" t="str">
        <f t="shared" si="506"/>
        <v>43.82471</v>
      </c>
      <c r="L1430" t="str">
        <f t="shared" si="507"/>
        <v>-83.00583</v>
      </c>
      <c r="M1430">
        <v>225</v>
      </c>
      <c r="N1430" s="1">
        <v>44798</v>
      </c>
      <c r="O1430" s="1">
        <v>46099</v>
      </c>
      <c r="P1430" s="2">
        <f t="shared" si="508"/>
        <v>3.5619438740588638</v>
      </c>
      <c r="Q1430" s="2" t="str">
        <f t="shared" si="509"/>
        <v>Mid</v>
      </c>
      <c r="R1430">
        <f t="shared" si="510"/>
        <v>1500</v>
      </c>
      <c r="S1430" t="str">
        <f t="shared" si="511"/>
        <v>Small</v>
      </c>
      <c r="T1430" t="str">
        <f t="shared" si="512"/>
        <v>Lower EV Adoption Corridor</v>
      </c>
      <c r="U1430" s="3">
        <f t="shared" si="513"/>
        <v>2700000</v>
      </c>
      <c r="V1430" s="4">
        <f t="shared" si="514"/>
        <v>660000</v>
      </c>
      <c r="W1430" s="3">
        <f t="shared" si="515"/>
        <v>9000000</v>
      </c>
      <c r="X1430" s="3">
        <f t="shared" si="516"/>
        <v>4950000</v>
      </c>
      <c r="Y1430">
        <f t="shared" si="517"/>
        <v>0.31515151515151513</v>
      </c>
      <c r="Z1430">
        <f t="shared" si="518"/>
        <v>0.75555555555555554</v>
      </c>
      <c r="AA1430" t="str">
        <f t="shared" si="519"/>
        <v>Tier 2 - Growth Markets</v>
      </c>
      <c r="AB1430" s="3">
        <f t="shared" si="520"/>
        <v>110000</v>
      </c>
      <c r="AC1430" s="3">
        <f t="shared" si="521"/>
        <v>1500000</v>
      </c>
      <c r="AD1430" s="3">
        <f t="shared" si="522"/>
        <v>450000</v>
      </c>
      <c r="AE1430" s="5">
        <f t="shared" si="523"/>
        <v>4.4117647058823533</v>
      </c>
      <c r="AF1430" s="10">
        <f t="shared" si="524"/>
        <v>409200</v>
      </c>
      <c r="AG1430" s="10">
        <f t="shared" si="525"/>
        <v>132000</v>
      </c>
      <c r="AH1430" s="10">
        <f t="shared" si="526"/>
        <v>66000</v>
      </c>
      <c r="AI1430" s="10">
        <f t="shared" si="527"/>
        <v>33000</v>
      </c>
      <c r="AJ1430" s="10">
        <f t="shared" si="528"/>
        <v>19800</v>
      </c>
    </row>
    <row r="1431" spans="1:36" x14ac:dyDescent="0.3">
      <c r="A1431" t="s">
        <v>5472</v>
      </c>
      <c r="B1431" t="s">
        <v>5473</v>
      </c>
      <c r="C1431" t="s">
        <v>5474</v>
      </c>
      <c r="D1431" t="s">
        <v>321</v>
      </c>
      <c r="E1431">
        <v>1923</v>
      </c>
      <c r="F1431" t="s">
        <v>15</v>
      </c>
      <c r="G1431">
        <v>12</v>
      </c>
      <c r="H1431">
        <v>250</v>
      </c>
      <c r="I1431" t="str" cm="1">
        <f t="array" ref="I1431">_xlfn.IFS(H1431&lt;=120,"V1",H1431&lt;=150,"V2",H1431&lt;=250,"V3", H1431&lt;=350, "V4")</f>
        <v>V3</v>
      </c>
      <c r="J1431" t="s">
        <v>5475</v>
      </c>
      <c r="K1431" t="str">
        <f t="shared" si="506"/>
        <v>42.585318</v>
      </c>
      <c r="L1431" t="str">
        <f t="shared" si="507"/>
        <v>-70.96587</v>
      </c>
      <c r="M1431">
        <v>35</v>
      </c>
      <c r="N1431" s="1">
        <v>45065</v>
      </c>
      <c r="O1431" s="1">
        <v>46099</v>
      </c>
      <c r="P1431" s="2">
        <f t="shared" si="508"/>
        <v>2.8309377138945928</v>
      </c>
      <c r="Q1431" s="2" t="str">
        <f t="shared" si="509"/>
        <v>New</v>
      </c>
      <c r="R1431">
        <f t="shared" si="510"/>
        <v>3000</v>
      </c>
      <c r="S1431" t="str">
        <f t="shared" si="511"/>
        <v>Small</v>
      </c>
      <c r="T1431" t="str">
        <f t="shared" si="512"/>
        <v>Lower EV Adoption Corridor</v>
      </c>
      <c r="U1431" s="3">
        <f t="shared" si="513"/>
        <v>5400000</v>
      </c>
      <c r="V1431" s="4">
        <f t="shared" si="514"/>
        <v>1320000</v>
      </c>
      <c r="W1431" s="3">
        <f t="shared" si="515"/>
        <v>18000000</v>
      </c>
      <c r="X1431" s="3">
        <f t="shared" si="516"/>
        <v>9900000</v>
      </c>
      <c r="Y1431">
        <f t="shared" si="517"/>
        <v>0.31515151515151513</v>
      </c>
      <c r="Z1431">
        <f t="shared" si="518"/>
        <v>0.75555555555555554</v>
      </c>
      <c r="AA1431" t="str">
        <f t="shared" si="519"/>
        <v>Tier 2 - Growth Markets</v>
      </c>
      <c r="AB1431" s="3">
        <f t="shared" si="520"/>
        <v>110000</v>
      </c>
      <c r="AC1431" s="3">
        <f t="shared" si="521"/>
        <v>1500000</v>
      </c>
      <c r="AD1431" s="3">
        <f t="shared" si="522"/>
        <v>450000</v>
      </c>
      <c r="AE1431" s="5">
        <f t="shared" si="523"/>
        <v>4.4117647058823533</v>
      </c>
      <c r="AF1431" s="10">
        <f t="shared" si="524"/>
        <v>818400</v>
      </c>
      <c r="AG1431" s="10">
        <f t="shared" si="525"/>
        <v>264000</v>
      </c>
      <c r="AH1431" s="10">
        <f t="shared" si="526"/>
        <v>132000</v>
      </c>
      <c r="AI1431" s="10">
        <f t="shared" si="527"/>
        <v>66000</v>
      </c>
      <c r="AJ1431" s="10">
        <f t="shared" si="528"/>
        <v>39600</v>
      </c>
    </row>
    <row r="1432" spans="1:36" x14ac:dyDescent="0.3">
      <c r="A1432" t="s">
        <v>5476</v>
      </c>
      <c r="B1432" t="s">
        <v>5477</v>
      </c>
      <c r="C1432" t="s">
        <v>5478</v>
      </c>
      <c r="D1432" t="s">
        <v>72</v>
      </c>
      <c r="E1432">
        <v>85282</v>
      </c>
      <c r="F1432" t="s">
        <v>15</v>
      </c>
      <c r="G1432">
        <v>14</v>
      </c>
      <c r="H1432">
        <v>250</v>
      </c>
      <c r="I1432" t="str" cm="1">
        <f t="array" ref="I1432">_xlfn.IFS(H1432&lt;=120,"V1",H1432&lt;=150,"V2",H1432&lt;=250,"V3", H1432&lt;=350, "V4")</f>
        <v>V3</v>
      </c>
      <c r="J1432" t="s">
        <v>5479</v>
      </c>
      <c r="K1432" t="str">
        <f t="shared" si="506"/>
        <v>33.381</v>
      </c>
      <c r="L1432" t="str">
        <f t="shared" si="507"/>
        <v>-111.963</v>
      </c>
      <c r="M1432">
        <v>364</v>
      </c>
      <c r="N1432" s="1">
        <v>44757</v>
      </c>
      <c r="O1432" s="1">
        <v>46099</v>
      </c>
      <c r="P1432" s="2">
        <f t="shared" si="508"/>
        <v>3.6741957563312799</v>
      </c>
      <c r="Q1432" s="2" t="str">
        <f t="shared" si="509"/>
        <v>Mid</v>
      </c>
      <c r="R1432">
        <f t="shared" si="510"/>
        <v>3500</v>
      </c>
      <c r="S1432" t="str">
        <f t="shared" si="511"/>
        <v>Small</v>
      </c>
      <c r="T1432" t="str">
        <f t="shared" si="512"/>
        <v>Lower EV Adoption Corridor</v>
      </c>
      <c r="U1432" s="3">
        <f t="shared" si="513"/>
        <v>6300000</v>
      </c>
      <c r="V1432" s="4">
        <f t="shared" si="514"/>
        <v>1540000.0000000002</v>
      </c>
      <c r="W1432" s="3">
        <f t="shared" si="515"/>
        <v>21000000</v>
      </c>
      <c r="X1432" s="3">
        <f t="shared" si="516"/>
        <v>11550000.000000002</v>
      </c>
      <c r="Y1432">
        <f t="shared" si="517"/>
        <v>0.31515151515151513</v>
      </c>
      <c r="Z1432">
        <f t="shared" si="518"/>
        <v>0.75555555555555554</v>
      </c>
      <c r="AA1432" t="str">
        <f t="shared" si="519"/>
        <v>Tier 2 - Growth Markets</v>
      </c>
      <c r="AB1432" s="3">
        <f t="shared" si="520"/>
        <v>110000.00000000001</v>
      </c>
      <c r="AC1432" s="3">
        <f t="shared" si="521"/>
        <v>1500000</v>
      </c>
      <c r="AD1432" s="3">
        <f t="shared" si="522"/>
        <v>450000</v>
      </c>
      <c r="AE1432" s="5">
        <f t="shared" si="523"/>
        <v>4.4117647058823533</v>
      </c>
      <c r="AF1432" s="10">
        <f t="shared" si="524"/>
        <v>954800.00000000012</v>
      </c>
      <c r="AG1432" s="10">
        <f t="shared" si="525"/>
        <v>308000.00000000006</v>
      </c>
      <c r="AH1432" s="10">
        <f t="shared" si="526"/>
        <v>154000.00000000003</v>
      </c>
      <c r="AI1432" s="10">
        <f t="shared" si="527"/>
        <v>77000.000000000015</v>
      </c>
      <c r="AJ1432" s="10">
        <f t="shared" si="528"/>
        <v>46200.000000000007</v>
      </c>
    </row>
    <row r="1433" spans="1:36" x14ac:dyDescent="0.3">
      <c r="A1433" t="s">
        <v>5480</v>
      </c>
      <c r="B1433" t="s">
        <v>5481</v>
      </c>
      <c r="C1433" t="s">
        <v>5482</v>
      </c>
      <c r="D1433" t="s">
        <v>158</v>
      </c>
      <c r="E1433">
        <v>11703</v>
      </c>
      <c r="F1433" t="s">
        <v>15</v>
      </c>
      <c r="G1433">
        <v>12</v>
      </c>
      <c r="H1433">
        <v>250</v>
      </c>
      <c r="I1433" t="str" cm="1">
        <f t="array" ref="I1433">_xlfn.IFS(H1433&lt;=120,"V1",H1433&lt;=150,"V2",H1433&lt;=250,"V3", H1433&lt;=350, "V4")</f>
        <v>V3</v>
      </c>
      <c r="J1433" t="s">
        <v>5483</v>
      </c>
      <c r="K1433" t="str">
        <f t="shared" si="506"/>
        <v>40.739557</v>
      </c>
      <c r="L1433" t="str">
        <f t="shared" si="507"/>
        <v>-73.319465</v>
      </c>
      <c r="M1433">
        <v>14</v>
      </c>
      <c r="N1433" s="1">
        <v>44841</v>
      </c>
      <c r="O1433" s="1">
        <v>46099</v>
      </c>
      <c r="P1433" s="2">
        <f t="shared" si="508"/>
        <v>3.4442162902121836</v>
      </c>
      <c r="Q1433" s="2" t="str">
        <f t="shared" si="509"/>
        <v>Mid</v>
      </c>
      <c r="R1433">
        <f t="shared" si="510"/>
        <v>3000</v>
      </c>
      <c r="S1433" t="str">
        <f t="shared" si="511"/>
        <v>Small</v>
      </c>
      <c r="T1433" t="str">
        <f t="shared" si="512"/>
        <v>Lower EV Adoption Corridor</v>
      </c>
      <c r="U1433" s="3">
        <f t="shared" si="513"/>
        <v>5400000</v>
      </c>
      <c r="V1433" s="4">
        <f t="shared" si="514"/>
        <v>1320000</v>
      </c>
      <c r="W1433" s="3">
        <f t="shared" si="515"/>
        <v>18000000</v>
      </c>
      <c r="X1433" s="3">
        <f t="shared" si="516"/>
        <v>9900000</v>
      </c>
      <c r="Y1433">
        <f t="shared" si="517"/>
        <v>0.31515151515151513</v>
      </c>
      <c r="Z1433">
        <f t="shared" si="518"/>
        <v>0.75555555555555554</v>
      </c>
      <c r="AA1433" t="str">
        <f t="shared" si="519"/>
        <v>Tier 2 - Growth Markets</v>
      </c>
      <c r="AB1433" s="3">
        <f t="shared" si="520"/>
        <v>110000</v>
      </c>
      <c r="AC1433" s="3">
        <f t="shared" si="521"/>
        <v>1500000</v>
      </c>
      <c r="AD1433" s="3">
        <f t="shared" si="522"/>
        <v>450000</v>
      </c>
      <c r="AE1433" s="5">
        <f t="shared" si="523"/>
        <v>4.4117647058823533</v>
      </c>
      <c r="AF1433" s="10">
        <f t="shared" si="524"/>
        <v>818400</v>
      </c>
      <c r="AG1433" s="10">
        <f t="shared" si="525"/>
        <v>264000</v>
      </c>
      <c r="AH1433" s="10">
        <f t="shared" si="526"/>
        <v>132000</v>
      </c>
      <c r="AI1433" s="10">
        <f t="shared" si="527"/>
        <v>66000</v>
      </c>
      <c r="AJ1433" s="10">
        <f t="shared" si="528"/>
        <v>39600</v>
      </c>
    </row>
    <row r="1434" spans="1:36" x14ac:dyDescent="0.3">
      <c r="A1434" t="s">
        <v>5484</v>
      </c>
      <c r="B1434" t="s">
        <v>5485</v>
      </c>
      <c r="C1434" t="s">
        <v>1840</v>
      </c>
      <c r="D1434" t="s">
        <v>41</v>
      </c>
      <c r="E1434">
        <v>33610</v>
      </c>
      <c r="F1434" t="s">
        <v>15</v>
      </c>
      <c r="G1434">
        <v>8</v>
      </c>
      <c r="H1434">
        <v>250</v>
      </c>
      <c r="I1434" t="str" cm="1">
        <f t="array" ref="I1434">_xlfn.IFS(H1434&lt;=120,"V1",H1434&lt;=150,"V2",H1434&lt;=250,"V3", H1434&lt;=350, "V4")</f>
        <v>V3</v>
      </c>
      <c r="J1434" t="s">
        <v>5486</v>
      </c>
      <c r="K1434" t="str">
        <f t="shared" si="506"/>
        <v>27.996805</v>
      </c>
      <c r="L1434" t="str">
        <f t="shared" si="507"/>
        <v>-82.372668</v>
      </c>
      <c r="M1434">
        <v>11</v>
      </c>
      <c r="N1434" s="1">
        <v>44649</v>
      </c>
      <c r="O1434" s="1">
        <v>46099</v>
      </c>
      <c r="P1434" s="2">
        <f t="shared" si="508"/>
        <v>3.9698836413415468</v>
      </c>
      <c r="Q1434" s="2" t="str">
        <f t="shared" si="509"/>
        <v>Mid</v>
      </c>
      <c r="R1434">
        <f t="shared" si="510"/>
        <v>2000</v>
      </c>
      <c r="S1434" t="str">
        <f t="shared" si="511"/>
        <v>Small</v>
      </c>
      <c r="T1434" t="str">
        <f t="shared" si="512"/>
        <v>High EV Adoption Corridor</v>
      </c>
      <c r="U1434" s="3">
        <f t="shared" si="513"/>
        <v>4680000</v>
      </c>
      <c r="V1434" s="4">
        <f t="shared" si="514"/>
        <v>1056000</v>
      </c>
      <c r="W1434" s="3">
        <f t="shared" si="515"/>
        <v>13200000.000000002</v>
      </c>
      <c r="X1434" s="3">
        <f t="shared" si="516"/>
        <v>9900000.0000000019</v>
      </c>
      <c r="Y1434">
        <f t="shared" si="517"/>
        <v>0.23999999999999996</v>
      </c>
      <c r="Z1434">
        <f t="shared" si="518"/>
        <v>0.77435897435897438</v>
      </c>
      <c r="AA1434" t="str">
        <f t="shared" si="519"/>
        <v>Tier 1 - Priority Fleet</v>
      </c>
      <c r="AB1434" s="3">
        <f t="shared" si="520"/>
        <v>132000</v>
      </c>
      <c r="AC1434" s="3">
        <f t="shared" si="521"/>
        <v>1650000.0000000002</v>
      </c>
      <c r="AD1434" s="3">
        <f t="shared" si="522"/>
        <v>585000</v>
      </c>
      <c r="AE1434" s="5">
        <f t="shared" si="523"/>
        <v>3.6423841059602653</v>
      </c>
      <c r="AF1434" s="10">
        <f t="shared" si="524"/>
        <v>654720</v>
      </c>
      <c r="AG1434" s="10">
        <f t="shared" si="525"/>
        <v>211200</v>
      </c>
      <c r="AH1434" s="10">
        <f t="shared" si="526"/>
        <v>105600</v>
      </c>
      <c r="AI1434" s="10">
        <f t="shared" si="527"/>
        <v>52800</v>
      </c>
      <c r="AJ1434" s="10">
        <f t="shared" si="528"/>
        <v>31680</v>
      </c>
    </row>
    <row r="1435" spans="1:36" x14ac:dyDescent="0.3">
      <c r="A1435" t="s">
        <v>5487</v>
      </c>
      <c r="B1435" t="s">
        <v>5488</v>
      </c>
      <c r="C1435" t="s">
        <v>1840</v>
      </c>
      <c r="D1435" t="s">
        <v>41</v>
      </c>
      <c r="E1435">
        <v>33613</v>
      </c>
      <c r="F1435" t="s">
        <v>15</v>
      </c>
      <c r="G1435">
        <v>8</v>
      </c>
      <c r="H1435">
        <v>250</v>
      </c>
      <c r="I1435" t="str" cm="1">
        <f t="array" ref="I1435">_xlfn.IFS(H1435&lt;=120,"V1",H1435&lt;=150,"V2",H1435&lt;=250,"V3", H1435&lt;=350, "V4")</f>
        <v>V3</v>
      </c>
      <c r="J1435" t="s">
        <v>5489</v>
      </c>
      <c r="K1435" t="str">
        <f t="shared" si="506"/>
        <v>28.088551</v>
      </c>
      <c r="L1435" t="str">
        <f t="shared" si="507"/>
        <v>-82.4521</v>
      </c>
      <c r="M1435">
        <v>19</v>
      </c>
      <c r="N1435" s="1">
        <v>44801</v>
      </c>
      <c r="O1435" s="1">
        <v>46099</v>
      </c>
      <c r="P1435" s="2">
        <f t="shared" si="508"/>
        <v>3.5537303216974676</v>
      </c>
      <c r="Q1435" s="2" t="str">
        <f t="shared" si="509"/>
        <v>Mid</v>
      </c>
      <c r="R1435">
        <f t="shared" si="510"/>
        <v>2000</v>
      </c>
      <c r="S1435" t="str">
        <f t="shared" si="511"/>
        <v>Small</v>
      </c>
      <c r="T1435" t="str">
        <f t="shared" si="512"/>
        <v>High EV Adoption Corridor</v>
      </c>
      <c r="U1435" s="3">
        <f t="shared" si="513"/>
        <v>4680000</v>
      </c>
      <c r="V1435" s="4">
        <f t="shared" si="514"/>
        <v>1056000</v>
      </c>
      <c r="W1435" s="3">
        <f t="shared" si="515"/>
        <v>13200000.000000002</v>
      </c>
      <c r="X1435" s="3">
        <f t="shared" si="516"/>
        <v>9900000.0000000019</v>
      </c>
      <c r="Y1435">
        <f t="shared" si="517"/>
        <v>0.23999999999999996</v>
      </c>
      <c r="Z1435">
        <f t="shared" si="518"/>
        <v>0.77435897435897438</v>
      </c>
      <c r="AA1435" t="str">
        <f t="shared" si="519"/>
        <v>Tier 1 - Priority Fleet</v>
      </c>
      <c r="AB1435" s="3">
        <f t="shared" si="520"/>
        <v>132000</v>
      </c>
      <c r="AC1435" s="3">
        <f t="shared" si="521"/>
        <v>1650000.0000000002</v>
      </c>
      <c r="AD1435" s="3">
        <f t="shared" si="522"/>
        <v>585000</v>
      </c>
      <c r="AE1435" s="5">
        <f t="shared" si="523"/>
        <v>3.6423841059602653</v>
      </c>
      <c r="AF1435" s="10">
        <f t="shared" si="524"/>
        <v>654720</v>
      </c>
      <c r="AG1435" s="10">
        <f t="shared" si="525"/>
        <v>211200</v>
      </c>
      <c r="AH1435" s="10">
        <f t="shared" si="526"/>
        <v>105600</v>
      </c>
      <c r="AI1435" s="10">
        <f t="shared" si="527"/>
        <v>52800</v>
      </c>
      <c r="AJ1435" s="10">
        <f t="shared" si="528"/>
        <v>31680</v>
      </c>
    </row>
    <row r="1436" spans="1:36" x14ac:dyDescent="0.3">
      <c r="A1436" t="s">
        <v>5490</v>
      </c>
      <c r="B1436" t="s">
        <v>5491</v>
      </c>
      <c r="C1436" t="s">
        <v>419</v>
      </c>
      <c r="D1436" t="s">
        <v>14</v>
      </c>
      <c r="E1436">
        <v>91914</v>
      </c>
      <c r="F1436" t="s">
        <v>15</v>
      </c>
      <c r="G1436">
        <v>16</v>
      </c>
      <c r="H1436">
        <v>250</v>
      </c>
      <c r="I1436" t="str" cm="1">
        <f t="array" ref="I1436">_xlfn.IFS(H1436&lt;=120,"V1",H1436&lt;=150,"V2",H1436&lt;=250,"V3", H1436&lt;=350, "V4")</f>
        <v>V3</v>
      </c>
      <c r="J1436" t="s">
        <v>5492</v>
      </c>
      <c r="K1436" t="str">
        <f t="shared" si="506"/>
        <v>32.651478</v>
      </c>
      <c r="L1436" t="str">
        <f t="shared" si="507"/>
        <v>-116.954543</v>
      </c>
      <c r="M1436">
        <v>210</v>
      </c>
      <c r="N1436" s="1">
        <v>44978</v>
      </c>
      <c r="O1436" s="1">
        <v>46099</v>
      </c>
      <c r="P1436" s="2">
        <f t="shared" si="508"/>
        <v>3.0691307323750854</v>
      </c>
      <c r="Q1436" s="2" t="str">
        <f t="shared" si="509"/>
        <v>Mid</v>
      </c>
      <c r="R1436">
        <f t="shared" si="510"/>
        <v>4000</v>
      </c>
      <c r="S1436" t="str">
        <f t="shared" si="511"/>
        <v>Small</v>
      </c>
      <c r="T1436" t="str">
        <f t="shared" si="512"/>
        <v>High EV Adoption Corridor</v>
      </c>
      <c r="U1436" s="3">
        <f t="shared" si="513"/>
        <v>9360000</v>
      </c>
      <c r="V1436" s="4">
        <f t="shared" si="514"/>
        <v>2112000</v>
      </c>
      <c r="W1436" s="3">
        <f t="shared" si="515"/>
        <v>26400000.000000004</v>
      </c>
      <c r="X1436" s="3">
        <f t="shared" si="516"/>
        <v>19800000.000000004</v>
      </c>
      <c r="Y1436">
        <f t="shared" si="517"/>
        <v>0.23999999999999996</v>
      </c>
      <c r="Z1436">
        <f t="shared" si="518"/>
        <v>0.77435897435897438</v>
      </c>
      <c r="AA1436" t="str">
        <f t="shared" si="519"/>
        <v>Tier 1 - Priority Fleet</v>
      </c>
      <c r="AB1436" s="3">
        <f t="shared" si="520"/>
        <v>132000</v>
      </c>
      <c r="AC1436" s="3">
        <f t="shared" si="521"/>
        <v>1650000.0000000002</v>
      </c>
      <c r="AD1436" s="3">
        <f t="shared" si="522"/>
        <v>585000</v>
      </c>
      <c r="AE1436" s="5">
        <f t="shared" si="523"/>
        <v>3.6423841059602653</v>
      </c>
      <c r="AF1436" s="10">
        <f t="shared" si="524"/>
        <v>1309440</v>
      </c>
      <c r="AG1436" s="10">
        <f t="shared" si="525"/>
        <v>422400</v>
      </c>
      <c r="AH1436" s="10">
        <f t="shared" si="526"/>
        <v>211200</v>
      </c>
      <c r="AI1436" s="10">
        <f t="shared" si="527"/>
        <v>105600</v>
      </c>
      <c r="AJ1436" s="10">
        <f t="shared" si="528"/>
        <v>63360</v>
      </c>
    </row>
    <row r="1437" spans="1:36" x14ac:dyDescent="0.3">
      <c r="A1437" t="s">
        <v>5493</v>
      </c>
      <c r="B1437" t="s">
        <v>5494</v>
      </c>
      <c r="C1437" t="s">
        <v>5495</v>
      </c>
      <c r="D1437" t="s">
        <v>321</v>
      </c>
      <c r="E1437">
        <v>2145</v>
      </c>
      <c r="F1437" t="s">
        <v>15</v>
      </c>
      <c r="G1437">
        <v>8</v>
      </c>
      <c r="H1437">
        <v>250</v>
      </c>
      <c r="I1437" t="str" cm="1">
        <f t="array" ref="I1437">_xlfn.IFS(H1437&lt;=120,"V1",H1437&lt;=150,"V2",H1437&lt;=250,"V3", H1437&lt;=350, "V4")</f>
        <v>V3</v>
      </c>
      <c r="J1437" t="s">
        <v>5496</v>
      </c>
      <c r="K1437" t="str">
        <f t="shared" si="506"/>
        <v>42.390558</v>
      </c>
      <c r="L1437" t="str">
        <f t="shared" si="507"/>
        <v>-71.086016</v>
      </c>
      <c r="M1437">
        <v>4</v>
      </c>
      <c r="N1437" s="1">
        <v>44651</v>
      </c>
      <c r="O1437" s="1">
        <v>46099</v>
      </c>
      <c r="P1437" s="2">
        <f t="shared" si="508"/>
        <v>3.9644079397672827</v>
      </c>
      <c r="Q1437" s="2" t="str">
        <f t="shared" si="509"/>
        <v>Mid</v>
      </c>
      <c r="R1437">
        <f t="shared" si="510"/>
        <v>2000</v>
      </c>
      <c r="S1437" t="str">
        <f t="shared" si="511"/>
        <v>Small</v>
      </c>
      <c r="T1437" t="str">
        <f t="shared" si="512"/>
        <v>Lower EV Adoption Corridor</v>
      </c>
      <c r="U1437" s="3">
        <f t="shared" si="513"/>
        <v>3600000</v>
      </c>
      <c r="V1437" s="4">
        <f t="shared" si="514"/>
        <v>880000.00000000012</v>
      </c>
      <c r="W1437" s="3">
        <f t="shared" si="515"/>
        <v>12000000</v>
      </c>
      <c r="X1437" s="3">
        <f t="shared" si="516"/>
        <v>6600000.0000000009</v>
      </c>
      <c r="Y1437">
        <f t="shared" si="517"/>
        <v>0.31515151515151513</v>
      </c>
      <c r="Z1437">
        <f t="shared" si="518"/>
        <v>0.75555555555555554</v>
      </c>
      <c r="AA1437" t="str">
        <f t="shared" si="519"/>
        <v>Tier 2 - Growth Markets</v>
      </c>
      <c r="AB1437" s="3">
        <f t="shared" si="520"/>
        <v>110000.00000000001</v>
      </c>
      <c r="AC1437" s="3">
        <f t="shared" si="521"/>
        <v>1500000</v>
      </c>
      <c r="AD1437" s="3">
        <f t="shared" si="522"/>
        <v>450000</v>
      </c>
      <c r="AE1437" s="5">
        <f t="shared" si="523"/>
        <v>4.4117647058823533</v>
      </c>
      <c r="AF1437" s="10">
        <f t="shared" si="524"/>
        <v>545600.00000000012</v>
      </c>
      <c r="AG1437" s="10">
        <f t="shared" si="525"/>
        <v>176000.00000000003</v>
      </c>
      <c r="AH1437" s="10">
        <f t="shared" si="526"/>
        <v>88000.000000000015</v>
      </c>
      <c r="AI1437" s="10">
        <f t="shared" si="527"/>
        <v>44000.000000000007</v>
      </c>
      <c r="AJ1437" s="10">
        <f t="shared" si="528"/>
        <v>26400.000000000004</v>
      </c>
    </row>
    <row r="1438" spans="1:36" x14ac:dyDescent="0.3">
      <c r="A1438" t="s">
        <v>5497</v>
      </c>
      <c r="B1438" t="s">
        <v>5498</v>
      </c>
      <c r="C1438" t="s">
        <v>5455</v>
      </c>
      <c r="D1438" t="s">
        <v>184</v>
      </c>
      <c r="E1438">
        <v>43430</v>
      </c>
      <c r="F1438" t="s">
        <v>15</v>
      </c>
      <c r="G1438">
        <v>8</v>
      </c>
      <c r="H1438">
        <v>250</v>
      </c>
      <c r="I1438" t="str" cm="1">
        <f t="array" ref="I1438">_xlfn.IFS(H1438&lt;=120,"V1",H1438&lt;=150,"V2",H1438&lt;=250,"V3", H1438&lt;=350, "V4")</f>
        <v>V3</v>
      </c>
      <c r="J1438" t="s">
        <v>5499</v>
      </c>
      <c r="K1438" t="str">
        <f t="shared" si="506"/>
        <v>41.490708</v>
      </c>
      <c r="L1438" t="str">
        <f t="shared" si="507"/>
        <v>-83.366736</v>
      </c>
      <c r="M1438">
        <v>191</v>
      </c>
      <c r="N1438" s="1">
        <v>44551</v>
      </c>
      <c r="O1438" s="1">
        <v>46099</v>
      </c>
      <c r="P1438" s="2">
        <f t="shared" si="508"/>
        <v>4.2381930184804926</v>
      </c>
      <c r="Q1438" s="2" t="str">
        <f t="shared" si="509"/>
        <v>Mid</v>
      </c>
      <c r="R1438">
        <f t="shared" si="510"/>
        <v>2000</v>
      </c>
      <c r="S1438" t="str">
        <f t="shared" si="511"/>
        <v>Small</v>
      </c>
      <c r="T1438" t="str">
        <f t="shared" si="512"/>
        <v>Lower EV Adoption Corridor</v>
      </c>
      <c r="U1438" s="3">
        <f t="shared" si="513"/>
        <v>3600000</v>
      </c>
      <c r="V1438" s="4">
        <f t="shared" si="514"/>
        <v>880000.00000000012</v>
      </c>
      <c r="W1438" s="3">
        <f t="shared" si="515"/>
        <v>12000000</v>
      </c>
      <c r="X1438" s="3">
        <f t="shared" si="516"/>
        <v>6600000.0000000009</v>
      </c>
      <c r="Y1438">
        <f t="shared" si="517"/>
        <v>0.31515151515151513</v>
      </c>
      <c r="Z1438">
        <f t="shared" si="518"/>
        <v>0.75555555555555554</v>
      </c>
      <c r="AA1438" t="str">
        <f t="shared" si="519"/>
        <v>Tier 2 - Growth Markets</v>
      </c>
      <c r="AB1438" s="3">
        <f t="shared" si="520"/>
        <v>110000.00000000001</v>
      </c>
      <c r="AC1438" s="3">
        <f t="shared" si="521"/>
        <v>1500000</v>
      </c>
      <c r="AD1438" s="3">
        <f t="shared" si="522"/>
        <v>450000</v>
      </c>
      <c r="AE1438" s="5">
        <f t="shared" si="523"/>
        <v>4.4117647058823533</v>
      </c>
      <c r="AF1438" s="10">
        <f t="shared" si="524"/>
        <v>545600.00000000012</v>
      </c>
      <c r="AG1438" s="10">
        <f t="shared" si="525"/>
        <v>176000.00000000003</v>
      </c>
      <c r="AH1438" s="10">
        <f t="shared" si="526"/>
        <v>88000.000000000015</v>
      </c>
      <c r="AI1438" s="10">
        <f t="shared" si="527"/>
        <v>44000.000000000007</v>
      </c>
      <c r="AJ1438" s="10">
        <f t="shared" si="528"/>
        <v>26400.000000000004</v>
      </c>
    </row>
    <row r="1439" spans="1:36" x14ac:dyDescent="0.3">
      <c r="A1439" t="s">
        <v>5500</v>
      </c>
      <c r="B1439" t="s">
        <v>5501</v>
      </c>
      <c r="C1439" t="s">
        <v>5502</v>
      </c>
      <c r="D1439" t="s">
        <v>316</v>
      </c>
      <c r="E1439">
        <v>97031</v>
      </c>
      <c r="F1439" t="s">
        <v>15</v>
      </c>
      <c r="G1439">
        <v>8</v>
      </c>
      <c r="H1439">
        <v>250</v>
      </c>
      <c r="I1439" t="str" cm="1">
        <f t="array" ref="I1439">_xlfn.IFS(H1439&lt;=120,"V1",H1439&lt;=150,"V2",H1439&lt;=250,"V3", H1439&lt;=350, "V4")</f>
        <v>V3</v>
      </c>
      <c r="J1439" t="s">
        <v>5503</v>
      </c>
      <c r="K1439" t="str">
        <f t="shared" si="506"/>
        <v>45.709603</v>
      </c>
      <c r="L1439" t="str">
        <f t="shared" si="507"/>
        <v>-121.534581</v>
      </c>
      <c r="M1439">
        <v>96</v>
      </c>
      <c r="N1439" s="1">
        <v>44504</v>
      </c>
      <c r="O1439" s="1">
        <v>46099</v>
      </c>
      <c r="P1439" s="2">
        <f t="shared" si="508"/>
        <v>4.3668720054757015</v>
      </c>
      <c r="Q1439" s="2" t="str">
        <f t="shared" si="509"/>
        <v>Mid</v>
      </c>
      <c r="R1439">
        <f t="shared" si="510"/>
        <v>2000</v>
      </c>
      <c r="S1439" t="str">
        <f t="shared" si="511"/>
        <v>Small</v>
      </c>
      <c r="T1439" t="str">
        <f t="shared" si="512"/>
        <v>Lower EV Adoption Corridor</v>
      </c>
      <c r="U1439" s="3">
        <f t="shared" si="513"/>
        <v>3600000</v>
      </c>
      <c r="V1439" s="4">
        <f t="shared" si="514"/>
        <v>880000.00000000012</v>
      </c>
      <c r="W1439" s="3">
        <f t="shared" si="515"/>
        <v>12000000</v>
      </c>
      <c r="X1439" s="3">
        <f t="shared" si="516"/>
        <v>6600000.0000000009</v>
      </c>
      <c r="Y1439">
        <f t="shared" si="517"/>
        <v>0.31515151515151513</v>
      </c>
      <c r="Z1439">
        <f t="shared" si="518"/>
        <v>0.75555555555555554</v>
      </c>
      <c r="AA1439" t="str">
        <f t="shared" si="519"/>
        <v>Tier 2 - Growth Markets</v>
      </c>
      <c r="AB1439" s="3">
        <f t="shared" si="520"/>
        <v>110000.00000000001</v>
      </c>
      <c r="AC1439" s="3">
        <f t="shared" si="521"/>
        <v>1500000</v>
      </c>
      <c r="AD1439" s="3">
        <f t="shared" si="522"/>
        <v>450000</v>
      </c>
      <c r="AE1439" s="5">
        <f t="shared" si="523"/>
        <v>4.4117647058823533</v>
      </c>
      <c r="AF1439" s="10">
        <f t="shared" si="524"/>
        <v>545600.00000000012</v>
      </c>
      <c r="AG1439" s="10">
        <f t="shared" si="525"/>
        <v>176000.00000000003</v>
      </c>
      <c r="AH1439" s="10">
        <f t="shared" si="526"/>
        <v>88000.000000000015</v>
      </c>
      <c r="AI1439" s="10">
        <f t="shared" si="527"/>
        <v>44000.000000000007</v>
      </c>
      <c r="AJ1439" s="10">
        <f t="shared" si="528"/>
        <v>26400.000000000004</v>
      </c>
    </row>
    <row r="1440" spans="1:36" x14ac:dyDescent="0.3">
      <c r="A1440" t="s">
        <v>5504</v>
      </c>
      <c r="B1440" t="s">
        <v>5505</v>
      </c>
      <c r="C1440" t="s">
        <v>5506</v>
      </c>
      <c r="D1440" t="s">
        <v>111</v>
      </c>
      <c r="E1440">
        <v>55104</v>
      </c>
      <c r="F1440" t="s">
        <v>15</v>
      </c>
      <c r="G1440">
        <v>12</v>
      </c>
      <c r="H1440">
        <v>250</v>
      </c>
      <c r="I1440" t="str" cm="1">
        <f t="array" ref="I1440">_xlfn.IFS(H1440&lt;=120,"V1",H1440&lt;=150,"V2",H1440&lt;=250,"V3", H1440&lt;=350, "V4")</f>
        <v>V3</v>
      </c>
      <c r="J1440" t="s">
        <v>5507</v>
      </c>
      <c r="K1440" t="str">
        <f t="shared" si="506"/>
        <v>44.954518</v>
      </c>
      <c r="L1440" t="str">
        <f t="shared" si="507"/>
        <v>-93.15492</v>
      </c>
      <c r="M1440">
        <v>284</v>
      </c>
      <c r="N1440" s="1">
        <v>44513</v>
      </c>
      <c r="O1440" s="1">
        <v>46099</v>
      </c>
      <c r="P1440" s="2">
        <f t="shared" si="508"/>
        <v>4.3422313483915129</v>
      </c>
      <c r="Q1440" s="2" t="str">
        <f t="shared" si="509"/>
        <v>Mid</v>
      </c>
      <c r="R1440">
        <f t="shared" si="510"/>
        <v>3000</v>
      </c>
      <c r="S1440" t="str">
        <f t="shared" si="511"/>
        <v>Small</v>
      </c>
      <c r="T1440" t="str">
        <f t="shared" si="512"/>
        <v>Lower EV Adoption Corridor</v>
      </c>
      <c r="U1440" s="3">
        <f t="shared" si="513"/>
        <v>5400000</v>
      </c>
      <c r="V1440" s="4">
        <f t="shared" si="514"/>
        <v>1320000</v>
      </c>
      <c r="W1440" s="3">
        <f t="shared" si="515"/>
        <v>18000000</v>
      </c>
      <c r="X1440" s="3">
        <f t="shared" si="516"/>
        <v>9900000</v>
      </c>
      <c r="Y1440">
        <f t="shared" si="517"/>
        <v>0.31515151515151513</v>
      </c>
      <c r="Z1440">
        <f t="shared" si="518"/>
        <v>0.75555555555555554</v>
      </c>
      <c r="AA1440" t="str">
        <f t="shared" si="519"/>
        <v>Tier 2 - Growth Markets</v>
      </c>
      <c r="AB1440" s="3">
        <f t="shared" si="520"/>
        <v>110000</v>
      </c>
      <c r="AC1440" s="3">
        <f t="shared" si="521"/>
        <v>1500000</v>
      </c>
      <c r="AD1440" s="3">
        <f t="shared" si="522"/>
        <v>450000</v>
      </c>
      <c r="AE1440" s="5">
        <f t="shared" si="523"/>
        <v>4.4117647058823533</v>
      </c>
      <c r="AF1440" s="10">
        <f t="shared" si="524"/>
        <v>818400</v>
      </c>
      <c r="AG1440" s="10">
        <f t="shared" si="525"/>
        <v>264000</v>
      </c>
      <c r="AH1440" s="10">
        <f t="shared" si="526"/>
        <v>132000</v>
      </c>
      <c r="AI1440" s="10">
        <f t="shared" si="527"/>
        <v>66000</v>
      </c>
      <c r="AJ1440" s="10">
        <f t="shared" si="528"/>
        <v>39600</v>
      </c>
    </row>
    <row r="1441" spans="1:36" x14ac:dyDescent="0.3">
      <c r="A1441" t="s">
        <v>5508</v>
      </c>
      <c r="B1441" t="s">
        <v>5509</v>
      </c>
      <c r="C1441" t="s">
        <v>1638</v>
      </c>
      <c r="D1441" t="s">
        <v>72</v>
      </c>
      <c r="E1441">
        <v>85305</v>
      </c>
      <c r="F1441" t="s">
        <v>15</v>
      </c>
      <c r="G1441">
        <v>16</v>
      </c>
      <c r="H1441">
        <v>250</v>
      </c>
      <c r="I1441" t="str" cm="1">
        <f t="array" ref="I1441">_xlfn.IFS(H1441&lt;=120,"V1",H1441&lt;=150,"V2",H1441&lt;=250,"V3", H1441&lt;=350, "V4")</f>
        <v>V3</v>
      </c>
      <c r="J1441" t="s">
        <v>5510</v>
      </c>
      <c r="K1441" t="str">
        <f t="shared" si="506"/>
        <v>33.535965</v>
      </c>
      <c r="L1441" t="str">
        <f t="shared" si="507"/>
        <v>-112.262776</v>
      </c>
      <c r="M1441">
        <v>326</v>
      </c>
      <c r="N1441" s="1">
        <v>44640</v>
      </c>
      <c r="O1441" s="1">
        <v>46099</v>
      </c>
      <c r="P1441" s="2">
        <f t="shared" si="508"/>
        <v>3.9945242984257359</v>
      </c>
      <c r="Q1441" s="2" t="str">
        <f t="shared" si="509"/>
        <v>Mid</v>
      </c>
      <c r="R1441">
        <f t="shared" si="510"/>
        <v>4000</v>
      </c>
      <c r="S1441" t="str">
        <f t="shared" si="511"/>
        <v>Small</v>
      </c>
      <c r="T1441" t="str">
        <f t="shared" si="512"/>
        <v>Lower EV Adoption Corridor</v>
      </c>
      <c r="U1441" s="3">
        <f t="shared" si="513"/>
        <v>7200000</v>
      </c>
      <c r="V1441" s="4">
        <f t="shared" si="514"/>
        <v>1760000.0000000002</v>
      </c>
      <c r="W1441" s="3">
        <f t="shared" si="515"/>
        <v>24000000</v>
      </c>
      <c r="X1441" s="3">
        <f t="shared" si="516"/>
        <v>13200000.000000002</v>
      </c>
      <c r="Y1441">
        <f t="shared" si="517"/>
        <v>0.31515151515151513</v>
      </c>
      <c r="Z1441">
        <f t="shared" si="518"/>
        <v>0.75555555555555554</v>
      </c>
      <c r="AA1441" t="str">
        <f t="shared" si="519"/>
        <v>Tier 2 - Growth Markets</v>
      </c>
      <c r="AB1441" s="3">
        <f t="shared" si="520"/>
        <v>110000.00000000001</v>
      </c>
      <c r="AC1441" s="3">
        <f t="shared" si="521"/>
        <v>1500000</v>
      </c>
      <c r="AD1441" s="3">
        <f t="shared" si="522"/>
        <v>450000</v>
      </c>
      <c r="AE1441" s="5">
        <f t="shared" si="523"/>
        <v>4.4117647058823533</v>
      </c>
      <c r="AF1441" s="10">
        <f t="shared" si="524"/>
        <v>1091200.0000000002</v>
      </c>
      <c r="AG1441" s="10">
        <f t="shared" si="525"/>
        <v>352000.00000000006</v>
      </c>
      <c r="AH1441" s="10">
        <f t="shared" si="526"/>
        <v>176000.00000000003</v>
      </c>
      <c r="AI1441" s="10">
        <f t="shared" si="527"/>
        <v>88000.000000000015</v>
      </c>
      <c r="AJ1441" s="10">
        <f t="shared" si="528"/>
        <v>52800.000000000007</v>
      </c>
    </row>
    <row r="1442" spans="1:36" x14ac:dyDescent="0.3">
      <c r="A1442" t="s">
        <v>5511</v>
      </c>
      <c r="B1442" t="s">
        <v>5512</v>
      </c>
      <c r="C1442" t="s">
        <v>5513</v>
      </c>
      <c r="D1442" t="s">
        <v>4136</v>
      </c>
      <c r="E1442">
        <v>99567</v>
      </c>
      <c r="F1442" t="s">
        <v>15</v>
      </c>
      <c r="G1442">
        <v>8</v>
      </c>
      <c r="H1442">
        <v>250</v>
      </c>
      <c r="I1442" t="str" cm="1">
        <f t="array" ref="I1442">_xlfn.IFS(H1442&lt;=120,"V1",H1442&lt;=150,"V2",H1442&lt;=250,"V3", H1442&lt;=350, "V4")</f>
        <v>V3</v>
      </c>
      <c r="J1442" t="s">
        <v>5514</v>
      </c>
      <c r="K1442" t="str">
        <f t="shared" si="506"/>
        <v>61.403462</v>
      </c>
      <c r="L1442" t="str">
        <f t="shared" si="507"/>
        <v>-149.46797</v>
      </c>
      <c r="M1442">
        <v>96</v>
      </c>
      <c r="N1442" s="1">
        <v>44872</v>
      </c>
      <c r="O1442" s="1">
        <v>46099</v>
      </c>
      <c r="P1442" s="2">
        <f t="shared" si="508"/>
        <v>3.3593429158110881</v>
      </c>
      <c r="Q1442" s="2" t="str">
        <f t="shared" si="509"/>
        <v>Mid</v>
      </c>
      <c r="R1442">
        <f t="shared" si="510"/>
        <v>2000</v>
      </c>
      <c r="S1442" t="str">
        <f t="shared" si="511"/>
        <v>Small</v>
      </c>
      <c r="T1442" t="str">
        <f t="shared" si="512"/>
        <v>Lower EV Adoption Corridor</v>
      </c>
      <c r="U1442" s="3">
        <f t="shared" si="513"/>
        <v>3600000</v>
      </c>
      <c r="V1442" s="4">
        <f t="shared" si="514"/>
        <v>880000.00000000012</v>
      </c>
      <c r="W1442" s="3">
        <f t="shared" si="515"/>
        <v>12000000</v>
      </c>
      <c r="X1442" s="3">
        <f t="shared" si="516"/>
        <v>6600000.0000000009</v>
      </c>
      <c r="Y1442">
        <f t="shared" si="517"/>
        <v>0.31515151515151513</v>
      </c>
      <c r="Z1442">
        <f t="shared" si="518"/>
        <v>0.75555555555555554</v>
      </c>
      <c r="AA1442" t="str">
        <f t="shared" si="519"/>
        <v>Tier 2 - Growth Markets</v>
      </c>
      <c r="AB1442" s="3">
        <f t="shared" si="520"/>
        <v>110000.00000000001</v>
      </c>
      <c r="AC1442" s="3">
        <f t="shared" si="521"/>
        <v>1500000</v>
      </c>
      <c r="AD1442" s="3">
        <f t="shared" si="522"/>
        <v>450000</v>
      </c>
      <c r="AE1442" s="5">
        <f t="shared" si="523"/>
        <v>4.4117647058823533</v>
      </c>
      <c r="AF1442" s="10">
        <f t="shared" si="524"/>
        <v>545600.00000000012</v>
      </c>
      <c r="AG1442" s="10">
        <f t="shared" si="525"/>
        <v>176000.00000000003</v>
      </c>
      <c r="AH1442" s="10">
        <f t="shared" si="526"/>
        <v>88000.000000000015</v>
      </c>
      <c r="AI1442" s="10">
        <f t="shared" si="527"/>
        <v>44000.000000000007</v>
      </c>
      <c r="AJ1442" s="10">
        <f t="shared" si="528"/>
        <v>26400.000000000004</v>
      </c>
    </row>
    <row r="1443" spans="1:36" x14ac:dyDescent="0.3">
      <c r="A1443" t="s">
        <v>5515</v>
      </c>
      <c r="B1443" t="s">
        <v>5516</v>
      </c>
      <c r="C1443" t="s">
        <v>1985</v>
      </c>
      <c r="D1443" t="s">
        <v>852</v>
      </c>
      <c r="E1443">
        <v>7087</v>
      </c>
      <c r="F1443" t="s">
        <v>15</v>
      </c>
      <c r="G1443">
        <v>12</v>
      </c>
      <c r="H1443">
        <v>250</v>
      </c>
      <c r="I1443" t="str" cm="1">
        <f t="array" ref="I1443">_xlfn.IFS(H1443&lt;=120,"V1",H1443&lt;=150,"V2",H1443&lt;=250,"V3", H1443&lt;=350, "V4")</f>
        <v>V3</v>
      </c>
      <c r="J1443" t="s">
        <v>5517</v>
      </c>
      <c r="K1443" t="str">
        <f t="shared" si="506"/>
        <v>40.775375</v>
      </c>
      <c r="L1443" t="str">
        <f t="shared" si="507"/>
        <v>-74.034666</v>
      </c>
      <c r="M1443">
        <v>47</v>
      </c>
      <c r="N1443" s="1">
        <v>44917</v>
      </c>
      <c r="O1443" s="1">
        <v>46099</v>
      </c>
      <c r="P1443" s="2">
        <f t="shared" si="508"/>
        <v>3.2361396303901437</v>
      </c>
      <c r="Q1443" s="2" t="str">
        <f t="shared" si="509"/>
        <v>Mid</v>
      </c>
      <c r="R1443">
        <f t="shared" si="510"/>
        <v>3000</v>
      </c>
      <c r="S1443" t="str">
        <f t="shared" si="511"/>
        <v>Small</v>
      </c>
      <c r="T1443" t="str">
        <f t="shared" si="512"/>
        <v>High EV Adoption Corridor</v>
      </c>
      <c r="U1443" s="3">
        <f t="shared" si="513"/>
        <v>7020000</v>
      </c>
      <c r="V1443" s="4">
        <f t="shared" si="514"/>
        <v>1584000</v>
      </c>
      <c r="W1443" s="3">
        <f t="shared" si="515"/>
        <v>19800000</v>
      </c>
      <c r="X1443" s="3">
        <f t="shared" si="516"/>
        <v>14850000</v>
      </c>
      <c r="Y1443">
        <f t="shared" si="517"/>
        <v>0.24</v>
      </c>
      <c r="Z1443">
        <f t="shared" si="518"/>
        <v>0.77435897435897438</v>
      </c>
      <c r="AA1443" t="str">
        <f t="shared" si="519"/>
        <v>Tier 1 - Priority Fleet</v>
      </c>
      <c r="AB1443" s="3">
        <f t="shared" si="520"/>
        <v>132000</v>
      </c>
      <c r="AC1443" s="3">
        <f t="shared" si="521"/>
        <v>1650000</v>
      </c>
      <c r="AD1443" s="3">
        <f t="shared" si="522"/>
        <v>585000</v>
      </c>
      <c r="AE1443" s="5">
        <f t="shared" si="523"/>
        <v>3.6423841059602649</v>
      </c>
      <c r="AF1443" s="10">
        <f t="shared" si="524"/>
        <v>982080</v>
      </c>
      <c r="AG1443" s="10">
        <f t="shared" si="525"/>
        <v>316800</v>
      </c>
      <c r="AH1443" s="10">
        <f t="shared" si="526"/>
        <v>158400</v>
      </c>
      <c r="AI1443" s="10">
        <f t="shared" si="527"/>
        <v>79200</v>
      </c>
      <c r="AJ1443" s="10">
        <f t="shared" si="528"/>
        <v>47520</v>
      </c>
    </row>
    <row r="1444" spans="1:36" x14ac:dyDescent="0.3">
      <c r="A1444" t="s">
        <v>5518</v>
      </c>
      <c r="B1444" t="s">
        <v>5519</v>
      </c>
      <c r="C1444" t="s">
        <v>5520</v>
      </c>
      <c r="D1444" t="s">
        <v>14</v>
      </c>
      <c r="E1444">
        <v>92363</v>
      </c>
      <c r="F1444" t="s">
        <v>15</v>
      </c>
      <c r="G1444">
        <v>12</v>
      </c>
      <c r="H1444">
        <v>250</v>
      </c>
      <c r="I1444" t="str" cm="1">
        <f t="array" ref="I1444">_xlfn.IFS(H1444&lt;=120,"V1",H1444&lt;=150,"V2",H1444&lt;=250,"V3", H1444&lt;=350, "V4")</f>
        <v>V3</v>
      </c>
      <c r="J1444" t="s">
        <v>5521</v>
      </c>
      <c r="K1444" t="str">
        <f t="shared" si="506"/>
        <v>34.850856</v>
      </c>
      <c r="L1444" t="str">
        <f t="shared" si="507"/>
        <v>-114.622865</v>
      </c>
      <c r="M1444">
        <v>155</v>
      </c>
      <c r="N1444" s="1">
        <v>44904</v>
      </c>
      <c r="O1444" s="1">
        <v>46099</v>
      </c>
      <c r="P1444" s="2">
        <f t="shared" si="508"/>
        <v>3.2717316906228611</v>
      </c>
      <c r="Q1444" s="2" t="str">
        <f t="shared" si="509"/>
        <v>Mid</v>
      </c>
      <c r="R1444">
        <f t="shared" si="510"/>
        <v>3000</v>
      </c>
      <c r="S1444" t="str">
        <f t="shared" si="511"/>
        <v>Small</v>
      </c>
      <c r="T1444" t="str">
        <f t="shared" si="512"/>
        <v>High EV Adoption Corridor</v>
      </c>
      <c r="U1444" s="3">
        <f t="shared" si="513"/>
        <v>7020000</v>
      </c>
      <c r="V1444" s="4">
        <f t="shared" si="514"/>
        <v>1584000</v>
      </c>
      <c r="W1444" s="3">
        <f t="shared" si="515"/>
        <v>19800000</v>
      </c>
      <c r="X1444" s="3">
        <f t="shared" si="516"/>
        <v>14850000</v>
      </c>
      <c r="Y1444">
        <f t="shared" si="517"/>
        <v>0.24</v>
      </c>
      <c r="Z1444">
        <f t="shared" si="518"/>
        <v>0.77435897435897438</v>
      </c>
      <c r="AA1444" t="str">
        <f t="shared" si="519"/>
        <v>Tier 1 - Priority Fleet</v>
      </c>
      <c r="AB1444" s="3">
        <f t="shared" si="520"/>
        <v>132000</v>
      </c>
      <c r="AC1444" s="3">
        <f t="shared" si="521"/>
        <v>1650000</v>
      </c>
      <c r="AD1444" s="3">
        <f t="shared" si="522"/>
        <v>585000</v>
      </c>
      <c r="AE1444" s="5">
        <f t="shared" si="523"/>
        <v>3.6423841059602649</v>
      </c>
      <c r="AF1444" s="10">
        <f t="shared" si="524"/>
        <v>982080</v>
      </c>
      <c r="AG1444" s="10">
        <f t="shared" si="525"/>
        <v>316800</v>
      </c>
      <c r="AH1444" s="10">
        <f t="shared" si="526"/>
        <v>158400</v>
      </c>
      <c r="AI1444" s="10">
        <f t="shared" si="527"/>
        <v>79200</v>
      </c>
      <c r="AJ1444" s="10">
        <f t="shared" si="528"/>
        <v>47520</v>
      </c>
    </row>
    <row r="1445" spans="1:36" x14ac:dyDescent="0.3">
      <c r="A1445" t="s">
        <v>5522</v>
      </c>
      <c r="B1445" t="s">
        <v>5523</v>
      </c>
      <c r="C1445" t="s">
        <v>5524</v>
      </c>
      <c r="D1445" t="s">
        <v>158</v>
      </c>
      <c r="E1445">
        <v>11747</v>
      </c>
      <c r="F1445" t="s">
        <v>15</v>
      </c>
      <c r="G1445">
        <v>10</v>
      </c>
      <c r="H1445">
        <v>250</v>
      </c>
      <c r="I1445" t="str" cm="1">
        <f t="array" ref="I1445">_xlfn.IFS(H1445&lt;=120,"V1",H1445&lt;=150,"V2",H1445&lt;=250,"V3", H1445&lt;=350, "V4")</f>
        <v>V3</v>
      </c>
      <c r="J1445" t="s">
        <v>5525</v>
      </c>
      <c r="K1445" t="str">
        <f t="shared" si="506"/>
        <v>40.798738</v>
      </c>
      <c r="L1445" t="str">
        <f t="shared" si="507"/>
        <v>-73.41226</v>
      </c>
      <c r="M1445">
        <v>41</v>
      </c>
      <c r="N1445" s="1">
        <v>44659</v>
      </c>
      <c r="O1445" s="1">
        <v>46099</v>
      </c>
      <c r="P1445" s="2">
        <f t="shared" si="508"/>
        <v>3.9425051334702257</v>
      </c>
      <c r="Q1445" s="2" t="str">
        <f t="shared" si="509"/>
        <v>Mid</v>
      </c>
      <c r="R1445">
        <f t="shared" si="510"/>
        <v>2500</v>
      </c>
      <c r="S1445" t="str">
        <f t="shared" si="511"/>
        <v>Small</v>
      </c>
      <c r="T1445" t="str">
        <f t="shared" si="512"/>
        <v>Lower EV Adoption Corridor</v>
      </c>
      <c r="U1445" s="3">
        <f t="shared" si="513"/>
        <v>4500000</v>
      </c>
      <c r="V1445" s="4">
        <f t="shared" si="514"/>
        <v>1100000</v>
      </c>
      <c r="W1445" s="3">
        <f t="shared" si="515"/>
        <v>15000000</v>
      </c>
      <c r="X1445" s="3">
        <f t="shared" si="516"/>
        <v>8250000.0000000009</v>
      </c>
      <c r="Y1445">
        <f t="shared" si="517"/>
        <v>0.31515151515151513</v>
      </c>
      <c r="Z1445">
        <f t="shared" si="518"/>
        <v>0.75555555555555554</v>
      </c>
      <c r="AA1445" t="str">
        <f t="shared" si="519"/>
        <v>Tier 2 - Growth Markets</v>
      </c>
      <c r="AB1445" s="3">
        <f t="shared" si="520"/>
        <v>110000</v>
      </c>
      <c r="AC1445" s="3">
        <f t="shared" si="521"/>
        <v>1500000</v>
      </c>
      <c r="AD1445" s="3">
        <f t="shared" si="522"/>
        <v>450000</v>
      </c>
      <c r="AE1445" s="5">
        <f t="shared" si="523"/>
        <v>4.4117647058823533</v>
      </c>
      <c r="AF1445" s="10">
        <f t="shared" si="524"/>
        <v>682000</v>
      </c>
      <c r="AG1445" s="10">
        <f t="shared" si="525"/>
        <v>220000</v>
      </c>
      <c r="AH1445" s="10">
        <f t="shared" si="526"/>
        <v>110000</v>
      </c>
      <c r="AI1445" s="10">
        <f t="shared" si="527"/>
        <v>55000</v>
      </c>
      <c r="AJ1445" s="10">
        <f t="shared" si="528"/>
        <v>33000</v>
      </c>
    </row>
    <row r="1446" spans="1:36" x14ac:dyDescent="0.3">
      <c r="A1446" t="s">
        <v>5526</v>
      </c>
      <c r="B1446" t="s">
        <v>5527</v>
      </c>
      <c r="C1446" t="s">
        <v>5528</v>
      </c>
      <c r="D1446" t="s">
        <v>913</v>
      </c>
      <c r="E1446">
        <v>21128</v>
      </c>
      <c r="F1446" t="s">
        <v>15</v>
      </c>
      <c r="G1446">
        <v>8</v>
      </c>
      <c r="H1446">
        <v>250</v>
      </c>
      <c r="I1446" t="str" cm="1">
        <f t="array" ref="I1446">_xlfn.IFS(H1446&lt;=120,"V1",H1446&lt;=150,"V2",H1446&lt;=250,"V3", H1446&lt;=350, "V4")</f>
        <v>V3</v>
      </c>
      <c r="J1446" t="s">
        <v>5529</v>
      </c>
      <c r="K1446" t="str">
        <f t="shared" si="506"/>
        <v>39.4189</v>
      </c>
      <c r="L1446" t="str">
        <f t="shared" si="507"/>
        <v>-76.4558</v>
      </c>
      <c r="M1446">
        <v>72</v>
      </c>
      <c r="N1446" s="1">
        <v>44706</v>
      </c>
      <c r="O1446" s="1">
        <v>46099</v>
      </c>
      <c r="P1446" s="2">
        <f t="shared" si="508"/>
        <v>3.8138261464750172</v>
      </c>
      <c r="Q1446" s="2" t="str">
        <f t="shared" si="509"/>
        <v>Mid</v>
      </c>
      <c r="R1446">
        <f t="shared" si="510"/>
        <v>2000</v>
      </c>
      <c r="S1446" t="str">
        <f t="shared" si="511"/>
        <v>Small</v>
      </c>
      <c r="T1446" t="str">
        <f t="shared" si="512"/>
        <v>Lower EV Adoption Corridor</v>
      </c>
      <c r="U1446" s="3">
        <f t="shared" si="513"/>
        <v>3600000</v>
      </c>
      <c r="V1446" s="4">
        <f t="shared" si="514"/>
        <v>880000.00000000012</v>
      </c>
      <c r="W1446" s="3">
        <f t="shared" si="515"/>
        <v>12000000</v>
      </c>
      <c r="X1446" s="3">
        <f t="shared" si="516"/>
        <v>6600000.0000000009</v>
      </c>
      <c r="Y1446">
        <f t="shared" si="517"/>
        <v>0.31515151515151513</v>
      </c>
      <c r="Z1446">
        <f t="shared" si="518"/>
        <v>0.75555555555555554</v>
      </c>
      <c r="AA1446" t="str">
        <f t="shared" si="519"/>
        <v>Tier 2 - Growth Markets</v>
      </c>
      <c r="AB1446" s="3">
        <f t="shared" si="520"/>
        <v>110000.00000000001</v>
      </c>
      <c r="AC1446" s="3">
        <f t="shared" si="521"/>
        <v>1500000</v>
      </c>
      <c r="AD1446" s="3">
        <f t="shared" si="522"/>
        <v>450000</v>
      </c>
      <c r="AE1446" s="5">
        <f t="shared" si="523"/>
        <v>4.4117647058823533</v>
      </c>
      <c r="AF1446" s="10">
        <f t="shared" si="524"/>
        <v>545600.00000000012</v>
      </c>
      <c r="AG1446" s="10">
        <f t="shared" si="525"/>
        <v>176000.00000000003</v>
      </c>
      <c r="AH1446" s="10">
        <f t="shared" si="526"/>
        <v>88000.000000000015</v>
      </c>
      <c r="AI1446" s="10">
        <f t="shared" si="527"/>
        <v>44000.000000000007</v>
      </c>
      <c r="AJ1446" s="10">
        <f t="shared" si="528"/>
        <v>26400.000000000004</v>
      </c>
    </row>
    <row r="1447" spans="1:36" x14ac:dyDescent="0.3">
      <c r="A1447" t="s">
        <v>5530</v>
      </c>
      <c r="B1447" t="s">
        <v>5531</v>
      </c>
      <c r="C1447" t="s">
        <v>5520</v>
      </c>
      <c r="D1447" t="s">
        <v>14</v>
      </c>
      <c r="E1447">
        <v>92363</v>
      </c>
      <c r="F1447" t="s">
        <v>15</v>
      </c>
      <c r="G1447">
        <v>12</v>
      </c>
      <c r="H1447">
        <v>250</v>
      </c>
      <c r="I1447" t="str" cm="1">
        <f t="array" ref="I1447">_xlfn.IFS(H1447&lt;=120,"V1",H1447&lt;=150,"V2",H1447&lt;=250,"V3", H1447&lt;=350, "V4")</f>
        <v>V3</v>
      </c>
      <c r="J1447" t="s">
        <v>5532</v>
      </c>
      <c r="K1447" t="str">
        <f t="shared" si="506"/>
        <v>34.825734</v>
      </c>
      <c r="L1447" t="str">
        <f t="shared" si="507"/>
        <v>-114.594896</v>
      </c>
      <c r="M1447">
        <v>166</v>
      </c>
      <c r="N1447" s="1">
        <v>44984</v>
      </c>
      <c r="O1447" s="1">
        <v>46099</v>
      </c>
      <c r="P1447" s="2">
        <f t="shared" si="508"/>
        <v>3.052703627652293</v>
      </c>
      <c r="Q1447" s="2" t="str">
        <f t="shared" si="509"/>
        <v>Mid</v>
      </c>
      <c r="R1447">
        <f t="shared" si="510"/>
        <v>3000</v>
      </c>
      <c r="S1447" t="str">
        <f t="shared" si="511"/>
        <v>Small</v>
      </c>
      <c r="T1447" t="str">
        <f t="shared" si="512"/>
        <v>High EV Adoption Corridor</v>
      </c>
      <c r="U1447" s="3">
        <f t="shared" si="513"/>
        <v>7020000</v>
      </c>
      <c r="V1447" s="4">
        <f t="shared" si="514"/>
        <v>1584000</v>
      </c>
      <c r="W1447" s="3">
        <f t="shared" si="515"/>
        <v>19800000</v>
      </c>
      <c r="X1447" s="3">
        <f t="shared" si="516"/>
        <v>14850000</v>
      </c>
      <c r="Y1447">
        <f t="shared" si="517"/>
        <v>0.24</v>
      </c>
      <c r="Z1447">
        <f t="shared" si="518"/>
        <v>0.77435897435897438</v>
      </c>
      <c r="AA1447" t="str">
        <f t="shared" si="519"/>
        <v>Tier 1 - Priority Fleet</v>
      </c>
      <c r="AB1447" s="3">
        <f t="shared" si="520"/>
        <v>132000</v>
      </c>
      <c r="AC1447" s="3">
        <f t="shared" si="521"/>
        <v>1650000</v>
      </c>
      <c r="AD1447" s="3">
        <f t="shared" si="522"/>
        <v>585000</v>
      </c>
      <c r="AE1447" s="5">
        <f t="shared" si="523"/>
        <v>3.6423841059602649</v>
      </c>
      <c r="AF1447" s="10">
        <f t="shared" si="524"/>
        <v>982080</v>
      </c>
      <c r="AG1447" s="10">
        <f t="shared" si="525"/>
        <v>316800</v>
      </c>
      <c r="AH1447" s="10">
        <f t="shared" si="526"/>
        <v>158400</v>
      </c>
      <c r="AI1447" s="10">
        <f t="shared" si="527"/>
        <v>79200</v>
      </c>
      <c r="AJ1447" s="10">
        <f t="shared" si="528"/>
        <v>47520</v>
      </c>
    </row>
    <row r="1448" spans="1:36" x14ac:dyDescent="0.3">
      <c r="A1448" t="s">
        <v>5533</v>
      </c>
      <c r="B1448" t="s">
        <v>5534</v>
      </c>
      <c r="C1448" t="s">
        <v>5535</v>
      </c>
      <c r="D1448" t="s">
        <v>143</v>
      </c>
      <c r="E1448">
        <v>87801</v>
      </c>
      <c r="F1448" t="s">
        <v>15</v>
      </c>
      <c r="G1448">
        <v>8</v>
      </c>
      <c r="H1448">
        <v>250</v>
      </c>
      <c r="I1448" t="str" cm="1">
        <f t="array" ref="I1448">_xlfn.IFS(H1448&lt;=120,"V1",H1448&lt;=150,"V2",H1448&lt;=250,"V3", H1448&lt;=350, "V4")</f>
        <v>V3</v>
      </c>
      <c r="J1448" t="s">
        <v>5536</v>
      </c>
      <c r="K1448" t="str">
        <f t="shared" si="506"/>
        <v>34.071707</v>
      </c>
      <c r="L1448" t="str">
        <f t="shared" si="507"/>
        <v>-106.892957</v>
      </c>
      <c r="M1448">
        <v>1402</v>
      </c>
      <c r="N1448" s="1">
        <v>44803</v>
      </c>
      <c r="O1448" s="1">
        <v>46099</v>
      </c>
      <c r="P1448" s="2">
        <f t="shared" si="508"/>
        <v>3.5482546201232035</v>
      </c>
      <c r="Q1448" s="2" t="str">
        <f t="shared" si="509"/>
        <v>Mid</v>
      </c>
      <c r="R1448">
        <f t="shared" si="510"/>
        <v>2000</v>
      </c>
      <c r="S1448" t="str">
        <f t="shared" si="511"/>
        <v>Small</v>
      </c>
      <c r="T1448" t="str">
        <f t="shared" si="512"/>
        <v>Lower EV Adoption Corridor</v>
      </c>
      <c r="U1448" s="3">
        <f t="shared" si="513"/>
        <v>3600000</v>
      </c>
      <c r="V1448" s="4">
        <f t="shared" si="514"/>
        <v>880000.00000000012</v>
      </c>
      <c r="W1448" s="3">
        <f t="shared" si="515"/>
        <v>12000000</v>
      </c>
      <c r="X1448" s="3">
        <f t="shared" si="516"/>
        <v>6600000.0000000009</v>
      </c>
      <c r="Y1448">
        <f t="shared" si="517"/>
        <v>0.31515151515151513</v>
      </c>
      <c r="Z1448">
        <f t="shared" si="518"/>
        <v>0.75555555555555554</v>
      </c>
      <c r="AA1448" t="str">
        <f t="shared" si="519"/>
        <v>Tier 2 - Growth Markets</v>
      </c>
      <c r="AB1448" s="3">
        <f t="shared" si="520"/>
        <v>110000.00000000001</v>
      </c>
      <c r="AC1448" s="3">
        <f t="shared" si="521"/>
        <v>1500000</v>
      </c>
      <c r="AD1448" s="3">
        <f t="shared" si="522"/>
        <v>450000</v>
      </c>
      <c r="AE1448" s="5">
        <f t="shared" si="523"/>
        <v>4.4117647058823533</v>
      </c>
      <c r="AF1448" s="10">
        <f t="shared" si="524"/>
        <v>545600.00000000012</v>
      </c>
      <c r="AG1448" s="10">
        <f t="shared" si="525"/>
        <v>176000.00000000003</v>
      </c>
      <c r="AH1448" s="10">
        <f t="shared" si="526"/>
        <v>88000.000000000015</v>
      </c>
      <c r="AI1448" s="10">
        <f t="shared" si="527"/>
        <v>44000.000000000007</v>
      </c>
      <c r="AJ1448" s="10">
        <f t="shared" si="528"/>
        <v>26400.000000000004</v>
      </c>
    </row>
    <row r="1449" spans="1:36" x14ac:dyDescent="0.3">
      <c r="A1449" t="s">
        <v>5537</v>
      </c>
      <c r="B1449" t="s">
        <v>5538</v>
      </c>
      <c r="C1449" t="s">
        <v>1928</v>
      </c>
      <c r="D1449" t="s">
        <v>913</v>
      </c>
      <c r="E1449">
        <v>21801</v>
      </c>
      <c r="F1449" t="s">
        <v>15</v>
      </c>
      <c r="G1449">
        <v>6</v>
      </c>
      <c r="H1449">
        <v>150</v>
      </c>
      <c r="I1449" t="str" cm="1">
        <f t="array" ref="I1449">_xlfn.IFS(H1449&lt;=120,"V1",H1449&lt;=150,"V2",H1449&lt;=250,"V3", H1449&lt;=350, "V4")</f>
        <v>V2</v>
      </c>
      <c r="J1449" t="s">
        <v>5539</v>
      </c>
      <c r="K1449" t="str">
        <f t="shared" si="506"/>
        <v>38.401648</v>
      </c>
      <c r="L1449" t="str">
        <f t="shared" si="507"/>
        <v>-75.564818</v>
      </c>
      <c r="M1449">
        <v>12</v>
      </c>
      <c r="N1449" s="1">
        <v>41951</v>
      </c>
      <c r="O1449" s="1">
        <v>46099</v>
      </c>
      <c r="P1449" s="2">
        <f t="shared" si="508"/>
        <v>11.356605065023956</v>
      </c>
      <c r="Q1449" s="2" t="str">
        <f t="shared" si="509"/>
        <v>Old</v>
      </c>
      <c r="R1449">
        <f t="shared" si="510"/>
        <v>900</v>
      </c>
      <c r="S1449" t="str">
        <f t="shared" si="511"/>
        <v>Small</v>
      </c>
      <c r="T1449" t="str">
        <f t="shared" si="512"/>
        <v>Lower EV Adoption Corridor</v>
      </c>
      <c r="U1449" s="3">
        <f t="shared" si="513"/>
        <v>1485000.0000000002</v>
      </c>
      <c r="V1449" s="4">
        <f t="shared" si="514"/>
        <v>360000</v>
      </c>
      <c r="W1449" s="3">
        <f t="shared" si="515"/>
        <v>4500000</v>
      </c>
      <c r="X1449" s="3">
        <f t="shared" si="516"/>
        <v>2700000</v>
      </c>
      <c r="Y1449">
        <f t="shared" si="517"/>
        <v>0.3</v>
      </c>
      <c r="Z1449">
        <f t="shared" si="518"/>
        <v>0.75757575757575757</v>
      </c>
      <c r="AA1449" t="str">
        <f t="shared" si="519"/>
        <v>Tier 4 - Stable Network</v>
      </c>
      <c r="AB1449" s="3">
        <f t="shared" si="520"/>
        <v>60000</v>
      </c>
      <c r="AC1449" s="3">
        <f t="shared" si="521"/>
        <v>750000</v>
      </c>
      <c r="AD1449" s="3">
        <f t="shared" si="522"/>
        <v>247500.00000000003</v>
      </c>
      <c r="AE1449" s="5">
        <f t="shared" si="523"/>
        <v>3.9999999999999991</v>
      </c>
      <c r="AF1449" s="10">
        <f t="shared" si="524"/>
        <v>223200</v>
      </c>
      <c r="AG1449" s="10">
        <f t="shared" si="525"/>
        <v>72000</v>
      </c>
      <c r="AH1449" s="10">
        <f t="shared" si="526"/>
        <v>36000</v>
      </c>
      <c r="AI1449" s="10">
        <f t="shared" si="527"/>
        <v>18000</v>
      </c>
      <c r="AJ1449" s="10">
        <f t="shared" si="528"/>
        <v>10800</v>
      </c>
    </row>
    <row r="1450" spans="1:36" x14ac:dyDescent="0.3">
      <c r="A1450" t="s">
        <v>5540</v>
      </c>
      <c r="B1450" t="s">
        <v>5541</v>
      </c>
      <c r="C1450" t="s">
        <v>5520</v>
      </c>
      <c r="D1450" t="s">
        <v>14</v>
      </c>
      <c r="E1450">
        <v>92363</v>
      </c>
      <c r="F1450" t="s">
        <v>15</v>
      </c>
      <c r="G1450">
        <v>4</v>
      </c>
      <c r="H1450">
        <v>150</v>
      </c>
      <c r="I1450" t="str" cm="1">
        <f t="array" ref="I1450">_xlfn.IFS(H1450&lt;=120,"V1",H1450&lt;=150,"V2",H1450&lt;=250,"V3", H1450&lt;=350, "V4")</f>
        <v>V2</v>
      </c>
      <c r="J1450" t="s">
        <v>5542</v>
      </c>
      <c r="K1450" t="str">
        <f t="shared" si="506"/>
        <v>34.850835</v>
      </c>
      <c r="L1450" t="str">
        <f t="shared" si="507"/>
        <v>-114.624329</v>
      </c>
      <c r="M1450">
        <v>157</v>
      </c>
      <c r="N1450" s="1">
        <v>42020</v>
      </c>
      <c r="O1450" s="1">
        <v>46099</v>
      </c>
      <c r="P1450" s="2">
        <f t="shared" si="508"/>
        <v>11.167693360711841</v>
      </c>
      <c r="Q1450" s="2" t="str">
        <f t="shared" si="509"/>
        <v>Old</v>
      </c>
      <c r="R1450">
        <f t="shared" si="510"/>
        <v>600</v>
      </c>
      <c r="S1450" t="str">
        <f t="shared" si="511"/>
        <v>Small</v>
      </c>
      <c r="T1450" t="str">
        <f t="shared" si="512"/>
        <v>High EV Adoption Corridor</v>
      </c>
      <c r="U1450" s="3">
        <f t="shared" si="513"/>
        <v>1287000.0000000002</v>
      </c>
      <c r="V1450" s="4">
        <f t="shared" si="514"/>
        <v>288000</v>
      </c>
      <c r="W1450" s="3">
        <f t="shared" si="515"/>
        <v>3300000.0000000005</v>
      </c>
      <c r="X1450" s="3">
        <f t="shared" si="516"/>
        <v>2700000</v>
      </c>
      <c r="Y1450">
        <f t="shared" si="517"/>
        <v>0.22888888888888889</v>
      </c>
      <c r="Z1450">
        <f t="shared" si="518"/>
        <v>0.77622377622377625</v>
      </c>
      <c r="AA1450" t="str">
        <f t="shared" si="519"/>
        <v>Tier 3 - Upgrade Pipeline</v>
      </c>
      <c r="AB1450" s="3">
        <f t="shared" si="520"/>
        <v>72000</v>
      </c>
      <c r="AC1450" s="3">
        <f t="shared" si="521"/>
        <v>825000.00000000012</v>
      </c>
      <c r="AD1450" s="3">
        <f t="shared" si="522"/>
        <v>321750.00000000006</v>
      </c>
      <c r="AE1450" s="5">
        <f t="shared" si="523"/>
        <v>3.303303303303303</v>
      </c>
      <c r="AF1450" s="10">
        <f t="shared" si="524"/>
        <v>178560</v>
      </c>
      <c r="AG1450" s="10">
        <f t="shared" si="525"/>
        <v>57600</v>
      </c>
      <c r="AH1450" s="10">
        <f t="shared" si="526"/>
        <v>28800</v>
      </c>
      <c r="AI1450" s="10">
        <f t="shared" si="527"/>
        <v>14400</v>
      </c>
      <c r="AJ1450" s="10">
        <f t="shared" si="528"/>
        <v>8640</v>
      </c>
    </row>
    <row r="1451" spans="1:36" x14ac:dyDescent="0.3">
      <c r="A1451" t="s">
        <v>5543</v>
      </c>
      <c r="B1451" t="s">
        <v>5544</v>
      </c>
      <c r="C1451" t="s">
        <v>2657</v>
      </c>
      <c r="D1451" t="s">
        <v>14</v>
      </c>
      <c r="E1451">
        <v>91764</v>
      </c>
      <c r="F1451" t="s">
        <v>15</v>
      </c>
      <c r="G1451">
        <v>8</v>
      </c>
      <c r="H1451">
        <v>250</v>
      </c>
      <c r="I1451" t="str" cm="1">
        <f t="array" ref="I1451">_xlfn.IFS(H1451&lt;=120,"V1",H1451&lt;=150,"V2",H1451&lt;=250,"V3", H1451&lt;=350, "V4")</f>
        <v>V3</v>
      </c>
      <c r="J1451" t="s">
        <v>5545</v>
      </c>
      <c r="K1451" t="str">
        <f t="shared" si="506"/>
        <v>34.066162</v>
      </c>
      <c r="L1451" t="str">
        <f t="shared" si="507"/>
        <v>-117.65027</v>
      </c>
      <c r="M1451">
        <v>309</v>
      </c>
      <c r="N1451" s="1">
        <v>44726</v>
      </c>
      <c r="O1451" s="1">
        <v>46099</v>
      </c>
      <c r="P1451" s="2">
        <f t="shared" si="508"/>
        <v>3.7590691307323749</v>
      </c>
      <c r="Q1451" s="2" t="str">
        <f t="shared" si="509"/>
        <v>Mid</v>
      </c>
      <c r="R1451">
        <f t="shared" si="510"/>
        <v>2000</v>
      </c>
      <c r="S1451" t="str">
        <f t="shared" si="511"/>
        <v>Small</v>
      </c>
      <c r="T1451" t="str">
        <f t="shared" si="512"/>
        <v>High EV Adoption Corridor</v>
      </c>
      <c r="U1451" s="3">
        <f t="shared" si="513"/>
        <v>4680000</v>
      </c>
      <c r="V1451" s="4">
        <f t="shared" si="514"/>
        <v>1056000</v>
      </c>
      <c r="W1451" s="3">
        <f t="shared" si="515"/>
        <v>13200000.000000002</v>
      </c>
      <c r="X1451" s="3">
        <f t="shared" si="516"/>
        <v>9900000.0000000019</v>
      </c>
      <c r="Y1451">
        <f t="shared" si="517"/>
        <v>0.23999999999999996</v>
      </c>
      <c r="Z1451">
        <f t="shared" si="518"/>
        <v>0.77435897435897438</v>
      </c>
      <c r="AA1451" t="str">
        <f t="shared" si="519"/>
        <v>Tier 1 - Priority Fleet</v>
      </c>
      <c r="AB1451" s="3">
        <f t="shared" si="520"/>
        <v>132000</v>
      </c>
      <c r="AC1451" s="3">
        <f t="shared" si="521"/>
        <v>1650000.0000000002</v>
      </c>
      <c r="AD1451" s="3">
        <f t="shared" si="522"/>
        <v>585000</v>
      </c>
      <c r="AE1451" s="5">
        <f t="shared" si="523"/>
        <v>3.6423841059602653</v>
      </c>
      <c r="AF1451" s="10">
        <f t="shared" si="524"/>
        <v>654720</v>
      </c>
      <c r="AG1451" s="10">
        <f t="shared" si="525"/>
        <v>211200</v>
      </c>
      <c r="AH1451" s="10">
        <f t="shared" si="526"/>
        <v>105600</v>
      </c>
      <c r="AI1451" s="10">
        <f t="shared" si="527"/>
        <v>52800</v>
      </c>
      <c r="AJ1451" s="10">
        <f t="shared" si="528"/>
        <v>31680</v>
      </c>
    </row>
    <row r="1452" spans="1:36" x14ac:dyDescent="0.3">
      <c r="A1452" t="s">
        <v>5546</v>
      </c>
      <c r="B1452" t="s">
        <v>5547</v>
      </c>
      <c r="C1452" t="s">
        <v>5548</v>
      </c>
      <c r="D1452" t="s">
        <v>415</v>
      </c>
      <c r="E1452">
        <v>52245</v>
      </c>
      <c r="F1452" t="s">
        <v>15</v>
      </c>
      <c r="G1452">
        <v>8</v>
      </c>
      <c r="H1452">
        <v>250</v>
      </c>
      <c r="I1452" t="str" cm="1">
        <f t="array" ref="I1452">_xlfn.IFS(H1452&lt;=120,"V1",H1452&lt;=150,"V2",H1452&lt;=250,"V3", H1452&lt;=350, "V4")</f>
        <v>V3</v>
      </c>
      <c r="J1452" t="s">
        <v>5549</v>
      </c>
      <c r="K1452" t="str">
        <f t="shared" si="506"/>
        <v>41.675785</v>
      </c>
      <c r="L1452" t="str">
        <f t="shared" si="507"/>
        <v>-91.520803</v>
      </c>
      <c r="M1452">
        <v>241</v>
      </c>
      <c r="N1452" s="1">
        <v>44726</v>
      </c>
      <c r="O1452" s="1">
        <v>46099</v>
      </c>
      <c r="P1452" s="2">
        <f t="shared" si="508"/>
        <v>3.7590691307323749</v>
      </c>
      <c r="Q1452" s="2" t="str">
        <f t="shared" si="509"/>
        <v>Mid</v>
      </c>
      <c r="R1452">
        <f t="shared" si="510"/>
        <v>2000</v>
      </c>
      <c r="S1452" t="str">
        <f t="shared" si="511"/>
        <v>Small</v>
      </c>
      <c r="T1452" t="str">
        <f t="shared" si="512"/>
        <v>Lower EV Adoption Corridor</v>
      </c>
      <c r="U1452" s="3">
        <f t="shared" si="513"/>
        <v>3600000</v>
      </c>
      <c r="V1452" s="4">
        <f t="shared" si="514"/>
        <v>880000.00000000012</v>
      </c>
      <c r="W1452" s="3">
        <f t="shared" si="515"/>
        <v>12000000</v>
      </c>
      <c r="X1452" s="3">
        <f t="shared" si="516"/>
        <v>6600000.0000000009</v>
      </c>
      <c r="Y1452">
        <f t="shared" si="517"/>
        <v>0.31515151515151513</v>
      </c>
      <c r="Z1452">
        <f t="shared" si="518"/>
        <v>0.75555555555555554</v>
      </c>
      <c r="AA1452" t="str">
        <f t="shared" si="519"/>
        <v>Tier 2 - Growth Markets</v>
      </c>
      <c r="AB1452" s="3">
        <f t="shared" si="520"/>
        <v>110000.00000000001</v>
      </c>
      <c r="AC1452" s="3">
        <f t="shared" si="521"/>
        <v>1500000</v>
      </c>
      <c r="AD1452" s="3">
        <f t="shared" si="522"/>
        <v>450000</v>
      </c>
      <c r="AE1452" s="5">
        <f t="shared" si="523"/>
        <v>4.4117647058823533</v>
      </c>
      <c r="AF1452" s="10">
        <f t="shared" si="524"/>
        <v>545600.00000000012</v>
      </c>
      <c r="AG1452" s="10">
        <f t="shared" si="525"/>
        <v>176000.00000000003</v>
      </c>
      <c r="AH1452" s="10">
        <f t="shared" si="526"/>
        <v>88000.000000000015</v>
      </c>
      <c r="AI1452" s="10">
        <f t="shared" si="527"/>
        <v>44000.000000000007</v>
      </c>
      <c r="AJ1452" s="10">
        <f t="shared" si="528"/>
        <v>26400.000000000004</v>
      </c>
    </row>
    <row r="1453" spans="1:36" x14ac:dyDescent="0.3">
      <c r="A1453" t="s">
        <v>5550</v>
      </c>
      <c r="B1453" t="s">
        <v>5551</v>
      </c>
      <c r="C1453" t="s">
        <v>5552</v>
      </c>
      <c r="D1453" t="s">
        <v>321</v>
      </c>
      <c r="E1453">
        <v>1069</v>
      </c>
      <c r="F1453" t="s">
        <v>15</v>
      </c>
      <c r="G1453">
        <v>12</v>
      </c>
      <c r="H1453">
        <v>250</v>
      </c>
      <c r="I1453" t="str" cm="1">
        <f t="array" ref="I1453">_xlfn.IFS(H1453&lt;=120,"V1",H1453&lt;=150,"V2",H1453&lt;=250,"V3", H1453&lt;=350, "V4")</f>
        <v>V3</v>
      </c>
      <c r="J1453" t="s">
        <v>5553</v>
      </c>
      <c r="K1453" t="str">
        <f t="shared" si="506"/>
        <v>42.173452</v>
      </c>
      <c r="L1453" t="str">
        <f t="shared" si="507"/>
        <v>-72.324767</v>
      </c>
      <c r="M1453">
        <v>127</v>
      </c>
      <c r="N1453" s="1">
        <v>45012</v>
      </c>
      <c r="O1453" s="1">
        <v>46099</v>
      </c>
      <c r="P1453" s="2">
        <f t="shared" si="508"/>
        <v>2.9760438056125942</v>
      </c>
      <c r="Q1453" s="2" t="str">
        <f t="shared" si="509"/>
        <v>New</v>
      </c>
      <c r="R1453">
        <f t="shared" si="510"/>
        <v>3000</v>
      </c>
      <c r="S1453" t="str">
        <f t="shared" si="511"/>
        <v>Small</v>
      </c>
      <c r="T1453" t="str">
        <f t="shared" si="512"/>
        <v>Lower EV Adoption Corridor</v>
      </c>
      <c r="U1453" s="3">
        <f t="shared" si="513"/>
        <v>5400000</v>
      </c>
      <c r="V1453" s="4">
        <f t="shared" si="514"/>
        <v>1320000</v>
      </c>
      <c r="W1453" s="3">
        <f t="shared" si="515"/>
        <v>18000000</v>
      </c>
      <c r="X1453" s="3">
        <f t="shared" si="516"/>
        <v>9900000</v>
      </c>
      <c r="Y1453">
        <f t="shared" si="517"/>
        <v>0.31515151515151513</v>
      </c>
      <c r="Z1453">
        <f t="shared" si="518"/>
        <v>0.75555555555555554</v>
      </c>
      <c r="AA1453" t="str">
        <f t="shared" si="519"/>
        <v>Tier 2 - Growth Markets</v>
      </c>
      <c r="AB1453" s="3">
        <f t="shared" si="520"/>
        <v>110000</v>
      </c>
      <c r="AC1453" s="3">
        <f t="shared" si="521"/>
        <v>1500000</v>
      </c>
      <c r="AD1453" s="3">
        <f t="shared" si="522"/>
        <v>450000</v>
      </c>
      <c r="AE1453" s="5">
        <f t="shared" si="523"/>
        <v>4.4117647058823533</v>
      </c>
      <c r="AF1453" s="10">
        <f t="shared" si="524"/>
        <v>818400</v>
      </c>
      <c r="AG1453" s="10">
        <f t="shared" si="525"/>
        <v>264000</v>
      </c>
      <c r="AH1453" s="10">
        <f t="shared" si="526"/>
        <v>132000</v>
      </c>
      <c r="AI1453" s="10">
        <f t="shared" si="527"/>
        <v>66000</v>
      </c>
      <c r="AJ1453" s="10">
        <f t="shared" si="528"/>
        <v>39600</v>
      </c>
    </row>
    <row r="1454" spans="1:36" x14ac:dyDescent="0.3">
      <c r="A1454" t="s">
        <v>5554</v>
      </c>
      <c r="B1454" t="s">
        <v>5555</v>
      </c>
      <c r="C1454" t="s">
        <v>5556</v>
      </c>
      <c r="D1454" t="s">
        <v>77</v>
      </c>
      <c r="E1454">
        <v>27103</v>
      </c>
      <c r="F1454" t="s">
        <v>15</v>
      </c>
      <c r="G1454">
        <v>12</v>
      </c>
      <c r="H1454">
        <v>250</v>
      </c>
      <c r="I1454" t="str" cm="1">
        <f t="array" ref="I1454">_xlfn.IFS(H1454&lt;=120,"V1",H1454&lt;=150,"V2",H1454&lt;=250,"V3", H1454&lt;=350, "V4")</f>
        <v>V3</v>
      </c>
      <c r="J1454" t="s">
        <v>5557</v>
      </c>
      <c r="K1454" t="str">
        <f t="shared" si="506"/>
        <v>36.084444</v>
      </c>
      <c r="L1454" t="str">
        <f t="shared" si="507"/>
        <v>-80.295348</v>
      </c>
      <c r="M1454">
        <v>271</v>
      </c>
      <c r="N1454" s="1">
        <v>44865</v>
      </c>
      <c r="O1454" s="1">
        <v>46099</v>
      </c>
      <c r="P1454" s="2">
        <f t="shared" si="508"/>
        <v>3.378507871321013</v>
      </c>
      <c r="Q1454" s="2" t="str">
        <f t="shared" si="509"/>
        <v>Mid</v>
      </c>
      <c r="R1454">
        <f t="shared" si="510"/>
        <v>3000</v>
      </c>
      <c r="S1454" t="str">
        <f t="shared" si="511"/>
        <v>Small</v>
      </c>
      <c r="T1454" t="str">
        <f t="shared" si="512"/>
        <v>Lower EV Adoption Corridor</v>
      </c>
      <c r="U1454" s="3">
        <f t="shared" si="513"/>
        <v>5400000</v>
      </c>
      <c r="V1454" s="4">
        <f t="shared" si="514"/>
        <v>1320000</v>
      </c>
      <c r="W1454" s="3">
        <f t="shared" si="515"/>
        <v>18000000</v>
      </c>
      <c r="X1454" s="3">
        <f t="shared" si="516"/>
        <v>9900000</v>
      </c>
      <c r="Y1454">
        <f t="shared" si="517"/>
        <v>0.31515151515151513</v>
      </c>
      <c r="Z1454">
        <f t="shared" si="518"/>
        <v>0.75555555555555554</v>
      </c>
      <c r="AA1454" t="str">
        <f t="shared" si="519"/>
        <v>Tier 2 - Growth Markets</v>
      </c>
      <c r="AB1454" s="3">
        <f t="shared" si="520"/>
        <v>110000</v>
      </c>
      <c r="AC1454" s="3">
        <f t="shared" si="521"/>
        <v>1500000</v>
      </c>
      <c r="AD1454" s="3">
        <f t="shared" si="522"/>
        <v>450000</v>
      </c>
      <c r="AE1454" s="5">
        <f t="shared" si="523"/>
        <v>4.4117647058823533</v>
      </c>
      <c r="AF1454" s="10">
        <f t="shared" si="524"/>
        <v>818400</v>
      </c>
      <c r="AG1454" s="10">
        <f t="shared" si="525"/>
        <v>264000</v>
      </c>
      <c r="AH1454" s="10">
        <f t="shared" si="526"/>
        <v>132000</v>
      </c>
      <c r="AI1454" s="10">
        <f t="shared" si="527"/>
        <v>66000</v>
      </c>
      <c r="AJ1454" s="10">
        <f t="shared" si="528"/>
        <v>39600</v>
      </c>
    </row>
    <row r="1455" spans="1:36" x14ac:dyDescent="0.3">
      <c r="A1455" t="s">
        <v>5558</v>
      </c>
      <c r="B1455" t="s">
        <v>5559</v>
      </c>
      <c r="C1455" t="s">
        <v>5560</v>
      </c>
      <c r="D1455" t="s">
        <v>316</v>
      </c>
      <c r="E1455">
        <v>97426</v>
      </c>
      <c r="F1455" t="s">
        <v>15</v>
      </c>
      <c r="G1455">
        <v>8</v>
      </c>
      <c r="H1455">
        <v>250</v>
      </c>
      <c r="I1455" t="str" cm="1">
        <f t="array" ref="I1455">_xlfn.IFS(H1455&lt;=120,"V1",H1455&lt;=150,"V2",H1455&lt;=250,"V3", H1455&lt;=350, "V4")</f>
        <v>V3</v>
      </c>
      <c r="J1455" t="s">
        <v>5561</v>
      </c>
      <c r="K1455" t="str">
        <f t="shared" si="506"/>
        <v>43.916972</v>
      </c>
      <c r="L1455" t="str">
        <f t="shared" si="507"/>
        <v>-123.013799</v>
      </c>
      <c r="M1455">
        <v>163</v>
      </c>
      <c r="N1455" s="1">
        <v>44950</v>
      </c>
      <c r="O1455" s="1">
        <v>46099</v>
      </c>
      <c r="P1455" s="2">
        <f t="shared" si="508"/>
        <v>3.1457905544147846</v>
      </c>
      <c r="Q1455" s="2" t="str">
        <f t="shared" si="509"/>
        <v>Mid</v>
      </c>
      <c r="R1455">
        <f t="shared" si="510"/>
        <v>2000</v>
      </c>
      <c r="S1455" t="str">
        <f t="shared" si="511"/>
        <v>Small</v>
      </c>
      <c r="T1455" t="str">
        <f t="shared" si="512"/>
        <v>Lower EV Adoption Corridor</v>
      </c>
      <c r="U1455" s="3">
        <f t="shared" si="513"/>
        <v>3600000</v>
      </c>
      <c r="V1455" s="4">
        <f t="shared" si="514"/>
        <v>880000.00000000012</v>
      </c>
      <c r="W1455" s="3">
        <f t="shared" si="515"/>
        <v>12000000</v>
      </c>
      <c r="X1455" s="3">
        <f t="shared" si="516"/>
        <v>6600000.0000000009</v>
      </c>
      <c r="Y1455">
        <f t="shared" si="517"/>
        <v>0.31515151515151513</v>
      </c>
      <c r="Z1455">
        <f t="shared" si="518"/>
        <v>0.75555555555555554</v>
      </c>
      <c r="AA1455" t="str">
        <f t="shared" si="519"/>
        <v>Tier 2 - Growth Markets</v>
      </c>
      <c r="AB1455" s="3">
        <f t="shared" si="520"/>
        <v>110000.00000000001</v>
      </c>
      <c r="AC1455" s="3">
        <f t="shared" si="521"/>
        <v>1500000</v>
      </c>
      <c r="AD1455" s="3">
        <f t="shared" si="522"/>
        <v>450000</v>
      </c>
      <c r="AE1455" s="5">
        <f t="shared" si="523"/>
        <v>4.4117647058823533</v>
      </c>
      <c r="AF1455" s="10">
        <f t="shared" si="524"/>
        <v>545600.00000000012</v>
      </c>
      <c r="AG1455" s="10">
        <f t="shared" si="525"/>
        <v>176000.00000000003</v>
      </c>
      <c r="AH1455" s="10">
        <f t="shared" si="526"/>
        <v>88000.000000000015</v>
      </c>
      <c r="AI1455" s="10">
        <f t="shared" si="527"/>
        <v>44000.000000000007</v>
      </c>
      <c r="AJ1455" s="10">
        <f t="shared" si="528"/>
        <v>26400.000000000004</v>
      </c>
    </row>
    <row r="1456" spans="1:36" x14ac:dyDescent="0.3">
      <c r="A1456" t="s">
        <v>5562</v>
      </c>
      <c r="B1456" t="s">
        <v>5563</v>
      </c>
      <c r="C1456" t="s">
        <v>5564</v>
      </c>
      <c r="D1456" t="s">
        <v>59</v>
      </c>
      <c r="E1456">
        <v>60448</v>
      </c>
      <c r="F1456" t="s">
        <v>15</v>
      </c>
      <c r="G1456">
        <v>12</v>
      </c>
      <c r="H1456">
        <v>250</v>
      </c>
      <c r="I1456" t="str" cm="1">
        <f t="array" ref="I1456">_xlfn.IFS(H1456&lt;=120,"V1",H1456&lt;=150,"V2",H1456&lt;=250,"V3", H1456&lt;=350, "V4")</f>
        <v>V3</v>
      </c>
      <c r="J1456" t="s">
        <v>5565</v>
      </c>
      <c r="K1456" t="str">
        <f t="shared" si="506"/>
        <v>41.49984</v>
      </c>
      <c r="L1456" t="str">
        <f t="shared" si="507"/>
        <v>-87.88864</v>
      </c>
      <c r="M1456">
        <v>219</v>
      </c>
      <c r="N1456" s="1">
        <v>45044</v>
      </c>
      <c r="O1456" s="1">
        <v>46099</v>
      </c>
      <c r="P1456" s="2">
        <f t="shared" si="508"/>
        <v>2.8884325804243667</v>
      </c>
      <c r="Q1456" s="2" t="str">
        <f t="shared" si="509"/>
        <v>New</v>
      </c>
      <c r="R1456">
        <f t="shared" si="510"/>
        <v>3000</v>
      </c>
      <c r="S1456" t="str">
        <f t="shared" si="511"/>
        <v>Small</v>
      </c>
      <c r="T1456" t="str">
        <f t="shared" si="512"/>
        <v>Lower EV Adoption Corridor</v>
      </c>
      <c r="U1456" s="3">
        <f t="shared" si="513"/>
        <v>5400000</v>
      </c>
      <c r="V1456" s="4">
        <f t="shared" si="514"/>
        <v>1320000</v>
      </c>
      <c r="W1456" s="3">
        <f t="shared" si="515"/>
        <v>18000000</v>
      </c>
      <c r="X1456" s="3">
        <f t="shared" si="516"/>
        <v>9900000</v>
      </c>
      <c r="Y1456">
        <f t="shared" si="517"/>
        <v>0.31515151515151513</v>
      </c>
      <c r="Z1456">
        <f t="shared" si="518"/>
        <v>0.75555555555555554</v>
      </c>
      <c r="AA1456" t="str">
        <f t="shared" si="519"/>
        <v>Tier 2 - Growth Markets</v>
      </c>
      <c r="AB1456" s="3">
        <f t="shared" si="520"/>
        <v>110000</v>
      </c>
      <c r="AC1456" s="3">
        <f t="shared" si="521"/>
        <v>1500000</v>
      </c>
      <c r="AD1456" s="3">
        <f t="shared" si="522"/>
        <v>450000</v>
      </c>
      <c r="AE1456" s="5">
        <f t="shared" si="523"/>
        <v>4.4117647058823533</v>
      </c>
      <c r="AF1456" s="10">
        <f t="shared" si="524"/>
        <v>818400</v>
      </c>
      <c r="AG1456" s="10">
        <f t="shared" si="525"/>
        <v>264000</v>
      </c>
      <c r="AH1456" s="10">
        <f t="shared" si="526"/>
        <v>132000</v>
      </c>
      <c r="AI1456" s="10">
        <f t="shared" si="527"/>
        <v>66000</v>
      </c>
      <c r="AJ1456" s="10">
        <f t="shared" si="528"/>
        <v>39600</v>
      </c>
    </row>
    <row r="1457" spans="1:36" x14ac:dyDescent="0.3">
      <c r="A1457" t="s">
        <v>5566</v>
      </c>
      <c r="B1457" t="s">
        <v>5567</v>
      </c>
      <c r="C1457" t="s">
        <v>5568</v>
      </c>
      <c r="D1457" t="s">
        <v>268</v>
      </c>
      <c r="E1457">
        <v>81003</v>
      </c>
      <c r="F1457" t="s">
        <v>15</v>
      </c>
      <c r="G1457">
        <v>12</v>
      </c>
      <c r="H1457">
        <v>250</v>
      </c>
      <c r="I1457" t="str" cm="1">
        <f t="array" ref="I1457">_xlfn.IFS(H1457&lt;=120,"V1",H1457&lt;=150,"V2",H1457&lt;=250,"V3", H1457&lt;=350, "V4")</f>
        <v>V3</v>
      </c>
      <c r="J1457" t="s">
        <v>5569</v>
      </c>
      <c r="K1457" t="str">
        <f t="shared" si="506"/>
        <v>38.266591</v>
      </c>
      <c r="L1457" t="str">
        <f t="shared" si="507"/>
        <v>-104.609086</v>
      </c>
      <c r="M1457">
        <v>1420</v>
      </c>
      <c r="N1457" s="1">
        <v>44832</v>
      </c>
      <c r="O1457" s="1">
        <v>46099</v>
      </c>
      <c r="P1457" s="2">
        <f t="shared" si="508"/>
        <v>3.4688569472963722</v>
      </c>
      <c r="Q1457" s="2" t="str">
        <f t="shared" si="509"/>
        <v>Mid</v>
      </c>
      <c r="R1457">
        <f t="shared" si="510"/>
        <v>3000</v>
      </c>
      <c r="S1457" t="str">
        <f t="shared" si="511"/>
        <v>Small</v>
      </c>
      <c r="T1457" t="str">
        <f t="shared" si="512"/>
        <v>High EV Adoption Corridor</v>
      </c>
      <c r="U1457" s="3">
        <f t="shared" si="513"/>
        <v>7020000</v>
      </c>
      <c r="V1457" s="4">
        <f t="shared" si="514"/>
        <v>1584000</v>
      </c>
      <c r="W1457" s="3">
        <f t="shared" si="515"/>
        <v>19800000</v>
      </c>
      <c r="X1457" s="3">
        <f t="shared" si="516"/>
        <v>14850000</v>
      </c>
      <c r="Y1457">
        <f t="shared" si="517"/>
        <v>0.24</v>
      </c>
      <c r="Z1457">
        <f t="shared" si="518"/>
        <v>0.77435897435897438</v>
      </c>
      <c r="AA1457" t="str">
        <f t="shared" si="519"/>
        <v>Tier 1 - Priority Fleet</v>
      </c>
      <c r="AB1457" s="3">
        <f t="shared" si="520"/>
        <v>132000</v>
      </c>
      <c r="AC1457" s="3">
        <f t="shared" si="521"/>
        <v>1650000</v>
      </c>
      <c r="AD1457" s="3">
        <f t="shared" si="522"/>
        <v>585000</v>
      </c>
      <c r="AE1457" s="5">
        <f t="shared" si="523"/>
        <v>3.6423841059602649</v>
      </c>
      <c r="AF1457" s="10">
        <f t="shared" si="524"/>
        <v>982080</v>
      </c>
      <c r="AG1457" s="10">
        <f t="shared" si="525"/>
        <v>316800</v>
      </c>
      <c r="AH1457" s="10">
        <f t="shared" si="526"/>
        <v>158400</v>
      </c>
      <c r="AI1457" s="10">
        <f t="shared" si="527"/>
        <v>79200</v>
      </c>
      <c r="AJ1457" s="10">
        <f t="shared" si="528"/>
        <v>47520</v>
      </c>
    </row>
    <row r="1458" spans="1:36" x14ac:dyDescent="0.3">
      <c r="A1458" t="s">
        <v>5570</v>
      </c>
      <c r="B1458" t="s">
        <v>5571</v>
      </c>
      <c r="C1458" t="s">
        <v>4422</v>
      </c>
      <c r="D1458" t="s">
        <v>41</v>
      </c>
      <c r="E1458">
        <v>33180</v>
      </c>
      <c r="F1458" t="s">
        <v>15</v>
      </c>
      <c r="G1458">
        <v>8</v>
      </c>
      <c r="H1458">
        <v>250</v>
      </c>
      <c r="I1458" t="str" cm="1">
        <f t="array" ref="I1458">_xlfn.IFS(H1458&lt;=120,"V1",H1458&lt;=150,"V2",H1458&lt;=250,"V3", H1458&lt;=350, "V4")</f>
        <v>V3</v>
      </c>
      <c r="J1458" t="s">
        <v>5572</v>
      </c>
      <c r="K1458" t="str">
        <f t="shared" si="506"/>
        <v>25.970508</v>
      </c>
      <c r="L1458" t="str">
        <f t="shared" si="507"/>
        <v>-80.141165</v>
      </c>
      <c r="M1458">
        <v>1</v>
      </c>
      <c r="N1458" s="1">
        <v>44966</v>
      </c>
      <c r="O1458" s="1">
        <v>46099</v>
      </c>
      <c r="P1458" s="2">
        <f t="shared" si="508"/>
        <v>3.1019849418206706</v>
      </c>
      <c r="Q1458" s="2" t="str">
        <f t="shared" si="509"/>
        <v>Mid</v>
      </c>
      <c r="R1458">
        <f t="shared" si="510"/>
        <v>2000</v>
      </c>
      <c r="S1458" t="str">
        <f t="shared" si="511"/>
        <v>Small</v>
      </c>
      <c r="T1458" t="str">
        <f t="shared" si="512"/>
        <v>High EV Adoption Corridor</v>
      </c>
      <c r="U1458" s="3">
        <f t="shared" si="513"/>
        <v>4680000</v>
      </c>
      <c r="V1458" s="4">
        <f t="shared" si="514"/>
        <v>1056000</v>
      </c>
      <c r="W1458" s="3">
        <f t="shared" si="515"/>
        <v>13200000.000000002</v>
      </c>
      <c r="X1458" s="3">
        <f t="shared" si="516"/>
        <v>9900000.0000000019</v>
      </c>
      <c r="Y1458">
        <f t="shared" si="517"/>
        <v>0.23999999999999996</v>
      </c>
      <c r="Z1458">
        <f t="shared" si="518"/>
        <v>0.77435897435897438</v>
      </c>
      <c r="AA1458" t="str">
        <f t="shared" si="519"/>
        <v>Tier 1 - Priority Fleet</v>
      </c>
      <c r="AB1458" s="3">
        <f t="shared" si="520"/>
        <v>132000</v>
      </c>
      <c r="AC1458" s="3">
        <f t="shared" si="521"/>
        <v>1650000.0000000002</v>
      </c>
      <c r="AD1458" s="3">
        <f t="shared" si="522"/>
        <v>585000</v>
      </c>
      <c r="AE1458" s="5">
        <f t="shared" si="523"/>
        <v>3.6423841059602653</v>
      </c>
      <c r="AF1458" s="10">
        <f t="shared" si="524"/>
        <v>654720</v>
      </c>
      <c r="AG1458" s="10">
        <f t="shared" si="525"/>
        <v>211200</v>
      </c>
      <c r="AH1458" s="10">
        <f t="shared" si="526"/>
        <v>105600</v>
      </c>
      <c r="AI1458" s="10">
        <f t="shared" si="527"/>
        <v>52800</v>
      </c>
      <c r="AJ1458" s="10">
        <f t="shared" si="528"/>
        <v>31680</v>
      </c>
    </row>
    <row r="1459" spans="1:36" x14ac:dyDescent="0.3">
      <c r="A1459" t="s">
        <v>5573</v>
      </c>
      <c r="B1459" t="s">
        <v>5574</v>
      </c>
      <c r="C1459" t="s">
        <v>366</v>
      </c>
      <c r="D1459" t="s">
        <v>41</v>
      </c>
      <c r="E1459">
        <v>34475</v>
      </c>
      <c r="F1459" t="s">
        <v>15</v>
      </c>
      <c r="G1459">
        <v>8</v>
      </c>
      <c r="H1459">
        <v>250</v>
      </c>
      <c r="I1459" t="str" cm="1">
        <f t="array" ref="I1459">_xlfn.IFS(H1459&lt;=120,"V1",H1459&lt;=150,"V2",H1459&lt;=250,"V3", H1459&lt;=350, "V4")</f>
        <v>V3</v>
      </c>
      <c r="J1459" t="s">
        <v>5575</v>
      </c>
      <c r="K1459" t="str">
        <f t="shared" si="506"/>
        <v>29.1853376</v>
      </c>
      <c r="L1459" t="str">
        <f t="shared" si="507"/>
        <v>-82.1773968</v>
      </c>
      <c r="M1459">
        <v>22</v>
      </c>
      <c r="N1459" s="1">
        <v>44691</v>
      </c>
      <c r="O1459" s="1">
        <v>46099</v>
      </c>
      <c r="P1459" s="2">
        <f t="shared" si="508"/>
        <v>3.8548939082819986</v>
      </c>
      <c r="Q1459" s="2" t="str">
        <f t="shared" si="509"/>
        <v>Mid</v>
      </c>
      <c r="R1459">
        <f t="shared" si="510"/>
        <v>2000</v>
      </c>
      <c r="S1459" t="str">
        <f t="shared" si="511"/>
        <v>Small</v>
      </c>
      <c r="T1459" t="str">
        <f t="shared" si="512"/>
        <v>High EV Adoption Corridor</v>
      </c>
      <c r="U1459" s="3">
        <f t="shared" si="513"/>
        <v>4680000</v>
      </c>
      <c r="V1459" s="4">
        <f t="shared" si="514"/>
        <v>1056000</v>
      </c>
      <c r="W1459" s="3">
        <f t="shared" si="515"/>
        <v>13200000.000000002</v>
      </c>
      <c r="X1459" s="3">
        <f t="shared" si="516"/>
        <v>9900000.0000000019</v>
      </c>
      <c r="Y1459">
        <f t="shared" si="517"/>
        <v>0.23999999999999996</v>
      </c>
      <c r="Z1459">
        <f t="shared" si="518"/>
        <v>0.77435897435897438</v>
      </c>
      <c r="AA1459" t="str">
        <f t="shared" si="519"/>
        <v>Tier 1 - Priority Fleet</v>
      </c>
      <c r="AB1459" s="3">
        <f t="shared" si="520"/>
        <v>132000</v>
      </c>
      <c r="AC1459" s="3">
        <f t="shared" si="521"/>
        <v>1650000.0000000002</v>
      </c>
      <c r="AD1459" s="3">
        <f t="shared" si="522"/>
        <v>585000</v>
      </c>
      <c r="AE1459" s="5">
        <f t="shared" si="523"/>
        <v>3.6423841059602653</v>
      </c>
      <c r="AF1459" s="10">
        <f t="shared" si="524"/>
        <v>654720</v>
      </c>
      <c r="AG1459" s="10">
        <f t="shared" si="525"/>
        <v>211200</v>
      </c>
      <c r="AH1459" s="10">
        <f t="shared" si="526"/>
        <v>105600</v>
      </c>
      <c r="AI1459" s="10">
        <f t="shared" si="527"/>
        <v>52800</v>
      </c>
      <c r="AJ1459" s="10">
        <f t="shared" si="528"/>
        <v>31680</v>
      </c>
    </row>
    <row r="1460" spans="1:36" x14ac:dyDescent="0.3">
      <c r="A1460" t="s">
        <v>5576</v>
      </c>
      <c r="B1460" t="s">
        <v>5577</v>
      </c>
      <c r="C1460" t="s">
        <v>4348</v>
      </c>
      <c r="D1460" t="s">
        <v>630</v>
      </c>
      <c r="E1460">
        <v>48203</v>
      </c>
      <c r="F1460" t="s">
        <v>15</v>
      </c>
      <c r="G1460">
        <v>12</v>
      </c>
      <c r="H1460">
        <v>250</v>
      </c>
      <c r="I1460" t="str" cm="1">
        <f t="array" ref="I1460">_xlfn.IFS(H1460&lt;=120,"V1",H1460&lt;=150,"V2",H1460&lt;=250,"V3", H1460&lt;=350, "V4")</f>
        <v>V3</v>
      </c>
      <c r="J1460" t="s">
        <v>5578</v>
      </c>
      <c r="K1460" t="str">
        <f t="shared" si="506"/>
        <v>42.445534</v>
      </c>
      <c r="L1460" t="str">
        <f t="shared" si="507"/>
        <v>-83.11792</v>
      </c>
      <c r="M1460">
        <v>636</v>
      </c>
      <c r="N1460" s="1">
        <v>44782</v>
      </c>
      <c r="O1460" s="1">
        <v>46099</v>
      </c>
      <c r="P1460" s="2">
        <f t="shared" si="508"/>
        <v>3.6057494866529773</v>
      </c>
      <c r="Q1460" s="2" t="str">
        <f t="shared" si="509"/>
        <v>Mid</v>
      </c>
      <c r="R1460">
        <f t="shared" si="510"/>
        <v>3000</v>
      </c>
      <c r="S1460" t="str">
        <f t="shared" si="511"/>
        <v>Small</v>
      </c>
      <c r="T1460" t="str">
        <f t="shared" si="512"/>
        <v>Lower EV Adoption Corridor</v>
      </c>
      <c r="U1460" s="3">
        <f t="shared" si="513"/>
        <v>5400000</v>
      </c>
      <c r="V1460" s="4">
        <f t="shared" si="514"/>
        <v>1320000</v>
      </c>
      <c r="W1460" s="3">
        <f t="shared" si="515"/>
        <v>18000000</v>
      </c>
      <c r="X1460" s="3">
        <f t="shared" si="516"/>
        <v>9900000</v>
      </c>
      <c r="Y1460">
        <f t="shared" si="517"/>
        <v>0.31515151515151513</v>
      </c>
      <c r="Z1460">
        <f t="shared" si="518"/>
        <v>0.75555555555555554</v>
      </c>
      <c r="AA1460" t="str">
        <f t="shared" si="519"/>
        <v>Tier 2 - Growth Markets</v>
      </c>
      <c r="AB1460" s="3">
        <f t="shared" si="520"/>
        <v>110000</v>
      </c>
      <c r="AC1460" s="3">
        <f t="shared" si="521"/>
        <v>1500000</v>
      </c>
      <c r="AD1460" s="3">
        <f t="shared" si="522"/>
        <v>450000</v>
      </c>
      <c r="AE1460" s="5">
        <f t="shared" si="523"/>
        <v>4.4117647058823533</v>
      </c>
      <c r="AF1460" s="10">
        <f t="shared" si="524"/>
        <v>818400</v>
      </c>
      <c r="AG1460" s="10">
        <f t="shared" si="525"/>
        <v>264000</v>
      </c>
      <c r="AH1460" s="10">
        <f t="shared" si="526"/>
        <v>132000</v>
      </c>
      <c r="AI1460" s="10">
        <f t="shared" si="527"/>
        <v>66000</v>
      </c>
      <c r="AJ1460" s="10">
        <f t="shared" si="528"/>
        <v>39600</v>
      </c>
    </row>
    <row r="1461" spans="1:36" x14ac:dyDescent="0.3">
      <c r="A1461" t="s">
        <v>5579</v>
      </c>
      <c r="B1461" t="s">
        <v>5580</v>
      </c>
      <c r="C1461" t="s">
        <v>5581</v>
      </c>
      <c r="D1461" t="s">
        <v>184</v>
      </c>
      <c r="E1461">
        <v>44420</v>
      </c>
      <c r="F1461" t="s">
        <v>15</v>
      </c>
      <c r="G1461">
        <v>8</v>
      </c>
      <c r="H1461">
        <v>250</v>
      </c>
      <c r="I1461" t="str" cm="1">
        <f t="array" ref="I1461">_xlfn.IFS(H1461&lt;=120,"V1",H1461&lt;=150,"V2",H1461&lt;=250,"V3", H1461&lt;=350, "V4")</f>
        <v>V3</v>
      </c>
      <c r="J1461" t="s">
        <v>5582</v>
      </c>
      <c r="K1461" t="str">
        <f t="shared" si="506"/>
        <v>41.1493</v>
      </c>
      <c r="L1461" t="str">
        <f t="shared" si="507"/>
        <v>-80.7</v>
      </c>
      <c r="M1461">
        <v>277</v>
      </c>
      <c r="N1461" s="1">
        <v>44701</v>
      </c>
      <c r="O1461" s="1">
        <v>46099</v>
      </c>
      <c r="P1461" s="2">
        <f t="shared" si="508"/>
        <v>3.8275154004106775</v>
      </c>
      <c r="Q1461" s="2" t="str">
        <f t="shared" si="509"/>
        <v>Mid</v>
      </c>
      <c r="R1461">
        <f t="shared" si="510"/>
        <v>2000</v>
      </c>
      <c r="S1461" t="str">
        <f t="shared" si="511"/>
        <v>Small</v>
      </c>
      <c r="T1461" t="str">
        <f t="shared" si="512"/>
        <v>Lower EV Adoption Corridor</v>
      </c>
      <c r="U1461" s="3">
        <f t="shared" si="513"/>
        <v>3600000</v>
      </c>
      <c r="V1461" s="4">
        <f t="shared" si="514"/>
        <v>880000.00000000012</v>
      </c>
      <c r="W1461" s="3">
        <f t="shared" si="515"/>
        <v>12000000</v>
      </c>
      <c r="X1461" s="3">
        <f t="shared" si="516"/>
        <v>6600000.0000000009</v>
      </c>
      <c r="Y1461">
        <f t="shared" si="517"/>
        <v>0.31515151515151513</v>
      </c>
      <c r="Z1461">
        <f t="shared" si="518"/>
        <v>0.75555555555555554</v>
      </c>
      <c r="AA1461" t="str">
        <f t="shared" si="519"/>
        <v>Tier 2 - Growth Markets</v>
      </c>
      <c r="AB1461" s="3">
        <f t="shared" si="520"/>
        <v>110000.00000000001</v>
      </c>
      <c r="AC1461" s="3">
        <f t="shared" si="521"/>
        <v>1500000</v>
      </c>
      <c r="AD1461" s="3">
        <f t="shared" si="522"/>
        <v>450000</v>
      </c>
      <c r="AE1461" s="5">
        <f t="shared" si="523"/>
        <v>4.4117647058823533</v>
      </c>
      <c r="AF1461" s="10">
        <f t="shared" si="524"/>
        <v>545600.00000000012</v>
      </c>
      <c r="AG1461" s="10">
        <f t="shared" si="525"/>
        <v>176000.00000000003</v>
      </c>
      <c r="AH1461" s="10">
        <f t="shared" si="526"/>
        <v>88000.000000000015</v>
      </c>
      <c r="AI1461" s="10">
        <f t="shared" si="527"/>
        <v>44000.000000000007</v>
      </c>
      <c r="AJ1461" s="10">
        <f t="shared" si="528"/>
        <v>26400.000000000004</v>
      </c>
    </row>
    <row r="1462" spans="1:36" x14ac:dyDescent="0.3">
      <c r="A1462" t="s">
        <v>5583</v>
      </c>
      <c r="B1462" t="s">
        <v>5584</v>
      </c>
      <c r="C1462" t="s">
        <v>5585</v>
      </c>
      <c r="D1462" t="s">
        <v>316</v>
      </c>
      <c r="E1462">
        <v>97818</v>
      </c>
      <c r="F1462" t="s">
        <v>15</v>
      </c>
      <c r="G1462">
        <v>8</v>
      </c>
      <c r="H1462">
        <v>250</v>
      </c>
      <c r="I1462" t="str" cm="1">
        <f t="array" ref="I1462">_xlfn.IFS(H1462&lt;=120,"V1",H1462&lt;=150,"V2",H1462&lt;=250,"V3", H1462&lt;=350, "V4")</f>
        <v>V3</v>
      </c>
      <c r="J1462" t="s">
        <v>5586</v>
      </c>
      <c r="K1462" t="str">
        <f t="shared" si="506"/>
        <v>45.841463</v>
      </c>
      <c r="L1462" t="str">
        <f t="shared" si="507"/>
        <v>-119.684207</v>
      </c>
      <c r="M1462">
        <v>93</v>
      </c>
      <c r="N1462" s="1">
        <v>44722</v>
      </c>
      <c r="O1462" s="1">
        <v>46099</v>
      </c>
      <c r="P1462" s="2">
        <f t="shared" si="508"/>
        <v>3.7700205338809036</v>
      </c>
      <c r="Q1462" s="2" t="str">
        <f t="shared" si="509"/>
        <v>Mid</v>
      </c>
      <c r="R1462">
        <f t="shared" si="510"/>
        <v>2000</v>
      </c>
      <c r="S1462" t="str">
        <f t="shared" si="511"/>
        <v>Small</v>
      </c>
      <c r="T1462" t="str">
        <f t="shared" si="512"/>
        <v>Lower EV Adoption Corridor</v>
      </c>
      <c r="U1462" s="3">
        <f t="shared" si="513"/>
        <v>3600000</v>
      </c>
      <c r="V1462" s="4">
        <f t="shared" si="514"/>
        <v>880000.00000000012</v>
      </c>
      <c r="W1462" s="3">
        <f t="shared" si="515"/>
        <v>12000000</v>
      </c>
      <c r="X1462" s="3">
        <f t="shared" si="516"/>
        <v>6600000.0000000009</v>
      </c>
      <c r="Y1462">
        <f t="shared" si="517"/>
        <v>0.31515151515151513</v>
      </c>
      <c r="Z1462">
        <f t="shared" si="518"/>
        <v>0.75555555555555554</v>
      </c>
      <c r="AA1462" t="str">
        <f t="shared" si="519"/>
        <v>Tier 2 - Growth Markets</v>
      </c>
      <c r="AB1462" s="3">
        <f t="shared" si="520"/>
        <v>110000.00000000001</v>
      </c>
      <c r="AC1462" s="3">
        <f t="shared" si="521"/>
        <v>1500000</v>
      </c>
      <c r="AD1462" s="3">
        <f t="shared" si="522"/>
        <v>450000</v>
      </c>
      <c r="AE1462" s="5">
        <f t="shared" si="523"/>
        <v>4.4117647058823533</v>
      </c>
      <c r="AF1462" s="10">
        <f t="shared" si="524"/>
        <v>545600.00000000012</v>
      </c>
      <c r="AG1462" s="10">
        <f t="shared" si="525"/>
        <v>176000.00000000003</v>
      </c>
      <c r="AH1462" s="10">
        <f t="shared" si="526"/>
        <v>88000.000000000015</v>
      </c>
      <c r="AI1462" s="10">
        <f t="shared" si="527"/>
        <v>44000.000000000007</v>
      </c>
      <c r="AJ1462" s="10">
        <f t="shared" si="528"/>
        <v>26400.000000000004</v>
      </c>
    </row>
    <row r="1463" spans="1:36" x14ac:dyDescent="0.3">
      <c r="A1463" t="s">
        <v>5587</v>
      </c>
      <c r="B1463" t="s">
        <v>5588</v>
      </c>
      <c r="C1463" t="s">
        <v>5524</v>
      </c>
      <c r="D1463" t="s">
        <v>158</v>
      </c>
      <c r="E1463">
        <v>11747</v>
      </c>
      <c r="F1463" t="s">
        <v>15</v>
      </c>
      <c r="G1463">
        <v>12</v>
      </c>
      <c r="H1463">
        <v>250</v>
      </c>
      <c r="I1463" t="str" cm="1">
        <f t="array" ref="I1463">_xlfn.IFS(H1463&lt;=120,"V1",H1463&lt;=150,"V2",H1463&lt;=250,"V3", H1463&lt;=350, "V4")</f>
        <v>V3</v>
      </c>
      <c r="J1463" t="s">
        <v>5589</v>
      </c>
      <c r="K1463" t="str">
        <f t="shared" si="506"/>
        <v>40.782905</v>
      </c>
      <c r="L1463" t="str">
        <f t="shared" si="507"/>
        <v>-73.42252</v>
      </c>
      <c r="M1463">
        <v>36</v>
      </c>
      <c r="N1463" s="1">
        <v>44700</v>
      </c>
      <c r="O1463" s="1">
        <v>46099</v>
      </c>
      <c r="P1463" s="2">
        <f t="shared" si="508"/>
        <v>3.8302532511978096</v>
      </c>
      <c r="Q1463" s="2" t="str">
        <f t="shared" si="509"/>
        <v>Mid</v>
      </c>
      <c r="R1463">
        <f t="shared" si="510"/>
        <v>3000</v>
      </c>
      <c r="S1463" t="str">
        <f t="shared" si="511"/>
        <v>Small</v>
      </c>
      <c r="T1463" t="str">
        <f t="shared" si="512"/>
        <v>Lower EV Adoption Corridor</v>
      </c>
      <c r="U1463" s="3">
        <f t="shared" si="513"/>
        <v>5400000</v>
      </c>
      <c r="V1463" s="4">
        <f t="shared" si="514"/>
        <v>1320000</v>
      </c>
      <c r="W1463" s="3">
        <f t="shared" si="515"/>
        <v>18000000</v>
      </c>
      <c r="X1463" s="3">
        <f t="shared" si="516"/>
        <v>9900000</v>
      </c>
      <c r="Y1463">
        <f t="shared" si="517"/>
        <v>0.31515151515151513</v>
      </c>
      <c r="Z1463">
        <f t="shared" si="518"/>
        <v>0.75555555555555554</v>
      </c>
      <c r="AA1463" t="str">
        <f t="shared" si="519"/>
        <v>Tier 2 - Growth Markets</v>
      </c>
      <c r="AB1463" s="3">
        <f t="shared" si="520"/>
        <v>110000</v>
      </c>
      <c r="AC1463" s="3">
        <f t="shared" si="521"/>
        <v>1500000</v>
      </c>
      <c r="AD1463" s="3">
        <f t="shared" si="522"/>
        <v>450000</v>
      </c>
      <c r="AE1463" s="5">
        <f t="shared" si="523"/>
        <v>4.4117647058823533</v>
      </c>
      <c r="AF1463" s="10">
        <f t="shared" si="524"/>
        <v>818400</v>
      </c>
      <c r="AG1463" s="10">
        <f t="shared" si="525"/>
        <v>264000</v>
      </c>
      <c r="AH1463" s="10">
        <f t="shared" si="526"/>
        <v>132000</v>
      </c>
      <c r="AI1463" s="10">
        <f t="shared" si="527"/>
        <v>66000</v>
      </c>
      <c r="AJ1463" s="10">
        <f t="shared" si="528"/>
        <v>39600</v>
      </c>
    </row>
    <row r="1464" spans="1:36" x14ac:dyDescent="0.3">
      <c r="A1464" t="s">
        <v>5590</v>
      </c>
      <c r="B1464" t="s">
        <v>5591</v>
      </c>
      <c r="C1464" t="s">
        <v>876</v>
      </c>
      <c r="D1464" t="s">
        <v>294</v>
      </c>
      <c r="E1464">
        <v>38133</v>
      </c>
      <c r="F1464" t="s">
        <v>15</v>
      </c>
      <c r="G1464">
        <v>12</v>
      </c>
      <c r="H1464">
        <v>250</v>
      </c>
      <c r="I1464" t="str" cm="1">
        <f t="array" ref="I1464">_xlfn.IFS(H1464&lt;=120,"V1",H1464&lt;=150,"V2",H1464&lt;=250,"V3", H1464&lt;=350, "V4")</f>
        <v>V3</v>
      </c>
      <c r="J1464" t="s">
        <v>5592</v>
      </c>
      <c r="K1464" t="str">
        <f t="shared" si="506"/>
        <v>35.202146</v>
      </c>
      <c r="L1464" t="str">
        <f t="shared" si="507"/>
        <v>-89.794496</v>
      </c>
      <c r="M1464">
        <v>92</v>
      </c>
      <c r="N1464" s="1">
        <v>44804</v>
      </c>
      <c r="O1464" s="1">
        <v>46099</v>
      </c>
      <c r="P1464" s="2">
        <f t="shared" si="508"/>
        <v>3.5455167693360714</v>
      </c>
      <c r="Q1464" s="2" t="str">
        <f t="shared" si="509"/>
        <v>Mid</v>
      </c>
      <c r="R1464">
        <f t="shared" si="510"/>
        <v>3000</v>
      </c>
      <c r="S1464" t="str">
        <f t="shared" si="511"/>
        <v>Small</v>
      </c>
      <c r="T1464" t="str">
        <f t="shared" si="512"/>
        <v>Lower EV Adoption Corridor</v>
      </c>
      <c r="U1464" s="3">
        <f t="shared" si="513"/>
        <v>5400000</v>
      </c>
      <c r="V1464" s="4">
        <f t="shared" si="514"/>
        <v>1320000</v>
      </c>
      <c r="W1464" s="3">
        <f t="shared" si="515"/>
        <v>18000000</v>
      </c>
      <c r="X1464" s="3">
        <f t="shared" si="516"/>
        <v>9900000</v>
      </c>
      <c r="Y1464">
        <f t="shared" si="517"/>
        <v>0.31515151515151513</v>
      </c>
      <c r="Z1464">
        <f t="shared" si="518"/>
        <v>0.75555555555555554</v>
      </c>
      <c r="AA1464" t="str">
        <f t="shared" si="519"/>
        <v>Tier 2 - Growth Markets</v>
      </c>
      <c r="AB1464" s="3">
        <f t="shared" si="520"/>
        <v>110000</v>
      </c>
      <c r="AC1464" s="3">
        <f t="shared" si="521"/>
        <v>1500000</v>
      </c>
      <c r="AD1464" s="3">
        <f t="shared" si="522"/>
        <v>450000</v>
      </c>
      <c r="AE1464" s="5">
        <f t="shared" si="523"/>
        <v>4.4117647058823533</v>
      </c>
      <c r="AF1464" s="10">
        <f t="shared" si="524"/>
        <v>818400</v>
      </c>
      <c r="AG1464" s="10">
        <f t="shared" si="525"/>
        <v>264000</v>
      </c>
      <c r="AH1464" s="10">
        <f t="shared" si="526"/>
        <v>132000</v>
      </c>
      <c r="AI1464" s="10">
        <f t="shared" si="527"/>
        <v>66000</v>
      </c>
      <c r="AJ1464" s="10">
        <f t="shared" si="528"/>
        <v>39600</v>
      </c>
    </row>
    <row r="1465" spans="1:36" x14ac:dyDescent="0.3">
      <c r="A1465" t="s">
        <v>5593</v>
      </c>
      <c r="B1465" t="s">
        <v>5594</v>
      </c>
      <c r="C1465" t="s">
        <v>5595</v>
      </c>
      <c r="D1465" t="s">
        <v>913</v>
      </c>
      <c r="E1465">
        <v>20695</v>
      </c>
      <c r="F1465" t="s">
        <v>15</v>
      </c>
      <c r="G1465">
        <v>8</v>
      </c>
      <c r="H1465">
        <v>250</v>
      </c>
      <c r="I1465" t="str" cm="1">
        <f t="array" ref="I1465">_xlfn.IFS(H1465&lt;=120,"V1",H1465&lt;=150,"V2",H1465&lt;=250,"V3", H1465&lt;=350, "V4")</f>
        <v>V3</v>
      </c>
      <c r="J1465" t="s">
        <v>5596</v>
      </c>
      <c r="K1465" t="str">
        <f t="shared" si="506"/>
        <v>38.5955</v>
      </c>
      <c r="L1465" t="str">
        <f t="shared" si="507"/>
        <v>-76.9372</v>
      </c>
      <c r="M1465">
        <v>62</v>
      </c>
      <c r="N1465" s="1">
        <v>44791</v>
      </c>
      <c r="O1465" s="1">
        <v>46099</v>
      </c>
      <c r="P1465" s="2">
        <f t="shared" si="508"/>
        <v>3.5811088295687883</v>
      </c>
      <c r="Q1465" s="2" t="str">
        <f t="shared" si="509"/>
        <v>Mid</v>
      </c>
      <c r="R1465">
        <f t="shared" si="510"/>
        <v>2000</v>
      </c>
      <c r="S1465" t="str">
        <f t="shared" si="511"/>
        <v>Small</v>
      </c>
      <c r="T1465" t="str">
        <f t="shared" si="512"/>
        <v>Lower EV Adoption Corridor</v>
      </c>
      <c r="U1465" s="3">
        <f t="shared" si="513"/>
        <v>3600000</v>
      </c>
      <c r="V1465" s="4">
        <f t="shared" si="514"/>
        <v>880000.00000000012</v>
      </c>
      <c r="W1465" s="3">
        <f t="shared" si="515"/>
        <v>12000000</v>
      </c>
      <c r="X1465" s="3">
        <f t="shared" si="516"/>
        <v>6600000.0000000009</v>
      </c>
      <c r="Y1465">
        <f t="shared" si="517"/>
        <v>0.31515151515151513</v>
      </c>
      <c r="Z1465">
        <f t="shared" si="518"/>
        <v>0.75555555555555554</v>
      </c>
      <c r="AA1465" t="str">
        <f t="shared" si="519"/>
        <v>Tier 2 - Growth Markets</v>
      </c>
      <c r="AB1465" s="3">
        <f t="shared" si="520"/>
        <v>110000.00000000001</v>
      </c>
      <c r="AC1465" s="3">
        <f t="shared" si="521"/>
        <v>1500000</v>
      </c>
      <c r="AD1465" s="3">
        <f t="shared" si="522"/>
        <v>450000</v>
      </c>
      <c r="AE1465" s="5">
        <f t="shared" si="523"/>
        <v>4.4117647058823533</v>
      </c>
      <c r="AF1465" s="10">
        <f t="shared" si="524"/>
        <v>545600.00000000012</v>
      </c>
      <c r="AG1465" s="10">
        <f t="shared" si="525"/>
        <v>176000.00000000003</v>
      </c>
      <c r="AH1465" s="10">
        <f t="shared" si="526"/>
        <v>88000.000000000015</v>
      </c>
      <c r="AI1465" s="10">
        <f t="shared" si="527"/>
        <v>44000.000000000007</v>
      </c>
      <c r="AJ1465" s="10">
        <f t="shared" si="528"/>
        <v>26400.000000000004</v>
      </c>
    </row>
    <row r="1466" spans="1:36" x14ac:dyDescent="0.3">
      <c r="A1466" t="s">
        <v>5597</v>
      </c>
      <c r="B1466" t="s">
        <v>5598</v>
      </c>
      <c r="C1466" t="s">
        <v>5599</v>
      </c>
      <c r="D1466" t="s">
        <v>189</v>
      </c>
      <c r="E1466">
        <v>54235</v>
      </c>
      <c r="F1466" t="s">
        <v>15</v>
      </c>
      <c r="G1466">
        <v>8</v>
      </c>
      <c r="H1466">
        <v>250</v>
      </c>
      <c r="I1466" t="str" cm="1">
        <f t="array" ref="I1466">_xlfn.IFS(H1466&lt;=120,"V1",H1466&lt;=150,"V2",H1466&lt;=250,"V3", H1466&lt;=350, "V4")</f>
        <v>V3</v>
      </c>
      <c r="J1466" t="s">
        <v>5600</v>
      </c>
      <c r="K1466" t="str">
        <f t="shared" si="506"/>
        <v>44.822043</v>
      </c>
      <c r="L1466" t="str">
        <f t="shared" si="507"/>
        <v>-87.402726</v>
      </c>
      <c r="M1466">
        <v>217</v>
      </c>
      <c r="N1466" s="1">
        <v>44727</v>
      </c>
      <c r="O1466" s="1">
        <v>46099</v>
      </c>
      <c r="P1466" s="2">
        <f t="shared" si="508"/>
        <v>3.7563312799452429</v>
      </c>
      <c r="Q1466" s="2" t="str">
        <f t="shared" si="509"/>
        <v>Mid</v>
      </c>
      <c r="R1466">
        <f t="shared" si="510"/>
        <v>2000</v>
      </c>
      <c r="S1466" t="str">
        <f t="shared" si="511"/>
        <v>Small</v>
      </c>
      <c r="T1466" t="str">
        <f t="shared" si="512"/>
        <v>Lower EV Adoption Corridor</v>
      </c>
      <c r="U1466" s="3">
        <f t="shared" si="513"/>
        <v>3600000</v>
      </c>
      <c r="V1466" s="4">
        <f t="shared" si="514"/>
        <v>880000.00000000012</v>
      </c>
      <c r="W1466" s="3">
        <f t="shared" si="515"/>
        <v>12000000</v>
      </c>
      <c r="X1466" s="3">
        <f t="shared" si="516"/>
        <v>6600000.0000000009</v>
      </c>
      <c r="Y1466">
        <f t="shared" si="517"/>
        <v>0.31515151515151513</v>
      </c>
      <c r="Z1466">
        <f t="shared" si="518"/>
        <v>0.75555555555555554</v>
      </c>
      <c r="AA1466" t="str">
        <f t="shared" si="519"/>
        <v>Tier 2 - Growth Markets</v>
      </c>
      <c r="AB1466" s="3">
        <f t="shared" si="520"/>
        <v>110000.00000000001</v>
      </c>
      <c r="AC1466" s="3">
        <f t="shared" si="521"/>
        <v>1500000</v>
      </c>
      <c r="AD1466" s="3">
        <f t="shared" si="522"/>
        <v>450000</v>
      </c>
      <c r="AE1466" s="5">
        <f t="shared" si="523"/>
        <v>4.4117647058823533</v>
      </c>
      <c r="AF1466" s="10">
        <f t="shared" si="524"/>
        <v>545600.00000000012</v>
      </c>
      <c r="AG1466" s="10">
        <f t="shared" si="525"/>
        <v>176000.00000000003</v>
      </c>
      <c r="AH1466" s="10">
        <f t="shared" si="526"/>
        <v>88000.000000000015</v>
      </c>
      <c r="AI1466" s="10">
        <f t="shared" si="527"/>
        <v>44000.000000000007</v>
      </c>
      <c r="AJ1466" s="10">
        <f t="shared" si="528"/>
        <v>26400.000000000004</v>
      </c>
    </row>
    <row r="1467" spans="1:36" x14ac:dyDescent="0.3">
      <c r="A1467" t="s">
        <v>5601</v>
      </c>
      <c r="B1467" t="s">
        <v>5602</v>
      </c>
      <c r="C1467" t="s">
        <v>1452</v>
      </c>
      <c r="D1467" t="s">
        <v>77</v>
      </c>
      <c r="E1467">
        <v>28602</v>
      </c>
      <c r="F1467" t="s">
        <v>15</v>
      </c>
      <c r="G1467">
        <v>12</v>
      </c>
      <c r="H1467">
        <v>250</v>
      </c>
      <c r="I1467" t="str" cm="1">
        <f t="array" ref="I1467">_xlfn.IFS(H1467&lt;=120,"V1",H1467&lt;=150,"V2",H1467&lt;=250,"V3", H1467&lt;=350, "V4")</f>
        <v>V3</v>
      </c>
      <c r="J1467" t="s">
        <v>5603</v>
      </c>
      <c r="K1467" t="str">
        <f t="shared" si="506"/>
        <v>35.692297</v>
      </c>
      <c r="L1467" t="str">
        <f t="shared" si="507"/>
        <v>-81.357075</v>
      </c>
      <c r="M1467">
        <v>319</v>
      </c>
      <c r="N1467" s="1">
        <v>45071</v>
      </c>
      <c r="O1467" s="1">
        <v>46099</v>
      </c>
      <c r="P1467" s="2">
        <f t="shared" si="508"/>
        <v>2.8145106091718</v>
      </c>
      <c r="Q1467" s="2" t="str">
        <f t="shared" si="509"/>
        <v>New</v>
      </c>
      <c r="R1467">
        <f t="shared" si="510"/>
        <v>3000</v>
      </c>
      <c r="S1467" t="str">
        <f t="shared" si="511"/>
        <v>Small</v>
      </c>
      <c r="T1467" t="str">
        <f t="shared" si="512"/>
        <v>Lower EV Adoption Corridor</v>
      </c>
      <c r="U1467" s="3">
        <f t="shared" si="513"/>
        <v>5400000</v>
      </c>
      <c r="V1467" s="4">
        <f t="shared" si="514"/>
        <v>1320000</v>
      </c>
      <c r="W1467" s="3">
        <f t="shared" si="515"/>
        <v>18000000</v>
      </c>
      <c r="X1467" s="3">
        <f t="shared" si="516"/>
        <v>9900000</v>
      </c>
      <c r="Y1467">
        <f t="shared" si="517"/>
        <v>0.31515151515151513</v>
      </c>
      <c r="Z1467">
        <f t="shared" si="518"/>
        <v>0.75555555555555554</v>
      </c>
      <c r="AA1467" t="str">
        <f t="shared" si="519"/>
        <v>Tier 2 - Growth Markets</v>
      </c>
      <c r="AB1467" s="3">
        <f t="shared" si="520"/>
        <v>110000</v>
      </c>
      <c r="AC1467" s="3">
        <f t="shared" si="521"/>
        <v>1500000</v>
      </c>
      <c r="AD1467" s="3">
        <f t="shared" si="522"/>
        <v>450000</v>
      </c>
      <c r="AE1467" s="5">
        <f t="shared" si="523"/>
        <v>4.4117647058823533</v>
      </c>
      <c r="AF1467" s="10">
        <f t="shared" si="524"/>
        <v>818400</v>
      </c>
      <c r="AG1467" s="10">
        <f t="shared" si="525"/>
        <v>264000</v>
      </c>
      <c r="AH1467" s="10">
        <f t="shared" si="526"/>
        <v>132000</v>
      </c>
      <c r="AI1467" s="10">
        <f t="shared" si="527"/>
        <v>66000</v>
      </c>
      <c r="AJ1467" s="10">
        <f t="shared" si="528"/>
        <v>39600</v>
      </c>
    </row>
    <row r="1468" spans="1:36" x14ac:dyDescent="0.3">
      <c r="A1468" t="s">
        <v>5604</v>
      </c>
      <c r="B1468" t="s">
        <v>5605</v>
      </c>
      <c r="C1468" t="s">
        <v>5606</v>
      </c>
      <c r="D1468" t="s">
        <v>14</v>
      </c>
      <c r="E1468">
        <v>96093</v>
      </c>
      <c r="F1468" t="s">
        <v>15</v>
      </c>
      <c r="G1468">
        <v>8</v>
      </c>
      <c r="H1468">
        <v>250</v>
      </c>
      <c r="I1468" t="str" cm="1">
        <f t="array" ref="I1468">_xlfn.IFS(H1468&lt;=120,"V1",H1468&lt;=150,"V2",H1468&lt;=250,"V3", H1468&lt;=350, "V4")</f>
        <v>V3</v>
      </c>
      <c r="J1468" t="s">
        <v>5607</v>
      </c>
      <c r="K1468" t="str">
        <f t="shared" si="506"/>
        <v>40.720505</v>
      </c>
      <c r="L1468" t="str">
        <f t="shared" si="507"/>
        <v>-122.928071</v>
      </c>
      <c r="M1468">
        <v>606</v>
      </c>
      <c r="N1468" s="1">
        <v>44602</v>
      </c>
      <c r="O1468" s="1">
        <v>46099</v>
      </c>
      <c r="P1468" s="2">
        <f t="shared" si="508"/>
        <v>4.0985626283367553</v>
      </c>
      <c r="Q1468" s="2" t="str">
        <f t="shared" si="509"/>
        <v>Mid</v>
      </c>
      <c r="R1468">
        <f t="shared" si="510"/>
        <v>2000</v>
      </c>
      <c r="S1468" t="str">
        <f t="shared" si="511"/>
        <v>Small</v>
      </c>
      <c r="T1468" t="str">
        <f t="shared" si="512"/>
        <v>High EV Adoption Corridor</v>
      </c>
      <c r="U1468" s="3">
        <f t="shared" si="513"/>
        <v>4680000</v>
      </c>
      <c r="V1468" s="4">
        <f t="shared" si="514"/>
        <v>1056000</v>
      </c>
      <c r="W1468" s="3">
        <f t="shared" si="515"/>
        <v>13200000.000000002</v>
      </c>
      <c r="X1468" s="3">
        <f t="shared" si="516"/>
        <v>9900000.0000000019</v>
      </c>
      <c r="Y1468">
        <f t="shared" si="517"/>
        <v>0.23999999999999996</v>
      </c>
      <c r="Z1468">
        <f t="shared" si="518"/>
        <v>0.77435897435897438</v>
      </c>
      <c r="AA1468" t="str">
        <f t="shared" si="519"/>
        <v>Tier 1 - Priority Fleet</v>
      </c>
      <c r="AB1468" s="3">
        <f t="shared" si="520"/>
        <v>132000</v>
      </c>
      <c r="AC1468" s="3">
        <f t="shared" si="521"/>
        <v>1650000.0000000002</v>
      </c>
      <c r="AD1468" s="3">
        <f t="shared" si="522"/>
        <v>585000</v>
      </c>
      <c r="AE1468" s="5">
        <f t="shared" si="523"/>
        <v>3.6423841059602653</v>
      </c>
      <c r="AF1468" s="10">
        <f t="shared" si="524"/>
        <v>654720</v>
      </c>
      <c r="AG1468" s="10">
        <f t="shared" si="525"/>
        <v>211200</v>
      </c>
      <c r="AH1468" s="10">
        <f t="shared" si="526"/>
        <v>105600</v>
      </c>
      <c r="AI1468" s="10">
        <f t="shared" si="527"/>
        <v>52800</v>
      </c>
      <c r="AJ1468" s="10">
        <f t="shared" si="528"/>
        <v>31680</v>
      </c>
    </row>
    <row r="1469" spans="1:36" x14ac:dyDescent="0.3">
      <c r="A1469" t="s">
        <v>5608</v>
      </c>
      <c r="B1469" t="s">
        <v>5609</v>
      </c>
      <c r="C1469" t="s">
        <v>5610</v>
      </c>
      <c r="D1469" t="s">
        <v>230</v>
      </c>
      <c r="E1469">
        <v>98532</v>
      </c>
      <c r="F1469" t="s">
        <v>15</v>
      </c>
      <c r="G1469">
        <v>8</v>
      </c>
      <c r="H1469">
        <v>250</v>
      </c>
      <c r="I1469" t="str" cm="1">
        <f t="array" ref="I1469">_xlfn.IFS(H1469&lt;=120,"V1",H1469&lt;=150,"V2",H1469&lt;=250,"V3", H1469&lt;=350, "V4")</f>
        <v>V3</v>
      </c>
      <c r="J1469" t="s">
        <v>5611</v>
      </c>
      <c r="K1469" t="str">
        <f t="shared" si="506"/>
        <v>46.679783</v>
      </c>
      <c r="L1469" t="str">
        <f t="shared" si="507"/>
        <v>-122.977105</v>
      </c>
      <c r="M1469">
        <v>52</v>
      </c>
      <c r="N1469" s="1">
        <v>44958</v>
      </c>
      <c r="O1469" s="1">
        <v>46099</v>
      </c>
      <c r="P1469" s="2">
        <f t="shared" si="508"/>
        <v>3.1238877481177276</v>
      </c>
      <c r="Q1469" s="2" t="str">
        <f t="shared" si="509"/>
        <v>Mid</v>
      </c>
      <c r="R1469">
        <f t="shared" si="510"/>
        <v>2000</v>
      </c>
      <c r="S1469" t="str">
        <f t="shared" si="511"/>
        <v>Small</v>
      </c>
      <c r="T1469" t="str">
        <f t="shared" si="512"/>
        <v>High EV Adoption Corridor</v>
      </c>
      <c r="U1469" s="3">
        <f t="shared" si="513"/>
        <v>4680000</v>
      </c>
      <c r="V1469" s="4">
        <f t="shared" si="514"/>
        <v>1056000</v>
      </c>
      <c r="W1469" s="3">
        <f t="shared" si="515"/>
        <v>13200000.000000002</v>
      </c>
      <c r="X1469" s="3">
        <f t="shared" si="516"/>
        <v>9900000.0000000019</v>
      </c>
      <c r="Y1469">
        <f t="shared" si="517"/>
        <v>0.23999999999999996</v>
      </c>
      <c r="Z1469">
        <f t="shared" si="518"/>
        <v>0.77435897435897438</v>
      </c>
      <c r="AA1469" t="str">
        <f t="shared" si="519"/>
        <v>Tier 1 - Priority Fleet</v>
      </c>
      <c r="AB1469" s="3">
        <f t="shared" si="520"/>
        <v>132000</v>
      </c>
      <c r="AC1469" s="3">
        <f t="shared" si="521"/>
        <v>1650000.0000000002</v>
      </c>
      <c r="AD1469" s="3">
        <f t="shared" si="522"/>
        <v>585000</v>
      </c>
      <c r="AE1469" s="5">
        <f t="shared" si="523"/>
        <v>3.6423841059602653</v>
      </c>
      <c r="AF1469" s="10">
        <f t="shared" si="524"/>
        <v>654720</v>
      </c>
      <c r="AG1469" s="10">
        <f t="shared" si="525"/>
        <v>211200</v>
      </c>
      <c r="AH1469" s="10">
        <f t="shared" si="526"/>
        <v>105600</v>
      </c>
      <c r="AI1469" s="10">
        <f t="shared" si="527"/>
        <v>52800</v>
      </c>
      <c r="AJ1469" s="10">
        <f t="shared" si="528"/>
        <v>31680</v>
      </c>
    </row>
    <row r="1470" spans="1:36" x14ac:dyDescent="0.3">
      <c r="A1470" t="s">
        <v>5612</v>
      </c>
      <c r="B1470" t="s">
        <v>5613</v>
      </c>
      <c r="C1470" t="s">
        <v>557</v>
      </c>
      <c r="D1470" t="s">
        <v>433</v>
      </c>
      <c r="E1470">
        <v>89104</v>
      </c>
      <c r="F1470" t="s">
        <v>15</v>
      </c>
      <c r="G1470">
        <v>9</v>
      </c>
      <c r="H1470">
        <v>250</v>
      </c>
      <c r="I1470" t="str" cm="1">
        <f t="array" ref="I1470">_xlfn.IFS(H1470&lt;=120,"V1",H1470&lt;=150,"V2",H1470&lt;=250,"V3", H1470&lt;=350, "V4")</f>
        <v>V3</v>
      </c>
      <c r="J1470" t="s">
        <v>5614</v>
      </c>
      <c r="K1470" t="str">
        <f t="shared" si="506"/>
        <v>36.145327</v>
      </c>
      <c r="L1470" t="str">
        <f t="shared" si="507"/>
        <v>-115.102898</v>
      </c>
      <c r="M1470">
        <v>557</v>
      </c>
      <c r="N1470" s="1">
        <v>44687</v>
      </c>
      <c r="O1470" s="1">
        <v>46099</v>
      </c>
      <c r="P1470" s="2">
        <f t="shared" si="508"/>
        <v>3.8658453114305269</v>
      </c>
      <c r="Q1470" s="2" t="str">
        <f t="shared" si="509"/>
        <v>Mid</v>
      </c>
      <c r="R1470">
        <f t="shared" si="510"/>
        <v>2250</v>
      </c>
      <c r="S1470" t="str">
        <f t="shared" si="511"/>
        <v>Small</v>
      </c>
      <c r="T1470" t="str">
        <f t="shared" si="512"/>
        <v>Lower EV Adoption Corridor</v>
      </c>
      <c r="U1470" s="3">
        <f t="shared" si="513"/>
        <v>4050000</v>
      </c>
      <c r="V1470" s="4">
        <f t="shared" si="514"/>
        <v>990000.00000000012</v>
      </c>
      <c r="W1470" s="3">
        <f t="shared" si="515"/>
        <v>13500000</v>
      </c>
      <c r="X1470" s="3">
        <f t="shared" si="516"/>
        <v>7425000.0000000009</v>
      </c>
      <c r="Y1470">
        <f t="shared" si="517"/>
        <v>0.31515151515151513</v>
      </c>
      <c r="Z1470">
        <f t="shared" si="518"/>
        <v>0.75555555555555554</v>
      </c>
      <c r="AA1470" t="str">
        <f t="shared" si="519"/>
        <v>Tier 2 - Growth Markets</v>
      </c>
      <c r="AB1470" s="3">
        <f t="shared" si="520"/>
        <v>110000.00000000001</v>
      </c>
      <c r="AC1470" s="3">
        <f t="shared" si="521"/>
        <v>1500000</v>
      </c>
      <c r="AD1470" s="3">
        <f t="shared" si="522"/>
        <v>450000</v>
      </c>
      <c r="AE1470" s="5">
        <f t="shared" si="523"/>
        <v>4.4117647058823533</v>
      </c>
      <c r="AF1470" s="10">
        <f t="shared" si="524"/>
        <v>613800.00000000012</v>
      </c>
      <c r="AG1470" s="10">
        <f t="shared" si="525"/>
        <v>198000.00000000003</v>
      </c>
      <c r="AH1470" s="10">
        <f t="shared" si="526"/>
        <v>99000.000000000015</v>
      </c>
      <c r="AI1470" s="10">
        <f t="shared" si="527"/>
        <v>49500.000000000007</v>
      </c>
      <c r="AJ1470" s="10">
        <f t="shared" si="528"/>
        <v>29700.000000000004</v>
      </c>
    </row>
    <row r="1471" spans="1:36" x14ac:dyDescent="0.3">
      <c r="A1471" t="s">
        <v>5615</v>
      </c>
      <c r="B1471" t="s">
        <v>5616</v>
      </c>
      <c r="C1471" t="s">
        <v>5617</v>
      </c>
      <c r="D1471" t="s">
        <v>294</v>
      </c>
      <c r="E1471">
        <v>37122</v>
      </c>
      <c r="F1471" t="s">
        <v>15</v>
      </c>
      <c r="G1471">
        <v>11</v>
      </c>
      <c r="H1471">
        <v>250</v>
      </c>
      <c r="I1471" t="str" cm="1">
        <f t="array" ref="I1471">_xlfn.IFS(H1471&lt;=120,"V1",H1471&lt;=150,"V2",H1471&lt;=250,"V3", H1471&lt;=350, "V4")</f>
        <v>V3</v>
      </c>
      <c r="J1471" t="s">
        <v>5618</v>
      </c>
      <c r="K1471" t="str">
        <f t="shared" si="506"/>
        <v>36.173769</v>
      </c>
      <c r="L1471" t="str">
        <f t="shared" si="507"/>
        <v>-86.513564</v>
      </c>
      <c r="M1471">
        <v>204</v>
      </c>
      <c r="N1471" s="1">
        <v>44974</v>
      </c>
      <c r="O1471" s="1">
        <v>46099</v>
      </c>
      <c r="P1471" s="2">
        <f t="shared" si="508"/>
        <v>3.0800821355236141</v>
      </c>
      <c r="Q1471" s="2" t="str">
        <f t="shared" si="509"/>
        <v>Mid</v>
      </c>
      <c r="R1471">
        <f t="shared" si="510"/>
        <v>2750</v>
      </c>
      <c r="S1471" t="str">
        <f t="shared" si="511"/>
        <v>Small</v>
      </c>
      <c r="T1471" t="str">
        <f t="shared" si="512"/>
        <v>Lower EV Adoption Corridor</v>
      </c>
      <c r="U1471" s="3">
        <f t="shared" si="513"/>
        <v>4950000</v>
      </c>
      <c r="V1471" s="4">
        <f t="shared" si="514"/>
        <v>1210000</v>
      </c>
      <c r="W1471" s="3">
        <f t="shared" si="515"/>
        <v>16500000</v>
      </c>
      <c r="X1471" s="3">
        <f t="shared" si="516"/>
        <v>9075000</v>
      </c>
      <c r="Y1471">
        <f t="shared" si="517"/>
        <v>0.31515151515151513</v>
      </c>
      <c r="Z1471">
        <f t="shared" si="518"/>
        <v>0.75555555555555554</v>
      </c>
      <c r="AA1471" t="str">
        <f t="shared" si="519"/>
        <v>Tier 2 - Growth Markets</v>
      </c>
      <c r="AB1471" s="3">
        <f t="shared" si="520"/>
        <v>110000</v>
      </c>
      <c r="AC1471" s="3">
        <f t="shared" si="521"/>
        <v>1500000</v>
      </c>
      <c r="AD1471" s="3">
        <f t="shared" si="522"/>
        <v>450000</v>
      </c>
      <c r="AE1471" s="5">
        <f t="shared" si="523"/>
        <v>4.4117647058823533</v>
      </c>
      <c r="AF1471" s="10">
        <f t="shared" si="524"/>
        <v>750200</v>
      </c>
      <c r="AG1471" s="10">
        <f t="shared" si="525"/>
        <v>242000</v>
      </c>
      <c r="AH1471" s="10">
        <f t="shared" si="526"/>
        <v>121000</v>
      </c>
      <c r="AI1471" s="10">
        <f t="shared" si="527"/>
        <v>60500</v>
      </c>
      <c r="AJ1471" s="10">
        <f t="shared" si="528"/>
        <v>36300</v>
      </c>
    </row>
    <row r="1472" spans="1:36" x14ac:dyDescent="0.3">
      <c r="A1472" t="s">
        <v>5619</v>
      </c>
      <c r="B1472" t="s">
        <v>5620</v>
      </c>
      <c r="C1472" t="s">
        <v>1627</v>
      </c>
      <c r="D1472" t="s">
        <v>14</v>
      </c>
      <c r="E1472">
        <v>92117</v>
      </c>
      <c r="F1472" t="s">
        <v>15</v>
      </c>
      <c r="G1472">
        <v>8</v>
      </c>
      <c r="H1472">
        <v>250</v>
      </c>
      <c r="I1472" t="str" cm="1">
        <f t="array" ref="I1472">_xlfn.IFS(H1472&lt;=120,"V1",H1472&lt;=150,"V2",H1472&lt;=250,"V3", H1472&lt;=350, "V4")</f>
        <v>V3</v>
      </c>
      <c r="J1472" t="s">
        <v>5621</v>
      </c>
      <c r="K1472" t="str">
        <f t="shared" si="506"/>
        <v>32.821662</v>
      </c>
      <c r="L1472" t="str">
        <f t="shared" si="507"/>
        <v>-117.184317</v>
      </c>
      <c r="M1472">
        <v>112</v>
      </c>
      <c r="N1472" s="1">
        <v>44949</v>
      </c>
      <c r="O1472" s="1">
        <v>46099</v>
      </c>
      <c r="P1472" s="2">
        <f t="shared" si="508"/>
        <v>3.1485284052019167</v>
      </c>
      <c r="Q1472" s="2" t="str">
        <f t="shared" si="509"/>
        <v>Mid</v>
      </c>
      <c r="R1472">
        <f t="shared" si="510"/>
        <v>2000</v>
      </c>
      <c r="S1472" t="str">
        <f t="shared" si="511"/>
        <v>Small</v>
      </c>
      <c r="T1472" t="str">
        <f t="shared" si="512"/>
        <v>High EV Adoption Corridor</v>
      </c>
      <c r="U1472" s="3">
        <f t="shared" si="513"/>
        <v>4680000</v>
      </c>
      <c r="V1472" s="4">
        <f t="shared" si="514"/>
        <v>1056000</v>
      </c>
      <c r="W1472" s="3">
        <f t="shared" si="515"/>
        <v>13200000.000000002</v>
      </c>
      <c r="X1472" s="3">
        <f t="shared" si="516"/>
        <v>9900000.0000000019</v>
      </c>
      <c r="Y1472">
        <f t="shared" si="517"/>
        <v>0.23999999999999996</v>
      </c>
      <c r="Z1472">
        <f t="shared" si="518"/>
        <v>0.77435897435897438</v>
      </c>
      <c r="AA1472" t="str">
        <f t="shared" si="519"/>
        <v>Tier 1 - Priority Fleet</v>
      </c>
      <c r="AB1472" s="3">
        <f t="shared" si="520"/>
        <v>132000</v>
      </c>
      <c r="AC1472" s="3">
        <f t="shared" si="521"/>
        <v>1650000.0000000002</v>
      </c>
      <c r="AD1472" s="3">
        <f t="shared" si="522"/>
        <v>585000</v>
      </c>
      <c r="AE1472" s="5">
        <f t="shared" si="523"/>
        <v>3.6423841059602653</v>
      </c>
      <c r="AF1472" s="10">
        <f t="shared" si="524"/>
        <v>654720</v>
      </c>
      <c r="AG1472" s="10">
        <f t="shared" si="525"/>
        <v>211200</v>
      </c>
      <c r="AH1472" s="10">
        <f t="shared" si="526"/>
        <v>105600</v>
      </c>
      <c r="AI1472" s="10">
        <f t="shared" si="527"/>
        <v>52800</v>
      </c>
      <c r="AJ1472" s="10">
        <f t="shared" si="528"/>
        <v>31680</v>
      </c>
    </row>
    <row r="1473" spans="1:36" x14ac:dyDescent="0.3">
      <c r="A1473" t="s">
        <v>5622</v>
      </c>
      <c r="B1473" t="s">
        <v>5623</v>
      </c>
      <c r="C1473" t="s">
        <v>5624</v>
      </c>
      <c r="D1473" t="s">
        <v>77</v>
      </c>
      <c r="E1473">
        <v>28607</v>
      </c>
      <c r="F1473" t="s">
        <v>15</v>
      </c>
      <c r="G1473">
        <v>12</v>
      </c>
      <c r="H1473">
        <v>250</v>
      </c>
      <c r="I1473" t="str" cm="1">
        <f t="array" ref="I1473">_xlfn.IFS(H1473&lt;=120,"V1",H1473&lt;=150,"V2",H1473&lt;=250,"V3", H1473&lt;=350, "V4")</f>
        <v>V3</v>
      </c>
      <c r="J1473" t="s">
        <v>5625</v>
      </c>
      <c r="K1473" t="str">
        <f t="shared" si="506"/>
        <v>36.196087</v>
      </c>
      <c r="L1473" t="str">
        <f t="shared" si="507"/>
        <v>-81.653014</v>
      </c>
      <c r="M1473">
        <v>959</v>
      </c>
      <c r="N1473" s="1">
        <v>44816</v>
      </c>
      <c r="O1473" s="1">
        <v>46099</v>
      </c>
      <c r="P1473" s="2">
        <f t="shared" si="508"/>
        <v>3.5126625598904861</v>
      </c>
      <c r="Q1473" s="2" t="str">
        <f t="shared" si="509"/>
        <v>Mid</v>
      </c>
      <c r="R1473">
        <f t="shared" si="510"/>
        <v>3000</v>
      </c>
      <c r="S1473" t="str">
        <f t="shared" si="511"/>
        <v>Small</v>
      </c>
      <c r="T1473" t="str">
        <f t="shared" si="512"/>
        <v>Lower EV Adoption Corridor</v>
      </c>
      <c r="U1473" s="3">
        <f t="shared" si="513"/>
        <v>5400000</v>
      </c>
      <c r="V1473" s="4">
        <f t="shared" si="514"/>
        <v>1320000</v>
      </c>
      <c r="W1473" s="3">
        <f t="shared" si="515"/>
        <v>18000000</v>
      </c>
      <c r="X1473" s="3">
        <f t="shared" si="516"/>
        <v>9900000</v>
      </c>
      <c r="Y1473">
        <f t="shared" si="517"/>
        <v>0.31515151515151513</v>
      </c>
      <c r="Z1473">
        <f t="shared" si="518"/>
        <v>0.75555555555555554</v>
      </c>
      <c r="AA1473" t="str">
        <f t="shared" si="519"/>
        <v>Tier 2 - Growth Markets</v>
      </c>
      <c r="AB1473" s="3">
        <f t="shared" si="520"/>
        <v>110000</v>
      </c>
      <c r="AC1473" s="3">
        <f t="shared" si="521"/>
        <v>1500000</v>
      </c>
      <c r="AD1473" s="3">
        <f t="shared" si="522"/>
        <v>450000</v>
      </c>
      <c r="AE1473" s="5">
        <f t="shared" si="523"/>
        <v>4.4117647058823533</v>
      </c>
      <c r="AF1473" s="10">
        <f t="shared" si="524"/>
        <v>818400</v>
      </c>
      <c r="AG1473" s="10">
        <f t="shared" si="525"/>
        <v>264000</v>
      </c>
      <c r="AH1473" s="10">
        <f t="shared" si="526"/>
        <v>132000</v>
      </c>
      <c r="AI1473" s="10">
        <f t="shared" si="527"/>
        <v>66000</v>
      </c>
      <c r="AJ1473" s="10">
        <f t="shared" si="528"/>
        <v>39600</v>
      </c>
    </row>
    <row r="1474" spans="1:36" x14ac:dyDescent="0.3">
      <c r="A1474" t="s">
        <v>5626</v>
      </c>
      <c r="B1474" t="s">
        <v>5627</v>
      </c>
      <c r="C1474" t="s">
        <v>2257</v>
      </c>
      <c r="D1474" t="s">
        <v>41</v>
      </c>
      <c r="E1474">
        <v>34741</v>
      </c>
      <c r="F1474" t="s">
        <v>15</v>
      </c>
      <c r="G1474">
        <v>16</v>
      </c>
      <c r="H1474">
        <v>250</v>
      </c>
      <c r="I1474" t="str" cm="1">
        <f t="array" ref="I1474">_xlfn.IFS(H1474&lt;=120,"V1",H1474&lt;=150,"V2",H1474&lt;=250,"V3", H1474&lt;=350, "V4")</f>
        <v>V3</v>
      </c>
      <c r="J1474" t="s">
        <v>5628</v>
      </c>
      <c r="K1474" t="str">
        <f t="shared" si="506"/>
        <v>28.341509</v>
      </c>
      <c r="L1474" t="str">
        <f t="shared" si="507"/>
        <v>-81.411159</v>
      </c>
      <c r="M1474">
        <v>27</v>
      </c>
      <c r="N1474" s="1">
        <v>45041</v>
      </c>
      <c r="O1474" s="1">
        <v>46099</v>
      </c>
      <c r="P1474" s="2">
        <f t="shared" si="508"/>
        <v>2.8966461327857633</v>
      </c>
      <c r="Q1474" s="2" t="str">
        <f t="shared" si="509"/>
        <v>New</v>
      </c>
      <c r="R1474">
        <f t="shared" si="510"/>
        <v>4000</v>
      </c>
      <c r="S1474" t="str">
        <f t="shared" si="511"/>
        <v>Small</v>
      </c>
      <c r="T1474" t="str">
        <f t="shared" si="512"/>
        <v>High EV Adoption Corridor</v>
      </c>
      <c r="U1474" s="3">
        <f t="shared" si="513"/>
        <v>9360000</v>
      </c>
      <c r="V1474" s="4">
        <f t="shared" si="514"/>
        <v>2112000</v>
      </c>
      <c r="W1474" s="3">
        <f t="shared" si="515"/>
        <v>26400000.000000004</v>
      </c>
      <c r="X1474" s="3">
        <f t="shared" si="516"/>
        <v>19800000.000000004</v>
      </c>
      <c r="Y1474">
        <f t="shared" si="517"/>
        <v>0.23999999999999996</v>
      </c>
      <c r="Z1474">
        <f t="shared" si="518"/>
        <v>0.77435897435897438</v>
      </c>
      <c r="AA1474" t="str">
        <f t="shared" si="519"/>
        <v>Tier 1 - Priority Fleet</v>
      </c>
      <c r="AB1474" s="3">
        <f t="shared" si="520"/>
        <v>132000</v>
      </c>
      <c r="AC1474" s="3">
        <f t="shared" si="521"/>
        <v>1650000.0000000002</v>
      </c>
      <c r="AD1474" s="3">
        <f t="shared" si="522"/>
        <v>585000</v>
      </c>
      <c r="AE1474" s="5">
        <f t="shared" si="523"/>
        <v>3.6423841059602653</v>
      </c>
      <c r="AF1474" s="10">
        <f t="shared" si="524"/>
        <v>1309440</v>
      </c>
      <c r="AG1474" s="10">
        <f t="shared" si="525"/>
        <v>422400</v>
      </c>
      <c r="AH1474" s="10">
        <f t="shared" si="526"/>
        <v>211200</v>
      </c>
      <c r="AI1474" s="10">
        <f t="shared" si="527"/>
        <v>105600</v>
      </c>
      <c r="AJ1474" s="10">
        <f t="shared" si="528"/>
        <v>63360</v>
      </c>
    </row>
    <row r="1475" spans="1:36" x14ac:dyDescent="0.3">
      <c r="A1475" t="s">
        <v>5629</v>
      </c>
      <c r="B1475" t="s">
        <v>5630</v>
      </c>
      <c r="C1475" t="s">
        <v>5631</v>
      </c>
      <c r="D1475" t="s">
        <v>14</v>
      </c>
      <c r="E1475">
        <v>93313</v>
      </c>
      <c r="F1475" t="s">
        <v>15</v>
      </c>
      <c r="G1475">
        <v>20</v>
      </c>
      <c r="H1475">
        <v>250</v>
      </c>
      <c r="I1475" t="str" cm="1">
        <f t="array" ref="I1475">_xlfn.IFS(H1475&lt;=120,"V1",H1475&lt;=150,"V2",H1475&lt;=250,"V3", H1475&lt;=350, "V4")</f>
        <v>V3</v>
      </c>
      <c r="J1475" t="s">
        <v>5632</v>
      </c>
      <c r="K1475" t="str">
        <f t="shared" ref="K1475:K1538" si="529">TRIM(LEFT(J1475, FIND(",", J1475) - 1))</f>
        <v>35.094874</v>
      </c>
      <c r="L1475" t="str">
        <f t="shared" ref="L1475:L1538" si="530">TRIM(MID(J1475, FIND(",", J1475) + 1, LEN(J1475)))</f>
        <v>-119.040158</v>
      </c>
      <c r="M1475">
        <v>100</v>
      </c>
      <c r="N1475" s="1">
        <v>44377</v>
      </c>
      <c r="O1475" s="1">
        <v>46099</v>
      </c>
      <c r="P1475" s="2">
        <f t="shared" ref="P1475:P1538" si="531">(O1475-N1475)/365.25</f>
        <v>4.7145790554414786</v>
      </c>
      <c r="Q1475" s="2" t="str">
        <f t="shared" ref="Q1475:Q1538" si="532">IF(P1475&lt;3,"New",IF(P1475&lt;=8,"Mid","Old"))</f>
        <v>Mid</v>
      </c>
      <c r="R1475">
        <f t="shared" ref="R1475:R1538" si="533">G1475*H1475</f>
        <v>5000</v>
      </c>
      <c r="S1475" t="str">
        <f t="shared" ref="S1475:S1538" si="534">IF(G1475&lt;=30,"Small",IF(G1475&lt;=60,"Medium","Large"))</f>
        <v>Small</v>
      </c>
      <c r="T1475" t="str">
        <f t="shared" ref="T1475:T1538" si="535">IF(OR(D1475="CA",D1475="FL",D1475="WA",D1475="CO",D1475="TX",D1475="NJ"),"High EV Adoption Corridor","Lower EV Adoption Corridor")</f>
        <v>High EV Adoption Corridor</v>
      </c>
      <c r="U1475" s="3">
        <f t="shared" ref="U1475:U1538" si="536" xml:space="preserve"> R1475 * 1500 *
  IF(I1475="V1",1,
     IF(I1475="V2",1.1,1.2)) *
  IF(T1475="High EV Adoption Corridor",1.3,1)</f>
        <v>11700000</v>
      </c>
      <c r="V1475" s="4">
        <f t="shared" ref="V1475:V1538" si="537" xml:space="preserve"> R1475 * 400 *
  IF(I1475="V1",0.9,
     IF(I1475="V2",1,1.1)) *
  IF(T1475="High EV Adoption Corridor",1.2,1)</f>
        <v>2640000</v>
      </c>
      <c r="W1475" s="3">
        <f t="shared" ref="W1475:W1538" si="538" xml:space="preserve"> R1475 * 5000 *
  IF(I1475="V1",0.8,
     IF(I1475="V2",1,1.2)) *
  IF(T1475="High EV Adoption Corridor",1.1,1)</f>
        <v>33000000.000000004</v>
      </c>
      <c r="X1475" s="3">
        <f t="shared" ref="X1475:X1538" si="539" xml:space="preserve"> R1475 * 3000 *
  IF(I1475="V1",0.9,
     IF(I1475="V2",1,1.1)) *
  IF(T1475="High EV Adoption Corridor",1.5,1)</f>
        <v>24750000.000000004</v>
      </c>
      <c r="Y1475">
        <f t="shared" ref="Y1475:Y1538" si="540" xml:space="preserve"> ((W1475/10) + V1475) / X1475</f>
        <v>0.23999999999999996</v>
      </c>
      <c r="Z1475">
        <f t="shared" ref="Z1475:Z1538" si="541">(U1475-V1475)/U1475</f>
        <v>0.77435897435897438</v>
      </c>
      <c r="AA1475" t="str">
        <f t="shared" ref="AA1475:AA1538" si="542">IF(AND(I1475="V3",T1475="High EV Adoption Corridor"),
"Tier 1 - Priority Fleet",
IF(AND(I1475="V3",T1475="Lower EV Adoption Corridor"),
"Tier 2 - Growth Markets",
IF(AND(OR(I1475="V1",I1475="V2"),T1475="High EV Adoption Corridor"),
"Tier 3 - Upgrade Pipeline",
IF(AND(I1475="V2",T1475="Lower EV Adoption Corridor"),
"Tier 4 - Stable Network",
"Tier 5 - Retirement Pipeline"))))</f>
        <v>Tier 1 - Priority Fleet</v>
      </c>
      <c r="AB1475" s="3">
        <f t="shared" ref="AB1475:AB1538" si="543">V1475/G1475</f>
        <v>132000</v>
      </c>
      <c r="AC1475" s="3">
        <f t="shared" ref="AC1475:AC1538" si="544">W1475/G1475</f>
        <v>1650000.0000000002</v>
      </c>
      <c r="AD1475" s="3">
        <f t="shared" ref="AD1475:AD1538" si="545">U1475/G1475</f>
        <v>585000</v>
      </c>
      <c r="AE1475" s="5">
        <f t="shared" ref="AE1475:AE1538" si="546">W1475/(U1475-V1475)</f>
        <v>3.6423841059602653</v>
      </c>
      <c r="AF1475" s="10">
        <f t="shared" ref="AF1475:AF1538" si="547">V1475*0.62</f>
        <v>1636800</v>
      </c>
      <c r="AG1475" s="10">
        <f t="shared" ref="AG1475:AG1538" si="548">V1475*0.2</f>
        <v>528000</v>
      </c>
      <c r="AH1475" s="10">
        <f t="shared" ref="AH1475:AH1538" si="549">V1475*0.1</f>
        <v>264000</v>
      </c>
      <c r="AI1475" s="10">
        <f t="shared" ref="AI1475:AI1538" si="550">V1475*0.05</f>
        <v>132000</v>
      </c>
      <c r="AJ1475" s="10">
        <f t="shared" ref="AJ1475:AJ1538" si="551">V1475*0.03</f>
        <v>79200</v>
      </c>
    </row>
    <row r="1476" spans="1:36" x14ac:dyDescent="0.3">
      <c r="A1476" t="s">
        <v>5633</v>
      </c>
      <c r="B1476" t="s">
        <v>5634</v>
      </c>
      <c r="C1476" t="s">
        <v>1700</v>
      </c>
      <c r="D1476" t="s">
        <v>41</v>
      </c>
      <c r="E1476">
        <v>32809</v>
      </c>
      <c r="F1476" t="s">
        <v>15</v>
      </c>
      <c r="G1476">
        <v>16</v>
      </c>
      <c r="H1476">
        <v>250</v>
      </c>
      <c r="I1476" t="str" cm="1">
        <f t="array" ref="I1476">_xlfn.IFS(H1476&lt;=120,"V1",H1476&lt;=150,"V2",H1476&lt;=250,"V3", H1476&lt;=350, "V4")</f>
        <v>V3</v>
      </c>
      <c r="J1476" t="s">
        <v>5635</v>
      </c>
      <c r="K1476" t="str">
        <f t="shared" si="529"/>
        <v>28.448461</v>
      </c>
      <c r="L1476" t="str">
        <f t="shared" si="530"/>
        <v>-81.394583</v>
      </c>
      <c r="M1476">
        <v>32</v>
      </c>
      <c r="N1476" s="1">
        <v>44856</v>
      </c>
      <c r="O1476" s="1">
        <v>46099</v>
      </c>
      <c r="P1476" s="2">
        <f t="shared" si="531"/>
        <v>3.4031485284052021</v>
      </c>
      <c r="Q1476" s="2" t="str">
        <f t="shared" si="532"/>
        <v>Mid</v>
      </c>
      <c r="R1476">
        <f t="shared" si="533"/>
        <v>4000</v>
      </c>
      <c r="S1476" t="str">
        <f t="shared" si="534"/>
        <v>Small</v>
      </c>
      <c r="T1476" t="str">
        <f t="shared" si="535"/>
        <v>High EV Adoption Corridor</v>
      </c>
      <c r="U1476" s="3">
        <f t="shared" si="536"/>
        <v>9360000</v>
      </c>
      <c r="V1476" s="4">
        <f t="shared" si="537"/>
        <v>2112000</v>
      </c>
      <c r="W1476" s="3">
        <f t="shared" si="538"/>
        <v>26400000.000000004</v>
      </c>
      <c r="X1476" s="3">
        <f t="shared" si="539"/>
        <v>19800000.000000004</v>
      </c>
      <c r="Y1476">
        <f t="shared" si="540"/>
        <v>0.23999999999999996</v>
      </c>
      <c r="Z1476">
        <f t="shared" si="541"/>
        <v>0.77435897435897438</v>
      </c>
      <c r="AA1476" t="str">
        <f t="shared" si="542"/>
        <v>Tier 1 - Priority Fleet</v>
      </c>
      <c r="AB1476" s="3">
        <f t="shared" si="543"/>
        <v>132000</v>
      </c>
      <c r="AC1476" s="3">
        <f t="shared" si="544"/>
        <v>1650000.0000000002</v>
      </c>
      <c r="AD1476" s="3">
        <f t="shared" si="545"/>
        <v>585000</v>
      </c>
      <c r="AE1476" s="5">
        <f t="shared" si="546"/>
        <v>3.6423841059602653</v>
      </c>
      <c r="AF1476" s="10">
        <f t="shared" si="547"/>
        <v>1309440</v>
      </c>
      <c r="AG1476" s="10">
        <f t="shared" si="548"/>
        <v>422400</v>
      </c>
      <c r="AH1476" s="10">
        <f t="shared" si="549"/>
        <v>211200</v>
      </c>
      <c r="AI1476" s="10">
        <f t="shared" si="550"/>
        <v>105600</v>
      </c>
      <c r="AJ1476" s="10">
        <f t="shared" si="551"/>
        <v>63360</v>
      </c>
    </row>
    <row r="1477" spans="1:36" x14ac:dyDescent="0.3">
      <c r="A1477" t="s">
        <v>5636</v>
      </c>
      <c r="B1477" t="s">
        <v>5637</v>
      </c>
      <c r="C1477" t="s">
        <v>5638</v>
      </c>
      <c r="D1477" t="s">
        <v>433</v>
      </c>
      <c r="E1477">
        <v>89027</v>
      </c>
      <c r="F1477" t="s">
        <v>15</v>
      </c>
      <c r="G1477">
        <v>12</v>
      </c>
      <c r="H1477">
        <v>250</v>
      </c>
      <c r="I1477" t="str" cm="1">
        <f t="array" ref="I1477">_xlfn.IFS(H1477&lt;=120,"V1",H1477&lt;=150,"V2",H1477&lt;=250,"V3", H1477&lt;=350, "V4")</f>
        <v>V3</v>
      </c>
      <c r="J1477" t="s">
        <v>5639</v>
      </c>
      <c r="K1477" t="str">
        <f t="shared" si="529"/>
        <v>36.802978</v>
      </c>
      <c r="L1477" t="str">
        <f t="shared" si="530"/>
        <v>-114.099928</v>
      </c>
      <c r="M1477">
        <v>487</v>
      </c>
      <c r="N1477" s="1">
        <v>44496</v>
      </c>
      <c r="O1477" s="1">
        <v>46099</v>
      </c>
      <c r="P1477" s="2">
        <f t="shared" si="531"/>
        <v>4.3887748117727581</v>
      </c>
      <c r="Q1477" s="2" t="str">
        <f t="shared" si="532"/>
        <v>Mid</v>
      </c>
      <c r="R1477">
        <f t="shared" si="533"/>
        <v>3000</v>
      </c>
      <c r="S1477" t="str">
        <f t="shared" si="534"/>
        <v>Small</v>
      </c>
      <c r="T1477" t="str">
        <f t="shared" si="535"/>
        <v>Lower EV Adoption Corridor</v>
      </c>
      <c r="U1477" s="3">
        <f t="shared" si="536"/>
        <v>5400000</v>
      </c>
      <c r="V1477" s="4">
        <f t="shared" si="537"/>
        <v>1320000</v>
      </c>
      <c r="W1477" s="3">
        <f t="shared" si="538"/>
        <v>18000000</v>
      </c>
      <c r="X1477" s="3">
        <f t="shared" si="539"/>
        <v>9900000</v>
      </c>
      <c r="Y1477">
        <f t="shared" si="540"/>
        <v>0.31515151515151513</v>
      </c>
      <c r="Z1477">
        <f t="shared" si="541"/>
        <v>0.75555555555555554</v>
      </c>
      <c r="AA1477" t="str">
        <f t="shared" si="542"/>
        <v>Tier 2 - Growth Markets</v>
      </c>
      <c r="AB1477" s="3">
        <f t="shared" si="543"/>
        <v>110000</v>
      </c>
      <c r="AC1477" s="3">
        <f t="shared" si="544"/>
        <v>1500000</v>
      </c>
      <c r="AD1477" s="3">
        <f t="shared" si="545"/>
        <v>450000</v>
      </c>
      <c r="AE1477" s="5">
        <f t="shared" si="546"/>
        <v>4.4117647058823533</v>
      </c>
      <c r="AF1477" s="10">
        <f t="shared" si="547"/>
        <v>818400</v>
      </c>
      <c r="AG1477" s="10">
        <f t="shared" si="548"/>
        <v>264000</v>
      </c>
      <c r="AH1477" s="10">
        <f t="shared" si="549"/>
        <v>132000</v>
      </c>
      <c r="AI1477" s="10">
        <f t="shared" si="550"/>
        <v>66000</v>
      </c>
      <c r="AJ1477" s="10">
        <f t="shared" si="551"/>
        <v>39600</v>
      </c>
    </row>
    <row r="1478" spans="1:36" x14ac:dyDescent="0.3">
      <c r="A1478" t="s">
        <v>5640</v>
      </c>
      <c r="B1478" t="s">
        <v>5641</v>
      </c>
      <c r="C1478" t="s">
        <v>5642</v>
      </c>
      <c r="D1478" t="s">
        <v>321</v>
      </c>
      <c r="E1478">
        <v>1240</v>
      </c>
      <c r="F1478" t="s">
        <v>15</v>
      </c>
      <c r="G1478">
        <v>8</v>
      </c>
      <c r="H1478">
        <v>250</v>
      </c>
      <c r="I1478" t="str" cm="1">
        <f t="array" ref="I1478">_xlfn.IFS(H1478&lt;=120,"V1",H1478&lt;=150,"V2",H1478&lt;=250,"V3", H1478&lt;=350, "V4")</f>
        <v>V3</v>
      </c>
      <c r="J1478" t="s">
        <v>5643</v>
      </c>
      <c r="K1478" t="str">
        <f t="shared" si="529"/>
        <v>42.377028</v>
      </c>
      <c r="L1478" t="str">
        <f t="shared" si="530"/>
        <v>-73.277352</v>
      </c>
      <c r="M1478">
        <v>403</v>
      </c>
      <c r="N1478" s="1">
        <v>44884</v>
      </c>
      <c r="O1478" s="1">
        <v>46099</v>
      </c>
      <c r="P1478" s="2">
        <f t="shared" si="531"/>
        <v>3.3264887063655029</v>
      </c>
      <c r="Q1478" s="2" t="str">
        <f t="shared" si="532"/>
        <v>Mid</v>
      </c>
      <c r="R1478">
        <f t="shared" si="533"/>
        <v>2000</v>
      </c>
      <c r="S1478" t="str">
        <f t="shared" si="534"/>
        <v>Small</v>
      </c>
      <c r="T1478" t="str">
        <f t="shared" si="535"/>
        <v>Lower EV Adoption Corridor</v>
      </c>
      <c r="U1478" s="3">
        <f t="shared" si="536"/>
        <v>3600000</v>
      </c>
      <c r="V1478" s="4">
        <f t="shared" si="537"/>
        <v>880000.00000000012</v>
      </c>
      <c r="W1478" s="3">
        <f t="shared" si="538"/>
        <v>12000000</v>
      </c>
      <c r="X1478" s="3">
        <f t="shared" si="539"/>
        <v>6600000.0000000009</v>
      </c>
      <c r="Y1478">
        <f t="shared" si="540"/>
        <v>0.31515151515151513</v>
      </c>
      <c r="Z1478">
        <f t="shared" si="541"/>
        <v>0.75555555555555554</v>
      </c>
      <c r="AA1478" t="str">
        <f t="shared" si="542"/>
        <v>Tier 2 - Growth Markets</v>
      </c>
      <c r="AB1478" s="3">
        <f t="shared" si="543"/>
        <v>110000.00000000001</v>
      </c>
      <c r="AC1478" s="3">
        <f t="shared" si="544"/>
        <v>1500000</v>
      </c>
      <c r="AD1478" s="3">
        <f t="shared" si="545"/>
        <v>450000</v>
      </c>
      <c r="AE1478" s="5">
        <f t="shared" si="546"/>
        <v>4.4117647058823533</v>
      </c>
      <c r="AF1478" s="10">
        <f t="shared" si="547"/>
        <v>545600.00000000012</v>
      </c>
      <c r="AG1478" s="10">
        <f t="shared" si="548"/>
        <v>176000.00000000003</v>
      </c>
      <c r="AH1478" s="10">
        <f t="shared" si="549"/>
        <v>88000.000000000015</v>
      </c>
      <c r="AI1478" s="10">
        <f t="shared" si="550"/>
        <v>44000.000000000007</v>
      </c>
      <c r="AJ1478" s="10">
        <f t="shared" si="551"/>
        <v>26400.000000000004</v>
      </c>
    </row>
    <row r="1479" spans="1:36" x14ac:dyDescent="0.3">
      <c r="A1479" t="s">
        <v>5644</v>
      </c>
      <c r="B1479" t="s">
        <v>5645</v>
      </c>
      <c r="C1479" t="s">
        <v>5646</v>
      </c>
      <c r="D1479" t="s">
        <v>41</v>
      </c>
      <c r="E1479">
        <v>32052</v>
      </c>
      <c r="F1479" t="s">
        <v>15</v>
      </c>
      <c r="G1479">
        <v>8</v>
      </c>
      <c r="H1479">
        <v>250</v>
      </c>
      <c r="I1479" t="str" cm="1">
        <f t="array" ref="I1479">_xlfn.IFS(H1479&lt;=120,"V1",H1479&lt;=150,"V2",H1479&lt;=250,"V3", H1479&lt;=350, "V4")</f>
        <v>V3</v>
      </c>
      <c r="J1479" t="s">
        <v>5647</v>
      </c>
      <c r="K1479" t="str">
        <f t="shared" si="529"/>
        <v>30.446647</v>
      </c>
      <c r="L1479" t="str">
        <f t="shared" si="530"/>
        <v>-82.933586</v>
      </c>
      <c r="M1479">
        <v>49</v>
      </c>
      <c r="N1479" s="1">
        <v>44649</v>
      </c>
      <c r="O1479" s="1">
        <v>46099</v>
      </c>
      <c r="P1479" s="2">
        <f t="shared" si="531"/>
        <v>3.9698836413415468</v>
      </c>
      <c r="Q1479" s="2" t="str">
        <f t="shared" si="532"/>
        <v>Mid</v>
      </c>
      <c r="R1479">
        <f t="shared" si="533"/>
        <v>2000</v>
      </c>
      <c r="S1479" t="str">
        <f t="shared" si="534"/>
        <v>Small</v>
      </c>
      <c r="T1479" t="str">
        <f t="shared" si="535"/>
        <v>High EV Adoption Corridor</v>
      </c>
      <c r="U1479" s="3">
        <f t="shared" si="536"/>
        <v>4680000</v>
      </c>
      <c r="V1479" s="4">
        <f t="shared" si="537"/>
        <v>1056000</v>
      </c>
      <c r="W1479" s="3">
        <f t="shared" si="538"/>
        <v>13200000.000000002</v>
      </c>
      <c r="X1479" s="3">
        <f t="shared" si="539"/>
        <v>9900000.0000000019</v>
      </c>
      <c r="Y1479">
        <f t="shared" si="540"/>
        <v>0.23999999999999996</v>
      </c>
      <c r="Z1479">
        <f t="shared" si="541"/>
        <v>0.77435897435897438</v>
      </c>
      <c r="AA1479" t="str">
        <f t="shared" si="542"/>
        <v>Tier 1 - Priority Fleet</v>
      </c>
      <c r="AB1479" s="3">
        <f t="shared" si="543"/>
        <v>132000</v>
      </c>
      <c r="AC1479" s="3">
        <f t="shared" si="544"/>
        <v>1650000.0000000002</v>
      </c>
      <c r="AD1479" s="3">
        <f t="shared" si="545"/>
        <v>585000</v>
      </c>
      <c r="AE1479" s="5">
        <f t="shared" si="546"/>
        <v>3.6423841059602653</v>
      </c>
      <c r="AF1479" s="10">
        <f t="shared" si="547"/>
        <v>654720</v>
      </c>
      <c r="AG1479" s="10">
        <f t="shared" si="548"/>
        <v>211200</v>
      </c>
      <c r="AH1479" s="10">
        <f t="shared" si="549"/>
        <v>105600</v>
      </c>
      <c r="AI1479" s="10">
        <f t="shared" si="550"/>
        <v>52800</v>
      </c>
      <c r="AJ1479" s="10">
        <f t="shared" si="551"/>
        <v>31680</v>
      </c>
    </row>
    <row r="1480" spans="1:36" x14ac:dyDescent="0.3">
      <c r="A1480" t="s">
        <v>5648</v>
      </c>
      <c r="B1480" t="s">
        <v>5649</v>
      </c>
      <c r="C1480" t="s">
        <v>5650</v>
      </c>
      <c r="D1480" t="s">
        <v>1110</v>
      </c>
      <c r="E1480">
        <v>72404</v>
      </c>
      <c r="F1480" t="s">
        <v>15</v>
      </c>
      <c r="G1480">
        <v>7</v>
      </c>
      <c r="H1480">
        <v>250</v>
      </c>
      <c r="I1480" t="str" cm="1">
        <f t="array" ref="I1480">_xlfn.IFS(H1480&lt;=120,"V1",H1480&lt;=150,"V2",H1480&lt;=250,"V3", H1480&lt;=350, "V4")</f>
        <v>V3</v>
      </c>
      <c r="J1480" t="s">
        <v>5651</v>
      </c>
      <c r="K1480" t="str">
        <f t="shared" si="529"/>
        <v>35.7966</v>
      </c>
      <c r="L1480" t="str">
        <f t="shared" si="530"/>
        <v>-90.7307</v>
      </c>
      <c r="M1480">
        <v>124</v>
      </c>
      <c r="N1480" s="1">
        <v>44764</v>
      </c>
      <c r="O1480" s="1">
        <v>46099</v>
      </c>
      <c r="P1480" s="2">
        <f t="shared" si="531"/>
        <v>3.6550308008213555</v>
      </c>
      <c r="Q1480" s="2" t="str">
        <f t="shared" si="532"/>
        <v>Mid</v>
      </c>
      <c r="R1480">
        <f t="shared" si="533"/>
        <v>1750</v>
      </c>
      <c r="S1480" t="str">
        <f t="shared" si="534"/>
        <v>Small</v>
      </c>
      <c r="T1480" t="str">
        <f t="shared" si="535"/>
        <v>Lower EV Adoption Corridor</v>
      </c>
      <c r="U1480" s="3">
        <f t="shared" si="536"/>
        <v>3150000</v>
      </c>
      <c r="V1480" s="4">
        <f t="shared" si="537"/>
        <v>770000.00000000012</v>
      </c>
      <c r="W1480" s="3">
        <f t="shared" si="538"/>
        <v>10500000</v>
      </c>
      <c r="X1480" s="3">
        <f t="shared" si="539"/>
        <v>5775000.0000000009</v>
      </c>
      <c r="Y1480">
        <f t="shared" si="540"/>
        <v>0.31515151515151513</v>
      </c>
      <c r="Z1480">
        <f t="shared" si="541"/>
        <v>0.75555555555555554</v>
      </c>
      <c r="AA1480" t="str">
        <f t="shared" si="542"/>
        <v>Tier 2 - Growth Markets</v>
      </c>
      <c r="AB1480" s="3">
        <f t="shared" si="543"/>
        <v>110000.00000000001</v>
      </c>
      <c r="AC1480" s="3">
        <f t="shared" si="544"/>
        <v>1500000</v>
      </c>
      <c r="AD1480" s="3">
        <f t="shared" si="545"/>
        <v>450000</v>
      </c>
      <c r="AE1480" s="5">
        <f t="shared" si="546"/>
        <v>4.4117647058823533</v>
      </c>
      <c r="AF1480" s="10">
        <f t="shared" si="547"/>
        <v>477400.00000000006</v>
      </c>
      <c r="AG1480" s="10">
        <f t="shared" si="548"/>
        <v>154000.00000000003</v>
      </c>
      <c r="AH1480" s="10">
        <f t="shared" si="549"/>
        <v>77000.000000000015</v>
      </c>
      <c r="AI1480" s="10">
        <f t="shared" si="550"/>
        <v>38500.000000000007</v>
      </c>
      <c r="AJ1480" s="10">
        <f t="shared" si="551"/>
        <v>23100.000000000004</v>
      </c>
    </row>
    <row r="1481" spans="1:36" x14ac:dyDescent="0.3">
      <c r="A1481" t="s">
        <v>5652</v>
      </c>
      <c r="B1481" t="s">
        <v>5653</v>
      </c>
      <c r="C1481" t="s">
        <v>5654</v>
      </c>
      <c r="D1481" t="s">
        <v>77</v>
      </c>
      <c r="E1481">
        <v>27360</v>
      </c>
      <c r="F1481" t="s">
        <v>15</v>
      </c>
      <c r="G1481">
        <v>8</v>
      </c>
      <c r="H1481">
        <v>250</v>
      </c>
      <c r="I1481" t="str" cm="1">
        <f t="array" ref="I1481">_xlfn.IFS(H1481&lt;=120,"V1",H1481&lt;=150,"V2",H1481&lt;=250,"V3", H1481&lt;=350, "V4")</f>
        <v>V3</v>
      </c>
      <c r="J1481" t="s">
        <v>5655</v>
      </c>
      <c r="K1481" t="str">
        <f t="shared" si="529"/>
        <v>35.855555</v>
      </c>
      <c r="L1481" t="str">
        <f t="shared" si="530"/>
        <v>-80.072156</v>
      </c>
      <c r="M1481">
        <v>266</v>
      </c>
      <c r="N1481" s="1">
        <v>44758</v>
      </c>
      <c r="O1481" s="1">
        <v>46099</v>
      </c>
      <c r="P1481" s="2">
        <f t="shared" si="531"/>
        <v>3.6714579055441479</v>
      </c>
      <c r="Q1481" s="2" t="str">
        <f t="shared" si="532"/>
        <v>Mid</v>
      </c>
      <c r="R1481">
        <f t="shared" si="533"/>
        <v>2000</v>
      </c>
      <c r="S1481" t="str">
        <f t="shared" si="534"/>
        <v>Small</v>
      </c>
      <c r="T1481" t="str">
        <f t="shared" si="535"/>
        <v>Lower EV Adoption Corridor</v>
      </c>
      <c r="U1481" s="3">
        <f t="shared" si="536"/>
        <v>3600000</v>
      </c>
      <c r="V1481" s="4">
        <f t="shared" si="537"/>
        <v>880000.00000000012</v>
      </c>
      <c r="W1481" s="3">
        <f t="shared" si="538"/>
        <v>12000000</v>
      </c>
      <c r="X1481" s="3">
        <f t="shared" si="539"/>
        <v>6600000.0000000009</v>
      </c>
      <c r="Y1481">
        <f t="shared" si="540"/>
        <v>0.31515151515151513</v>
      </c>
      <c r="Z1481">
        <f t="shared" si="541"/>
        <v>0.75555555555555554</v>
      </c>
      <c r="AA1481" t="str">
        <f t="shared" si="542"/>
        <v>Tier 2 - Growth Markets</v>
      </c>
      <c r="AB1481" s="3">
        <f t="shared" si="543"/>
        <v>110000.00000000001</v>
      </c>
      <c r="AC1481" s="3">
        <f t="shared" si="544"/>
        <v>1500000</v>
      </c>
      <c r="AD1481" s="3">
        <f t="shared" si="545"/>
        <v>450000</v>
      </c>
      <c r="AE1481" s="5">
        <f t="shared" si="546"/>
        <v>4.4117647058823533</v>
      </c>
      <c r="AF1481" s="10">
        <f t="shared" si="547"/>
        <v>545600.00000000012</v>
      </c>
      <c r="AG1481" s="10">
        <f t="shared" si="548"/>
        <v>176000.00000000003</v>
      </c>
      <c r="AH1481" s="10">
        <f t="shared" si="549"/>
        <v>88000.000000000015</v>
      </c>
      <c r="AI1481" s="10">
        <f t="shared" si="550"/>
        <v>44000.000000000007</v>
      </c>
      <c r="AJ1481" s="10">
        <f t="shared" si="551"/>
        <v>26400.000000000004</v>
      </c>
    </row>
    <row r="1482" spans="1:36" x14ac:dyDescent="0.3">
      <c r="A1482" t="s">
        <v>5656</v>
      </c>
      <c r="B1482" t="s">
        <v>5657</v>
      </c>
      <c r="C1482" t="s">
        <v>5658</v>
      </c>
      <c r="D1482" t="s">
        <v>230</v>
      </c>
      <c r="E1482">
        <v>99032</v>
      </c>
      <c r="F1482" t="s">
        <v>15</v>
      </c>
      <c r="G1482">
        <v>8</v>
      </c>
      <c r="H1482">
        <v>250</v>
      </c>
      <c r="I1482" t="str" cm="1">
        <f t="array" ref="I1482">_xlfn.IFS(H1482&lt;=120,"V1",H1482&lt;=150,"V2",H1482&lt;=250,"V3", H1482&lt;=350, "V4")</f>
        <v>V3</v>
      </c>
      <c r="J1482" t="s">
        <v>5659</v>
      </c>
      <c r="K1482" t="str">
        <f t="shared" si="529"/>
        <v>47.209072</v>
      </c>
      <c r="L1482" t="str">
        <f t="shared" si="530"/>
        <v>-118.22589</v>
      </c>
      <c r="M1482">
        <v>581</v>
      </c>
      <c r="N1482" s="1">
        <v>44649</v>
      </c>
      <c r="O1482" s="1">
        <v>46099</v>
      </c>
      <c r="P1482" s="2">
        <f t="shared" si="531"/>
        <v>3.9698836413415468</v>
      </c>
      <c r="Q1482" s="2" t="str">
        <f t="shared" si="532"/>
        <v>Mid</v>
      </c>
      <c r="R1482">
        <f t="shared" si="533"/>
        <v>2000</v>
      </c>
      <c r="S1482" t="str">
        <f t="shared" si="534"/>
        <v>Small</v>
      </c>
      <c r="T1482" t="str">
        <f t="shared" si="535"/>
        <v>High EV Adoption Corridor</v>
      </c>
      <c r="U1482" s="3">
        <f t="shared" si="536"/>
        <v>4680000</v>
      </c>
      <c r="V1482" s="4">
        <f t="shared" si="537"/>
        <v>1056000</v>
      </c>
      <c r="W1482" s="3">
        <f t="shared" si="538"/>
        <v>13200000.000000002</v>
      </c>
      <c r="X1482" s="3">
        <f t="shared" si="539"/>
        <v>9900000.0000000019</v>
      </c>
      <c r="Y1482">
        <f t="shared" si="540"/>
        <v>0.23999999999999996</v>
      </c>
      <c r="Z1482">
        <f t="shared" si="541"/>
        <v>0.77435897435897438</v>
      </c>
      <c r="AA1482" t="str">
        <f t="shared" si="542"/>
        <v>Tier 1 - Priority Fleet</v>
      </c>
      <c r="AB1482" s="3">
        <f t="shared" si="543"/>
        <v>132000</v>
      </c>
      <c r="AC1482" s="3">
        <f t="shared" si="544"/>
        <v>1650000.0000000002</v>
      </c>
      <c r="AD1482" s="3">
        <f t="shared" si="545"/>
        <v>585000</v>
      </c>
      <c r="AE1482" s="5">
        <f t="shared" si="546"/>
        <v>3.6423841059602653</v>
      </c>
      <c r="AF1482" s="10">
        <f t="shared" si="547"/>
        <v>654720</v>
      </c>
      <c r="AG1482" s="10">
        <f t="shared" si="548"/>
        <v>211200</v>
      </c>
      <c r="AH1482" s="10">
        <f t="shared" si="549"/>
        <v>105600</v>
      </c>
      <c r="AI1482" s="10">
        <f t="shared" si="550"/>
        <v>52800</v>
      </c>
      <c r="AJ1482" s="10">
        <f t="shared" si="551"/>
        <v>31680</v>
      </c>
    </row>
    <row r="1483" spans="1:36" x14ac:dyDescent="0.3">
      <c r="A1483" t="s">
        <v>5660</v>
      </c>
      <c r="B1483" t="s">
        <v>5661</v>
      </c>
      <c r="C1483" t="s">
        <v>3926</v>
      </c>
      <c r="D1483" t="s">
        <v>59</v>
      </c>
      <c r="E1483">
        <v>61802</v>
      </c>
      <c r="F1483" t="s">
        <v>15</v>
      </c>
      <c r="G1483">
        <v>8</v>
      </c>
      <c r="H1483">
        <v>250</v>
      </c>
      <c r="I1483" t="str" cm="1">
        <f t="array" ref="I1483">_xlfn.IFS(H1483&lt;=120,"V1",H1483&lt;=150,"V2",H1483&lt;=250,"V3", H1483&lt;=350, "V4")</f>
        <v>V3</v>
      </c>
      <c r="J1483" t="s">
        <v>5662</v>
      </c>
      <c r="K1483" t="str">
        <f t="shared" si="529"/>
        <v>40.115628</v>
      </c>
      <c r="L1483" t="str">
        <f t="shared" si="530"/>
        <v>-88.182804</v>
      </c>
      <c r="M1483">
        <v>223</v>
      </c>
      <c r="N1483" s="1">
        <v>44792</v>
      </c>
      <c r="O1483" s="1">
        <v>46099</v>
      </c>
      <c r="P1483" s="2">
        <f t="shared" si="531"/>
        <v>3.5783709787816562</v>
      </c>
      <c r="Q1483" s="2" t="str">
        <f t="shared" si="532"/>
        <v>Mid</v>
      </c>
      <c r="R1483">
        <f t="shared" si="533"/>
        <v>2000</v>
      </c>
      <c r="S1483" t="str">
        <f t="shared" si="534"/>
        <v>Small</v>
      </c>
      <c r="T1483" t="str">
        <f t="shared" si="535"/>
        <v>Lower EV Adoption Corridor</v>
      </c>
      <c r="U1483" s="3">
        <f t="shared" si="536"/>
        <v>3600000</v>
      </c>
      <c r="V1483" s="4">
        <f t="shared" si="537"/>
        <v>880000.00000000012</v>
      </c>
      <c r="W1483" s="3">
        <f t="shared" si="538"/>
        <v>12000000</v>
      </c>
      <c r="X1483" s="3">
        <f t="shared" si="539"/>
        <v>6600000.0000000009</v>
      </c>
      <c r="Y1483">
        <f t="shared" si="540"/>
        <v>0.31515151515151513</v>
      </c>
      <c r="Z1483">
        <f t="shared" si="541"/>
        <v>0.75555555555555554</v>
      </c>
      <c r="AA1483" t="str">
        <f t="shared" si="542"/>
        <v>Tier 2 - Growth Markets</v>
      </c>
      <c r="AB1483" s="3">
        <f t="shared" si="543"/>
        <v>110000.00000000001</v>
      </c>
      <c r="AC1483" s="3">
        <f t="shared" si="544"/>
        <v>1500000</v>
      </c>
      <c r="AD1483" s="3">
        <f t="shared" si="545"/>
        <v>450000</v>
      </c>
      <c r="AE1483" s="5">
        <f t="shared" si="546"/>
        <v>4.4117647058823533</v>
      </c>
      <c r="AF1483" s="10">
        <f t="shared" si="547"/>
        <v>545600.00000000012</v>
      </c>
      <c r="AG1483" s="10">
        <f t="shared" si="548"/>
        <v>176000.00000000003</v>
      </c>
      <c r="AH1483" s="10">
        <f t="shared" si="549"/>
        <v>88000.000000000015</v>
      </c>
      <c r="AI1483" s="10">
        <f t="shared" si="550"/>
        <v>44000.000000000007</v>
      </c>
      <c r="AJ1483" s="10">
        <f t="shared" si="551"/>
        <v>26400.000000000004</v>
      </c>
    </row>
    <row r="1484" spans="1:36" x14ac:dyDescent="0.3">
      <c r="A1484" t="s">
        <v>5663</v>
      </c>
      <c r="B1484" t="s">
        <v>5664</v>
      </c>
      <c r="C1484" t="s">
        <v>5665</v>
      </c>
      <c r="D1484" t="s">
        <v>14</v>
      </c>
      <c r="E1484">
        <v>93662</v>
      </c>
      <c r="F1484" t="s">
        <v>15</v>
      </c>
      <c r="G1484">
        <v>16</v>
      </c>
      <c r="H1484">
        <v>250</v>
      </c>
      <c r="I1484" t="str" cm="1">
        <f t="array" ref="I1484">_xlfn.IFS(H1484&lt;=120,"V1",H1484&lt;=150,"V2",H1484&lt;=250,"V3", H1484&lt;=350, "V4")</f>
        <v>V3</v>
      </c>
      <c r="J1484" t="s">
        <v>5666</v>
      </c>
      <c r="K1484" t="str">
        <f t="shared" si="529"/>
        <v>36.574434</v>
      </c>
      <c r="L1484" t="str">
        <f t="shared" si="530"/>
        <v>-119.629402</v>
      </c>
      <c r="M1484">
        <v>94</v>
      </c>
      <c r="N1484" s="1">
        <v>44750</v>
      </c>
      <c r="O1484" s="1">
        <v>46099</v>
      </c>
      <c r="P1484" s="2">
        <f t="shared" si="531"/>
        <v>3.6933607118412048</v>
      </c>
      <c r="Q1484" s="2" t="str">
        <f t="shared" si="532"/>
        <v>Mid</v>
      </c>
      <c r="R1484">
        <f t="shared" si="533"/>
        <v>4000</v>
      </c>
      <c r="S1484" t="str">
        <f t="shared" si="534"/>
        <v>Small</v>
      </c>
      <c r="T1484" t="str">
        <f t="shared" si="535"/>
        <v>High EV Adoption Corridor</v>
      </c>
      <c r="U1484" s="3">
        <f t="shared" si="536"/>
        <v>9360000</v>
      </c>
      <c r="V1484" s="4">
        <f t="shared" si="537"/>
        <v>2112000</v>
      </c>
      <c r="W1484" s="3">
        <f t="shared" si="538"/>
        <v>26400000.000000004</v>
      </c>
      <c r="X1484" s="3">
        <f t="shared" si="539"/>
        <v>19800000.000000004</v>
      </c>
      <c r="Y1484">
        <f t="shared" si="540"/>
        <v>0.23999999999999996</v>
      </c>
      <c r="Z1484">
        <f t="shared" si="541"/>
        <v>0.77435897435897438</v>
      </c>
      <c r="AA1484" t="str">
        <f t="shared" si="542"/>
        <v>Tier 1 - Priority Fleet</v>
      </c>
      <c r="AB1484" s="3">
        <f t="shared" si="543"/>
        <v>132000</v>
      </c>
      <c r="AC1484" s="3">
        <f t="shared" si="544"/>
        <v>1650000.0000000002</v>
      </c>
      <c r="AD1484" s="3">
        <f t="shared" si="545"/>
        <v>585000</v>
      </c>
      <c r="AE1484" s="5">
        <f t="shared" si="546"/>
        <v>3.6423841059602653</v>
      </c>
      <c r="AF1484" s="10">
        <f t="shared" si="547"/>
        <v>1309440</v>
      </c>
      <c r="AG1484" s="10">
        <f t="shared" si="548"/>
        <v>422400</v>
      </c>
      <c r="AH1484" s="10">
        <f t="shared" si="549"/>
        <v>211200</v>
      </c>
      <c r="AI1484" s="10">
        <f t="shared" si="550"/>
        <v>105600</v>
      </c>
      <c r="AJ1484" s="10">
        <f t="shared" si="551"/>
        <v>63360</v>
      </c>
    </row>
    <row r="1485" spans="1:36" x14ac:dyDescent="0.3">
      <c r="A1485" t="s">
        <v>5667</v>
      </c>
      <c r="B1485" t="s">
        <v>5668</v>
      </c>
      <c r="C1485" t="s">
        <v>5669</v>
      </c>
      <c r="D1485" t="s">
        <v>77</v>
      </c>
      <c r="E1485">
        <v>27839</v>
      </c>
      <c r="F1485" t="s">
        <v>15</v>
      </c>
      <c r="G1485">
        <v>12</v>
      </c>
      <c r="H1485">
        <v>250</v>
      </c>
      <c r="I1485" t="str" cm="1">
        <f t="array" ref="I1485">_xlfn.IFS(H1485&lt;=120,"V1",H1485&lt;=150,"V2",H1485&lt;=250,"V3", H1485&lt;=350, "V4")</f>
        <v>V3</v>
      </c>
      <c r="J1485" t="s">
        <v>5670</v>
      </c>
      <c r="K1485" t="str">
        <f t="shared" si="529"/>
        <v>34.921509</v>
      </c>
      <c r="L1485" t="str">
        <f t="shared" si="530"/>
        <v>-79.74772</v>
      </c>
      <c r="M1485">
        <v>81</v>
      </c>
      <c r="N1485" s="1">
        <v>44540</v>
      </c>
      <c r="O1485" s="1">
        <v>46099</v>
      </c>
      <c r="P1485" s="2">
        <f t="shared" si="531"/>
        <v>4.2683093771389462</v>
      </c>
      <c r="Q1485" s="2" t="str">
        <f t="shared" si="532"/>
        <v>Mid</v>
      </c>
      <c r="R1485">
        <f t="shared" si="533"/>
        <v>3000</v>
      </c>
      <c r="S1485" t="str">
        <f t="shared" si="534"/>
        <v>Small</v>
      </c>
      <c r="T1485" t="str">
        <f t="shared" si="535"/>
        <v>Lower EV Adoption Corridor</v>
      </c>
      <c r="U1485" s="3">
        <f t="shared" si="536"/>
        <v>5400000</v>
      </c>
      <c r="V1485" s="4">
        <f t="shared" si="537"/>
        <v>1320000</v>
      </c>
      <c r="W1485" s="3">
        <f t="shared" si="538"/>
        <v>18000000</v>
      </c>
      <c r="X1485" s="3">
        <f t="shared" si="539"/>
        <v>9900000</v>
      </c>
      <c r="Y1485">
        <f t="shared" si="540"/>
        <v>0.31515151515151513</v>
      </c>
      <c r="Z1485">
        <f t="shared" si="541"/>
        <v>0.75555555555555554</v>
      </c>
      <c r="AA1485" t="str">
        <f t="shared" si="542"/>
        <v>Tier 2 - Growth Markets</v>
      </c>
      <c r="AB1485" s="3">
        <f t="shared" si="543"/>
        <v>110000</v>
      </c>
      <c r="AC1485" s="3">
        <f t="shared" si="544"/>
        <v>1500000</v>
      </c>
      <c r="AD1485" s="3">
        <f t="shared" si="545"/>
        <v>450000</v>
      </c>
      <c r="AE1485" s="5">
        <f t="shared" si="546"/>
        <v>4.4117647058823533</v>
      </c>
      <c r="AF1485" s="10">
        <f t="shared" si="547"/>
        <v>818400</v>
      </c>
      <c r="AG1485" s="10">
        <f t="shared" si="548"/>
        <v>264000</v>
      </c>
      <c r="AH1485" s="10">
        <f t="shared" si="549"/>
        <v>132000</v>
      </c>
      <c r="AI1485" s="10">
        <f t="shared" si="550"/>
        <v>66000</v>
      </c>
      <c r="AJ1485" s="10">
        <f t="shared" si="551"/>
        <v>39600</v>
      </c>
    </row>
    <row r="1486" spans="1:36" x14ac:dyDescent="0.3">
      <c r="A1486" t="s">
        <v>5671</v>
      </c>
      <c r="B1486" t="s">
        <v>5672</v>
      </c>
      <c r="C1486" t="s">
        <v>5673</v>
      </c>
      <c r="D1486" t="s">
        <v>189</v>
      </c>
      <c r="E1486">
        <v>53142</v>
      </c>
      <c r="F1486" t="s">
        <v>15</v>
      </c>
      <c r="G1486">
        <v>12</v>
      </c>
      <c r="H1486">
        <v>250</v>
      </c>
      <c r="I1486" t="str" cm="1">
        <f t="array" ref="I1486">_xlfn.IFS(H1486&lt;=120,"V1",H1486&lt;=150,"V2",H1486&lt;=250,"V3", H1486&lt;=350, "V4")</f>
        <v>V3</v>
      </c>
      <c r="J1486" t="s">
        <v>5674</v>
      </c>
      <c r="K1486" t="str">
        <f t="shared" si="529"/>
        <v>42.56911</v>
      </c>
      <c r="L1486" t="str">
        <f t="shared" si="530"/>
        <v>-87.947466</v>
      </c>
      <c r="M1486">
        <v>212</v>
      </c>
      <c r="N1486" s="1">
        <v>44548</v>
      </c>
      <c r="O1486" s="1">
        <v>46099</v>
      </c>
      <c r="P1486" s="2">
        <f t="shared" si="531"/>
        <v>4.2464065708418888</v>
      </c>
      <c r="Q1486" s="2" t="str">
        <f t="shared" si="532"/>
        <v>Mid</v>
      </c>
      <c r="R1486">
        <f t="shared" si="533"/>
        <v>3000</v>
      </c>
      <c r="S1486" t="str">
        <f t="shared" si="534"/>
        <v>Small</v>
      </c>
      <c r="T1486" t="str">
        <f t="shared" si="535"/>
        <v>Lower EV Adoption Corridor</v>
      </c>
      <c r="U1486" s="3">
        <f t="shared" si="536"/>
        <v>5400000</v>
      </c>
      <c r="V1486" s="4">
        <f t="shared" si="537"/>
        <v>1320000</v>
      </c>
      <c r="W1486" s="3">
        <f t="shared" si="538"/>
        <v>18000000</v>
      </c>
      <c r="X1486" s="3">
        <f t="shared" si="539"/>
        <v>9900000</v>
      </c>
      <c r="Y1486">
        <f t="shared" si="540"/>
        <v>0.31515151515151513</v>
      </c>
      <c r="Z1486">
        <f t="shared" si="541"/>
        <v>0.75555555555555554</v>
      </c>
      <c r="AA1486" t="str">
        <f t="shared" si="542"/>
        <v>Tier 2 - Growth Markets</v>
      </c>
      <c r="AB1486" s="3">
        <f t="shared" si="543"/>
        <v>110000</v>
      </c>
      <c r="AC1486" s="3">
        <f t="shared" si="544"/>
        <v>1500000</v>
      </c>
      <c r="AD1486" s="3">
        <f t="shared" si="545"/>
        <v>450000</v>
      </c>
      <c r="AE1486" s="5">
        <f t="shared" si="546"/>
        <v>4.4117647058823533</v>
      </c>
      <c r="AF1486" s="10">
        <f t="shared" si="547"/>
        <v>818400</v>
      </c>
      <c r="AG1486" s="10">
        <f t="shared" si="548"/>
        <v>264000</v>
      </c>
      <c r="AH1486" s="10">
        <f t="shared" si="549"/>
        <v>132000</v>
      </c>
      <c r="AI1486" s="10">
        <f t="shared" si="550"/>
        <v>66000</v>
      </c>
      <c r="AJ1486" s="10">
        <f t="shared" si="551"/>
        <v>39600</v>
      </c>
    </row>
    <row r="1487" spans="1:36" x14ac:dyDescent="0.3">
      <c r="A1487" t="s">
        <v>5675</v>
      </c>
      <c r="B1487" t="s">
        <v>5676</v>
      </c>
      <c r="C1487" t="s">
        <v>5677</v>
      </c>
      <c r="D1487" t="s">
        <v>184</v>
      </c>
      <c r="E1487">
        <v>45840</v>
      </c>
      <c r="F1487" t="s">
        <v>15</v>
      </c>
      <c r="G1487">
        <v>8</v>
      </c>
      <c r="H1487">
        <v>250</v>
      </c>
      <c r="I1487" t="str" cm="1">
        <f t="array" ref="I1487">_xlfn.IFS(H1487&lt;=120,"V1",H1487&lt;=150,"V2",H1487&lt;=250,"V3", H1487&lt;=350, "V4")</f>
        <v>V3</v>
      </c>
      <c r="J1487" t="s">
        <v>5678</v>
      </c>
      <c r="K1487" t="str">
        <f t="shared" si="529"/>
        <v>41.059623</v>
      </c>
      <c r="L1487" t="str">
        <f t="shared" si="530"/>
        <v>-83.671058</v>
      </c>
      <c r="M1487">
        <v>238</v>
      </c>
      <c r="N1487" s="1">
        <v>44513</v>
      </c>
      <c r="O1487" s="1">
        <v>46099</v>
      </c>
      <c r="P1487" s="2">
        <f t="shared" si="531"/>
        <v>4.3422313483915129</v>
      </c>
      <c r="Q1487" s="2" t="str">
        <f t="shared" si="532"/>
        <v>Mid</v>
      </c>
      <c r="R1487">
        <f t="shared" si="533"/>
        <v>2000</v>
      </c>
      <c r="S1487" t="str">
        <f t="shared" si="534"/>
        <v>Small</v>
      </c>
      <c r="T1487" t="str">
        <f t="shared" si="535"/>
        <v>Lower EV Adoption Corridor</v>
      </c>
      <c r="U1487" s="3">
        <f t="shared" si="536"/>
        <v>3600000</v>
      </c>
      <c r="V1487" s="4">
        <f t="shared" si="537"/>
        <v>880000.00000000012</v>
      </c>
      <c r="W1487" s="3">
        <f t="shared" si="538"/>
        <v>12000000</v>
      </c>
      <c r="X1487" s="3">
        <f t="shared" si="539"/>
        <v>6600000.0000000009</v>
      </c>
      <c r="Y1487">
        <f t="shared" si="540"/>
        <v>0.31515151515151513</v>
      </c>
      <c r="Z1487">
        <f t="shared" si="541"/>
        <v>0.75555555555555554</v>
      </c>
      <c r="AA1487" t="str">
        <f t="shared" si="542"/>
        <v>Tier 2 - Growth Markets</v>
      </c>
      <c r="AB1487" s="3">
        <f t="shared" si="543"/>
        <v>110000.00000000001</v>
      </c>
      <c r="AC1487" s="3">
        <f t="shared" si="544"/>
        <v>1500000</v>
      </c>
      <c r="AD1487" s="3">
        <f t="shared" si="545"/>
        <v>450000</v>
      </c>
      <c r="AE1487" s="5">
        <f t="shared" si="546"/>
        <v>4.4117647058823533</v>
      </c>
      <c r="AF1487" s="10">
        <f t="shared" si="547"/>
        <v>545600.00000000012</v>
      </c>
      <c r="AG1487" s="10">
        <f t="shared" si="548"/>
        <v>176000.00000000003</v>
      </c>
      <c r="AH1487" s="10">
        <f t="shared" si="549"/>
        <v>88000.000000000015</v>
      </c>
      <c r="AI1487" s="10">
        <f t="shared" si="550"/>
        <v>44000.000000000007</v>
      </c>
      <c r="AJ1487" s="10">
        <f t="shared" si="551"/>
        <v>26400.000000000004</v>
      </c>
    </row>
    <row r="1488" spans="1:36" x14ac:dyDescent="0.3">
      <c r="A1488" t="s">
        <v>5679</v>
      </c>
      <c r="B1488" t="s">
        <v>5680</v>
      </c>
      <c r="C1488" t="s">
        <v>5681</v>
      </c>
      <c r="D1488" t="s">
        <v>50</v>
      </c>
      <c r="E1488">
        <v>75020</v>
      </c>
      <c r="F1488" t="s">
        <v>15</v>
      </c>
      <c r="G1488">
        <v>8</v>
      </c>
      <c r="H1488">
        <v>250</v>
      </c>
      <c r="I1488" t="str" cm="1">
        <f t="array" ref="I1488">_xlfn.IFS(H1488&lt;=120,"V1",H1488&lt;=150,"V2",H1488&lt;=250,"V3", H1488&lt;=350, "V4")</f>
        <v>V3</v>
      </c>
      <c r="J1488" t="s">
        <v>5682</v>
      </c>
      <c r="K1488" t="str">
        <f t="shared" si="529"/>
        <v>33.793806</v>
      </c>
      <c r="L1488" t="str">
        <f t="shared" si="530"/>
        <v>-96.554709</v>
      </c>
      <c r="M1488">
        <v>208</v>
      </c>
      <c r="N1488" s="1">
        <v>44524</v>
      </c>
      <c r="O1488" s="1">
        <v>46099</v>
      </c>
      <c r="P1488" s="2">
        <f t="shared" si="531"/>
        <v>4.3121149897330593</v>
      </c>
      <c r="Q1488" s="2" t="str">
        <f t="shared" si="532"/>
        <v>Mid</v>
      </c>
      <c r="R1488">
        <f t="shared" si="533"/>
        <v>2000</v>
      </c>
      <c r="S1488" t="str">
        <f t="shared" si="534"/>
        <v>Small</v>
      </c>
      <c r="T1488" t="str">
        <f t="shared" si="535"/>
        <v>High EV Adoption Corridor</v>
      </c>
      <c r="U1488" s="3">
        <f t="shared" si="536"/>
        <v>4680000</v>
      </c>
      <c r="V1488" s="4">
        <f t="shared" si="537"/>
        <v>1056000</v>
      </c>
      <c r="W1488" s="3">
        <f t="shared" si="538"/>
        <v>13200000.000000002</v>
      </c>
      <c r="X1488" s="3">
        <f t="shared" si="539"/>
        <v>9900000.0000000019</v>
      </c>
      <c r="Y1488">
        <f t="shared" si="540"/>
        <v>0.23999999999999996</v>
      </c>
      <c r="Z1488">
        <f t="shared" si="541"/>
        <v>0.77435897435897438</v>
      </c>
      <c r="AA1488" t="str">
        <f t="shared" si="542"/>
        <v>Tier 1 - Priority Fleet</v>
      </c>
      <c r="AB1488" s="3">
        <f t="shared" si="543"/>
        <v>132000</v>
      </c>
      <c r="AC1488" s="3">
        <f t="shared" si="544"/>
        <v>1650000.0000000002</v>
      </c>
      <c r="AD1488" s="3">
        <f t="shared" si="545"/>
        <v>585000</v>
      </c>
      <c r="AE1488" s="5">
        <f t="shared" si="546"/>
        <v>3.6423841059602653</v>
      </c>
      <c r="AF1488" s="10">
        <f t="shared" si="547"/>
        <v>654720</v>
      </c>
      <c r="AG1488" s="10">
        <f t="shared" si="548"/>
        <v>211200</v>
      </c>
      <c r="AH1488" s="10">
        <f t="shared" si="549"/>
        <v>105600</v>
      </c>
      <c r="AI1488" s="10">
        <f t="shared" si="550"/>
        <v>52800</v>
      </c>
      <c r="AJ1488" s="10">
        <f t="shared" si="551"/>
        <v>31680</v>
      </c>
    </row>
    <row r="1489" spans="1:36" x14ac:dyDescent="0.3">
      <c r="A1489" t="s">
        <v>5683</v>
      </c>
      <c r="B1489" t="s">
        <v>5684</v>
      </c>
      <c r="C1489" t="s">
        <v>2342</v>
      </c>
      <c r="D1489" t="s">
        <v>59</v>
      </c>
      <c r="E1489">
        <v>61761</v>
      </c>
      <c r="F1489" t="s">
        <v>15</v>
      </c>
      <c r="G1489">
        <v>12</v>
      </c>
      <c r="H1489">
        <v>250</v>
      </c>
      <c r="I1489" t="str" cm="1">
        <f t="array" ref="I1489">_xlfn.IFS(H1489&lt;=120,"V1",H1489&lt;=150,"V2",H1489&lt;=250,"V3", H1489&lt;=350, "V4")</f>
        <v>V3</v>
      </c>
      <c r="J1489" t="s">
        <v>5685</v>
      </c>
      <c r="K1489" t="str">
        <f t="shared" si="529"/>
        <v>40.511235</v>
      </c>
      <c r="L1489" t="str">
        <f t="shared" si="530"/>
        <v>-88.947814</v>
      </c>
      <c r="M1489">
        <v>249</v>
      </c>
      <c r="N1489" s="1">
        <v>44518</v>
      </c>
      <c r="O1489" s="1">
        <v>46099</v>
      </c>
      <c r="P1489" s="2">
        <f t="shared" si="531"/>
        <v>4.3285420944558526</v>
      </c>
      <c r="Q1489" s="2" t="str">
        <f t="shared" si="532"/>
        <v>Mid</v>
      </c>
      <c r="R1489">
        <f t="shared" si="533"/>
        <v>3000</v>
      </c>
      <c r="S1489" t="str">
        <f t="shared" si="534"/>
        <v>Small</v>
      </c>
      <c r="T1489" t="str">
        <f t="shared" si="535"/>
        <v>Lower EV Adoption Corridor</v>
      </c>
      <c r="U1489" s="3">
        <f t="shared" si="536"/>
        <v>5400000</v>
      </c>
      <c r="V1489" s="4">
        <f t="shared" si="537"/>
        <v>1320000</v>
      </c>
      <c r="W1489" s="3">
        <f t="shared" si="538"/>
        <v>18000000</v>
      </c>
      <c r="X1489" s="3">
        <f t="shared" si="539"/>
        <v>9900000</v>
      </c>
      <c r="Y1489">
        <f t="shared" si="540"/>
        <v>0.31515151515151513</v>
      </c>
      <c r="Z1489">
        <f t="shared" si="541"/>
        <v>0.75555555555555554</v>
      </c>
      <c r="AA1489" t="str">
        <f t="shared" si="542"/>
        <v>Tier 2 - Growth Markets</v>
      </c>
      <c r="AB1489" s="3">
        <f t="shared" si="543"/>
        <v>110000</v>
      </c>
      <c r="AC1489" s="3">
        <f t="shared" si="544"/>
        <v>1500000</v>
      </c>
      <c r="AD1489" s="3">
        <f t="shared" si="545"/>
        <v>450000</v>
      </c>
      <c r="AE1489" s="5">
        <f t="shared" si="546"/>
        <v>4.4117647058823533</v>
      </c>
      <c r="AF1489" s="10">
        <f t="shared" si="547"/>
        <v>818400</v>
      </c>
      <c r="AG1489" s="10">
        <f t="shared" si="548"/>
        <v>264000</v>
      </c>
      <c r="AH1489" s="10">
        <f t="shared" si="549"/>
        <v>132000</v>
      </c>
      <c r="AI1489" s="10">
        <f t="shared" si="550"/>
        <v>66000</v>
      </c>
      <c r="AJ1489" s="10">
        <f t="shared" si="551"/>
        <v>39600</v>
      </c>
    </row>
    <row r="1490" spans="1:36" x14ac:dyDescent="0.3">
      <c r="A1490" t="s">
        <v>5686</v>
      </c>
      <c r="B1490" t="s">
        <v>5687</v>
      </c>
      <c r="C1490" t="s">
        <v>5688</v>
      </c>
      <c r="D1490" t="s">
        <v>294</v>
      </c>
      <c r="E1490">
        <v>37347</v>
      </c>
      <c r="F1490" t="s">
        <v>15</v>
      </c>
      <c r="G1490">
        <v>12</v>
      </c>
      <c r="H1490">
        <v>250</v>
      </c>
      <c r="I1490" t="str" cm="1">
        <f t="array" ref="I1490">_xlfn.IFS(H1490&lt;=120,"V1",H1490&lt;=150,"V2",H1490&lt;=250,"V3", H1490&lt;=350, "V4")</f>
        <v>V3</v>
      </c>
      <c r="J1490" t="s">
        <v>5689</v>
      </c>
      <c r="K1490" t="str">
        <f t="shared" si="529"/>
        <v>35.039825</v>
      </c>
      <c r="L1490" t="str">
        <f t="shared" si="530"/>
        <v>-85.685066</v>
      </c>
      <c r="M1490">
        <v>188</v>
      </c>
      <c r="N1490" s="1">
        <v>44473</v>
      </c>
      <c r="O1490" s="1">
        <v>46099</v>
      </c>
      <c r="P1490" s="2">
        <f t="shared" si="531"/>
        <v>4.4517453798767965</v>
      </c>
      <c r="Q1490" s="2" t="str">
        <f t="shared" si="532"/>
        <v>Mid</v>
      </c>
      <c r="R1490">
        <f t="shared" si="533"/>
        <v>3000</v>
      </c>
      <c r="S1490" t="str">
        <f t="shared" si="534"/>
        <v>Small</v>
      </c>
      <c r="T1490" t="str">
        <f t="shared" si="535"/>
        <v>Lower EV Adoption Corridor</v>
      </c>
      <c r="U1490" s="3">
        <f t="shared" si="536"/>
        <v>5400000</v>
      </c>
      <c r="V1490" s="4">
        <f t="shared" si="537"/>
        <v>1320000</v>
      </c>
      <c r="W1490" s="3">
        <f t="shared" si="538"/>
        <v>18000000</v>
      </c>
      <c r="X1490" s="3">
        <f t="shared" si="539"/>
        <v>9900000</v>
      </c>
      <c r="Y1490">
        <f t="shared" si="540"/>
        <v>0.31515151515151513</v>
      </c>
      <c r="Z1490">
        <f t="shared" si="541"/>
        <v>0.75555555555555554</v>
      </c>
      <c r="AA1490" t="str">
        <f t="shared" si="542"/>
        <v>Tier 2 - Growth Markets</v>
      </c>
      <c r="AB1490" s="3">
        <f t="shared" si="543"/>
        <v>110000</v>
      </c>
      <c r="AC1490" s="3">
        <f t="shared" si="544"/>
        <v>1500000</v>
      </c>
      <c r="AD1490" s="3">
        <f t="shared" si="545"/>
        <v>450000</v>
      </c>
      <c r="AE1490" s="5">
        <f t="shared" si="546"/>
        <v>4.4117647058823533</v>
      </c>
      <c r="AF1490" s="10">
        <f t="shared" si="547"/>
        <v>818400</v>
      </c>
      <c r="AG1490" s="10">
        <f t="shared" si="548"/>
        <v>264000</v>
      </c>
      <c r="AH1490" s="10">
        <f t="shared" si="549"/>
        <v>132000</v>
      </c>
      <c r="AI1490" s="10">
        <f t="shared" si="550"/>
        <v>66000</v>
      </c>
      <c r="AJ1490" s="10">
        <f t="shared" si="551"/>
        <v>39600</v>
      </c>
    </row>
    <row r="1491" spans="1:36" x14ac:dyDescent="0.3">
      <c r="A1491" t="s">
        <v>5690</v>
      </c>
      <c r="B1491" t="s">
        <v>5691</v>
      </c>
      <c r="C1491" t="s">
        <v>5692</v>
      </c>
      <c r="D1491" t="s">
        <v>50</v>
      </c>
      <c r="E1491">
        <v>78636</v>
      </c>
      <c r="F1491" t="s">
        <v>15</v>
      </c>
      <c r="G1491">
        <v>8</v>
      </c>
      <c r="H1491">
        <v>250</v>
      </c>
      <c r="I1491" t="str" cm="1">
        <f t="array" ref="I1491">_xlfn.IFS(H1491&lt;=120,"V1",H1491&lt;=150,"V2",H1491&lt;=250,"V3", H1491&lt;=350, "V4")</f>
        <v>V3</v>
      </c>
      <c r="J1491" t="s">
        <v>5693</v>
      </c>
      <c r="K1491" t="str">
        <f t="shared" si="529"/>
        <v>30.269934</v>
      </c>
      <c r="L1491" t="str">
        <f t="shared" si="530"/>
        <v>-98.398065</v>
      </c>
      <c r="M1491">
        <v>365</v>
      </c>
      <c r="N1491" s="1">
        <v>44524</v>
      </c>
      <c r="O1491" s="1">
        <v>46099</v>
      </c>
      <c r="P1491" s="2">
        <f t="shared" si="531"/>
        <v>4.3121149897330593</v>
      </c>
      <c r="Q1491" s="2" t="str">
        <f t="shared" si="532"/>
        <v>Mid</v>
      </c>
      <c r="R1491">
        <f t="shared" si="533"/>
        <v>2000</v>
      </c>
      <c r="S1491" t="str">
        <f t="shared" si="534"/>
        <v>Small</v>
      </c>
      <c r="T1491" t="str">
        <f t="shared" si="535"/>
        <v>High EV Adoption Corridor</v>
      </c>
      <c r="U1491" s="3">
        <f t="shared" si="536"/>
        <v>4680000</v>
      </c>
      <c r="V1491" s="4">
        <f t="shared" si="537"/>
        <v>1056000</v>
      </c>
      <c r="W1491" s="3">
        <f t="shared" si="538"/>
        <v>13200000.000000002</v>
      </c>
      <c r="X1491" s="3">
        <f t="shared" si="539"/>
        <v>9900000.0000000019</v>
      </c>
      <c r="Y1491">
        <f t="shared" si="540"/>
        <v>0.23999999999999996</v>
      </c>
      <c r="Z1491">
        <f t="shared" si="541"/>
        <v>0.77435897435897438</v>
      </c>
      <c r="AA1491" t="str">
        <f t="shared" si="542"/>
        <v>Tier 1 - Priority Fleet</v>
      </c>
      <c r="AB1491" s="3">
        <f t="shared" si="543"/>
        <v>132000</v>
      </c>
      <c r="AC1491" s="3">
        <f t="shared" si="544"/>
        <v>1650000.0000000002</v>
      </c>
      <c r="AD1491" s="3">
        <f t="shared" si="545"/>
        <v>585000</v>
      </c>
      <c r="AE1491" s="5">
        <f t="shared" si="546"/>
        <v>3.6423841059602653</v>
      </c>
      <c r="AF1491" s="10">
        <f t="shared" si="547"/>
        <v>654720</v>
      </c>
      <c r="AG1491" s="10">
        <f t="shared" si="548"/>
        <v>211200</v>
      </c>
      <c r="AH1491" s="10">
        <f t="shared" si="549"/>
        <v>105600</v>
      </c>
      <c r="AI1491" s="10">
        <f t="shared" si="550"/>
        <v>52800</v>
      </c>
      <c r="AJ1491" s="10">
        <f t="shared" si="551"/>
        <v>31680</v>
      </c>
    </row>
    <row r="1492" spans="1:36" x14ac:dyDescent="0.3">
      <c r="A1492" t="s">
        <v>5694</v>
      </c>
      <c r="B1492" t="s">
        <v>5695</v>
      </c>
      <c r="C1492" t="s">
        <v>5696</v>
      </c>
      <c r="D1492" t="s">
        <v>316</v>
      </c>
      <c r="E1492">
        <v>97741</v>
      </c>
      <c r="F1492" t="s">
        <v>15</v>
      </c>
      <c r="G1492">
        <v>8</v>
      </c>
      <c r="H1492">
        <v>250</v>
      </c>
      <c r="I1492" t="str" cm="1">
        <f t="array" ref="I1492">_xlfn.IFS(H1492&lt;=120,"V1",H1492&lt;=150,"V2",H1492&lt;=250,"V3", H1492&lt;=350, "V4")</f>
        <v>V3</v>
      </c>
      <c r="J1492" t="s">
        <v>5697</v>
      </c>
      <c r="K1492" t="str">
        <f t="shared" si="529"/>
        <v>44.614312</v>
      </c>
      <c r="L1492" t="str">
        <f t="shared" si="530"/>
        <v>-121.134674</v>
      </c>
      <c r="M1492">
        <v>724</v>
      </c>
      <c r="N1492" s="1">
        <v>44750</v>
      </c>
      <c r="O1492" s="1">
        <v>46099</v>
      </c>
      <c r="P1492" s="2">
        <f t="shared" si="531"/>
        <v>3.6933607118412048</v>
      </c>
      <c r="Q1492" s="2" t="str">
        <f t="shared" si="532"/>
        <v>Mid</v>
      </c>
      <c r="R1492">
        <f t="shared" si="533"/>
        <v>2000</v>
      </c>
      <c r="S1492" t="str">
        <f t="shared" si="534"/>
        <v>Small</v>
      </c>
      <c r="T1492" t="str">
        <f t="shared" si="535"/>
        <v>Lower EV Adoption Corridor</v>
      </c>
      <c r="U1492" s="3">
        <f t="shared" si="536"/>
        <v>3600000</v>
      </c>
      <c r="V1492" s="4">
        <f t="shared" si="537"/>
        <v>880000.00000000012</v>
      </c>
      <c r="W1492" s="3">
        <f t="shared" si="538"/>
        <v>12000000</v>
      </c>
      <c r="X1492" s="3">
        <f t="shared" si="539"/>
        <v>6600000.0000000009</v>
      </c>
      <c r="Y1492">
        <f t="shared" si="540"/>
        <v>0.31515151515151513</v>
      </c>
      <c r="Z1492">
        <f t="shared" si="541"/>
        <v>0.75555555555555554</v>
      </c>
      <c r="AA1492" t="str">
        <f t="shared" si="542"/>
        <v>Tier 2 - Growth Markets</v>
      </c>
      <c r="AB1492" s="3">
        <f t="shared" si="543"/>
        <v>110000.00000000001</v>
      </c>
      <c r="AC1492" s="3">
        <f t="shared" si="544"/>
        <v>1500000</v>
      </c>
      <c r="AD1492" s="3">
        <f t="shared" si="545"/>
        <v>450000</v>
      </c>
      <c r="AE1492" s="5">
        <f t="shared" si="546"/>
        <v>4.4117647058823533</v>
      </c>
      <c r="AF1492" s="10">
        <f t="shared" si="547"/>
        <v>545600.00000000012</v>
      </c>
      <c r="AG1492" s="10">
        <f t="shared" si="548"/>
        <v>176000.00000000003</v>
      </c>
      <c r="AH1492" s="10">
        <f t="shared" si="549"/>
        <v>88000.000000000015</v>
      </c>
      <c r="AI1492" s="10">
        <f t="shared" si="550"/>
        <v>44000.000000000007</v>
      </c>
      <c r="AJ1492" s="10">
        <f t="shared" si="551"/>
        <v>26400.000000000004</v>
      </c>
    </row>
    <row r="1493" spans="1:36" x14ac:dyDescent="0.3">
      <c r="A1493" t="s">
        <v>5698</v>
      </c>
      <c r="B1493" t="s">
        <v>5699</v>
      </c>
      <c r="C1493" t="s">
        <v>23</v>
      </c>
      <c r="D1493" t="s">
        <v>14</v>
      </c>
      <c r="E1493">
        <v>92311</v>
      </c>
      <c r="F1493" t="s">
        <v>15</v>
      </c>
      <c r="G1493">
        <v>4</v>
      </c>
      <c r="H1493">
        <v>72</v>
      </c>
      <c r="I1493" t="str" cm="1">
        <f t="array" ref="I1493">_xlfn.IFS(H1493&lt;=120,"V1",H1493&lt;=150,"V2",H1493&lt;=250,"V3", H1493&lt;=350, "V4")</f>
        <v>V1</v>
      </c>
      <c r="J1493" t="s">
        <v>5700</v>
      </c>
      <c r="K1493" t="str">
        <f t="shared" si="529"/>
        <v>34.8881</v>
      </c>
      <c r="L1493" t="str">
        <f t="shared" si="530"/>
        <v>-116.9955</v>
      </c>
      <c r="M1493">
        <v>642</v>
      </c>
      <c r="N1493" s="1">
        <v>44708</v>
      </c>
      <c r="O1493" s="1">
        <v>46099</v>
      </c>
      <c r="P1493" s="2">
        <f t="shared" si="531"/>
        <v>3.808350444900753</v>
      </c>
      <c r="Q1493" s="2" t="str">
        <f t="shared" si="532"/>
        <v>Mid</v>
      </c>
      <c r="R1493">
        <f t="shared" si="533"/>
        <v>288</v>
      </c>
      <c r="S1493" t="str">
        <f t="shared" si="534"/>
        <v>Small</v>
      </c>
      <c r="T1493" t="str">
        <f t="shared" si="535"/>
        <v>High EV Adoption Corridor</v>
      </c>
      <c r="U1493" s="3">
        <f t="shared" si="536"/>
        <v>561600</v>
      </c>
      <c r="V1493" s="4">
        <f t="shared" si="537"/>
        <v>124416</v>
      </c>
      <c r="W1493" s="3">
        <f t="shared" si="538"/>
        <v>1267200</v>
      </c>
      <c r="X1493" s="3">
        <f t="shared" si="539"/>
        <v>1166400</v>
      </c>
      <c r="Y1493">
        <f t="shared" si="540"/>
        <v>0.21530864197530863</v>
      </c>
      <c r="Z1493">
        <f t="shared" si="541"/>
        <v>0.77846153846153843</v>
      </c>
      <c r="AA1493" t="str">
        <f t="shared" si="542"/>
        <v>Tier 3 - Upgrade Pipeline</v>
      </c>
      <c r="AB1493" s="3">
        <f t="shared" si="543"/>
        <v>31104</v>
      </c>
      <c r="AC1493" s="3">
        <f t="shared" si="544"/>
        <v>316800</v>
      </c>
      <c r="AD1493" s="3">
        <f t="shared" si="545"/>
        <v>140400</v>
      </c>
      <c r="AE1493" s="5">
        <f t="shared" si="546"/>
        <v>2.8985507246376812</v>
      </c>
      <c r="AF1493" s="10">
        <f t="shared" si="547"/>
        <v>77137.919999999998</v>
      </c>
      <c r="AG1493" s="10">
        <f t="shared" si="548"/>
        <v>24883.200000000001</v>
      </c>
      <c r="AH1493" s="10">
        <f t="shared" si="549"/>
        <v>12441.6</v>
      </c>
      <c r="AI1493" s="10">
        <f t="shared" si="550"/>
        <v>6220.8</v>
      </c>
      <c r="AJ1493" s="10">
        <f t="shared" si="551"/>
        <v>3732.48</v>
      </c>
    </row>
    <row r="1494" spans="1:36" x14ac:dyDescent="0.3">
      <c r="A1494" t="s">
        <v>5701</v>
      </c>
      <c r="B1494" t="s">
        <v>5702</v>
      </c>
      <c r="C1494" t="s">
        <v>1728</v>
      </c>
      <c r="D1494" t="s">
        <v>852</v>
      </c>
      <c r="E1494">
        <v>8857</v>
      </c>
      <c r="F1494" t="s">
        <v>15</v>
      </c>
      <c r="G1494">
        <v>16</v>
      </c>
      <c r="H1494">
        <v>250</v>
      </c>
      <c r="I1494" t="str" cm="1">
        <f t="array" ref="I1494">_xlfn.IFS(H1494&lt;=120,"V1",H1494&lt;=150,"V2",H1494&lt;=250,"V3", H1494&lt;=350, "V4")</f>
        <v>V3</v>
      </c>
      <c r="J1494" t="s">
        <v>5703</v>
      </c>
      <c r="K1494" t="str">
        <f t="shared" si="529"/>
        <v>40.535862</v>
      </c>
      <c r="L1494" t="str">
        <f t="shared" si="530"/>
        <v>-74.297271</v>
      </c>
      <c r="M1494">
        <v>40</v>
      </c>
      <c r="N1494" s="1">
        <v>43171</v>
      </c>
      <c r="O1494" s="1">
        <v>46099</v>
      </c>
      <c r="P1494" s="2">
        <f t="shared" si="531"/>
        <v>8.0164271047227924</v>
      </c>
      <c r="Q1494" s="2" t="str">
        <f t="shared" si="532"/>
        <v>Old</v>
      </c>
      <c r="R1494">
        <f t="shared" si="533"/>
        <v>4000</v>
      </c>
      <c r="S1494" t="str">
        <f t="shared" si="534"/>
        <v>Small</v>
      </c>
      <c r="T1494" t="str">
        <f t="shared" si="535"/>
        <v>High EV Adoption Corridor</v>
      </c>
      <c r="U1494" s="3">
        <f t="shared" si="536"/>
        <v>9360000</v>
      </c>
      <c r="V1494" s="4">
        <f t="shared" si="537"/>
        <v>2112000</v>
      </c>
      <c r="W1494" s="3">
        <f t="shared" si="538"/>
        <v>26400000.000000004</v>
      </c>
      <c r="X1494" s="3">
        <f t="shared" si="539"/>
        <v>19800000.000000004</v>
      </c>
      <c r="Y1494">
        <f t="shared" si="540"/>
        <v>0.23999999999999996</v>
      </c>
      <c r="Z1494">
        <f t="shared" si="541"/>
        <v>0.77435897435897438</v>
      </c>
      <c r="AA1494" t="str">
        <f t="shared" si="542"/>
        <v>Tier 1 - Priority Fleet</v>
      </c>
      <c r="AB1494" s="3">
        <f t="shared" si="543"/>
        <v>132000</v>
      </c>
      <c r="AC1494" s="3">
        <f t="shared" si="544"/>
        <v>1650000.0000000002</v>
      </c>
      <c r="AD1494" s="3">
        <f t="shared" si="545"/>
        <v>585000</v>
      </c>
      <c r="AE1494" s="5">
        <f t="shared" si="546"/>
        <v>3.6423841059602653</v>
      </c>
      <c r="AF1494" s="10">
        <f t="shared" si="547"/>
        <v>1309440</v>
      </c>
      <c r="AG1494" s="10">
        <f t="shared" si="548"/>
        <v>422400</v>
      </c>
      <c r="AH1494" s="10">
        <f t="shared" si="549"/>
        <v>211200</v>
      </c>
      <c r="AI1494" s="10">
        <f t="shared" si="550"/>
        <v>105600</v>
      </c>
      <c r="AJ1494" s="10">
        <f t="shared" si="551"/>
        <v>63360</v>
      </c>
    </row>
    <row r="1495" spans="1:36" x14ac:dyDescent="0.3">
      <c r="A1495" t="s">
        <v>5704</v>
      </c>
      <c r="B1495" t="s">
        <v>5705</v>
      </c>
      <c r="C1495" t="s">
        <v>5706</v>
      </c>
      <c r="D1495" t="s">
        <v>111</v>
      </c>
      <c r="E1495">
        <v>56082</v>
      </c>
      <c r="F1495" t="s">
        <v>15</v>
      </c>
      <c r="G1495">
        <v>8</v>
      </c>
      <c r="H1495">
        <v>250</v>
      </c>
      <c r="I1495" t="str" cm="1">
        <f t="array" ref="I1495">_xlfn.IFS(H1495&lt;=120,"V1",H1495&lt;=150,"V2",H1495&lt;=250,"V3", H1495&lt;=350, "V4")</f>
        <v>V3</v>
      </c>
      <c r="J1495" t="s">
        <v>5707</v>
      </c>
      <c r="K1495" t="str">
        <f t="shared" si="529"/>
        <v>44.336448</v>
      </c>
      <c r="L1495" t="str">
        <f t="shared" si="530"/>
        <v>-93.950131</v>
      </c>
      <c r="M1495">
        <v>233</v>
      </c>
      <c r="N1495" s="1">
        <v>44499</v>
      </c>
      <c r="O1495" s="1">
        <v>46099</v>
      </c>
      <c r="P1495" s="2">
        <f t="shared" si="531"/>
        <v>4.3805612594113619</v>
      </c>
      <c r="Q1495" s="2" t="str">
        <f t="shared" si="532"/>
        <v>Mid</v>
      </c>
      <c r="R1495">
        <f t="shared" si="533"/>
        <v>2000</v>
      </c>
      <c r="S1495" t="str">
        <f t="shared" si="534"/>
        <v>Small</v>
      </c>
      <c r="T1495" t="str">
        <f t="shared" si="535"/>
        <v>Lower EV Adoption Corridor</v>
      </c>
      <c r="U1495" s="3">
        <f t="shared" si="536"/>
        <v>3600000</v>
      </c>
      <c r="V1495" s="4">
        <f t="shared" si="537"/>
        <v>880000.00000000012</v>
      </c>
      <c r="W1495" s="3">
        <f t="shared" si="538"/>
        <v>12000000</v>
      </c>
      <c r="X1495" s="3">
        <f t="shared" si="539"/>
        <v>6600000.0000000009</v>
      </c>
      <c r="Y1495">
        <f t="shared" si="540"/>
        <v>0.31515151515151513</v>
      </c>
      <c r="Z1495">
        <f t="shared" si="541"/>
        <v>0.75555555555555554</v>
      </c>
      <c r="AA1495" t="str">
        <f t="shared" si="542"/>
        <v>Tier 2 - Growth Markets</v>
      </c>
      <c r="AB1495" s="3">
        <f t="shared" si="543"/>
        <v>110000.00000000001</v>
      </c>
      <c r="AC1495" s="3">
        <f t="shared" si="544"/>
        <v>1500000</v>
      </c>
      <c r="AD1495" s="3">
        <f t="shared" si="545"/>
        <v>450000</v>
      </c>
      <c r="AE1495" s="5">
        <f t="shared" si="546"/>
        <v>4.4117647058823533</v>
      </c>
      <c r="AF1495" s="10">
        <f t="shared" si="547"/>
        <v>545600.00000000012</v>
      </c>
      <c r="AG1495" s="10">
        <f t="shared" si="548"/>
        <v>176000.00000000003</v>
      </c>
      <c r="AH1495" s="10">
        <f t="shared" si="549"/>
        <v>88000.000000000015</v>
      </c>
      <c r="AI1495" s="10">
        <f t="shared" si="550"/>
        <v>44000.000000000007</v>
      </c>
      <c r="AJ1495" s="10">
        <f t="shared" si="551"/>
        <v>26400.000000000004</v>
      </c>
    </row>
    <row r="1496" spans="1:36" x14ac:dyDescent="0.3">
      <c r="A1496" t="s">
        <v>5708</v>
      </c>
      <c r="B1496" t="s">
        <v>5709</v>
      </c>
      <c r="C1496" t="s">
        <v>5710</v>
      </c>
      <c r="D1496" t="s">
        <v>50</v>
      </c>
      <c r="E1496">
        <v>78643</v>
      </c>
      <c r="F1496" t="s">
        <v>15</v>
      </c>
      <c r="G1496">
        <v>8</v>
      </c>
      <c r="H1496">
        <v>250</v>
      </c>
      <c r="I1496" t="str" cm="1">
        <f t="array" ref="I1496">_xlfn.IFS(H1496&lt;=120,"V1",H1496&lt;=150,"V2",H1496&lt;=250,"V3", H1496&lt;=350, "V4")</f>
        <v>V3</v>
      </c>
      <c r="J1496" t="s">
        <v>5711</v>
      </c>
      <c r="K1496" t="str">
        <f t="shared" si="529"/>
        <v>30.750554</v>
      </c>
      <c r="L1496" t="str">
        <f t="shared" si="530"/>
        <v>-98.67491</v>
      </c>
      <c r="M1496">
        <v>310</v>
      </c>
      <c r="N1496" s="1">
        <v>44568</v>
      </c>
      <c r="O1496" s="1">
        <v>46099</v>
      </c>
      <c r="P1496" s="2">
        <f t="shared" si="531"/>
        <v>4.1916495550992474</v>
      </c>
      <c r="Q1496" s="2" t="str">
        <f t="shared" si="532"/>
        <v>Mid</v>
      </c>
      <c r="R1496">
        <f t="shared" si="533"/>
        <v>2000</v>
      </c>
      <c r="S1496" t="str">
        <f t="shared" si="534"/>
        <v>Small</v>
      </c>
      <c r="T1496" t="str">
        <f t="shared" si="535"/>
        <v>High EV Adoption Corridor</v>
      </c>
      <c r="U1496" s="3">
        <f t="shared" si="536"/>
        <v>4680000</v>
      </c>
      <c r="V1496" s="4">
        <f t="shared" si="537"/>
        <v>1056000</v>
      </c>
      <c r="W1496" s="3">
        <f t="shared" si="538"/>
        <v>13200000.000000002</v>
      </c>
      <c r="X1496" s="3">
        <f t="shared" si="539"/>
        <v>9900000.0000000019</v>
      </c>
      <c r="Y1496">
        <f t="shared" si="540"/>
        <v>0.23999999999999996</v>
      </c>
      <c r="Z1496">
        <f t="shared" si="541"/>
        <v>0.77435897435897438</v>
      </c>
      <c r="AA1496" t="str">
        <f t="shared" si="542"/>
        <v>Tier 1 - Priority Fleet</v>
      </c>
      <c r="AB1496" s="3">
        <f t="shared" si="543"/>
        <v>132000</v>
      </c>
      <c r="AC1496" s="3">
        <f t="shared" si="544"/>
        <v>1650000.0000000002</v>
      </c>
      <c r="AD1496" s="3">
        <f t="shared" si="545"/>
        <v>585000</v>
      </c>
      <c r="AE1496" s="5">
        <f t="shared" si="546"/>
        <v>3.6423841059602653</v>
      </c>
      <c r="AF1496" s="10">
        <f t="shared" si="547"/>
        <v>654720</v>
      </c>
      <c r="AG1496" s="10">
        <f t="shared" si="548"/>
        <v>211200</v>
      </c>
      <c r="AH1496" s="10">
        <f t="shared" si="549"/>
        <v>105600</v>
      </c>
      <c r="AI1496" s="10">
        <f t="shared" si="550"/>
        <v>52800</v>
      </c>
      <c r="AJ1496" s="10">
        <f t="shared" si="551"/>
        <v>31680</v>
      </c>
    </row>
    <row r="1497" spans="1:36" x14ac:dyDescent="0.3">
      <c r="A1497" t="s">
        <v>5712</v>
      </c>
      <c r="B1497" t="s">
        <v>5713</v>
      </c>
      <c r="C1497" t="s">
        <v>1728</v>
      </c>
      <c r="D1497" t="s">
        <v>299</v>
      </c>
      <c r="E1497">
        <v>22191</v>
      </c>
      <c r="F1497" t="s">
        <v>15</v>
      </c>
      <c r="G1497">
        <v>12</v>
      </c>
      <c r="H1497">
        <v>250</v>
      </c>
      <c r="I1497" t="str" cm="1">
        <f t="array" ref="I1497">_xlfn.IFS(H1497&lt;=120,"V1",H1497&lt;=150,"V2",H1497&lt;=250,"V3", H1497&lt;=350, "V4")</f>
        <v>V3</v>
      </c>
      <c r="J1497" t="s">
        <v>5714</v>
      </c>
      <c r="K1497" t="str">
        <f t="shared" si="529"/>
        <v>38.629244</v>
      </c>
      <c r="L1497" t="str">
        <f t="shared" si="530"/>
        <v>-77.289539</v>
      </c>
      <c r="M1497">
        <v>55</v>
      </c>
      <c r="N1497" s="1">
        <v>44647</v>
      </c>
      <c r="O1497" s="1">
        <v>46099</v>
      </c>
      <c r="P1497" s="2">
        <f t="shared" si="531"/>
        <v>3.9753593429158109</v>
      </c>
      <c r="Q1497" s="2" t="str">
        <f t="shared" si="532"/>
        <v>Mid</v>
      </c>
      <c r="R1497">
        <f t="shared" si="533"/>
        <v>3000</v>
      </c>
      <c r="S1497" t="str">
        <f t="shared" si="534"/>
        <v>Small</v>
      </c>
      <c r="T1497" t="str">
        <f t="shared" si="535"/>
        <v>Lower EV Adoption Corridor</v>
      </c>
      <c r="U1497" s="3">
        <f t="shared" si="536"/>
        <v>5400000</v>
      </c>
      <c r="V1497" s="4">
        <f t="shared" si="537"/>
        <v>1320000</v>
      </c>
      <c r="W1497" s="3">
        <f t="shared" si="538"/>
        <v>18000000</v>
      </c>
      <c r="X1497" s="3">
        <f t="shared" si="539"/>
        <v>9900000</v>
      </c>
      <c r="Y1497">
        <f t="shared" si="540"/>
        <v>0.31515151515151513</v>
      </c>
      <c r="Z1497">
        <f t="shared" si="541"/>
        <v>0.75555555555555554</v>
      </c>
      <c r="AA1497" t="str">
        <f t="shared" si="542"/>
        <v>Tier 2 - Growth Markets</v>
      </c>
      <c r="AB1497" s="3">
        <f t="shared" si="543"/>
        <v>110000</v>
      </c>
      <c r="AC1497" s="3">
        <f t="shared" si="544"/>
        <v>1500000</v>
      </c>
      <c r="AD1497" s="3">
        <f t="shared" si="545"/>
        <v>450000</v>
      </c>
      <c r="AE1497" s="5">
        <f t="shared" si="546"/>
        <v>4.4117647058823533</v>
      </c>
      <c r="AF1497" s="10">
        <f t="shared" si="547"/>
        <v>818400</v>
      </c>
      <c r="AG1497" s="10">
        <f t="shared" si="548"/>
        <v>264000</v>
      </c>
      <c r="AH1497" s="10">
        <f t="shared" si="549"/>
        <v>132000</v>
      </c>
      <c r="AI1497" s="10">
        <f t="shared" si="550"/>
        <v>66000</v>
      </c>
      <c r="AJ1497" s="10">
        <f t="shared" si="551"/>
        <v>39600</v>
      </c>
    </row>
    <row r="1498" spans="1:36" x14ac:dyDescent="0.3">
      <c r="A1498" t="s">
        <v>5715</v>
      </c>
      <c r="B1498" t="s">
        <v>5716</v>
      </c>
      <c r="C1498" t="s">
        <v>5717</v>
      </c>
      <c r="D1498" t="s">
        <v>59</v>
      </c>
      <c r="E1498">
        <v>61068</v>
      </c>
      <c r="F1498" t="s">
        <v>15</v>
      </c>
      <c r="G1498">
        <v>8</v>
      </c>
      <c r="H1498">
        <v>250</v>
      </c>
      <c r="I1498" t="str" cm="1">
        <f t="array" ref="I1498">_xlfn.IFS(H1498&lt;=120,"V1",H1498&lt;=150,"V2",H1498&lt;=250,"V3", H1498&lt;=350, "V4")</f>
        <v>V3</v>
      </c>
      <c r="J1498" t="s">
        <v>5718</v>
      </c>
      <c r="K1498" t="str">
        <f t="shared" si="529"/>
        <v>41.916936</v>
      </c>
      <c r="L1498" t="str">
        <f t="shared" si="530"/>
        <v>-89.069076</v>
      </c>
      <c r="M1498">
        <v>238</v>
      </c>
      <c r="N1498" s="1">
        <v>44710</v>
      </c>
      <c r="O1498" s="1">
        <v>46099</v>
      </c>
      <c r="P1498" s="2">
        <f t="shared" si="531"/>
        <v>3.8028747433264889</v>
      </c>
      <c r="Q1498" s="2" t="str">
        <f t="shared" si="532"/>
        <v>Mid</v>
      </c>
      <c r="R1498">
        <f t="shared" si="533"/>
        <v>2000</v>
      </c>
      <c r="S1498" t="str">
        <f t="shared" si="534"/>
        <v>Small</v>
      </c>
      <c r="T1498" t="str">
        <f t="shared" si="535"/>
        <v>Lower EV Adoption Corridor</v>
      </c>
      <c r="U1498" s="3">
        <f t="shared" si="536"/>
        <v>3600000</v>
      </c>
      <c r="V1498" s="4">
        <f t="shared" si="537"/>
        <v>880000.00000000012</v>
      </c>
      <c r="W1498" s="3">
        <f t="shared" si="538"/>
        <v>12000000</v>
      </c>
      <c r="X1498" s="3">
        <f t="shared" si="539"/>
        <v>6600000.0000000009</v>
      </c>
      <c r="Y1498">
        <f t="shared" si="540"/>
        <v>0.31515151515151513</v>
      </c>
      <c r="Z1498">
        <f t="shared" si="541"/>
        <v>0.75555555555555554</v>
      </c>
      <c r="AA1498" t="str">
        <f t="shared" si="542"/>
        <v>Tier 2 - Growth Markets</v>
      </c>
      <c r="AB1498" s="3">
        <f t="shared" si="543"/>
        <v>110000.00000000001</v>
      </c>
      <c r="AC1498" s="3">
        <f t="shared" si="544"/>
        <v>1500000</v>
      </c>
      <c r="AD1498" s="3">
        <f t="shared" si="545"/>
        <v>450000</v>
      </c>
      <c r="AE1498" s="5">
        <f t="shared" si="546"/>
        <v>4.4117647058823533</v>
      </c>
      <c r="AF1498" s="10">
        <f t="shared" si="547"/>
        <v>545600.00000000012</v>
      </c>
      <c r="AG1498" s="10">
        <f t="shared" si="548"/>
        <v>176000.00000000003</v>
      </c>
      <c r="AH1498" s="10">
        <f t="shared" si="549"/>
        <v>88000.000000000015</v>
      </c>
      <c r="AI1498" s="10">
        <f t="shared" si="550"/>
        <v>44000.000000000007</v>
      </c>
      <c r="AJ1498" s="10">
        <f t="shared" si="551"/>
        <v>26400.000000000004</v>
      </c>
    </row>
    <row r="1499" spans="1:36" x14ac:dyDescent="0.3">
      <c r="A1499" t="s">
        <v>5719</v>
      </c>
      <c r="B1499" t="s">
        <v>5720</v>
      </c>
      <c r="C1499" t="s">
        <v>5721</v>
      </c>
      <c r="D1499" t="s">
        <v>50</v>
      </c>
      <c r="E1499">
        <v>77488</v>
      </c>
      <c r="F1499" t="s">
        <v>15</v>
      </c>
      <c r="G1499">
        <v>8</v>
      </c>
      <c r="H1499">
        <v>250</v>
      </c>
      <c r="I1499" t="str" cm="1">
        <f t="array" ref="I1499">_xlfn.IFS(H1499&lt;=120,"V1",H1499&lt;=150,"V2",H1499&lt;=250,"V3", H1499&lt;=350, "V4")</f>
        <v>V3</v>
      </c>
      <c r="J1499" t="s">
        <v>5722</v>
      </c>
      <c r="K1499" t="str">
        <f t="shared" si="529"/>
        <v>29.325098</v>
      </c>
      <c r="L1499" t="str">
        <f t="shared" si="530"/>
        <v>-96.124308</v>
      </c>
      <c r="M1499">
        <v>32</v>
      </c>
      <c r="N1499" s="1">
        <v>44715</v>
      </c>
      <c r="O1499" s="1">
        <v>46099</v>
      </c>
      <c r="P1499" s="2">
        <f t="shared" si="531"/>
        <v>3.7891854893908281</v>
      </c>
      <c r="Q1499" s="2" t="str">
        <f t="shared" si="532"/>
        <v>Mid</v>
      </c>
      <c r="R1499">
        <f t="shared" si="533"/>
        <v>2000</v>
      </c>
      <c r="S1499" t="str">
        <f t="shared" si="534"/>
        <v>Small</v>
      </c>
      <c r="T1499" t="str">
        <f t="shared" si="535"/>
        <v>High EV Adoption Corridor</v>
      </c>
      <c r="U1499" s="3">
        <f t="shared" si="536"/>
        <v>4680000</v>
      </c>
      <c r="V1499" s="4">
        <f t="shared" si="537"/>
        <v>1056000</v>
      </c>
      <c r="W1499" s="3">
        <f t="shared" si="538"/>
        <v>13200000.000000002</v>
      </c>
      <c r="X1499" s="3">
        <f t="shared" si="539"/>
        <v>9900000.0000000019</v>
      </c>
      <c r="Y1499">
        <f t="shared" si="540"/>
        <v>0.23999999999999996</v>
      </c>
      <c r="Z1499">
        <f t="shared" si="541"/>
        <v>0.77435897435897438</v>
      </c>
      <c r="AA1499" t="str">
        <f t="shared" si="542"/>
        <v>Tier 1 - Priority Fleet</v>
      </c>
      <c r="AB1499" s="3">
        <f t="shared" si="543"/>
        <v>132000</v>
      </c>
      <c r="AC1499" s="3">
        <f t="shared" si="544"/>
        <v>1650000.0000000002</v>
      </c>
      <c r="AD1499" s="3">
        <f t="shared" si="545"/>
        <v>585000</v>
      </c>
      <c r="AE1499" s="5">
        <f t="shared" si="546"/>
        <v>3.6423841059602653</v>
      </c>
      <c r="AF1499" s="10">
        <f t="shared" si="547"/>
        <v>654720</v>
      </c>
      <c r="AG1499" s="10">
        <f t="shared" si="548"/>
        <v>211200</v>
      </c>
      <c r="AH1499" s="10">
        <f t="shared" si="549"/>
        <v>105600</v>
      </c>
      <c r="AI1499" s="10">
        <f t="shared" si="550"/>
        <v>52800</v>
      </c>
      <c r="AJ1499" s="10">
        <f t="shared" si="551"/>
        <v>31680</v>
      </c>
    </row>
    <row r="1500" spans="1:36" x14ac:dyDescent="0.3">
      <c r="A1500" t="s">
        <v>5723</v>
      </c>
      <c r="B1500" t="s">
        <v>5724</v>
      </c>
      <c r="C1500" t="s">
        <v>900</v>
      </c>
      <c r="D1500" t="s">
        <v>14</v>
      </c>
      <c r="E1500">
        <v>95630</v>
      </c>
      <c r="F1500" t="s">
        <v>15</v>
      </c>
      <c r="G1500">
        <v>4</v>
      </c>
      <c r="H1500">
        <v>120</v>
      </c>
      <c r="I1500" t="str" cm="1">
        <f t="array" ref="I1500">_xlfn.IFS(H1500&lt;=120,"V1",H1500&lt;=150,"V2",H1500&lt;=250,"V3", H1500&lt;=350, "V4")</f>
        <v>V1</v>
      </c>
      <c r="J1500" t="s">
        <v>5725</v>
      </c>
      <c r="K1500" t="str">
        <f t="shared" si="529"/>
        <v>38.64258</v>
      </c>
      <c r="L1500" t="str">
        <f t="shared" si="530"/>
        <v>-121.18806</v>
      </c>
      <c r="M1500">
        <v>63</v>
      </c>
      <c r="N1500" s="1">
        <v>41232</v>
      </c>
      <c r="O1500" s="1">
        <v>46099</v>
      </c>
      <c r="P1500" s="2">
        <f t="shared" si="531"/>
        <v>13.325119780971937</v>
      </c>
      <c r="Q1500" s="2" t="str">
        <f t="shared" si="532"/>
        <v>Old</v>
      </c>
      <c r="R1500">
        <f t="shared" si="533"/>
        <v>480</v>
      </c>
      <c r="S1500" t="str">
        <f t="shared" si="534"/>
        <v>Small</v>
      </c>
      <c r="T1500" t="str">
        <f t="shared" si="535"/>
        <v>High EV Adoption Corridor</v>
      </c>
      <c r="U1500" s="3">
        <f t="shared" si="536"/>
        <v>936000</v>
      </c>
      <c r="V1500" s="4">
        <f t="shared" si="537"/>
        <v>207360</v>
      </c>
      <c r="W1500" s="3">
        <f t="shared" si="538"/>
        <v>2112000</v>
      </c>
      <c r="X1500" s="3">
        <f t="shared" si="539"/>
        <v>1944000</v>
      </c>
      <c r="Y1500">
        <f t="shared" si="540"/>
        <v>0.21530864197530863</v>
      </c>
      <c r="Z1500">
        <f t="shared" si="541"/>
        <v>0.77846153846153843</v>
      </c>
      <c r="AA1500" t="str">
        <f t="shared" si="542"/>
        <v>Tier 3 - Upgrade Pipeline</v>
      </c>
      <c r="AB1500" s="3">
        <f t="shared" si="543"/>
        <v>51840</v>
      </c>
      <c r="AC1500" s="3">
        <f t="shared" si="544"/>
        <v>528000</v>
      </c>
      <c r="AD1500" s="3">
        <f t="shared" si="545"/>
        <v>234000</v>
      </c>
      <c r="AE1500" s="5">
        <f t="shared" si="546"/>
        <v>2.8985507246376812</v>
      </c>
      <c r="AF1500" s="10">
        <f t="shared" si="547"/>
        <v>128563.2</v>
      </c>
      <c r="AG1500" s="10">
        <f t="shared" si="548"/>
        <v>41472</v>
      </c>
      <c r="AH1500" s="10">
        <f t="shared" si="549"/>
        <v>20736</v>
      </c>
      <c r="AI1500" s="10">
        <f t="shared" si="550"/>
        <v>10368</v>
      </c>
      <c r="AJ1500" s="10">
        <f t="shared" si="551"/>
        <v>6220.8</v>
      </c>
    </row>
    <row r="1501" spans="1:36" x14ac:dyDescent="0.3">
      <c r="A1501" t="s">
        <v>5726</v>
      </c>
      <c r="B1501" t="s">
        <v>5727</v>
      </c>
      <c r="C1501" t="s">
        <v>5728</v>
      </c>
      <c r="D1501" t="s">
        <v>50</v>
      </c>
      <c r="E1501">
        <v>79510</v>
      </c>
      <c r="F1501" t="s">
        <v>15</v>
      </c>
      <c r="G1501">
        <v>20</v>
      </c>
      <c r="H1501">
        <v>250</v>
      </c>
      <c r="I1501" t="str" cm="1">
        <f t="array" ref="I1501">_xlfn.IFS(H1501&lt;=120,"V1",H1501&lt;=150,"V2",H1501&lt;=250,"V3", H1501&lt;=350, "V4")</f>
        <v>V3</v>
      </c>
      <c r="J1501" t="s">
        <v>5729</v>
      </c>
      <c r="K1501" t="str">
        <f t="shared" si="529"/>
        <v>32.417468</v>
      </c>
      <c r="L1501" t="str">
        <f t="shared" si="530"/>
        <v>-99.526532</v>
      </c>
      <c r="M1501">
        <v>612</v>
      </c>
      <c r="N1501" s="1">
        <v>44790</v>
      </c>
      <c r="O1501" s="1">
        <v>46099</v>
      </c>
      <c r="P1501" s="2">
        <f t="shared" si="531"/>
        <v>3.5838466803559208</v>
      </c>
      <c r="Q1501" s="2" t="str">
        <f t="shared" si="532"/>
        <v>Mid</v>
      </c>
      <c r="R1501">
        <f t="shared" si="533"/>
        <v>5000</v>
      </c>
      <c r="S1501" t="str">
        <f t="shared" si="534"/>
        <v>Small</v>
      </c>
      <c r="T1501" t="str">
        <f t="shared" si="535"/>
        <v>High EV Adoption Corridor</v>
      </c>
      <c r="U1501" s="3">
        <f t="shared" si="536"/>
        <v>11700000</v>
      </c>
      <c r="V1501" s="4">
        <f t="shared" si="537"/>
        <v>2640000</v>
      </c>
      <c r="W1501" s="3">
        <f t="shared" si="538"/>
        <v>33000000.000000004</v>
      </c>
      <c r="X1501" s="3">
        <f t="shared" si="539"/>
        <v>24750000.000000004</v>
      </c>
      <c r="Y1501">
        <f t="shared" si="540"/>
        <v>0.23999999999999996</v>
      </c>
      <c r="Z1501">
        <f t="shared" si="541"/>
        <v>0.77435897435897438</v>
      </c>
      <c r="AA1501" t="str">
        <f t="shared" si="542"/>
        <v>Tier 1 - Priority Fleet</v>
      </c>
      <c r="AB1501" s="3">
        <f t="shared" si="543"/>
        <v>132000</v>
      </c>
      <c r="AC1501" s="3">
        <f t="shared" si="544"/>
        <v>1650000.0000000002</v>
      </c>
      <c r="AD1501" s="3">
        <f t="shared" si="545"/>
        <v>585000</v>
      </c>
      <c r="AE1501" s="5">
        <f t="shared" si="546"/>
        <v>3.6423841059602653</v>
      </c>
      <c r="AF1501" s="10">
        <f t="shared" si="547"/>
        <v>1636800</v>
      </c>
      <c r="AG1501" s="10">
        <f t="shared" si="548"/>
        <v>528000</v>
      </c>
      <c r="AH1501" s="10">
        <f t="shared" si="549"/>
        <v>264000</v>
      </c>
      <c r="AI1501" s="10">
        <f t="shared" si="550"/>
        <v>132000</v>
      </c>
      <c r="AJ1501" s="10">
        <f t="shared" si="551"/>
        <v>79200</v>
      </c>
    </row>
    <row r="1502" spans="1:36" x14ac:dyDescent="0.3">
      <c r="A1502" t="s">
        <v>5730</v>
      </c>
      <c r="B1502" t="s">
        <v>5731</v>
      </c>
      <c r="C1502" t="s">
        <v>1604</v>
      </c>
      <c r="D1502" t="s">
        <v>41</v>
      </c>
      <c r="E1502">
        <v>33578</v>
      </c>
      <c r="F1502" t="s">
        <v>15</v>
      </c>
      <c r="G1502">
        <v>8</v>
      </c>
      <c r="H1502">
        <v>250</v>
      </c>
      <c r="I1502" t="str" cm="1">
        <f t="array" ref="I1502">_xlfn.IFS(H1502&lt;=120,"V1",H1502&lt;=150,"V2",H1502&lt;=250,"V3", H1502&lt;=350, "V4")</f>
        <v>V3</v>
      </c>
      <c r="J1502" t="s">
        <v>5732</v>
      </c>
      <c r="K1502" t="str">
        <f t="shared" si="529"/>
        <v>27.858153</v>
      </c>
      <c r="L1502" t="str">
        <f t="shared" si="530"/>
        <v>-82.327561</v>
      </c>
      <c r="M1502">
        <v>11</v>
      </c>
      <c r="N1502" s="1">
        <v>44740</v>
      </c>
      <c r="O1502" s="1">
        <v>46099</v>
      </c>
      <c r="P1502" s="2">
        <f t="shared" si="531"/>
        <v>3.7207392197125255</v>
      </c>
      <c r="Q1502" s="2" t="str">
        <f t="shared" si="532"/>
        <v>Mid</v>
      </c>
      <c r="R1502">
        <f t="shared" si="533"/>
        <v>2000</v>
      </c>
      <c r="S1502" t="str">
        <f t="shared" si="534"/>
        <v>Small</v>
      </c>
      <c r="T1502" t="str">
        <f t="shared" si="535"/>
        <v>High EV Adoption Corridor</v>
      </c>
      <c r="U1502" s="3">
        <f t="shared" si="536"/>
        <v>4680000</v>
      </c>
      <c r="V1502" s="4">
        <f t="shared" si="537"/>
        <v>1056000</v>
      </c>
      <c r="W1502" s="3">
        <f t="shared" si="538"/>
        <v>13200000.000000002</v>
      </c>
      <c r="X1502" s="3">
        <f t="shared" si="539"/>
        <v>9900000.0000000019</v>
      </c>
      <c r="Y1502">
        <f t="shared" si="540"/>
        <v>0.23999999999999996</v>
      </c>
      <c r="Z1502">
        <f t="shared" si="541"/>
        <v>0.77435897435897438</v>
      </c>
      <c r="AA1502" t="str">
        <f t="shared" si="542"/>
        <v>Tier 1 - Priority Fleet</v>
      </c>
      <c r="AB1502" s="3">
        <f t="shared" si="543"/>
        <v>132000</v>
      </c>
      <c r="AC1502" s="3">
        <f t="shared" si="544"/>
        <v>1650000.0000000002</v>
      </c>
      <c r="AD1502" s="3">
        <f t="shared" si="545"/>
        <v>585000</v>
      </c>
      <c r="AE1502" s="5">
        <f t="shared" si="546"/>
        <v>3.6423841059602653</v>
      </c>
      <c r="AF1502" s="10">
        <f t="shared" si="547"/>
        <v>654720</v>
      </c>
      <c r="AG1502" s="10">
        <f t="shared" si="548"/>
        <v>211200</v>
      </c>
      <c r="AH1502" s="10">
        <f t="shared" si="549"/>
        <v>105600</v>
      </c>
      <c r="AI1502" s="10">
        <f t="shared" si="550"/>
        <v>52800</v>
      </c>
      <c r="AJ1502" s="10">
        <f t="shared" si="551"/>
        <v>31680</v>
      </c>
    </row>
    <row r="1503" spans="1:36" x14ac:dyDescent="0.3">
      <c r="A1503" t="s">
        <v>5733</v>
      </c>
      <c r="B1503" t="s">
        <v>5734</v>
      </c>
      <c r="C1503" t="s">
        <v>1700</v>
      </c>
      <c r="D1503" t="s">
        <v>41</v>
      </c>
      <c r="E1503">
        <v>32819</v>
      </c>
      <c r="F1503" t="s">
        <v>15</v>
      </c>
      <c r="G1503">
        <v>12</v>
      </c>
      <c r="H1503">
        <v>250</v>
      </c>
      <c r="I1503" t="str" cm="1">
        <f t="array" ref="I1503">_xlfn.IFS(H1503&lt;=120,"V1",H1503&lt;=150,"V2",H1503&lt;=250,"V3", H1503&lt;=350, "V4")</f>
        <v>V3</v>
      </c>
      <c r="J1503" t="s">
        <v>5735</v>
      </c>
      <c r="K1503" t="str">
        <f t="shared" si="529"/>
        <v>28.449537</v>
      </c>
      <c r="L1503" t="str">
        <f t="shared" si="530"/>
        <v>-81.490195</v>
      </c>
      <c r="M1503">
        <v>33</v>
      </c>
      <c r="N1503" s="1">
        <v>44718</v>
      </c>
      <c r="O1503" s="1">
        <v>46099</v>
      </c>
      <c r="P1503" s="2">
        <f t="shared" si="531"/>
        <v>3.7809719370294319</v>
      </c>
      <c r="Q1503" s="2" t="str">
        <f t="shared" si="532"/>
        <v>Mid</v>
      </c>
      <c r="R1503">
        <f t="shared" si="533"/>
        <v>3000</v>
      </c>
      <c r="S1503" t="str">
        <f t="shared" si="534"/>
        <v>Small</v>
      </c>
      <c r="T1503" t="str">
        <f t="shared" si="535"/>
        <v>High EV Adoption Corridor</v>
      </c>
      <c r="U1503" s="3">
        <f t="shared" si="536"/>
        <v>7020000</v>
      </c>
      <c r="V1503" s="4">
        <f t="shared" si="537"/>
        <v>1584000</v>
      </c>
      <c r="W1503" s="3">
        <f t="shared" si="538"/>
        <v>19800000</v>
      </c>
      <c r="X1503" s="3">
        <f t="shared" si="539"/>
        <v>14850000</v>
      </c>
      <c r="Y1503">
        <f t="shared" si="540"/>
        <v>0.24</v>
      </c>
      <c r="Z1503">
        <f t="shared" si="541"/>
        <v>0.77435897435897438</v>
      </c>
      <c r="AA1503" t="str">
        <f t="shared" si="542"/>
        <v>Tier 1 - Priority Fleet</v>
      </c>
      <c r="AB1503" s="3">
        <f t="shared" si="543"/>
        <v>132000</v>
      </c>
      <c r="AC1503" s="3">
        <f t="shared" si="544"/>
        <v>1650000</v>
      </c>
      <c r="AD1503" s="3">
        <f t="shared" si="545"/>
        <v>585000</v>
      </c>
      <c r="AE1503" s="5">
        <f t="shared" si="546"/>
        <v>3.6423841059602649</v>
      </c>
      <c r="AF1503" s="10">
        <f t="shared" si="547"/>
        <v>982080</v>
      </c>
      <c r="AG1503" s="10">
        <f t="shared" si="548"/>
        <v>316800</v>
      </c>
      <c r="AH1503" s="10">
        <f t="shared" si="549"/>
        <v>158400</v>
      </c>
      <c r="AI1503" s="10">
        <f t="shared" si="550"/>
        <v>79200</v>
      </c>
      <c r="AJ1503" s="10">
        <f t="shared" si="551"/>
        <v>47520</v>
      </c>
    </row>
    <row r="1504" spans="1:36" x14ac:dyDescent="0.3">
      <c r="A1504" t="s">
        <v>5736</v>
      </c>
      <c r="B1504" t="s">
        <v>5737</v>
      </c>
      <c r="C1504" t="s">
        <v>4058</v>
      </c>
      <c r="D1504" t="s">
        <v>28</v>
      </c>
      <c r="E1504">
        <v>30326</v>
      </c>
      <c r="F1504" t="s">
        <v>15</v>
      </c>
      <c r="G1504">
        <v>5</v>
      </c>
      <c r="H1504">
        <v>72</v>
      </c>
      <c r="I1504" t="str" cm="1">
        <f t="array" ref="I1504">_xlfn.IFS(H1504&lt;=120,"V1",H1504&lt;=150,"V2",H1504&lt;=250,"V3", H1504&lt;=350, "V4")</f>
        <v>V1</v>
      </c>
      <c r="J1504" t="s">
        <v>5738</v>
      </c>
      <c r="K1504" t="str">
        <f t="shared" si="529"/>
        <v>33.848756</v>
      </c>
      <c r="L1504" t="str">
        <f t="shared" si="530"/>
        <v>-84.36434</v>
      </c>
      <c r="M1504">
        <v>299</v>
      </c>
      <c r="N1504" s="1">
        <v>43344</v>
      </c>
      <c r="O1504" s="1">
        <v>46099</v>
      </c>
      <c r="P1504" s="2">
        <f t="shared" si="531"/>
        <v>7.5427789185489393</v>
      </c>
      <c r="Q1504" s="2" t="str">
        <f t="shared" si="532"/>
        <v>Mid</v>
      </c>
      <c r="R1504">
        <f t="shared" si="533"/>
        <v>360</v>
      </c>
      <c r="S1504" t="str">
        <f t="shared" si="534"/>
        <v>Small</v>
      </c>
      <c r="T1504" t="str">
        <f t="shared" si="535"/>
        <v>Lower EV Adoption Corridor</v>
      </c>
      <c r="U1504" s="3">
        <f t="shared" si="536"/>
        <v>540000</v>
      </c>
      <c r="V1504" s="4">
        <f t="shared" si="537"/>
        <v>129600</v>
      </c>
      <c r="W1504" s="3">
        <f t="shared" si="538"/>
        <v>1440000</v>
      </c>
      <c r="X1504" s="3">
        <f t="shared" si="539"/>
        <v>972000</v>
      </c>
      <c r="Y1504">
        <f t="shared" si="540"/>
        <v>0.2814814814814815</v>
      </c>
      <c r="Z1504">
        <f t="shared" si="541"/>
        <v>0.76</v>
      </c>
      <c r="AA1504" t="str">
        <f t="shared" si="542"/>
        <v>Tier 5 - Retirement Pipeline</v>
      </c>
      <c r="AB1504" s="3">
        <f t="shared" si="543"/>
        <v>25920</v>
      </c>
      <c r="AC1504" s="3">
        <f t="shared" si="544"/>
        <v>288000</v>
      </c>
      <c r="AD1504" s="3">
        <f t="shared" si="545"/>
        <v>108000</v>
      </c>
      <c r="AE1504" s="5">
        <f t="shared" si="546"/>
        <v>3.5087719298245612</v>
      </c>
      <c r="AF1504" s="10">
        <f t="shared" si="547"/>
        <v>80352</v>
      </c>
      <c r="AG1504" s="10">
        <f t="shared" si="548"/>
        <v>25920</v>
      </c>
      <c r="AH1504" s="10">
        <f t="shared" si="549"/>
        <v>12960</v>
      </c>
      <c r="AI1504" s="10">
        <f t="shared" si="550"/>
        <v>6480</v>
      </c>
      <c r="AJ1504" s="10">
        <f t="shared" si="551"/>
        <v>3888</v>
      </c>
    </row>
    <row r="1505" spans="1:36" x14ac:dyDescent="0.3">
      <c r="A1505" t="s">
        <v>5739</v>
      </c>
      <c r="B1505" t="s">
        <v>5740</v>
      </c>
      <c r="C1505" t="s">
        <v>1184</v>
      </c>
      <c r="D1505" t="s">
        <v>299</v>
      </c>
      <c r="E1505">
        <v>22911</v>
      </c>
      <c r="F1505" t="s">
        <v>15</v>
      </c>
      <c r="G1505">
        <v>8</v>
      </c>
      <c r="H1505">
        <v>250</v>
      </c>
      <c r="I1505" t="str" cm="1">
        <f t="array" ref="I1505">_xlfn.IFS(H1505&lt;=120,"V1",H1505&lt;=150,"V2",H1505&lt;=250,"V3", H1505&lt;=350, "V4")</f>
        <v>V3</v>
      </c>
      <c r="J1505" t="s">
        <v>5741</v>
      </c>
      <c r="K1505" t="str">
        <f t="shared" si="529"/>
        <v>38.132266</v>
      </c>
      <c r="L1505" t="str">
        <f t="shared" si="530"/>
        <v>-78.434391</v>
      </c>
      <c r="M1505">
        <v>164</v>
      </c>
      <c r="N1505" s="1">
        <v>44330</v>
      </c>
      <c r="O1505" s="1">
        <v>46099</v>
      </c>
      <c r="P1505" s="2">
        <f t="shared" si="531"/>
        <v>4.8432580424366876</v>
      </c>
      <c r="Q1505" s="2" t="str">
        <f t="shared" si="532"/>
        <v>Mid</v>
      </c>
      <c r="R1505">
        <f t="shared" si="533"/>
        <v>2000</v>
      </c>
      <c r="S1505" t="str">
        <f t="shared" si="534"/>
        <v>Small</v>
      </c>
      <c r="T1505" t="str">
        <f t="shared" si="535"/>
        <v>Lower EV Adoption Corridor</v>
      </c>
      <c r="U1505" s="3">
        <f t="shared" si="536"/>
        <v>3600000</v>
      </c>
      <c r="V1505" s="4">
        <f t="shared" si="537"/>
        <v>880000.00000000012</v>
      </c>
      <c r="W1505" s="3">
        <f t="shared" si="538"/>
        <v>12000000</v>
      </c>
      <c r="X1505" s="3">
        <f t="shared" si="539"/>
        <v>6600000.0000000009</v>
      </c>
      <c r="Y1505">
        <f t="shared" si="540"/>
        <v>0.31515151515151513</v>
      </c>
      <c r="Z1505">
        <f t="shared" si="541"/>
        <v>0.75555555555555554</v>
      </c>
      <c r="AA1505" t="str">
        <f t="shared" si="542"/>
        <v>Tier 2 - Growth Markets</v>
      </c>
      <c r="AB1505" s="3">
        <f t="shared" si="543"/>
        <v>110000.00000000001</v>
      </c>
      <c r="AC1505" s="3">
        <f t="shared" si="544"/>
        <v>1500000</v>
      </c>
      <c r="AD1505" s="3">
        <f t="shared" si="545"/>
        <v>450000</v>
      </c>
      <c r="AE1505" s="5">
        <f t="shared" si="546"/>
        <v>4.4117647058823533</v>
      </c>
      <c r="AF1505" s="10">
        <f t="shared" si="547"/>
        <v>545600.00000000012</v>
      </c>
      <c r="AG1505" s="10">
        <f t="shared" si="548"/>
        <v>176000.00000000003</v>
      </c>
      <c r="AH1505" s="10">
        <f t="shared" si="549"/>
        <v>88000.000000000015</v>
      </c>
      <c r="AI1505" s="10">
        <f t="shared" si="550"/>
        <v>44000.000000000007</v>
      </c>
      <c r="AJ1505" s="10">
        <f t="shared" si="551"/>
        <v>26400.000000000004</v>
      </c>
    </row>
    <row r="1506" spans="1:36" x14ac:dyDescent="0.3">
      <c r="A1506" t="s">
        <v>5742</v>
      </c>
      <c r="B1506" t="s">
        <v>5743</v>
      </c>
      <c r="C1506" t="s">
        <v>1260</v>
      </c>
      <c r="D1506" t="s">
        <v>14</v>
      </c>
      <c r="E1506">
        <v>93908</v>
      </c>
      <c r="F1506" t="s">
        <v>15</v>
      </c>
      <c r="G1506">
        <v>8</v>
      </c>
      <c r="H1506">
        <v>250</v>
      </c>
      <c r="I1506" t="str" cm="1">
        <f t="array" ref="I1506">_xlfn.IFS(H1506&lt;=120,"V1",H1506&lt;=150,"V2",H1506&lt;=250,"V3", H1506&lt;=350, "V4")</f>
        <v>V3</v>
      </c>
      <c r="J1506" t="s">
        <v>5744</v>
      </c>
      <c r="K1506" t="str">
        <f t="shared" si="529"/>
        <v>36.586463</v>
      </c>
      <c r="L1506" t="str">
        <f t="shared" si="530"/>
        <v>-121.756108</v>
      </c>
      <c r="M1506">
        <v>238</v>
      </c>
      <c r="N1506" s="1">
        <v>44819</v>
      </c>
      <c r="O1506" s="1">
        <v>46099</v>
      </c>
      <c r="P1506" s="2">
        <f t="shared" si="531"/>
        <v>3.5044490075290895</v>
      </c>
      <c r="Q1506" s="2" t="str">
        <f t="shared" si="532"/>
        <v>Mid</v>
      </c>
      <c r="R1506">
        <f t="shared" si="533"/>
        <v>2000</v>
      </c>
      <c r="S1506" t="str">
        <f t="shared" si="534"/>
        <v>Small</v>
      </c>
      <c r="T1506" t="str">
        <f t="shared" si="535"/>
        <v>High EV Adoption Corridor</v>
      </c>
      <c r="U1506" s="3">
        <f t="shared" si="536"/>
        <v>4680000</v>
      </c>
      <c r="V1506" s="4">
        <f t="shared" si="537"/>
        <v>1056000</v>
      </c>
      <c r="W1506" s="3">
        <f t="shared" si="538"/>
        <v>13200000.000000002</v>
      </c>
      <c r="X1506" s="3">
        <f t="shared" si="539"/>
        <v>9900000.0000000019</v>
      </c>
      <c r="Y1506">
        <f t="shared" si="540"/>
        <v>0.23999999999999996</v>
      </c>
      <c r="Z1506">
        <f t="shared" si="541"/>
        <v>0.77435897435897438</v>
      </c>
      <c r="AA1506" t="str">
        <f t="shared" si="542"/>
        <v>Tier 1 - Priority Fleet</v>
      </c>
      <c r="AB1506" s="3">
        <f t="shared" si="543"/>
        <v>132000</v>
      </c>
      <c r="AC1506" s="3">
        <f t="shared" si="544"/>
        <v>1650000.0000000002</v>
      </c>
      <c r="AD1506" s="3">
        <f t="shared" si="545"/>
        <v>585000</v>
      </c>
      <c r="AE1506" s="5">
        <f t="shared" si="546"/>
        <v>3.6423841059602653</v>
      </c>
      <c r="AF1506" s="10">
        <f t="shared" si="547"/>
        <v>654720</v>
      </c>
      <c r="AG1506" s="10">
        <f t="shared" si="548"/>
        <v>211200</v>
      </c>
      <c r="AH1506" s="10">
        <f t="shared" si="549"/>
        <v>105600</v>
      </c>
      <c r="AI1506" s="10">
        <f t="shared" si="550"/>
        <v>52800</v>
      </c>
      <c r="AJ1506" s="10">
        <f t="shared" si="551"/>
        <v>31680</v>
      </c>
    </row>
    <row r="1507" spans="1:36" x14ac:dyDescent="0.3">
      <c r="A1507" t="s">
        <v>5745</v>
      </c>
      <c r="B1507" t="s">
        <v>5746</v>
      </c>
      <c r="C1507" t="s">
        <v>5747</v>
      </c>
      <c r="D1507" t="s">
        <v>50</v>
      </c>
      <c r="E1507">
        <v>78746</v>
      </c>
      <c r="F1507" t="s">
        <v>15</v>
      </c>
      <c r="G1507">
        <v>8</v>
      </c>
      <c r="H1507">
        <v>250</v>
      </c>
      <c r="I1507" t="str" cm="1">
        <f t="array" ref="I1507">_xlfn.IFS(H1507&lt;=120,"V1",H1507&lt;=150,"V2",H1507&lt;=250,"V3", H1507&lt;=350, "V4")</f>
        <v>V3</v>
      </c>
      <c r="J1507" t="s">
        <v>5748</v>
      </c>
      <c r="K1507" t="str">
        <f t="shared" si="529"/>
        <v>30.289722</v>
      </c>
      <c r="L1507" t="str">
        <f t="shared" si="530"/>
        <v>-97.827417</v>
      </c>
      <c r="M1507">
        <v>265</v>
      </c>
      <c r="N1507" s="1">
        <v>44632</v>
      </c>
      <c r="O1507" s="1">
        <v>46099</v>
      </c>
      <c r="P1507" s="2">
        <f t="shared" si="531"/>
        <v>4.0164271047227924</v>
      </c>
      <c r="Q1507" s="2" t="str">
        <f t="shared" si="532"/>
        <v>Mid</v>
      </c>
      <c r="R1507">
        <f t="shared" si="533"/>
        <v>2000</v>
      </c>
      <c r="S1507" t="str">
        <f t="shared" si="534"/>
        <v>Small</v>
      </c>
      <c r="T1507" t="str">
        <f t="shared" si="535"/>
        <v>High EV Adoption Corridor</v>
      </c>
      <c r="U1507" s="3">
        <f t="shared" si="536"/>
        <v>4680000</v>
      </c>
      <c r="V1507" s="4">
        <f t="shared" si="537"/>
        <v>1056000</v>
      </c>
      <c r="W1507" s="3">
        <f t="shared" si="538"/>
        <v>13200000.000000002</v>
      </c>
      <c r="X1507" s="3">
        <f t="shared" si="539"/>
        <v>9900000.0000000019</v>
      </c>
      <c r="Y1507">
        <f t="shared" si="540"/>
        <v>0.23999999999999996</v>
      </c>
      <c r="Z1507">
        <f t="shared" si="541"/>
        <v>0.77435897435897438</v>
      </c>
      <c r="AA1507" t="str">
        <f t="shared" si="542"/>
        <v>Tier 1 - Priority Fleet</v>
      </c>
      <c r="AB1507" s="3">
        <f t="shared" si="543"/>
        <v>132000</v>
      </c>
      <c r="AC1507" s="3">
        <f t="shared" si="544"/>
        <v>1650000.0000000002</v>
      </c>
      <c r="AD1507" s="3">
        <f t="shared" si="545"/>
        <v>585000</v>
      </c>
      <c r="AE1507" s="5">
        <f t="shared" si="546"/>
        <v>3.6423841059602653</v>
      </c>
      <c r="AF1507" s="10">
        <f t="shared" si="547"/>
        <v>654720</v>
      </c>
      <c r="AG1507" s="10">
        <f t="shared" si="548"/>
        <v>211200</v>
      </c>
      <c r="AH1507" s="10">
        <f t="shared" si="549"/>
        <v>105600</v>
      </c>
      <c r="AI1507" s="10">
        <f t="shared" si="550"/>
        <v>52800</v>
      </c>
      <c r="AJ1507" s="10">
        <f t="shared" si="551"/>
        <v>31680</v>
      </c>
    </row>
    <row r="1508" spans="1:36" x14ac:dyDescent="0.3">
      <c r="A1508" t="s">
        <v>5749</v>
      </c>
      <c r="B1508" t="s">
        <v>5750</v>
      </c>
      <c r="C1508" t="s">
        <v>5751</v>
      </c>
      <c r="D1508" t="s">
        <v>50</v>
      </c>
      <c r="E1508">
        <v>78130</v>
      </c>
      <c r="F1508" t="s">
        <v>15</v>
      </c>
      <c r="G1508">
        <v>24</v>
      </c>
      <c r="H1508">
        <v>250</v>
      </c>
      <c r="I1508" t="str" cm="1">
        <f t="array" ref="I1508">_xlfn.IFS(H1508&lt;=120,"V1",H1508&lt;=150,"V2",H1508&lt;=250,"V3", H1508&lt;=350, "V4")</f>
        <v>V3</v>
      </c>
      <c r="J1508" t="s">
        <v>5752</v>
      </c>
      <c r="K1508" t="str">
        <f t="shared" si="529"/>
        <v>29.726598</v>
      </c>
      <c r="L1508" t="str">
        <f t="shared" si="530"/>
        <v>-98.078702</v>
      </c>
      <c r="M1508">
        <v>208</v>
      </c>
      <c r="N1508" s="1">
        <v>44712</v>
      </c>
      <c r="O1508" s="1">
        <v>46099</v>
      </c>
      <c r="P1508" s="2">
        <f t="shared" si="531"/>
        <v>3.7973990417522243</v>
      </c>
      <c r="Q1508" s="2" t="str">
        <f t="shared" si="532"/>
        <v>Mid</v>
      </c>
      <c r="R1508">
        <f t="shared" si="533"/>
        <v>6000</v>
      </c>
      <c r="S1508" t="str">
        <f t="shared" si="534"/>
        <v>Small</v>
      </c>
      <c r="T1508" t="str">
        <f t="shared" si="535"/>
        <v>High EV Adoption Corridor</v>
      </c>
      <c r="U1508" s="3">
        <f t="shared" si="536"/>
        <v>14040000</v>
      </c>
      <c r="V1508" s="4">
        <f t="shared" si="537"/>
        <v>3168000</v>
      </c>
      <c r="W1508" s="3">
        <f t="shared" si="538"/>
        <v>39600000</v>
      </c>
      <c r="X1508" s="3">
        <f t="shared" si="539"/>
        <v>29700000</v>
      </c>
      <c r="Y1508">
        <f t="shared" si="540"/>
        <v>0.24</v>
      </c>
      <c r="Z1508">
        <f t="shared" si="541"/>
        <v>0.77435897435897438</v>
      </c>
      <c r="AA1508" t="str">
        <f t="shared" si="542"/>
        <v>Tier 1 - Priority Fleet</v>
      </c>
      <c r="AB1508" s="3">
        <f t="shared" si="543"/>
        <v>132000</v>
      </c>
      <c r="AC1508" s="3">
        <f t="shared" si="544"/>
        <v>1650000</v>
      </c>
      <c r="AD1508" s="3">
        <f t="shared" si="545"/>
        <v>585000</v>
      </c>
      <c r="AE1508" s="5">
        <f t="shared" si="546"/>
        <v>3.6423841059602649</v>
      </c>
      <c r="AF1508" s="10">
        <f t="shared" si="547"/>
        <v>1964160</v>
      </c>
      <c r="AG1508" s="10">
        <f t="shared" si="548"/>
        <v>633600</v>
      </c>
      <c r="AH1508" s="10">
        <f t="shared" si="549"/>
        <v>316800</v>
      </c>
      <c r="AI1508" s="10">
        <f t="shared" si="550"/>
        <v>158400</v>
      </c>
      <c r="AJ1508" s="10">
        <f t="shared" si="551"/>
        <v>95040</v>
      </c>
    </row>
    <row r="1509" spans="1:36" x14ac:dyDescent="0.3">
      <c r="A1509" t="s">
        <v>5753</v>
      </c>
      <c r="B1509" t="s">
        <v>5754</v>
      </c>
      <c r="C1509" t="s">
        <v>5755</v>
      </c>
      <c r="D1509" t="s">
        <v>259</v>
      </c>
      <c r="E1509">
        <v>82636</v>
      </c>
      <c r="F1509" t="s">
        <v>15</v>
      </c>
      <c r="G1509">
        <v>8</v>
      </c>
      <c r="H1509">
        <v>250</v>
      </c>
      <c r="I1509" t="str" cm="1">
        <f t="array" ref="I1509">_xlfn.IFS(H1509&lt;=120,"V1",H1509&lt;=150,"V2",H1509&lt;=250,"V3", H1509&lt;=350, "V4")</f>
        <v>V3</v>
      </c>
      <c r="J1509" t="s">
        <v>5756</v>
      </c>
      <c r="K1509" t="str">
        <f t="shared" si="529"/>
        <v>42.846691</v>
      </c>
      <c r="L1509" t="str">
        <f t="shared" si="530"/>
        <v>-106.214485</v>
      </c>
      <c r="M1509">
        <v>1570</v>
      </c>
      <c r="N1509" s="1">
        <v>44013</v>
      </c>
      <c r="O1509" s="1">
        <v>46099</v>
      </c>
      <c r="P1509" s="2">
        <f t="shared" si="531"/>
        <v>5.7111567419575637</v>
      </c>
      <c r="Q1509" s="2" t="str">
        <f t="shared" si="532"/>
        <v>Mid</v>
      </c>
      <c r="R1509">
        <f t="shared" si="533"/>
        <v>2000</v>
      </c>
      <c r="S1509" t="str">
        <f t="shared" si="534"/>
        <v>Small</v>
      </c>
      <c r="T1509" t="str">
        <f t="shared" si="535"/>
        <v>Lower EV Adoption Corridor</v>
      </c>
      <c r="U1509" s="3">
        <f t="shared" si="536"/>
        <v>3600000</v>
      </c>
      <c r="V1509" s="4">
        <f t="shared" si="537"/>
        <v>880000.00000000012</v>
      </c>
      <c r="W1509" s="3">
        <f t="shared" si="538"/>
        <v>12000000</v>
      </c>
      <c r="X1509" s="3">
        <f t="shared" si="539"/>
        <v>6600000.0000000009</v>
      </c>
      <c r="Y1509">
        <f t="shared" si="540"/>
        <v>0.31515151515151513</v>
      </c>
      <c r="Z1509">
        <f t="shared" si="541"/>
        <v>0.75555555555555554</v>
      </c>
      <c r="AA1509" t="str">
        <f t="shared" si="542"/>
        <v>Tier 2 - Growth Markets</v>
      </c>
      <c r="AB1509" s="3">
        <f t="shared" si="543"/>
        <v>110000.00000000001</v>
      </c>
      <c r="AC1509" s="3">
        <f t="shared" si="544"/>
        <v>1500000</v>
      </c>
      <c r="AD1509" s="3">
        <f t="shared" si="545"/>
        <v>450000</v>
      </c>
      <c r="AE1509" s="5">
        <f t="shared" si="546"/>
        <v>4.4117647058823533</v>
      </c>
      <c r="AF1509" s="10">
        <f t="shared" si="547"/>
        <v>545600.00000000012</v>
      </c>
      <c r="AG1509" s="10">
        <f t="shared" si="548"/>
        <v>176000.00000000003</v>
      </c>
      <c r="AH1509" s="10">
        <f t="shared" si="549"/>
        <v>88000.000000000015</v>
      </c>
      <c r="AI1509" s="10">
        <f t="shared" si="550"/>
        <v>44000.000000000007</v>
      </c>
      <c r="AJ1509" s="10">
        <f t="shared" si="551"/>
        <v>26400.000000000004</v>
      </c>
    </row>
    <row r="1510" spans="1:36" x14ac:dyDescent="0.3">
      <c r="A1510" t="s">
        <v>5757</v>
      </c>
      <c r="B1510" t="s">
        <v>5758</v>
      </c>
      <c r="C1510" t="s">
        <v>5759</v>
      </c>
      <c r="D1510" t="s">
        <v>77</v>
      </c>
      <c r="E1510">
        <v>27028</v>
      </c>
      <c r="F1510" t="s">
        <v>15</v>
      </c>
      <c r="G1510">
        <v>8</v>
      </c>
      <c r="H1510">
        <v>250</v>
      </c>
      <c r="I1510" t="str" cm="1">
        <f t="array" ref="I1510">_xlfn.IFS(H1510&lt;=120,"V1",H1510&lt;=150,"V2",H1510&lt;=250,"V3", H1510&lt;=350, "V4")</f>
        <v>V3</v>
      </c>
      <c r="J1510" t="s">
        <v>5760</v>
      </c>
      <c r="K1510" t="str">
        <f t="shared" si="529"/>
        <v>35.9189</v>
      </c>
      <c r="L1510" t="str">
        <f t="shared" si="530"/>
        <v>-80.5856</v>
      </c>
      <c r="M1510">
        <v>255</v>
      </c>
      <c r="N1510" s="1">
        <v>44951</v>
      </c>
      <c r="O1510" s="1">
        <v>46099</v>
      </c>
      <c r="P1510" s="2">
        <f t="shared" si="531"/>
        <v>3.1430527036276521</v>
      </c>
      <c r="Q1510" s="2" t="str">
        <f t="shared" si="532"/>
        <v>Mid</v>
      </c>
      <c r="R1510">
        <f t="shared" si="533"/>
        <v>2000</v>
      </c>
      <c r="S1510" t="str">
        <f t="shared" si="534"/>
        <v>Small</v>
      </c>
      <c r="T1510" t="str">
        <f t="shared" si="535"/>
        <v>Lower EV Adoption Corridor</v>
      </c>
      <c r="U1510" s="3">
        <f t="shared" si="536"/>
        <v>3600000</v>
      </c>
      <c r="V1510" s="4">
        <f t="shared" si="537"/>
        <v>880000.00000000012</v>
      </c>
      <c r="W1510" s="3">
        <f t="shared" si="538"/>
        <v>12000000</v>
      </c>
      <c r="X1510" s="3">
        <f t="shared" si="539"/>
        <v>6600000.0000000009</v>
      </c>
      <c r="Y1510">
        <f t="shared" si="540"/>
        <v>0.31515151515151513</v>
      </c>
      <c r="Z1510">
        <f t="shared" si="541"/>
        <v>0.75555555555555554</v>
      </c>
      <c r="AA1510" t="str">
        <f t="shared" si="542"/>
        <v>Tier 2 - Growth Markets</v>
      </c>
      <c r="AB1510" s="3">
        <f t="shared" si="543"/>
        <v>110000.00000000001</v>
      </c>
      <c r="AC1510" s="3">
        <f t="shared" si="544"/>
        <v>1500000</v>
      </c>
      <c r="AD1510" s="3">
        <f t="shared" si="545"/>
        <v>450000</v>
      </c>
      <c r="AE1510" s="5">
        <f t="shared" si="546"/>
        <v>4.4117647058823533</v>
      </c>
      <c r="AF1510" s="10">
        <f t="shared" si="547"/>
        <v>545600.00000000012</v>
      </c>
      <c r="AG1510" s="10">
        <f t="shared" si="548"/>
        <v>176000.00000000003</v>
      </c>
      <c r="AH1510" s="10">
        <f t="shared" si="549"/>
        <v>88000.000000000015</v>
      </c>
      <c r="AI1510" s="10">
        <f t="shared" si="550"/>
        <v>44000.000000000007</v>
      </c>
      <c r="AJ1510" s="10">
        <f t="shared" si="551"/>
        <v>26400.000000000004</v>
      </c>
    </row>
    <row r="1511" spans="1:36" x14ac:dyDescent="0.3">
      <c r="A1511" t="s">
        <v>5761</v>
      </c>
      <c r="B1511" t="s">
        <v>5762</v>
      </c>
      <c r="C1511" t="s">
        <v>5763</v>
      </c>
      <c r="D1511" t="s">
        <v>72</v>
      </c>
      <c r="E1511">
        <v>85204</v>
      </c>
      <c r="F1511" t="s">
        <v>15</v>
      </c>
      <c r="G1511">
        <v>12</v>
      </c>
      <c r="H1511">
        <v>250</v>
      </c>
      <c r="I1511" t="str" cm="1">
        <f t="array" ref="I1511">_xlfn.IFS(H1511&lt;=120,"V1",H1511&lt;=150,"V2",H1511&lt;=250,"V3", H1511&lt;=350, "V4")</f>
        <v>V3</v>
      </c>
      <c r="J1511" t="s">
        <v>5764</v>
      </c>
      <c r="K1511" t="str">
        <f t="shared" si="529"/>
        <v>33.3803</v>
      </c>
      <c r="L1511" t="str">
        <f t="shared" si="530"/>
        <v>-111.8056</v>
      </c>
      <c r="M1511">
        <v>374</v>
      </c>
      <c r="N1511" s="1">
        <v>44911</v>
      </c>
      <c r="O1511" s="1">
        <v>46099</v>
      </c>
      <c r="P1511" s="2">
        <f t="shared" si="531"/>
        <v>3.2525667351129361</v>
      </c>
      <c r="Q1511" s="2" t="str">
        <f t="shared" si="532"/>
        <v>Mid</v>
      </c>
      <c r="R1511">
        <f t="shared" si="533"/>
        <v>3000</v>
      </c>
      <c r="S1511" t="str">
        <f t="shared" si="534"/>
        <v>Small</v>
      </c>
      <c r="T1511" t="str">
        <f t="shared" si="535"/>
        <v>Lower EV Adoption Corridor</v>
      </c>
      <c r="U1511" s="3">
        <f t="shared" si="536"/>
        <v>5400000</v>
      </c>
      <c r="V1511" s="4">
        <f t="shared" si="537"/>
        <v>1320000</v>
      </c>
      <c r="W1511" s="3">
        <f t="shared" si="538"/>
        <v>18000000</v>
      </c>
      <c r="X1511" s="3">
        <f t="shared" si="539"/>
        <v>9900000</v>
      </c>
      <c r="Y1511">
        <f t="shared" si="540"/>
        <v>0.31515151515151513</v>
      </c>
      <c r="Z1511">
        <f t="shared" si="541"/>
        <v>0.75555555555555554</v>
      </c>
      <c r="AA1511" t="str">
        <f t="shared" si="542"/>
        <v>Tier 2 - Growth Markets</v>
      </c>
      <c r="AB1511" s="3">
        <f t="shared" si="543"/>
        <v>110000</v>
      </c>
      <c r="AC1511" s="3">
        <f t="shared" si="544"/>
        <v>1500000</v>
      </c>
      <c r="AD1511" s="3">
        <f t="shared" si="545"/>
        <v>450000</v>
      </c>
      <c r="AE1511" s="5">
        <f t="shared" si="546"/>
        <v>4.4117647058823533</v>
      </c>
      <c r="AF1511" s="10">
        <f t="shared" si="547"/>
        <v>818400</v>
      </c>
      <c r="AG1511" s="10">
        <f t="shared" si="548"/>
        <v>264000</v>
      </c>
      <c r="AH1511" s="10">
        <f t="shared" si="549"/>
        <v>132000</v>
      </c>
      <c r="AI1511" s="10">
        <f t="shared" si="550"/>
        <v>66000</v>
      </c>
      <c r="AJ1511" s="10">
        <f t="shared" si="551"/>
        <v>39600</v>
      </c>
    </row>
    <row r="1512" spans="1:36" x14ac:dyDescent="0.3">
      <c r="A1512" t="s">
        <v>5765</v>
      </c>
      <c r="B1512" t="s">
        <v>5766</v>
      </c>
      <c r="C1512" t="s">
        <v>1700</v>
      </c>
      <c r="D1512" t="s">
        <v>41</v>
      </c>
      <c r="E1512">
        <v>32839</v>
      </c>
      <c r="F1512" t="s">
        <v>15</v>
      </c>
      <c r="G1512">
        <v>12</v>
      </c>
      <c r="H1512">
        <v>250</v>
      </c>
      <c r="I1512" t="str" cm="1">
        <f t="array" ref="I1512">_xlfn.IFS(H1512&lt;=120,"V1",H1512&lt;=150,"V2",H1512&lt;=250,"V3", H1512&lt;=350, "V4")</f>
        <v>V3</v>
      </c>
      <c r="J1512" t="s">
        <v>5767</v>
      </c>
      <c r="K1512" t="str">
        <f t="shared" si="529"/>
        <v>28.492365</v>
      </c>
      <c r="L1512" t="str">
        <f t="shared" si="530"/>
        <v>-81.429161</v>
      </c>
      <c r="M1512">
        <v>31</v>
      </c>
      <c r="N1512" s="1">
        <v>44724</v>
      </c>
      <c r="O1512" s="1">
        <v>46099</v>
      </c>
      <c r="P1512" s="2">
        <f t="shared" si="531"/>
        <v>3.7645448323066395</v>
      </c>
      <c r="Q1512" s="2" t="str">
        <f t="shared" si="532"/>
        <v>Mid</v>
      </c>
      <c r="R1512">
        <f t="shared" si="533"/>
        <v>3000</v>
      </c>
      <c r="S1512" t="str">
        <f t="shared" si="534"/>
        <v>Small</v>
      </c>
      <c r="T1512" t="str">
        <f t="shared" si="535"/>
        <v>High EV Adoption Corridor</v>
      </c>
      <c r="U1512" s="3">
        <f t="shared" si="536"/>
        <v>7020000</v>
      </c>
      <c r="V1512" s="4">
        <f t="shared" si="537"/>
        <v>1584000</v>
      </c>
      <c r="W1512" s="3">
        <f t="shared" si="538"/>
        <v>19800000</v>
      </c>
      <c r="X1512" s="3">
        <f t="shared" si="539"/>
        <v>14850000</v>
      </c>
      <c r="Y1512">
        <f t="shared" si="540"/>
        <v>0.24</v>
      </c>
      <c r="Z1512">
        <f t="shared" si="541"/>
        <v>0.77435897435897438</v>
      </c>
      <c r="AA1512" t="str">
        <f t="shared" si="542"/>
        <v>Tier 1 - Priority Fleet</v>
      </c>
      <c r="AB1512" s="3">
        <f t="shared" si="543"/>
        <v>132000</v>
      </c>
      <c r="AC1512" s="3">
        <f t="shared" si="544"/>
        <v>1650000</v>
      </c>
      <c r="AD1512" s="3">
        <f t="shared" si="545"/>
        <v>585000</v>
      </c>
      <c r="AE1512" s="5">
        <f t="shared" si="546"/>
        <v>3.6423841059602649</v>
      </c>
      <c r="AF1512" s="10">
        <f t="shared" si="547"/>
        <v>982080</v>
      </c>
      <c r="AG1512" s="10">
        <f t="shared" si="548"/>
        <v>316800</v>
      </c>
      <c r="AH1512" s="10">
        <f t="shared" si="549"/>
        <v>158400</v>
      </c>
      <c r="AI1512" s="10">
        <f t="shared" si="550"/>
        <v>79200</v>
      </c>
      <c r="AJ1512" s="10">
        <f t="shared" si="551"/>
        <v>47520</v>
      </c>
    </row>
    <row r="1513" spans="1:36" x14ac:dyDescent="0.3">
      <c r="A1513" t="s">
        <v>5768</v>
      </c>
      <c r="B1513" t="s">
        <v>5769</v>
      </c>
      <c r="C1513" t="s">
        <v>2732</v>
      </c>
      <c r="D1513" t="s">
        <v>299</v>
      </c>
      <c r="E1513">
        <v>23005</v>
      </c>
      <c r="F1513" t="s">
        <v>15</v>
      </c>
      <c r="G1513">
        <v>8</v>
      </c>
      <c r="H1513">
        <v>250</v>
      </c>
      <c r="I1513" t="str" cm="1">
        <f t="array" ref="I1513">_xlfn.IFS(H1513&lt;=120,"V1",H1513&lt;=150,"V2",H1513&lt;=250,"V3", H1513&lt;=350, "V4")</f>
        <v>V3</v>
      </c>
      <c r="J1513" t="s">
        <v>5770</v>
      </c>
      <c r="K1513" t="str">
        <f t="shared" si="529"/>
        <v>37.745769</v>
      </c>
      <c r="L1513" t="str">
        <f t="shared" si="530"/>
        <v>-77.472412</v>
      </c>
      <c r="M1513">
        <v>66</v>
      </c>
      <c r="N1513" s="1">
        <v>44673</v>
      </c>
      <c r="O1513" s="1">
        <v>46099</v>
      </c>
      <c r="P1513" s="2">
        <f t="shared" si="531"/>
        <v>3.9041752224503763</v>
      </c>
      <c r="Q1513" s="2" t="str">
        <f t="shared" si="532"/>
        <v>Mid</v>
      </c>
      <c r="R1513">
        <f t="shared" si="533"/>
        <v>2000</v>
      </c>
      <c r="S1513" t="str">
        <f t="shared" si="534"/>
        <v>Small</v>
      </c>
      <c r="T1513" t="str">
        <f t="shared" si="535"/>
        <v>Lower EV Adoption Corridor</v>
      </c>
      <c r="U1513" s="3">
        <f t="shared" si="536"/>
        <v>3600000</v>
      </c>
      <c r="V1513" s="4">
        <f t="shared" si="537"/>
        <v>880000.00000000012</v>
      </c>
      <c r="W1513" s="3">
        <f t="shared" si="538"/>
        <v>12000000</v>
      </c>
      <c r="X1513" s="3">
        <f t="shared" si="539"/>
        <v>6600000.0000000009</v>
      </c>
      <c r="Y1513">
        <f t="shared" si="540"/>
        <v>0.31515151515151513</v>
      </c>
      <c r="Z1513">
        <f t="shared" si="541"/>
        <v>0.75555555555555554</v>
      </c>
      <c r="AA1513" t="str">
        <f t="shared" si="542"/>
        <v>Tier 2 - Growth Markets</v>
      </c>
      <c r="AB1513" s="3">
        <f t="shared" si="543"/>
        <v>110000.00000000001</v>
      </c>
      <c r="AC1513" s="3">
        <f t="shared" si="544"/>
        <v>1500000</v>
      </c>
      <c r="AD1513" s="3">
        <f t="shared" si="545"/>
        <v>450000</v>
      </c>
      <c r="AE1513" s="5">
        <f t="shared" si="546"/>
        <v>4.4117647058823533</v>
      </c>
      <c r="AF1513" s="10">
        <f t="shared" si="547"/>
        <v>545600.00000000012</v>
      </c>
      <c r="AG1513" s="10">
        <f t="shared" si="548"/>
        <v>176000.00000000003</v>
      </c>
      <c r="AH1513" s="10">
        <f t="shared" si="549"/>
        <v>88000.000000000015</v>
      </c>
      <c r="AI1513" s="10">
        <f t="shared" si="550"/>
        <v>44000.000000000007</v>
      </c>
      <c r="AJ1513" s="10">
        <f t="shared" si="551"/>
        <v>26400.000000000004</v>
      </c>
    </row>
    <row r="1514" spans="1:36" x14ac:dyDescent="0.3">
      <c r="A1514" t="s">
        <v>5771</v>
      </c>
      <c r="B1514" t="s">
        <v>5772</v>
      </c>
      <c r="C1514" t="s">
        <v>5773</v>
      </c>
      <c r="D1514" t="s">
        <v>50</v>
      </c>
      <c r="E1514">
        <v>78332</v>
      </c>
      <c r="F1514" t="s">
        <v>15</v>
      </c>
      <c r="G1514">
        <v>11</v>
      </c>
      <c r="H1514">
        <v>250</v>
      </c>
      <c r="I1514" t="str" cm="1">
        <f t="array" ref="I1514">_xlfn.IFS(H1514&lt;=120,"V1",H1514&lt;=150,"V2",H1514&lt;=250,"V3", H1514&lt;=350, "V4")</f>
        <v>V3</v>
      </c>
      <c r="J1514" t="s">
        <v>5774</v>
      </c>
      <c r="K1514" t="str">
        <f t="shared" si="529"/>
        <v>27.749045</v>
      </c>
      <c r="L1514" t="str">
        <f t="shared" si="530"/>
        <v>-98.06881</v>
      </c>
      <c r="M1514">
        <v>61</v>
      </c>
      <c r="N1514" s="1">
        <v>44784</v>
      </c>
      <c r="O1514" s="1">
        <v>46099</v>
      </c>
      <c r="P1514" s="2">
        <f t="shared" si="531"/>
        <v>3.6002737850787132</v>
      </c>
      <c r="Q1514" s="2" t="str">
        <f t="shared" si="532"/>
        <v>Mid</v>
      </c>
      <c r="R1514">
        <f t="shared" si="533"/>
        <v>2750</v>
      </c>
      <c r="S1514" t="str">
        <f t="shared" si="534"/>
        <v>Small</v>
      </c>
      <c r="T1514" t="str">
        <f t="shared" si="535"/>
        <v>High EV Adoption Corridor</v>
      </c>
      <c r="U1514" s="3">
        <f t="shared" si="536"/>
        <v>6435000</v>
      </c>
      <c r="V1514" s="4">
        <f t="shared" si="537"/>
        <v>1452000</v>
      </c>
      <c r="W1514" s="3">
        <f t="shared" si="538"/>
        <v>18150000</v>
      </c>
      <c r="X1514" s="3">
        <f t="shared" si="539"/>
        <v>13612500</v>
      </c>
      <c r="Y1514">
        <f t="shared" si="540"/>
        <v>0.24</v>
      </c>
      <c r="Z1514">
        <f t="shared" si="541"/>
        <v>0.77435897435897438</v>
      </c>
      <c r="AA1514" t="str">
        <f t="shared" si="542"/>
        <v>Tier 1 - Priority Fleet</v>
      </c>
      <c r="AB1514" s="3">
        <f t="shared" si="543"/>
        <v>132000</v>
      </c>
      <c r="AC1514" s="3">
        <f t="shared" si="544"/>
        <v>1650000</v>
      </c>
      <c r="AD1514" s="3">
        <f t="shared" si="545"/>
        <v>585000</v>
      </c>
      <c r="AE1514" s="5">
        <f t="shared" si="546"/>
        <v>3.6423841059602649</v>
      </c>
      <c r="AF1514" s="10">
        <f t="shared" si="547"/>
        <v>900240</v>
      </c>
      <c r="AG1514" s="10">
        <f t="shared" si="548"/>
        <v>290400</v>
      </c>
      <c r="AH1514" s="10">
        <f t="shared" si="549"/>
        <v>145200</v>
      </c>
      <c r="AI1514" s="10">
        <f t="shared" si="550"/>
        <v>72600</v>
      </c>
      <c r="AJ1514" s="10">
        <f t="shared" si="551"/>
        <v>43560</v>
      </c>
    </row>
    <row r="1515" spans="1:36" x14ac:dyDescent="0.3">
      <c r="A1515" t="s">
        <v>5775</v>
      </c>
      <c r="B1515" t="s">
        <v>5776</v>
      </c>
      <c r="C1515" t="s">
        <v>5777</v>
      </c>
      <c r="D1515" t="s">
        <v>41</v>
      </c>
      <c r="E1515">
        <v>32259</v>
      </c>
      <c r="F1515" t="s">
        <v>15</v>
      </c>
      <c r="G1515">
        <v>10</v>
      </c>
      <c r="H1515">
        <v>150</v>
      </c>
      <c r="I1515" t="str" cm="1">
        <f t="array" ref="I1515">_xlfn.IFS(H1515&lt;=120,"V1",H1515&lt;=150,"V2",H1515&lt;=250,"V3", H1515&lt;=350, "V4")</f>
        <v>V2</v>
      </c>
      <c r="J1515" t="s">
        <v>5778</v>
      </c>
      <c r="K1515" t="str">
        <f t="shared" si="529"/>
        <v>30.060278</v>
      </c>
      <c r="L1515" t="str">
        <f t="shared" si="530"/>
        <v>-81.513861</v>
      </c>
      <c r="M1515">
        <v>9</v>
      </c>
      <c r="N1515" s="1">
        <v>43454</v>
      </c>
      <c r="O1515" s="1">
        <v>46099</v>
      </c>
      <c r="P1515" s="2">
        <f t="shared" si="531"/>
        <v>7.2416153319644083</v>
      </c>
      <c r="Q1515" s="2" t="str">
        <f t="shared" si="532"/>
        <v>Mid</v>
      </c>
      <c r="R1515">
        <f t="shared" si="533"/>
        <v>1500</v>
      </c>
      <c r="S1515" t="str">
        <f t="shared" si="534"/>
        <v>Small</v>
      </c>
      <c r="T1515" t="str">
        <f t="shared" si="535"/>
        <v>High EV Adoption Corridor</v>
      </c>
      <c r="U1515" s="3">
        <f t="shared" si="536"/>
        <v>3217500</v>
      </c>
      <c r="V1515" s="4">
        <f t="shared" si="537"/>
        <v>720000</v>
      </c>
      <c r="W1515" s="3">
        <f t="shared" si="538"/>
        <v>8250000.0000000009</v>
      </c>
      <c r="X1515" s="3">
        <f t="shared" si="539"/>
        <v>6750000</v>
      </c>
      <c r="Y1515">
        <f t="shared" si="540"/>
        <v>0.22888888888888889</v>
      </c>
      <c r="Z1515">
        <f t="shared" si="541"/>
        <v>0.77622377622377625</v>
      </c>
      <c r="AA1515" t="str">
        <f t="shared" si="542"/>
        <v>Tier 3 - Upgrade Pipeline</v>
      </c>
      <c r="AB1515" s="3">
        <f t="shared" si="543"/>
        <v>72000</v>
      </c>
      <c r="AC1515" s="3">
        <f t="shared" si="544"/>
        <v>825000.00000000012</v>
      </c>
      <c r="AD1515" s="3">
        <f t="shared" si="545"/>
        <v>321750</v>
      </c>
      <c r="AE1515" s="5">
        <f t="shared" si="546"/>
        <v>3.3033033033033035</v>
      </c>
      <c r="AF1515" s="10">
        <f t="shared" si="547"/>
        <v>446400</v>
      </c>
      <c r="AG1515" s="10">
        <f t="shared" si="548"/>
        <v>144000</v>
      </c>
      <c r="AH1515" s="10">
        <f t="shared" si="549"/>
        <v>72000</v>
      </c>
      <c r="AI1515" s="10">
        <f t="shared" si="550"/>
        <v>36000</v>
      </c>
      <c r="AJ1515" s="10">
        <f t="shared" si="551"/>
        <v>21600</v>
      </c>
    </row>
    <row r="1516" spans="1:36" x14ac:dyDescent="0.3">
      <c r="A1516" t="s">
        <v>5779</v>
      </c>
      <c r="B1516" t="s">
        <v>5780</v>
      </c>
      <c r="C1516" t="s">
        <v>5781</v>
      </c>
      <c r="D1516" t="s">
        <v>949</v>
      </c>
      <c r="E1516">
        <v>69101</v>
      </c>
      <c r="F1516" t="s">
        <v>15</v>
      </c>
      <c r="G1516">
        <v>8</v>
      </c>
      <c r="H1516">
        <v>250</v>
      </c>
      <c r="I1516" t="str" cm="1">
        <f t="array" ref="I1516">_xlfn.IFS(H1516&lt;=120,"V1",H1516&lt;=150,"V2",H1516&lt;=250,"V3", H1516&lt;=350, "V4")</f>
        <v>V3</v>
      </c>
      <c r="J1516" t="s">
        <v>5782</v>
      </c>
      <c r="K1516" t="str">
        <f t="shared" si="529"/>
        <v>41.120588</v>
      </c>
      <c r="L1516" t="str">
        <f t="shared" si="530"/>
        <v>-100.762642</v>
      </c>
      <c r="M1516">
        <v>853</v>
      </c>
      <c r="N1516" s="1">
        <v>44741</v>
      </c>
      <c r="O1516" s="1">
        <v>46099</v>
      </c>
      <c r="P1516" s="2">
        <f t="shared" si="531"/>
        <v>3.7180013689253935</v>
      </c>
      <c r="Q1516" s="2" t="str">
        <f t="shared" si="532"/>
        <v>Mid</v>
      </c>
      <c r="R1516">
        <f t="shared" si="533"/>
        <v>2000</v>
      </c>
      <c r="S1516" t="str">
        <f t="shared" si="534"/>
        <v>Small</v>
      </c>
      <c r="T1516" t="str">
        <f t="shared" si="535"/>
        <v>Lower EV Adoption Corridor</v>
      </c>
      <c r="U1516" s="3">
        <f t="shared" si="536"/>
        <v>3600000</v>
      </c>
      <c r="V1516" s="4">
        <f t="shared" si="537"/>
        <v>880000.00000000012</v>
      </c>
      <c r="W1516" s="3">
        <f t="shared" si="538"/>
        <v>12000000</v>
      </c>
      <c r="X1516" s="3">
        <f t="shared" si="539"/>
        <v>6600000.0000000009</v>
      </c>
      <c r="Y1516">
        <f t="shared" si="540"/>
        <v>0.31515151515151513</v>
      </c>
      <c r="Z1516">
        <f t="shared" si="541"/>
        <v>0.75555555555555554</v>
      </c>
      <c r="AA1516" t="str">
        <f t="shared" si="542"/>
        <v>Tier 2 - Growth Markets</v>
      </c>
      <c r="AB1516" s="3">
        <f t="shared" si="543"/>
        <v>110000.00000000001</v>
      </c>
      <c r="AC1516" s="3">
        <f t="shared" si="544"/>
        <v>1500000</v>
      </c>
      <c r="AD1516" s="3">
        <f t="shared" si="545"/>
        <v>450000</v>
      </c>
      <c r="AE1516" s="5">
        <f t="shared" si="546"/>
        <v>4.4117647058823533</v>
      </c>
      <c r="AF1516" s="10">
        <f t="shared" si="547"/>
        <v>545600.00000000012</v>
      </c>
      <c r="AG1516" s="10">
        <f t="shared" si="548"/>
        <v>176000.00000000003</v>
      </c>
      <c r="AH1516" s="10">
        <f t="shared" si="549"/>
        <v>88000.000000000015</v>
      </c>
      <c r="AI1516" s="10">
        <f t="shared" si="550"/>
        <v>44000.000000000007</v>
      </c>
      <c r="AJ1516" s="10">
        <f t="shared" si="551"/>
        <v>26400.000000000004</v>
      </c>
    </row>
    <row r="1517" spans="1:36" x14ac:dyDescent="0.3">
      <c r="A1517" t="s">
        <v>5783</v>
      </c>
      <c r="B1517" t="s">
        <v>5784</v>
      </c>
      <c r="C1517" t="s">
        <v>5785</v>
      </c>
      <c r="D1517" t="s">
        <v>158</v>
      </c>
      <c r="E1517">
        <v>13783</v>
      </c>
      <c r="F1517" t="s">
        <v>15</v>
      </c>
      <c r="G1517">
        <v>8</v>
      </c>
      <c r="H1517">
        <v>250</v>
      </c>
      <c r="I1517" t="str" cm="1">
        <f t="array" ref="I1517">_xlfn.IFS(H1517&lt;=120,"V1",H1517&lt;=150,"V2",H1517&lt;=250,"V3", H1517&lt;=350, "V4")</f>
        <v>V3</v>
      </c>
      <c r="J1517" t="s">
        <v>5786</v>
      </c>
      <c r="K1517" t="str">
        <f t="shared" si="529"/>
        <v>41.956228</v>
      </c>
      <c r="L1517" t="str">
        <f t="shared" si="530"/>
        <v>-75.294742</v>
      </c>
      <c r="M1517">
        <v>278</v>
      </c>
      <c r="N1517" s="1">
        <v>44914</v>
      </c>
      <c r="O1517" s="1">
        <v>46099</v>
      </c>
      <c r="P1517" s="2">
        <f t="shared" si="531"/>
        <v>3.2443531827515399</v>
      </c>
      <c r="Q1517" s="2" t="str">
        <f t="shared" si="532"/>
        <v>Mid</v>
      </c>
      <c r="R1517">
        <f t="shared" si="533"/>
        <v>2000</v>
      </c>
      <c r="S1517" t="str">
        <f t="shared" si="534"/>
        <v>Small</v>
      </c>
      <c r="T1517" t="str">
        <f t="shared" si="535"/>
        <v>Lower EV Adoption Corridor</v>
      </c>
      <c r="U1517" s="3">
        <f t="shared" si="536"/>
        <v>3600000</v>
      </c>
      <c r="V1517" s="4">
        <f t="shared" si="537"/>
        <v>880000.00000000012</v>
      </c>
      <c r="W1517" s="3">
        <f t="shared" si="538"/>
        <v>12000000</v>
      </c>
      <c r="X1517" s="3">
        <f t="shared" si="539"/>
        <v>6600000.0000000009</v>
      </c>
      <c r="Y1517">
        <f t="shared" si="540"/>
        <v>0.31515151515151513</v>
      </c>
      <c r="Z1517">
        <f t="shared" si="541"/>
        <v>0.75555555555555554</v>
      </c>
      <c r="AA1517" t="str">
        <f t="shared" si="542"/>
        <v>Tier 2 - Growth Markets</v>
      </c>
      <c r="AB1517" s="3">
        <f t="shared" si="543"/>
        <v>110000.00000000001</v>
      </c>
      <c r="AC1517" s="3">
        <f t="shared" si="544"/>
        <v>1500000</v>
      </c>
      <c r="AD1517" s="3">
        <f t="shared" si="545"/>
        <v>450000</v>
      </c>
      <c r="AE1517" s="5">
        <f t="shared" si="546"/>
        <v>4.4117647058823533</v>
      </c>
      <c r="AF1517" s="10">
        <f t="shared" si="547"/>
        <v>545600.00000000012</v>
      </c>
      <c r="AG1517" s="10">
        <f t="shared" si="548"/>
        <v>176000.00000000003</v>
      </c>
      <c r="AH1517" s="10">
        <f t="shared" si="549"/>
        <v>88000.000000000015</v>
      </c>
      <c r="AI1517" s="10">
        <f t="shared" si="550"/>
        <v>44000.000000000007</v>
      </c>
      <c r="AJ1517" s="10">
        <f t="shared" si="551"/>
        <v>26400.000000000004</v>
      </c>
    </row>
    <row r="1518" spans="1:36" x14ac:dyDescent="0.3">
      <c r="A1518" t="s">
        <v>5787</v>
      </c>
      <c r="B1518" t="s">
        <v>5788</v>
      </c>
      <c r="C1518" t="s">
        <v>5789</v>
      </c>
      <c r="D1518" t="s">
        <v>41</v>
      </c>
      <c r="E1518">
        <v>33426</v>
      </c>
      <c r="F1518" t="s">
        <v>15</v>
      </c>
      <c r="G1518">
        <v>16</v>
      </c>
      <c r="H1518">
        <v>250</v>
      </c>
      <c r="I1518" t="str" cm="1">
        <f t="array" ref="I1518">_xlfn.IFS(H1518&lt;=120,"V1",H1518&lt;=150,"V2",H1518&lt;=250,"V3", H1518&lt;=350, "V4")</f>
        <v>V3</v>
      </c>
      <c r="J1518" t="s">
        <v>5790</v>
      </c>
      <c r="K1518" t="str">
        <f t="shared" si="529"/>
        <v>26.533567</v>
      </c>
      <c r="L1518" t="str">
        <f t="shared" si="530"/>
        <v>-80.089394</v>
      </c>
      <c r="M1518">
        <v>3</v>
      </c>
      <c r="N1518" s="1">
        <v>44775</v>
      </c>
      <c r="O1518" s="1">
        <v>46099</v>
      </c>
      <c r="P1518" s="2">
        <f t="shared" si="531"/>
        <v>3.6249144421629023</v>
      </c>
      <c r="Q1518" s="2" t="str">
        <f t="shared" si="532"/>
        <v>Mid</v>
      </c>
      <c r="R1518">
        <f t="shared" si="533"/>
        <v>4000</v>
      </c>
      <c r="S1518" t="str">
        <f t="shared" si="534"/>
        <v>Small</v>
      </c>
      <c r="T1518" t="str">
        <f t="shared" si="535"/>
        <v>High EV Adoption Corridor</v>
      </c>
      <c r="U1518" s="3">
        <f t="shared" si="536"/>
        <v>9360000</v>
      </c>
      <c r="V1518" s="4">
        <f t="shared" si="537"/>
        <v>2112000</v>
      </c>
      <c r="W1518" s="3">
        <f t="shared" si="538"/>
        <v>26400000.000000004</v>
      </c>
      <c r="X1518" s="3">
        <f t="shared" si="539"/>
        <v>19800000.000000004</v>
      </c>
      <c r="Y1518">
        <f t="shared" si="540"/>
        <v>0.23999999999999996</v>
      </c>
      <c r="Z1518">
        <f t="shared" si="541"/>
        <v>0.77435897435897438</v>
      </c>
      <c r="AA1518" t="str">
        <f t="shared" si="542"/>
        <v>Tier 1 - Priority Fleet</v>
      </c>
      <c r="AB1518" s="3">
        <f t="shared" si="543"/>
        <v>132000</v>
      </c>
      <c r="AC1518" s="3">
        <f t="shared" si="544"/>
        <v>1650000.0000000002</v>
      </c>
      <c r="AD1518" s="3">
        <f t="shared" si="545"/>
        <v>585000</v>
      </c>
      <c r="AE1518" s="5">
        <f t="shared" si="546"/>
        <v>3.6423841059602653</v>
      </c>
      <c r="AF1518" s="10">
        <f t="shared" si="547"/>
        <v>1309440</v>
      </c>
      <c r="AG1518" s="10">
        <f t="shared" si="548"/>
        <v>422400</v>
      </c>
      <c r="AH1518" s="10">
        <f t="shared" si="549"/>
        <v>211200</v>
      </c>
      <c r="AI1518" s="10">
        <f t="shared" si="550"/>
        <v>105600</v>
      </c>
      <c r="AJ1518" s="10">
        <f t="shared" si="551"/>
        <v>63360</v>
      </c>
    </row>
    <row r="1519" spans="1:36" x14ac:dyDescent="0.3">
      <c r="A1519" t="s">
        <v>5791</v>
      </c>
      <c r="B1519" t="s">
        <v>5792</v>
      </c>
      <c r="C1519" t="s">
        <v>2697</v>
      </c>
      <c r="D1519" t="s">
        <v>153</v>
      </c>
      <c r="E1519">
        <v>18045</v>
      </c>
      <c r="F1519" t="s">
        <v>15</v>
      </c>
      <c r="G1519">
        <v>8</v>
      </c>
      <c r="H1519">
        <v>250</v>
      </c>
      <c r="I1519" t="str" cm="1">
        <f t="array" ref="I1519">_xlfn.IFS(H1519&lt;=120,"V1",H1519&lt;=150,"V2",H1519&lt;=250,"V3", H1519&lt;=350, "V4")</f>
        <v>V3</v>
      </c>
      <c r="J1519" t="s">
        <v>5793</v>
      </c>
      <c r="K1519" t="str">
        <f t="shared" si="529"/>
        <v>40.739349</v>
      </c>
      <c r="L1519" t="str">
        <f t="shared" si="530"/>
        <v>-75.263529</v>
      </c>
      <c r="M1519">
        <v>118</v>
      </c>
      <c r="N1519" s="1">
        <v>44808</v>
      </c>
      <c r="O1519" s="1">
        <v>46099</v>
      </c>
      <c r="P1519" s="2">
        <f t="shared" si="531"/>
        <v>3.5345653661875427</v>
      </c>
      <c r="Q1519" s="2" t="str">
        <f t="shared" si="532"/>
        <v>Mid</v>
      </c>
      <c r="R1519">
        <f t="shared" si="533"/>
        <v>2000</v>
      </c>
      <c r="S1519" t="str">
        <f t="shared" si="534"/>
        <v>Small</v>
      </c>
      <c r="T1519" t="str">
        <f t="shared" si="535"/>
        <v>Lower EV Adoption Corridor</v>
      </c>
      <c r="U1519" s="3">
        <f t="shared" si="536"/>
        <v>3600000</v>
      </c>
      <c r="V1519" s="4">
        <f t="shared" si="537"/>
        <v>880000.00000000012</v>
      </c>
      <c r="W1519" s="3">
        <f t="shared" si="538"/>
        <v>12000000</v>
      </c>
      <c r="X1519" s="3">
        <f t="shared" si="539"/>
        <v>6600000.0000000009</v>
      </c>
      <c r="Y1519">
        <f t="shared" si="540"/>
        <v>0.31515151515151513</v>
      </c>
      <c r="Z1519">
        <f t="shared" si="541"/>
        <v>0.75555555555555554</v>
      </c>
      <c r="AA1519" t="str">
        <f t="shared" si="542"/>
        <v>Tier 2 - Growth Markets</v>
      </c>
      <c r="AB1519" s="3">
        <f t="shared" si="543"/>
        <v>110000.00000000001</v>
      </c>
      <c r="AC1519" s="3">
        <f t="shared" si="544"/>
        <v>1500000</v>
      </c>
      <c r="AD1519" s="3">
        <f t="shared" si="545"/>
        <v>450000</v>
      </c>
      <c r="AE1519" s="5">
        <f t="shared" si="546"/>
        <v>4.4117647058823533</v>
      </c>
      <c r="AF1519" s="10">
        <f t="shared" si="547"/>
        <v>545600.00000000012</v>
      </c>
      <c r="AG1519" s="10">
        <f t="shared" si="548"/>
        <v>176000.00000000003</v>
      </c>
      <c r="AH1519" s="10">
        <f t="shared" si="549"/>
        <v>88000.000000000015</v>
      </c>
      <c r="AI1519" s="10">
        <f t="shared" si="550"/>
        <v>44000.000000000007</v>
      </c>
      <c r="AJ1519" s="10">
        <f t="shared" si="551"/>
        <v>26400.000000000004</v>
      </c>
    </row>
    <row r="1520" spans="1:36" x14ac:dyDescent="0.3">
      <c r="A1520" t="s">
        <v>5794</v>
      </c>
      <c r="B1520" t="s">
        <v>5795</v>
      </c>
      <c r="C1520" t="s">
        <v>3710</v>
      </c>
      <c r="D1520" t="s">
        <v>14</v>
      </c>
      <c r="E1520">
        <v>94621</v>
      </c>
      <c r="F1520" t="s">
        <v>15</v>
      </c>
      <c r="G1520">
        <v>16</v>
      </c>
      <c r="H1520">
        <v>250</v>
      </c>
      <c r="I1520" t="str" cm="1">
        <f t="array" ref="I1520">_xlfn.IFS(H1520&lt;=120,"V1",H1520&lt;=150,"V2",H1520&lt;=250,"V3", H1520&lt;=350, "V4")</f>
        <v>V3</v>
      </c>
      <c r="J1520" t="s">
        <v>5796</v>
      </c>
      <c r="K1520" t="str">
        <f t="shared" si="529"/>
        <v>37.746403</v>
      </c>
      <c r="L1520" t="str">
        <f t="shared" si="530"/>
        <v>-122.195614</v>
      </c>
      <c r="M1520">
        <v>4</v>
      </c>
      <c r="N1520" s="1">
        <v>43999</v>
      </c>
      <c r="O1520" s="1">
        <v>46099</v>
      </c>
      <c r="P1520" s="2">
        <f t="shared" si="531"/>
        <v>5.7494866529774127</v>
      </c>
      <c r="Q1520" s="2" t="str">
        <f t="shared" si="532"/>
        <v>Mid</v>
      </c>
      <c r="R1520">
        <f t="shared" si="533"/>
        <v>4000</v>
      </c>
      <c r="S1520" t="str">
        <f t="shared" si="534"/>
        <v>Small</v>
      </c>
      <c r="T1520" t="str">
        <f t="shared" si="535"/>
        <v>High EV Adoption Corridor</v>
      </c>
      <c r="U1520" s="3">
        <f t="shared" si="536"/>
        <v>9360000</v>
      </c>
      <c r="V1520" s="4">
        <f t="shared" si="537"/>
        <v>2112000</v>
      </c>
      <c r="W1520" s="3">
        <f t="shared" si="538"/>
        <v>26400000.000000004</v>
      </c>
      <c r="X1520" s="3">
        <f t="shared" si="539"/>
        <v>19800000.000000004</v>
      </c>
      <c r="Y1520">
        <f t="shared" si="540"/>
        <v>0.23999999999999996</v>
      </c>
      <c r="Z1520">
        <f t="shared" si="541"/>
        <v>0.77435897435897438</v>
      </c>
      <c r="AA1520" t="str">
        <f t="shared" si="542"/>
        <v>Tier 1 - Priority Fleet</v>
      </c>
      <c r="AB1520" s="3">
        <f t="shared" si="543"/>
        <v>132000</v>
      </c>
      <c r="AC1520" s="3">
        <f t="shared" si="544"/>
        <v>1650000.0000000002</v>
      </c>
      <c r="AD1520" s="3">
        <f t="shared" si="545"/>
        <v>585000</v>
      </c>
      <c r="AE1520" s="5">
        <f t="shared" si="546"/>
        <v>3.6423841059602653</v>
      </c>
      <c r="AF1520" s="10">
        <f t="shared" si="547"/>
        <v>1309440</v>
      </c>
      <c r="AG1520" s="10">
        <f t="shared" si="548"/>
        <v>422400</v>
      </c>
      <c r="AH1520" s="10">
        <f t="shared" si="549"/>
        <v>211200</v>
      </c>
      <c r="AI1520" s="10">
        <f t="shared" si="550"/>
        <v>105600</v>
      </c>
      <c r="AJ1520" s="10">
        <f t="shared" si="551"/>
        <v>63360</v>
      </c>
    </row>
    <row r="1521" spans="1:36" x14ac:dyDescent="0.3">
      <c r="A1521" t="s">
        <v>5797</v>
      </c>
      <c r="B1521" t="s">
        <v>5798</v>
      </c>
      <c r="C1521" t="s">
        <v>5799</v>
      </c>
      <c r="D1521" t="s">
        <v>50</v>
      </c>
      <c r="E1521">
        <v>78411</v>
      </c>
      <c r="F1521" t="s">
        <v>15</v>
      </c>
      <c r="G1521">
        <v>12</v>
      </c>
      <c r="H1521">
        <v>250</v>
      </c>
      <c r="I1521" t="str" cm="1">
        <f t="array" ref="I1521">_xlfn.IFS(H1521&lt;=120,"V1",H1521&lt;=150,"V2",H1521&lt;=250,"V3", H1521&lt;=350, "V4")</f>
        <v>V3</v>
      </c>
      <c r="J1521" t="s">
        <v>5800</v>
      </c>
      <c r="K1521" t="str">
        <f t="shared" si="529"/>
        <v>27.709319</v>
      </c>
      <c r="L1521" t="str">
        <f t="shared" si="530"/>
        <v>-97.368357</v>
      </c>
      <c r="M1521">
        <v>7</v>
      </c>
      <c r="N1521" s="1">
        <v>44742</v>
      </c>
      <c r="O1521" s="1">
        <v>46099</v>
      </c>
      <c r="P1521" s="2">
        <f t="shared" si="531"/>
        <v>3.7152635181382614</v>
      </c>
      <c r="Q1521" s="2" t="str">
        <f t="shared" si="532"/>
        <v>Mid</v>
      </c>
      <c r="R1521">
        <f t="shared" si="533"/>
        <v>3000</v>
      </c>
      <c r="S1521" t="str">
        <f t="shared" si="534"/>
        <v>Small</v>
      </c>
      <c r="T1521" t="str">
        <f t="shared" si="535"/>
        <v>High EV Adoption Corridor</v>
      </c>
      <c r="U1521" s="3">
        <f t="shared" si="536"/>
        <v>7020000</v>
      </c>
      <c r="V1521" s="4">
        <f t="shared" si="537"/>
        <v>1584000</v>
      </c>
      <c r="W1521" s="3">
        <f t="shared" si="538"/>
        <v>19800000</v>
      </c>
      <c r="X1521" s="3">
        <f t="shared" si="539"/>
        <v>14850000</v>
      </c>
      <c r="Y1521">
        <f t="shared" si="540"/>
        <v>0.24</v>
      </c>
      <c r="Z1521">
        <f t="shared" si="541"/>
        <v>0.77435897435897438</v>
      </c>
      <c r="AA1521" t="str">
        <f t="shared" si="542"/>
        <v>Tier 1 - Priority Fleet</v>
      </c>
      <c r="AB1521" s="3">
        <f t="shared" si="543"/>
        <v>132000</v>
      </c>
      <c r="AC1521" s="3">
        <f t="shared" si="544"/>
        <v>1650000</v>
      </c>
      <c r="AD1521" s="3">
        <f t="shared" si="545"/>
        <v>585000</v>
      </c>
      <c r="AE1521" s="5">
        <f t="shared" si="546"/>
        <v>3.6423841059602649</v>
      </c>
      <c r="AF1521" s="10">
        <f t="shared" si="547"/>
        <v>982080</v>
      </c>
      <c r="AG1521" s="10">
        <f t="shared" si="548"/>
        <v>316800</v>
      </c>
      <c r="AH1521" s="10">
        <f t="shared" si="549"/>
        <v>158400</v>
      </c>
      <c r="AI1521" s="10">
        <f t="shared" si="550"/>
        <v>79200</v>
      </c>
      <c r="AJ1521" s="10">
        <f t="shared" si="551"/>
        <v>47520</v>
      </c>
    </row>
    <row r="1522" spans="1:36" x14ac:dyDescent="0.3">
      <c r="A1522" t="s">
        <v>5801</v>
      </c>
      <c r="B1522" t="s">
        <v>5802</v>
      </c>
      <c r="C1522" t="s">
        <v>5803</v>
      </c>
      <c r="D1522" t="s">
        <v>852</v>
      </c>
      <c r="E1522">
        <v>7652</v>
      </c>
      <c r="F1522" t="s">
        <v>15</v>
      </c>
      <c r="G1522">
        <v>8</v>
      </c>
      <c r="H1522">
        <v>250</v>
      </c>
      <c r="I1522" t="str" cm="1">
        <f t="array" ref="I1522">_xlfn.IFS(H1522&lt;=120,"V1",H1522&lt;=150,"V2",H1522&lt;=250,"V3", H1522&lt;=350, "V4")</f>
        <v>V3</v>
      </c>
      <c r="J1522" t="s">
        <v>5804</v>
      </c>
      <c r="K1522" t="str">
        <f t="shared" si="529"/>
        <v>40.955391</v>
      </c>
      <c r="L1522" t="str">
        <f t="shared" si="530"/>
        <v>-74.07467</v>
      </c>
      <c r="M1522">
        <v>17</v>
      </c>
      <c r="N1522" s="1">
        <v>45010</v>
      </c>
      <c r="O1522" s="1">
        <v>46099</v>
      </c>
      <c r="P1522" s="2">
        <f t="shared" si="531"/>
        <v>2.9815195071868583</v>
      </c>
      <c r="Q1522" s="2" t="str">
        <f t="shared" si="532"/>
        <v>New</v>
      </c>
      <c r="R1522">
        <f t="shared" si="533"/>
        <v>2000</v>
      </c>
      <c r="S1522" t="str">
        <f t="shared" si="534"/>
        <v>Small</v>
      </c>
      <c r="T1522" t="str">
        <f t="shared" si="535"/>
        <v>High EV Adoption Corridor</v>
      </c>
      <c r="U1522" s="3">
        <f t="shared" si="536"/>
        <v>4680000</v>
      </c>
      <c r="V1522" s="4">
        <f t="shared" si="537"/>
        <v>1056000</v>
      </c>
      <c r="W1522" s="3">
        <f t="shared" si="538"/>
        <v>13200000.000000002</v>
      </c>
      <c r="X1522" s="3">
        <f t="shared" si="539"/>
        <v>9900000.0000000019</v>
      </c>
      <c r="Y1522">
        <f t="shared" si="540"/>
        <v>0.23999999999999996</v>
      </c>
      <c r="Z1522">
        <f t="shared" si="541"/>
        <v>0.77435897435897438</v>
      </c>
      <c r="AA1522" t="str">
        <f t="shared" si="542"/>
        <v>Tier 1 - Priority Fleet</v>
      </c>
      <c r="AB1522" s="3">
        <f t="shared" si="543"/>
        <v>132000</v>
      </c>
      <c r="AC1522" s="3">
        <f t="shared" si="544"/>
        <v>1650000.0000000002</v>
      </c>
      <c r="AD1522" s="3">
        <f t="shared" si="545"/>
        <v>585000</v>
      </c>
      <c r="AE1522" s="5">
        <f t="shared" si="546"/>
        <v>3.6423841059602653</v>
      </c>
      <c r="AF1522" s="10">
        <f t="shared" si="547"/>
        <v>654720</v>
      </c>
      <c r="AG1522" s="10">
        <f t="shared" si="548"/>
        <v>211200</v>
      </c>
      <c r="AH1522" s="10">
        <f t="shared" si="549"/>
        <v>105600</v>
      </c>
      <c r="AI1522" s="10">
        <f t="shared" si="550"/>
        <v>52800</v>
      </c>
      <c r="AJ1522" s="10">
        <f t="shared" si="551"/>
        <v>31680</v>
      </c>
    </row>
    <row r="1523" spans="1:36" x14ac:dyDescent="0.3">
      <c r="A1523" t="s">
        <v>5805</v>
      </c>
      <c r="B1523" t="s">
        <v>5806</v>
      </c>
      <c r="C1523" t="s">
        <v>5807</v>
      </c>
      <c r="D1523" t="s">
        <v>546</v>
      </c>
      <c r="E1523">
        <v>42701</v>
      </c>
      <c r="F1523" t="s">
        <v>15</v>
      </c>
      <c r="G1523">
        <v>8</v>
      </c>
      <c r="H1523">
        <v>250</v>
      </c>
      <c r="I1523" t="str" cm="1">
        <f t="array" ref="I1523">_xlfn.IFS(H1523&lt;=120,"V1",H1523&lt;=150,"V2",H1523&lt;=250,"V3", H1523&lt;=350, "V4")</f>
        <v>V3</v>
      </c>
      <c r="J1523" t="s">
        <v>5808</v>
      </c>
      <c r="K1523" t="str">
        <f t="shared" si="529"/>
        <v>37.671622</v>
      </c>
      <c r="L1523" t="str">
        <f t="shared" si="530"/>
        <v>-85.845453</v>
      </c>
      <c r="M1523">
        <v>235</v>
      </c>
      <c r="N1523" s="1">
        <v>44540</v>
      </c>
      <c r="O1523" s="1">
        <v>46099</v>
      </c>
      <c r="P1523" s="2">
        <f t="shared" si="531"/>
        <v>4.2683093771389462</v>
      </c>
      <c r="Q1523" s="2" t="str">
        <f t="shared" si="532"/>
        <v>Mid</v>
      </c>
      <c r="R1523">
        <f t="shared" si="533"/>
        <v>2000</v>
      </c>
      <c r="S1523" t="str">
        <f t="shared" si="534"/>
        <v>Small</v>
      </c>
      <c r="T1523" t="str">
        <f t="shared" si="535"/>
        <v>Lower EV Adoption Corridor</v>
      </c>
      <c r="U1523" s="3">
        <f t="shared" si="536"/>
        <v>3600000</v>
      </c>
      <c r="V1523" s="4">
        <f t="shared" si="537"/>
        <v>880000.00000000012</v>
      </c>
      <c r="W1523" s="3">
        <f t="shared" si="538"/>
        <v>12000000</v>
      </c>
      <c r="X1523" s="3">
        <f t="shared" si="539"/>
        <v>6600000.0000000009</v>
      </c>
      <c r="Y1523">
        <f t="shared" si="540"/>
        <v>0.31515151515151513</v>
      </c>
      <c r="Z1523">
        <f t="shared" si="541"/>
        <v>0.75555555555555554</v>
      </c>
      <c r="AA1523" t="str">
        <f t="shared" si="542"/>
        <v>Tier 2 - Growth Markets</v>
      </c>
      <c r="AB1523" s="3">
        <f t="shared" si="543"/>
        <v>110000.00000000001</v>
      </c>
      <c r="AC1523" s="3">
        <f t="shared" si="544"/>
        <v>1500000</v>
      </c>
      <c r="AD1523" s="3">
        <f t="shared" si="545"/>
        <v>450000</v>
      </c>
      <c r="AE1523" s="5">
        <f t="shared" si="546"/>
        <v>4.4117647058823533</v>
      </c>
      <c r="AF1523" s="10">
        <f t="shared" si="547"/>
        <v>545600.00000000012</v>
      </c>
      <c r="AG1523" s="10">
        <f t="shared" si="548"/>
        <v>176000.00000000003</v>
      </c>
      <c r="AH1523" s="10">
        <f t="shared" si="549"/>
        <v>88000.000000000015</v>
      </c>
      <c r="AI1523" s="10">
        <f t="shared" si="550"/>
        <v>44000.000000000007</v>
      </c>
      <c r="AJ1523" s="10">
        <f t="shared" si="551"/>
        <v>26400.000000000004</v>
      </c>
    </row>
    <row r="1524" spans="1:36" x14ac:dyDescent="0.3">
      <c r="A1524" t="s">
        <v>5809</v>
      </c>
      <c r="B1524" t="s">
        <v>5810</v>
      </c>
      <c r="C1524" t="s">
        <v>5811</v>
      </c>
      <c r="D1524" t="s">
        <v>41</v>
      </c>
      <c r="E1524">
        <v>33870</v>
      </c>
      <c r="F1524" t="s">
        <v>15</v>
      </c>
      <c r="G1524">
        <v>8</v>
      </c>
      <c r="H1524">
        <v>250</v>
      </c>
      <c r="I1524" t="str" cm="1">
        <f t="array" ref="I1524">_xlfn.IFS(H1524&lt;=120,"V1",H1524&lt;=150,"V2",H1524&lt;=250,"V3", H1524&lt;=350, "V4")</f>
        <v>V3</v>
      </c>
      <c r="J1524" t="s">
        <v>5812</v>
      </c>
      <c r="K1524" t="str">
        <f t="shared" si="529"/>
        <v>27.465749</v>
      </c>
      <c r="L1524" t="str">
        <f t="shared" si="530"/>
        <v>-81.434147</v>
      </c>
      <c r="M1524">
        <v>33</v>
      </c>
      <c r="N1524" s="1">
        <v>44999</v>
      </c>
      <c r="O1524" s="1">
        <v>46099</v>
      </c>
      <c r="P1524" s="2">
        <f t="shared" si="531"/>
        <v>3.0116358658453115</v>
      </c>
      <c r="Q1524" s="2" t="str">
        <f t="shared" si="532"/>
        <v>Mid</v>
      </c>
      <c r="R1524">
        <f t="shared" si="533"/>
        <v>2000</v>
      </c>
      <c r="S1524" t="str">
        <f t="shared" si="534"/>
        <v>Small</v>
      </c>
      <c r="T1524" t="str">
        <f t="shared" si="535"/>
        <v>High EV Adoption Corridor</v>
      </c>
      <c r="U1524" s="3">
        <f t="shared" si="536"/>
        <v>4680000</v>
      </c>
      <c r="V1524" s="4">
        <f t="shared" si="537"/>
        <v>1056000</v>
      </c>
      <c r="W1524" s="3">
        <f t="shared" si="538"/>
        <v>13200000.000000002</v>
      </c>
      <c r="X1524" s="3">
        <f t="shared" si="539"/>
        <v>9900000.0000000019</v>
      </c>
      <c r="Y1524">
        <f t="shared" si="540"/>
        <v>0.23999999999999996</v>
      </c>
      <c r="Z1524">
        <f t="shared" si="541"/>
        <v>0.77435897435897438</v>
      </c>
      <c r="AA1524" t="str">
        <f t="shared" si="542"/>
        <v>Tier 1 - Priority Fleet</v>
      </c>
      <c r="AB1524" s="3">
        <f t="shared" si="543"/>
        <v>132000</v>
      </c>
      <c r="AC1524" s="3">
        <f t="shared" si="544"/>
        <v>1650000.0000000002</v>
      </c>
      <c r="AD1524" s="3">
        <f t="shared" si="545"/>
        <v>585000</v>
      </c>
      <c r="AE1524" s="5">
        <f t="shared" si="546"/>
        <v>3.6423841059602653</v>
      </c>
      <c r="AF1524" s="10">
        <f t="shared" si="547"/>
        <v>654720</v>
      </c>
      <c r="AG1524" s="10">
        <f t="shared" si="548"/>
        <v>211200</v>
      </c>
      <c r="AH1524" s="10">
        <f t="shared" si="549"/>
        <v>105600</v>
      </c>
      <c r="AI1524" s="10">
        <f t="shared" si="550"/>
        <v>52800</v>
      </c>
      <c r="AJ1524" s="10">
        <f t="shared" si="551"/>
        <v>31680</v>
      </c>
    </row>
    <row r="1525" spans="1:36" x14ac:dyDescent="0.3">
      <c r="A1525" t="s">
        <v>5813</v>
      </c>
      <c r="B1525" t="s">
        <v>5814</v>
      </c>
      <c r="C1525" t="s">
        <v>5502</v>
      </c>
      <c r="D1525" t="s">
        <v>316</v>
      </c>
      <c r="E1525">
        <v>97031</v>
      </c>
      <c r="F1525" t="s">
        <v>15</v>
      </c>
      <c r="G1525">
        <v>16</v>
      </c>
      <c r="H1525">
        <v>250</v>
      </c>
      <c r="I1525" t="str" cm="1">
        <f t="array" ref="I1525">_xlfn.IFS(H1525&lt;=120,"V1",H1525&lt;=150,"V2",H1525&lt;=250,"V3", H1525&lt;=350, "V4")</f>
        <v>V3</v>
      </c>
      <c r="J1525" t="s">
        <v>5815</v>
      </c>
      <c r="K1525" t="str">
        <f t="shared" si="529"/>
        <v>45.714111</v>
      </c>
      <c r="L1525" t="str">
        <f t="shared" si="530"/>
        <v>-121.515793</v>
      </c>
      <c r="M1525">
        <v>29</v>
      </c>
      <c r="N1525" s="1">
        <v>44946</v>
      </c>
      <c r="O1525" s="1">
        <v>46099</v>
      </c>
      <c r="P1525" s="2">
        <f t="shared" si="531"/>
        <v>3.1567419575633129</v>
      </c>
      <c r="Q1525" s="2" t="str">
        <f t="shared" si="532"/>
        <v>Mid</v>
      </c>
      <c r="R1525">
        <f t="shared" si="533"/>
        <v>4000</v>
      </c>
      <c r="S1525" t="str">
        <f t="shared" si="534"/>
        <v>Small</v>
      </c>
      <c r="T1525" t="str">
        <f t="shared" si="535"/>
        <v>Lower EV Adoption Corridor</v>
      </c>
      <c r="U1525" s="3">
        <f t="shared" si="536"/>
        <v>7200000</v>
      </c>
      <c r="V1525" s="4">
        <f t="shared" si="537"/>
        <v>1760000.0000000002</v>
      </c>
      <c r="W1525" s="3">
        <f t="shared" si="538"/>
        <v>24000000</v>
      </c>
      <c r="X1525" s="3">
        <f t="shared" si="539"/>
        <v>13200000.000000002</v>
      </c>
      <c r="Y1525">
        <f t="shared" si="540"/>
        <v>0.31515151515151513</v>
      </c>
      <c r="Z1525">
        <f t="shared" si="541"/>
        <v>0.75555555555555554</v>
      </c>
      <c r="AA1525" t="str">
        <f t="shared" si="542"/>
        <v>Tier 2 - Growth Markets</v>
      </c>
      <c r="AB1525" s="3">
        <f t="shared" si="543"/>
        <v>110000.00000000001</v>
      </c>
      <c r="AC1525" s="3">
        <f t="shared" si="544"/>
        <v>1500000</v>
      </c>
      <c r="AD1525" s="3">
        <f t="shared" si="545"/>
        <v>450000</v>
      </c>
      <c r="AE1525" s="5">
        <f t="shared" si="546"/>
        <v>4.4117647058823533</v>
      </c>
      <c r="AF1525" s="10">
        <f t="shared" si="547"/>
        <v>1091200.0000000002</v>
      </c>
      <c r="AG1525" s="10">
        <f t="shared" si="548"/>
        <v>352000.00000000006</v>
      </c>
      <c r="AH1525" s="10">
        <f t="shared" si="549"/>
        <v>176000.00000000003</v>
      </c>
      <c r="AI1525" s="10">
        <f t="shared" si="550"/>
        <v>88000.000000000015</v>
      </c>
      <c r="AJ1525" s="10">
        <f t="shared" si="551"/>
        <v>52800.000000000007</v>
      </c>
    </row>
    <row r="1526" spans="1:36" x14ac:dyDescent="0.3">
      <c r="A1526" t="s">
        <v>5816</v>
      </c>
      <c r="B1526" t="s">
        <v>5817</v>
      </c>
      <c r="C1526" t="s">
        <v>5818</v>
      </c>
      <c r="D1526" t="s">
        <v>77</v>
      </c>
      <c r="E1526">
        <v>28762</v>
      </c>
      <c r="F1526" t="s">
        <v>15</v>
      </c>
      <c r="G1526">
        <v>12</v>
      </c>
      <c r="H1526">
        <v>250</v>
      </c>
      <c r="I1526" t="str" cm="1">
        <f t="array" ref="I1526">_xlfn.IFS(H1526&lt;=120,"V1",H1526&lt;=150,"V2",H1526&lt;=250,"V3", H1526&lt;=350, "V4")</f>
        <v>V3</v>
      </c>
      <c r="J1526" t="s">
        <v>5819</v>
      </c>
      <c r="K1526" t="str">
        <f t="shared" si="529"/>
        <v>35.638228</v>
      </c>
      <c r="L1526" t="str">
        <f t="shared" si="530"/>
        <v>-82.143169</v>
      </c>
      <c r="M1526">
        <v>416</v>
      </c>
      <c r="N1526" s="1">
        <v>44521</v>
      </c>
      <c r="O1526" s="1">
        <v>46099</v>
      </c>
      <c r="P1526" s="2">
        <f t="shared" si="531"/>
        <v>4.3203285420944555</v>
      </c>
      <c r="Q1526" s="2" t="str">
        <f t="shared" si="532"/>
        <v>Mid</v>
      </c>
      <c r="R1526">
        <f t="shared" si="533"/>
        <v>3000</v>
      </c>
      <c r="S1526" t="str">
        <f t="shared" si="534"/>
        <v>Small</v>
      </c>
      <c r="T1526" t="str">
        <f t="shared" si="535"/>
        <v>Lower EV Adoption Corridor</v>
      </c>
      <c r="U1526" s="3">
        <f t="shared" si="536"/>
        <v>5400000</v>
      </c>
      <c r="V1526" s="4">
        <f t="shared" si="537"/>
        <v>1320000</v>
      </c>
      <c r="W1526" s="3">
        <f t="shared" si="538"/>
        <v>18000000</v>
      </c>
      <c r="X1526" s="3">
        <f t="shared" si="539"/>
        <v>9900000</v>
      </c>
      <c r="Y1526">
        <f t="shared" si="540"/>
        <v>0.31515151515151513</v>
      </c>
      <c r="Z1526">
        <f t="shared" si="541"/>
        <v>0.75555555555555554</v>
      </c>
      <c r="AA1526" t="str">
        <f t="shared" si="542"/>
        <v>Tier 2 - Growth Markets</v>
      </c>
      <c r="AB1526" s="3">
        <f t="shared" si="543"/>
        <v>110000</v>
      </c>
      <c r="AC1526" s="3">
        <f t="shared" si="544"/>
        <v>1500000</v>
      </c>
      <c r="AD1526" s="3">
        <f t="shared" si="545"/>
        <v>450000</v>
      </c>
      <c r="AE1526" s="5">
        <f t="shared" si="546"/>
        <v>4.4117647058823533</v>
      </c>
      <c r="AF1526" s="10">
        <f t="shared" si="547"/>
        <v>818400</v>
      </c>
      <c r="AG1526" s="10">
        <f t="shared" si="548"/>
        <v>264000</v>
      </c>
      <c r="AH1526" s="10">
        <f t="shared" si="549"/>
        <v>132000</v>
      </c>
      <c r="AI1526" s="10">
        <f t="shared" si="550"/>
        <v>66000</v>
      </c>
      <c r="AJ1526" s="10">
        <f t="shared" si="551"/>
        <v>39600</v>
      </c>
    </row>
    <row r="1527" spans="1:36" x14ac:dyDescent="0.3">
      <c r="A1527" t="s">
        <v>5820</v>
      </c>
      <c r="B1527" t="s">
        <v>5821</v>
      </c>
      <c r="C1527" t="s">
        <v>1383</v>
      </c>
      <c r="D1527" t="s">
        <v>72</v>
      </c>
      <c r="E1527">
        <v>85741</v>
      </c>
      <c r="F1527" t="s">
        <v>15</v>
      </c>
      <c r="G1527">
        <v>16</v>
      </c>
      <c r="H1527">
        <v>250</v>
      </c>
      <c r="I1527" t="str" cm="1">
        <f t="array" ref="I1527">_xlfn.IFS(H1527&lt;=120,"V1",H1527&lt;=150,"V2",H1527&lt;=250,"V3", H1527&lt;=350, "V4")</f>
        <v>V3</v>
      </c>
      <c r="J1527" t="s">
        <v>5822</v>
      </c>
      <c r="K1527" t="str">
        <f t="shared" si="529"/>
        <v>32.321657</v>
      </c>
      <c r="L1527" t="str">
        <f t="shared" si="530"/>
        <v>-111.044732</v>
      </c>
      <c r="M1527">
        <v>678</v>
      </c>
      <c r="N1527" s="1">
        <v>44602</v>
      </c>
      <c r="O1527" s="1">
        <v>46099</v>
      </c>
      <c r="P1527" s="2">
        <f t="shared" si="531"/>
        <v>4.0985626283367553</v>
      </c>
      <c r="Q1527" s="2" t="str">
        <f t="shared" si="532"/>
        <v>Mid</v>
      </c>
      <c r="R1527">
        <f t="shared" si="533"/>
        <v>4000</v>
      </c>
      <c r="S1527" t="str">
        <f t="shared" si="534"/>
        <v>Small</v>
      </c>
      <c r="T1527" t="str">
        <f t="shared" si="535"/>
        <v>Lower EV Adoption Corridor</v>
      </c>
      <c r="U1527" s="3">
        <f t="shared" si="536"/>
        <v>7200000</v>
      </c>
      <c r="V1527" s="4">
        <f t="shared" si="537"/>
        <v>1760000.0000000002</v>
      </c>
      <c r="W1527" s="3">
        <f t="shared" si="538"/>
        <v>24000000</v>
      </c>
      <c r="X1527" s="3">
        <f t="shared" si="539"/>
        <v>13200000.000000002</v>
      </c>
      <c r="Y1527">
        <f t="shared" si="540"/>
        <v>0.31515151515151513</v>
      </c>
      <c r="Z1527">
        <f t="shared" si="541"/>
        <v>0.75555555555555554</v>
      </c>
      <c r="AA1527" t="str">
        <f t="shared" si="542"/>
        <v>Tier 2 - Growth Markets</v>
      </c>
      <c r="AB1527" s="3">
        <f t="shared" si="543"/>
        <v>110000.00000000001</v>
      </c>
      <c r="AC1527" s="3">
        <f t="shared" si="544"/>
        <v>1500000</v>
      </c>
      <c r="AD1527" s="3">
        <f t="shared" si="545"/>
        <v>450000</v>
      </c>
      <c r="AE1527" s="5">
        <f t="shared" si="546"/>
        <v>4.4117647058823533</v>
      </c>
      <c r="AF1527" s="10">
        <f t="shared" si="547"/>
        <v>1091200.0000000002</v>
      </c>
      <c r="AG1527" s="10">
        <f t="shared" si="548"/>
        <v>352000.00000000006</v>
      </c>
      <c r="AH1527" s="10">
        <f t="shared" si="549"/>
        <v>176000.00000000003</v>
      </c>
      <c r="AI1527" s="10">
        <f t="shared" si="550"/>
        <v>88000.000000000015</v>
      </c>
      <c r="AJ1527" s="10">
        <f t="shared" si="551"/>
        <v>52800.000000000007</v>
      </c>
    </row>
    <row r="1528" spans="1:36" x14ac:dyDescent="0.3">
      <c r="A1528" t="s">
        <v>5823</v>
      </c>
      <c r="B1528" t="s">
        <v>5824</v>
      </c>
      <c r="C1528" t="s">
        <v>5825</v>
      </c>
      <c r="D1528" t="s">
        <v>28</v>
      </c>
      <c r="E1528">
        <v>31322</v>
      </c>
      <c r="F1528" t="s">
        <v>15</v>
      </c>
      <c r="G1528">
        <v>8</v>
      </c>
      <c r="H1528">
        <v>250</v>
      </c>
      <c r="I1528" t="str" cm="1">
        <f t="array" ref="I1528">_xlfn.IFS(H1528&lt;=120,"V1",H1528&lt;=150,"V2",H1528&lt;=250,"V3", H1528&lt;=350, "V4")</f>
        <v>V3</v>
      </c>
      <c r="J1528" t="s">
        <v>5826</v>
      </c>
      <c r="K1528" t="str">
        <f t="shared" si="529"/>
        <v>32.079619</v>
      </c>
      <c r="L1528" t="str">
        <f t="shared" si="530"/>
        <v>-81.281224</v>
      </c>
      <c r="M1528">
        <v>7</v>
      </c>
      <c r="N1528" s="1">
        <v>44505</v>
      </c>
      <c r="O1528" s="1">
        <v>46099</v>
      </c>
      <c r="P1528" s="2">
        <f t="shared" si="531"/>
        <v>4.3641341546885695</v>
      </c>
      <c r="Q1528" s="2" t="str">
        <f t="shared" si="532"/>
        <v>Mid</v>
      </c>
      <c r="R1528">
        <f t="shared" si="533"/>
        <v>2000</v>
      </c>
      <c r="S1528" t="str">
        <f t="shared" si="534"/>
        <v>Small</v>
      </c>
      <c r="T1528" t="str">
        <f t="shared" si="535"/>
        <v>Lower EV Adoption Corridor</v>
      </c>
      <c r="U1528" s="3">
        <f t="shared" si="536"/>
        <v>3600000</v>
      </c>
      <c r="V1528" s="4">
        <f t="shared" si="537"/>
        <v>880000.00000000012</v>
      </c>
      <c r="W1528" s="3">
        <f t="shared" si="538"/>
        <v>12000000</v>
      </c>
      <c r="X1528" s="3">
        <f t="shared" si="539"/>
        <v>6600000.0000000009</v>
      </c>
      <c r="Y1528">
        <f t="shared" si="540"/>
        <v>0.31515151515151513</v>
      </c>
      <c r="Z1528">
        <f t="shared" si="541"/>
        <v>0.75555555555555554</v>
      </c>
      <c r="AA1528" t="str">
        <f t="shared" si="542"/>
        <v>Tier 2 - Growth Markets</v>
      </c>
      <c r="AB1528" s="3">
        <f t="shared" si="543"/>
        <v>110000.00000000001</v>
      </c>
      <c r="AC1528" s="3">
        <f t="shared" si="544"/>
        <v>1500000</v>
      </c>
      <c r="AD1528" s="3">
        <f t="shared" si="545"/>
        <v>450000</v>
      </c>
      <c r="AE1528" s="5">
        <f t="shared" si="546"/>
        <v>4.4117647058823533</v>
      </c>
      <c r="AF1528" s="10">
        <f t="shared" si="547"/>
        <v>545600.00000000012</v>
      </c>
      <c r="AG1528" s="10">
        <f t="shared" si="548"/>
        <v>176000.00000000003</v>
      </c>
      <c r="AH1528" s="10">
        <f t="shared" si="549"/>
        <v>88000.000000000015</v>
      </c>
      <c r="AI1528" s="10">
        <f t="shared" si="550"/>
        <v>44000.000000000007</v>
      </c>
      <c r="AJ1528" s="10">
        <f t="shared" si="551"/>
        <v>26400.000000000004</v>
      </c>
    </row>
    <row r="1529" spans="1:36" x14ac:dyDescent="0.3">
      <c r="A1529" t="s">
        <v>5827</v>
      </c>
      <c r="B1529" t="s">
        <v>5828</v>
      </c>
      <c r="C1529" t="s">
        <v>621</v>
      </c>
      <c r="D1529" t="s">
        <v>77</v>
      </c>
      <c r="E1529">
        <v>28803</v>
      </c>
      <c r="F1529" t="s">
        <v>15</v>
      </c>
      <c r="G1529">
        <v>12</v>
      </c>
      <c r="H1529">
        <v>250</v>
      </c>
      <c r="I1529" t="str" cm="1">
        <f t="array" ref="I1529">_xlfn.IFS(H1529&lt;=120,"V1",H1529&lt;=150,"V2",H1529&lt;=250,"V3", H1529&lt;=350, "V4")</f>
        <v>V3</v>
      </c>
      <c r="J1529" t="s">
        <v>5829</v>
      </c>
      <c r="K1529" t="str">
        <f t="shared" si="529"/>
        <v>35.484012</v>
      </c>
      <c r="L1529" t="str">
        <f t="shared" si="530"/>
        <v>-82.557638</v>
      </c>
      <c r="M1529">
        <v>648</v>
      </c>
      <c r="N1529" s="1">
        <v>44488</v>
      </c>
      <c r="O1529" s="1">
        <v>46099</v>
      </c>
      <c r="P1529" s="2">
        <f t="shared" si="531"/>
        <v>4.4106776180698155</v>
      </c>
      <c r="Q1529" s="2" t="str">
        <f t="shared" si="532"/>
        <v>Mid</v>
      </c>
      <c r="R1529">
        <f t="shared" si="533"/>
        <v>3000</v>
      </c>
      <c r="S1529" t="str">
        <f t="shared" si="534"/>
        <v>Small</v>
      </c>
      <c r="T1529" t="str">
        <f t="shared" si="535"/>
        <v>Lower EV Adoption Corridor</v>
      </c>
      <c r="U1529" s="3">
        <f t="shared" si="536"/>
        <v>5400000</v>
      </c>
      <c r="V1529" s="4">
        <f t="shared" si="537"/>
        <v>1320000</v>
      </c>
      <c r="W1529" s="3">
        <f t="shared" si="538"/>
        <v>18000000</v>
      </c>
      <c r="X1529" s="3">
        <f t="shared" si="539"/>
        <v>9900000</v>
      </c>
      <c r="Y1529">
        <f t="shared" si="540"/>
        <v>0.31515151515151513</v>
      </c>
      <c r="Z1529">
        <f t="shared" si="541"/>
        <v>0.75555555555555554</v>
      </c>
      <c r="AA1529" t="str">
        <f t="shared" si="542"/>
        <v>Tier 2 - Growth Markets</v>
      </c>
      <c r="AB1529" s="3">
        <f t="shared" si="543"/>
        <v>110000</v>
      </c>
      <c r="AC1529" s="3">
        <f t="shared" si="544"/>
        <v>1500000</v>
      </c>
      <c r="AD1529" s="3">
        <f t="shared" si="545"/>
        <v>450000</v>
      </c>
      <c r="AE1529" s="5">
        <f t="shared" si="546"/>
        <v>4.4117647058823533</v>
      </c>
      <c r="AF1529" s="10">
        <f t="shared" si="547"/>
        <v>818400</v>
      </c>
      <c r="AG1529" s="10">
        <f t="shared" si="548"/>
        <v>264000</v>
      </c>
      <c r="AH1529" s="10">
        <f t="shared" si="549"/>
        <v>132000</v>
      </c>
      <c r="AI1529" s="10">
        <f t="shared" si="550"/>
        <v>66000</v>
      </c>
      <c r="AJ1529" s="10">
        <f t="shared" si="551"/>
        <v>39600</v>
      </c>
    </row>
    <row r="1530" spans="1:36" x14ac:dyDescent="0.3">
      <c r="A1530" t="s">
        <v>5830</v>
      </c>
      <c r="B1530" t="s">
        <v>5831</v>
      </c>
      <c r="C1530" t="s">
        <v>5832</v>
      </c>
      <c r="D1530" t="s">
        <v>299</v>
      </c>
      <c r="E1530">
        <v>20109</v>
      </c>
      <c r="F1530" t="s">
        <v>15</v>
      </c>
      <c r="G1530">
        <v>8</v>
      </c>
      <c r="H1530">
        <v>250</v>
      </c>
      <c r="I1530" t="str" cm="1">
        <f t="array" ref="I1530">_xlfn.IFS(H1530&lt;=120,"V1",H1530&lt;=150,"V2",H1530&lt;=250,"V3", H1530&lt;=350, "V4")</f>
        <v>V3</v>
      </c>
      <c r="J1530" t="s">
        <v>5833</v>
      </c>
      <c r="K1530" t="str">
        <f t="shared" si="529"/>
        <v>38.793019</v>
      </c>
      <c r="L1530" t="str">
        <f t="shared" si="530"/>
        <v>-77.515512</v>
      </c>
      <c r="M1530">
        <v>69</v>
      </c>
      <c r="N1530" s="1">
        <v>44543</v>
      </c>
      <c r="O1530" s="1">
        <v>46099</v>
      </c>
      <c r="P1530" s="2">
        <f t="shared" si="531"/>
        <v>4.26009582477755</v>
      </c>
      <c r="Q1530" s="2" t="str">
        <f t="shared" si="532"/>
        <v>Mid</v>
      </c>
      <c r="R1530">
        <f t="shared" si="533"/>
        <v>2000</v>
      </c>
      <c r="S1530" t="str">
        <f t="shared" si="534"/>
        <v>Small</v>
      </c>
      <c r="T1530" t="str">
        <f t="shared" si="535"/>
        <v>Lower EV Adoption Corridor</v>
      </c>
      <c r="U1530" s="3">
        <f t="shared" si="536"/>
        <v>3600000</v>
      </c>
      <c r="V1530" s="4">
        <f t="shared" si="537"/>
        <v>880000.00000000012</v>
      </c>
      <c r="W1530" s="3">
        <f t="shared" si="538"/>
        <v>12000000</v>
      </c>
      <c r="X1530" s="3">
        <f t="shared" si="539"/>
        <v>6600000.0000000009</v>
      </c>
      <c r="Y1530">
        <f t="shared" si="540"/>
        <v>0.31515151515151513</v>
      </c>
      <c r="Z1530">
        <f t="shared" si="541"/>
        <v>0.75555555555555554</v>
      </c>
      <c r="AA1530" t="str">
        <f t="shared" si="542"/>
        <v>Tier 2 - Growth Markets</v>
      </c>
      <c r="AB1530" s="3">
        <f t="shared" si="543"/>
        <v>110000.00000000001</v>
      </c>
      <c r="AC1530" s="3">
        <f t="shared" si="544"/>
        <v>1500000</v>
      </c>
      <c r="AD1530" s="3">
        <f t="shared" si="545"/>
        <v>450000</v>
      </c>
      <c r="AE1530" s="5">
        <f t="shared" si="546"/>
        <v>4.4117647058823533</v>
      </c>
      <c r="AF1530" s="10">
        <f t="shared" si="547"/>
        <v>545600.00000000012</v>
      </c>
      <c r="AG1530" s="10">
        <f t="shared" si="548"/>
        <v>176000.00000000003</v>
      </c>
      <c r="AH1530" s="10">
        <f t="shared" si="549"/>
        <v>88000.000000000015</v>
      </c>
      <c r="AI1530" s="10">
        <f t="shared" si="550"/>
        <v>44000.000000000007</v>
      </c>
      <c r="AJ1530" s="10">
        <f t="shared" si="551"/>
        <v>26400.000000000004</v>
      </c>
    </row>
    <row r="1531" spans="1:36" x14ac:dyDescent="0.3">
      <c r="A1531" t="s">
        <v>5834</v>
      </c>
      <c r="B1531" t="s">
        <v>5835</v>
      </c>
      <c r="C1531" t="s">
        <v>5836</v>
      </c>
      <c r="D1531" t="s">
        <v>41</v>
      </c>
      <c r="E1531">
        <v>32934</v>
      </c>
      <c r="F1531" t="s">
        <v>15</v>
      </c>
      <c r="G1531">
        <v>8</v>
      </c>
      <c r="H1531">
        <v>250</v>
      </c>
      <c r="I1531" t="str" cm="1">
        <f t="array" ref="I1531">_xlfn.IFS(H1531&lt;=120,"V1",H1531&lt;=150,"V2",H1531&lt;=250,"V3", H1531&lt;=350, "V4")</f>
        <v>V3</v>
      </c>
      <c r="J1531" t="s">
        <v>5837</v>
      </c>
      <c r="K1531" t="str">
        <f t="shared" si="529"/>
        <v>28.119865</v>
      </c>
      <c r="L1531" t="str">
        <f t="shared" si="530"/>
        <v>-80.699588</v>
      </c>
      <c r="M1531">
        <v>6</v>
      </c>
      <c r="N1531" s="1">
        <v>44651</v>
      </c>
      <c r="O1531" s="1">
        <v>46099</v>
      </c>
      <c r="P1531" s="2">
        <f t="shared" si="531"/>
        <v>3.9644079397672827</v>
      </c>
      <c r="Q1531" s="2" t="str">
        <f t="shared" si="532"/>
        <v>Mid</v>
      </c>
      <c r="R1531">
        <f t="shared" si="533"/>
        <v>2000</v>
      </c>
      <c r="S1531" t="str">
        <f t="shared" si="534"/>
        <v>Small</v>
      </c>
      <c r="T1531" t="str">
        <f t="shared" si="535"/>
        <v>High EV Adoption Corridor</v>
      </c>
      <c r="U1531" s="3">
        <f t="shared" si="536"/>
        <v>4680000</v>
      </c>
      <c r="V1531" s="4">
        <f t="shared" si="537"/>
        <v>1056000</v>
      </c>
      <c r="W1531" s="3">
        <f t="shared" si="538"/>
        <v>13200000.000000002</v>
      </c>
      <c r="X1531" s="3">
        <f t="shared" si="539"/>
        <v>9900000.0000000019</v>
      </c>
      <c r="Y1531">
        <f t="shared" si="540"/>
        <v>0.23999999999999996</v>
      </c>
      <c r="Z1531">
        <f t="shared" si="541"/>
        <v>0.77435897435897438</v>
      </c>
      <c r="AA1531" t="str">
        <f t="shared" si="542"/>
        <v>Tier 1 - Priority Fleet</v>
      </c>
      <c r="AB1531" s="3">
        <f t="shared" si="543"/>
        <v>132000</v>
      </c>
      <c r="AC1531" s="3">
        <f t="shared" si="544"/>
        <v>1650000.0000000002</v>
      </c>
      <c r="AD1531" s="3">
        <f t="shared" si="545"/>
        <v>585000</v>
      </c>
      <c r="AE1531" s="5">
        <f t="shared" si="546"/>
        <v>3.6423841059602653</v>
      </c>
      <c r="AF1531" s="10">
        <f t="shared" si="547"/>
        <v>654720</v>
      </c>
      <c r="AG1531" s="10">
        <f t="shared" si="548"/>
        <v>211200</v>
      </c>
      <c r="AH1531" s="10">
        <f t="shared" si="549"/>
        <v>105600</v>
      </c>
      <c r="AI1531" s="10">
        <f t="shared" si="550"/>
        <v>52800</v>
      </c>
      <c r="AJ1531" s="10">
        <f t="shared" si="551"/>
        <v>31680</v>
      </c>
    </row>
    <row r="1532" spans="1:36" x14ac:dyDescent="0.3">
      <c r="A1532" t="s">
        <v>5838</v>
      </c>
      <c r="B1532" t="s">
        <v>5839</v>
      </c>
      <c r="C1532" t="s">
        <v>5840</v>
      </c>
      <c r="D1532" t="s">
        <v>41</v>
      </c>
      <c r="E1532">
        <v>34994</v>
      </c>
      <c r="F1532" t="s">
        <v>15</v>
      </c>
      <c r="G1532">
        <v>8</v>
      </c>
      <c r="H1532">
        <v>250</v>
      </c>
      <c r="I1532" t="str" cm="1">
        <f t="array" ref="I1532">_xlfn.IFS(H1532&lt;=120,"V1",H1532&lt;=150,"V2",H1532&lt;=250,"V3", H1532&lt;=350, "V4")</f>
        <v>V3</v>
      </c>
      <c r="J1532" t="s">
        <v>5841</v>
      </c>
      <c r="K1532" t="str">
        <f t="shared" si="529"/>
        <v>27.175517</v>
      </c>
      <c r="L1532" t="str">
        <f t="shared" si="530"/>
        <v>-80.252532</v>
      </c>
      <c r="M1532">
        <v>2</v>
      </c>
      <c r="N1532" s="1">
        <v>44613</v>
      </c>
      <c r="O1532" s="1">
        <v>46099</v>
      </c>
      <c r="P1532" s="2">
        <f t="shared" si="531"/>
        <v>4.0684462696783026</v>
      </c>
      <c r="Q1532" s="2" t="str">
        <f t="shared" si="532"/>
        <v>Mid</v>
      </c>
      <c r="R1532">
        <f t="shared" si="533"/>
        <v>2000</v>
      </c>
      <c r="S1532" t="str">
        <f t="shared" si="534"/>
        <v>Small</v>
      </c>
      <c r="T1532" t="str">
        <f t="shared" si="535"/>
        <v>High EV Adoption Corridor</v>
      </c>
      <c r="U1532" s="3">
        <f t="shared" si="536"/>
        <v>4680000</v>
      </c>
      <c r="V1532" s="4">
        <f t="shared" si="537"/>
        <v>1056000</v>
      </c>
      <c r="W1532" s="3">
        <f t="shared" si="538"/>
        <v>13200000.000000002</v>
      </c>
      <c r="X1532" s="3">
        <f t="shared" si="539"/>
        <v>9900000.0000000019</v>
      </c>
      <c r="Y1532">
        <f t="shared" si="540"/>
        <v>0.23999999999999996</v>
      </c>
      <c r="Z1532">
        <f t="shared" si="541"/>
        <v>0.77435897435897438</v>
      </c>
      <c r="AA1532" t="str">
        <f t="shared" si="542"/>
        <v>Tier 1 - Priority Fleet</v>
      </c>
      <c r="AB1532" s="3">
        <f t="shared" si="543"/>
        <v>132000</v>
      </c>
      <c r="AC1532" s="3">
        <f t="shared" si="544"/>
        <v>1650000.0000000002</v>
      </c>
      <c r="AD1532" s="3">
        <f t="shared" si="545"/>
        <v>585000</v>
      </c>
      <c r="AE1532" s="5">
        <f t="shared" si="546"/>
        <v>3.6423841059602653</v>
      </c>
      <c r="AF1532" s="10">
        <f t="shared" si="547"/>
        <v>654720</v>
      </c>
      <c r="AG1532" s="10">
        <f t="shared" si="548"/>
        <v>211200</v>
      </c>
      <c r="AH1532" s="10">
        <f t="shared" si="549"/>
        <v>105600</v>
      </c>
      <c r="AI1532" s="10">
        <f t="shared" si="550"/>
        <v>52800</v>
      </c>
      <c r="AJ1532" s="10">
        <f t="shared" si="551"/>
        <v>31680</v>
      </c>
    </row>
    <row r="1533" spans="1:36" x14ac:dyDescent="0.3">
      <c r="A1533" t="s">
        <v>5842</v>
      </c>
      <c r="B1533" t="s">
        <v>5843</v>
      </c>
      <c r="C1533" t="s">
        <v>5844</v>
      </c>
      <c r="D1533" t="s">
        <v>41</v>
      </c>
      <c r="E1533">
        <v>33324</v>
      </c>
      <c r="F1533" t="s">
        <v>15</v>
      </c>
      <c r="G1533">
        <v>8</v>
      </c>
      <c r="H1533">
        <v>250</v>
      </c>
      <c r="I1533" t="str" cm="1">
        <f t="array" ref="I1533">_xlfn.IFS(H1533&lt;=120,"V1",H1533&lt;=150,"V2",H1533&lt;=250,"V3", H1533&lt;=350, "V4")</f>
        <v>V3</v>
      </c>
      <c r="J1533" t="s">
        <v>5845</v>
      </c>
      <c r="K1533" t="str">
        <f t="shared" si="529"/>
        <v>26.0923282</v>
      </c>
      <c r="L1533" t="str">
        <f t="shared" si="530"/>
        <v>-80.2496536</v>
      </c>
      <c r="M1533">
        <v>1</v>
      </c>
      <c r="N1533" s="1">
        <v>44519</v>
      </c>
      <c r="O1533" s="1">
        <v>46099</v>
      </c>
      <c r="P1533" s="2">
        <f t="shared" si="531"/>
        <v>4.3258042436687196</v>
      </c>
      <c r="Q1533" s="2" t="str">
        <f t="shared" si="532"/>
        <v>Mid</v>
      </c>
      <c r="R1533">
        <f t="shared" si="533"/>
        <v>2000</v>
      </c>
      <c r="S1533" t="str">
        <f t="shared" si="534"/>
        <v>Small</v>
      </c>
      <c r="T1533" t="str">
        <f t="shared" si="535"/>
        <v>High EV Adoption Corridor</v>
      </c>
      <c r="U1533" s="3">
        <f t="shared" si="536"/>
        <v>4680000</v>
      </c>
      <c r="V1533" s="4">
        <f t="shared" si="537"/>
        <v>1056000</v>
      </c>
      <c r="W1533" s="3">
        <f t="shared" si="538"/>
        <v>13200000.000000002</v>
      </c>
      <c r="X1533" s="3">
        <f t="shared" si="539"/>
        <v>9900000.0000000019</v>
      </c>
      <c r="Y1533">
        <f t="shared" si="540"/>
        <v>0.23999999999999996</v>
      </c>
      <c r="Z1533">
        <f t="shared" si="541"/>
        <v>0.77435897435897438</v>
      </c>
      <c r="AA1533" t="str">
        <f t="shared" si="542"/>
        <v>Tier 1 - Priority Fleet</v>
      </c>
      <c r="AB1533" s="3">
        <f t="shared" si="543"/>
        <v>132000</v>
      </c>
      <c r="AC1533" s="3">
        <f t="shared" si="544"/>
        <v>1650000.0000000002</v>
      </c>
      <c r="AD1533" s="3">
        <f t="shared" si="545"/>
        <v>585000</v>
      </c>
      <c r="AE1533" s="5">
        <f t="shared" si="546"/>
        <v>3.6423841059602653</v>
      </c>
      <c r="AF1533" s="10">
        <f t="shared" si="547"/>
        <v>654720</v>
      </c>
      <c r="AG1533" s="10">
        <f t="shared" si="548"/>
        <v>211200</v>
      </c>
      <c r="AH1533" s="10">
        <f t="shared" si="549"/>
        <v>105600</v>
      </c>
      <c r="AI1533" s="10">
        <f t="shared" si="550"/>
        <v>52800</v>
      </c>
      <c r="AJ1533" s="10">
        <f t="shared" si="551"/>
        <v>31680</v>
      </c>
    </row>
    <row r="1534" spans="1:36" x14ac:dyDescent="0.3">
      <c r="A1534" t="s">
        <v>5846</v>
      </c>
      <c r="B1534" t="s">
        <v>5847</v>
      </c>
      <c r="C1534" t="s">
        <v>5848</v>
      </c>
      <c r="D1534" t="s">
        <v>14</v>
      </c>
      <c r="E1534">
        <v>91384</v>
      </c>
      <c r="F1534" t="s">
        <v>15</v>
      </c>
      <c r="G1534">
        <v>12</v>
      </c>
      <c r="H1534">
        <v>250</v>
      </c>
      <c r="I1534" t="str" cm="1">
        <f t="array" ref="I1534">_xlfn.IFS(H1534&lt;=120,"V1",H1534&lt;=150,"V2",H1534&lt;=250,"V3", H1534&lt;=350, "V4")</f>
        <v>V3</v>
      </c>
      <c r="J1534" t="s">
        <v>5849</v>
      </c>
      <c r="K1534" t="str">
        <f t="shared" si="529"/>
        <v>34.452312</v>
      </c>
      <c r="L1534" t="str">
        <f t="shared" si="530"/>
        <v>-118.61614</v>
      </c>
      <c r="M1534">
        <v>315</v>
      </c>
      <c r="N1534" s="1">
        <v>44786</v>
      </c>
      <c r="O1534" s="1">
        <v>46099</v>
      </c>
      <c r="P1534" s="2">
        <f t="shared" si="531"/>
        <v>3.5947980835044491</v>
      </c>
      <c r="Q1534" s="2" t="str">
        <f t="shared" si="532"/>
        <v>Mid</v>
      </c>
      <c r="R1534">
        <f t="shared" si="533"/>
        <v>3000</v>
      </c>
      <c r="S1534" t="str">
        <f t="shared" si="534"/>
        <v>Small</v>
      </c>
      <c r="T1534" t="str">
        <f t="shared" si="535"/>
        <v>High EV Adoption Corridor</v>
      </c>
      <c r="U1534" s="3">
        <f t="shared" si="536"/>
        <v>7020000</v>
      </c>
      <c r="V1534" s="4">
        <f t="shared" si="537"/>
        <v>1584000</v>
      </c>
      <c r="W1534" s="3">
        <f t="shared" si="538"/>
        <v>19800000</v>
      </c>
      <c r="X1534" s="3">
        <f t="shared" si="539"/>
        <v>14850000</v>
      </c>
      <c r="Y1534">
        <f t="shared" si="540"/>
        <v>0.24</v>
      </c>
      <c r="Z1534">
        <f t="shared" si="541"/>
        <v>0.77435897435897438</v>
      </c>
      <c r="AA1534" t="str">
        <f t="shared" si="542"/>
        <v>Tier 1 - Priority Fleet</v>
      </c>
      <c r="AB1534" s="3">
        <f t="shared" si="543"/>
        <v>132000</v>
      </c>
      <c r="AC1534" s="3">
        <f t="shared" si="544"/>
        <v>1650000</v>
      </c>
      <c r="AD1534" s="3">
        <f t="shared" si="545"/>
        <v>585000</v>
      </c>
      <c r="AE1534" s="5">
        <f t="shared" si="546"/>
        <v>3.6423841059602649</v>
      </c>
      <c r="AF1534" s="10">
        <f t="shared" si="547"/>
        <v>982080</v>
      </c>
      <c r="AG1534" s="10">
        <f t="shared" si="548"/>
        <v>316800</v>
      </c>
      <c r="AH1534" s="10">
        <f t="shared" si="549"/>
        <v>158400</v>
      </c>
      <c r="AI1534" s="10">
        <f t="shared" si="550"/>
        <v>79200</v>
      </c>
      <c r="AJ1534" s="10">
        <f t="shared" si="551"/>
        <v>47520</v>
      </c>
    </row>
    <row r="1535" spans="1:36" x14ac:dyDescent="0.3">
      <c r="A1535" t="s">
        <v>5850</v>
      </c>
      <c r="B1535" t="s">
        <v>5851</v>
      </c>
      <c r="C1535" t="s">
        <v>1586</v>
      </c>
      <c r="D1535" t="s">
        <v>14</v>
      </c>
      <c r="E1535">
        <v>91504</v>
      </c>
      <c r="F1535" t="s">
        <v>15</v>
      </c>
      <c r="G1535">
        <v>8</v>
      </c>
      <c r="H1535">
        <v>250</v>
      </c>
      <c r="I1535" t="str" cm="1">
        <f t="array" ref="I1535">_xlfn.IFS(H1535&lt;=120,"V1",H1535&lt;=150,"V2",H1535&lt;=250,"V3", H1535&lt;=350, "V4")</f>
        <v>V3</v>
      </c>
      <c r="J1535" t="s">
        <v>5852</v>
      </c>
      <c r="K1535" t="str">
        <f t="shared" si="529"/>
        <v>34.187565</v>
      </c>
      <c r="L1535" t="str">
        <f t="shared" si="530"/>
        <v>-118.318197</v>
      </c>
      <c r="M1535">
        <v>185</v>
      </c>
      <c r="N1535" s="1">
        <v>44848</v>
      </c>
      <c r="O1535" s="1">
        <v>46099</v>
      </c>
      <c r="P1535" s="2">
        <f t="shared" si="531"/>
        <v>3.4250513347022586</v>
      </c>
      <c r="Q1535" s="2" t="str">
        <f t="shared" si="532"/>
        <v>Mid</v>
      </c>
      <c r="R1535">
        <f t="shared" si="533"/>
        <v>2000</v>
      </c>
      <c r="S1535" t="str">
        <f t="shared" si="534"/>
        <v>Small</v>
      </c>
      <c r="T1535" t="str">
        <f t="shared" si="535"/>
        <v>High EV Adoption Corridor</v>
      </c>
      <c r="U1535" s="3">
        <f t="shared" si="536"/>
        <v>4680000</v>
      </c>
      <c r="V1535" s="4">
        <f t="shared" si="537"/>
        <v>1056000</v>
      </c>
      <c r="W1535" s="3">
        <f t="shared" si="538"/>
        <v>13200000.000000002</v>
      </c>
      <c r="X1535" s="3">
        <f t="shared" si="539"/>
        <v>9900000.0000000019</v>
      </c>
      <c r="Y1535">
        <f t="shared" si="540"/>
        <v>0.23999999999999996</v>
      </c>
      <c r="Z1535">
        <f t="shared" si="541"/>
        <v>0.77435897435897438</v>
      </c>
      <c r="AA1535" t="str">
        <f t="shared" si="542"/>
        <v>Tier 1 - Priority Fleet</v>
      </c>
      <c r="AB1535" s="3">
        <f t="shared" si="543"/>
        <v>132000</v>
      </c>
      <c r="AC1535" s="3">
        <f t="shared" si="544"/>
        <v>1650000.0000000002</v>
      </c>
      <c r="AD1535" s="3">
        <f t="shared" si="545"/>
        <v>585000</v>
      </c>
      <c r="AE1535" s="5">
        <f t="shared" si="546"/>
        <v>3.6423841059602653</v>
      </c>
      <c r="AF1535" s="10">
        <f t="shared" si="547"/>
        <v>654720</v>
      </c>
      <c r="AG1535" s="10">
        <f t="shared" si="548"/>
        <v>211200</v>
      </c>
      <c r="AH1535" s="10">
        <f t="shared" si="549"/>
        <v>105600</v>
      </c>
      <c r="AI1535" s="10">
        <f t="shared" si="550"/>
        <v>52800</v>
      </c>
      <c r="AJ1535" s="10">
        <f t="shared" si="551"/>
        <v>31680</v>
      </c>
    </row>
    <row r="1536" spans="1:36" x14ac:dyDescent="0.3">
      <c r="A1536" t="s">
        <v>5853</v>
      </c>
      <c r="B1536" t="s">
        <v>5854</v>
      </c>
      <c r="C1536" t="s">
        <v>209</v>
      </c>
      <c r="D1536" t="s">
        <v>41</v>
      </c>
      <c r="E1536">
        <v>32084</v>
      </c>
      <c r="F1536" t="s">
        <v>15</v>
      </c>
      <c r="G1536">
        <v>12</v>
      </c>
      <c r="H1536">
        <v>250</v>
      </c>
      <c r="I1536" t="str" cm="1">
        <f t="array" ref="I1536">_xlfn.IFS(H1536&lt;=120,"V1",H1536&lt;=150,"V2",H1536&lt;=250,"V3", H1536&lt;=350, "V4")</f>
        <v>V3</v>
      </c>
      <c r="J1536" t="s">
        <v>5855</v>
      </c>
      <c r="K1536" t="str">
        <f t="shared" si="529"/>
        <v>29.916415</v>
      </c>
      <c r="L1536" t="str">
        <f t="shared" si="530"/>
        <v>-81.403632</v>
      </c>
      <c r="M1536">
        <v>11</v>
      </c>
      <c r="N1536" s="1">
        <v>44518</v>
      </c>
      <c r="O1536" s="1">
        <v>46099</v>
      </c>
      <c r="P1536" s="2">
        <f t="shared" si="531"/>
        <v>4.3285420944558526</v>
      </c>
      <c r="Q1536" s="2" t="str">
        <f t="shared" si="532"/>
        <v>Mid</v>
      </c>
      <c r="R1536">
        <f t="shared" si="533"/>
        <v>3000</v>
      </c>
      <c r="S1536" t="str">
        <f t="shared" si="534"/>
        <v>Small</v>
      </c>
      <c r="T1536" t="str">
        <f t="shared" si="535"/>
        <v>High EV Adoption Corridor</v>
      </c>
      <c r="U1536" s="3">
        <f t="shared" si="536"/>
        <v>7020000</v>
      </c>
      <c r="V1536" s="4">
        <f t="shared" si="537"/>
        <v>1584000</v>
      </c>
      <c r="W1536" s="3">
        <f t="shared" si="538"/>
        <v>19800000</v>
      </c>
      <c r="X1536" s="3">
        <f t="shared" si="539"/>
        <v>14850000</v>
      </c>
      <c r="Y1536">
        <f t="shared" si="540"/>
        <v>0.24</v>
      </c>
      <c r="Z1536">
        <f t="shared" si="541"/>
        <v>0.77435897435897438</v>
      </c>
      <c r="AA1536" t="str">
        <f t="shared" si="542"/>
        <v>Tier 1 - Priority Fleet</v>
      </c>
      <c r="AB1536" s="3">
        <f t="shared" si="543"/>
        <v>132000</v>
      </c>
      <c r="AC1536" s="3">
        <f t="shared" si="544"/>
        <v>1650000</v>
      </c>
      <c r="AD1536" s="3">
        <f t="shared" si="545"/>
        <v>585000</v>
      </c>
      <c r="AE1536" s="5">
        <f t="shared" si="546"/>
        <v>3.6423841059602649</v>
      </c>
      <c r="AF1536" s="10">
        <f t="shared" si="547"/>
        <v>982080</v>
      </c>
      <c r="AG1536" s="10">
        <f t="shared" si="548"/>
        <v>316800</v>
      </c>
      <c r="AH1536" s="10">
        <f t="shared" si="549"/>
        <v>158400</v>
      </c>
      <c r="AI1536" s="10">
        <f t="shared" si="550"/>
        <v>79200</v>
      </c>
      <c r="AJ1536" s="10">
        <f t="shared" si="551"/>
        <v>47520</v>
      </c>
    </row>
    <row r="1537" spans="1:36" x14ac:dyDescent="0.3">
      <c r="A1537" t="s">
        <v>5856</v>
      </c>
      <c r="B1537" t="s">
        <v>5857</v>
      </c>
      <c r="C1537" t="s">
        <v>5858</v>
      </c>
      <c r="D1537" t="s">
        <v>230</v>
      </c>
      <c r="E1537">
        <v>98642</v>
      </c>
      <c r="F1537" t="s">
        <v>15</v>
      </c>
      <c r="G1537">
        <v>12</v>
      </c>
      <c r="H1537">
        <v>250</v>
      </c>
      <c r="I1537" t="str" cm="1">
        <f t="array" ref="I1537">_xlfn.IFS(H1537&lt;=120,"V1",H1537&lt;=150,"V2",H1537&lt;=250,"V3", H1537&lt;=350, "V4")</f>
        <v>V3</v>
      </c>
      <c r="J1537" t="s">
        <v>5859</v>
      </c>
      <c r="K1537" t="str">
        <f t="shared" si="529"/>
        <v>45.8177</v>
      </c>
      <c r="L1537" t="str">
        <f t="shared" si="530"/>
        <v>-122.6828</v>
      </c>
      <c r="M1537">
        <v>84</v>
      </c>
      <c r="N1537" s="1">
        <v>45073</v>
      </c>
      <c r="O1537" s="1">
        <v>46099</v>
      </c>
      <c r="P1537" s="2">
        <f t="shared" si="531"/>
        <v>2.8090349075975358</v>
      </c>
      <c r="Q1537" s="2" t="str">
        <f t="shared" si="532"/>
        <v>New</v>
      </c>
      <c r="R1537">
        <f t="shared" si="533"/>
        <v>3000</v>
      </c>
      <c r="S1537" t="str">
        <f t="shared" si="534"/>
        <v>Small</v>
      </c>
      <c r="T1537" t="str">
        <f t="shared" si="535"/>
        <v>High EV Adoption Corridor</v>
      </c>
      <c r="U1537" s="3">
        <f t="shared" si="536"/>
        <v>7020000</v>
      </c>
      <c r="V1537" s="4">
        <f t="shared" si="537"/>
        <v>1584000</v>
      </c>
      <c r="W1537" s="3">
        <f t="shared" si="538"/>
        <v>19800000</v>
      </c>
      <c r="X1537" s="3">
        <f t="shared" si="539"/>
        <v>14850000</v>
      </c>
      <c r="Y1537">
        <f t="shared" si="540"/>
        <v>0.24</v>
      </c>
      <c r="Z1537">
        <f t="shared" si="541"/>
        <v>0.77435897435897438</v>
      </c>
      <c r="AA1537" t="str">
        <f t="shared" si="542"/>
        <v>Tier 1 - Priority Fleet</v>
      </c>
      <c r="AB1537" s="3">
        <f t="shared" si="543"/>
        <v>132000</v>
      </c>
      <c r="AC1537" s="3">
        <f t="shared" si="544"/>
        <v>1650000</v>
      </c>
      <c r="AD1537" s="3">
        <f t="shared" si="545"/>
        <v>585000</v>
      </c>
      <c r="AE1537" s="5">
        <f t="shared" si="546"/>
        <v>3.6423841059602649</v>
      </c>
      <c r="AF1537" s="10">
        <f t="shared" si="547"/>
        <v>982080</v>
      </c>
      <c r="AG1537" s="10">
        <f t="shared" si="548"/>
        <v>316800</v>
      </c>
      <c r="AH1537" s="10">
        <f t="shared" si="549"/>
        <v>158400</v>
      </c>
      <c r="AI1537" s="10">
        <f t="shared" si="550"/>
        <v>79200</v>
      </c>
      <c r="AJ1537" s="10">
        <f t="shared" si="551"/>
        <v>47520</v>
      </c>
    </row>
    <row r="1538" spans="1:36" x14ac:dyDescent="0.3">
      <c r="A1538" t="s">
        <v>5860</v>
      </c>
      <c r="B1538" t="s">
        <v>5861</v>
      </c>
      <c r="C1538" t="s">
        <v>5862</v>
      </c>
      <c r="D1538" t="s">
        <v>59</v>
      </c>
      <c r="E1538">
        <v>60523</v>
      </c>
      <c r="F1538" t="s">
        <v>15</v>
      </c>
      <c r="G1538">
        <v>8</v>
      </c>
      <c r="H1538">
        <v>250</v>
      </c>
      <c r="I1538" t="str" cm="1">
        <f t="array" ref="I1538">_xlfn.IFS(H1538&lt;=120,"V1",H1538&lt;=150,"V2",H1538&lt;=250,"V3", H1538&lt;=350, "V4")</f>
        <v>V3</v>
      </c>
      <c r="J1538" t="s">
        <v>5863</v>
      </c>
      <c r="K1538" t="str">
        <f t="shared" si="529"/>
        <v>41.854435</v>
      </c>
      <c r="L1538" t="str">
        <f t="shared" si="530"/>
        <v>-87.958496</v>
      </c>
      <c r="M1538">
        <v>427</v>
      </c>
      <c r="N1538" s="1">
        <v>44525</v>
      </c>
      <c r="O1538" s="1">
        <v>46099</v>
      </c>
      <c r="P1538" s="2">
        <f t="shared" si="531"/>
        <v>4.3093771389459272</v>
      </c>
      <c r="Q1538" s="2" t="str">
        <f t="shared" si="532"/>
        <v>Mid</v>
      </c>
      <c r="R1538">
        <f t="shared" si="533"/>
        <v>2000</v>
      </c>
      <c r="S1538" t="str">
        <f t="shared" si="534"/>
        <v>Small</v>
      </c>
      <c r="T1538" t="str">
        <f t="shared" si="535"/>
        <v>Lower EV Adoption Corridor</v>
      </c>
      <c r="U1538" s="3">
        <f t="shared" si="536"/>
        <v>3600000</v>
      </c>
      <c r="V1538" s="4">
        <f t="shared" si="537"/>
        <v>880000.00000000012</v>
      </c>
      <c r="W1538" s="3">
        <f t="shared" si="538"/>
        <v>12000000</v>
      </c>
      <c r="X1538" s="3">
        <f t="shared" si="539"/>
        <v>6600000.0000000009</v>
      </c>
      <c r="Y1538">
        <f t="shared" si="540"/>
        <v>0.31515151515151513</v>
      </c>
      <c r="Z1538">
        <f t="shared" si="541"/>
        <v>0.75555555555555554</v>
      </c>
      <c r="AA1538" t="str">
        <f t="shared" si="542"/>
        <v>Tier 2 - Growth Markets</v>
      </c>
      <c r="AB1538" s="3">
        <f t="shared" si="543"/>
        <v>110000.00000000001</v>
      </c>
      <c r="AC1538" s="3">
        <f t="shared" si="544"/>
        <v>1500000</v>
      </c>
      <c r="AD1538" s="3">
        <f t="shared" si="545"/>
        <v>450000</v>
      </c>
      <c r="AE1538" s="5">
        <f t="shared" si="546"/>
        <v>4.4117647058823533</v>
      </c>
      <c r="AF1538" s="10">
        <f t="shared" si="547"/>
        <v>545600.00000000012</v>
      </c>
      <c r="AG1538" s="10">
        <f t="shared" si="548"/>
        <v>176000.00000000003</v>
      </c>
      <c r="AH1538" s="10">
        <f t="shared" si="549"/>
        <v>88000.000000000015</v>
      </c>
      <c r="AI1538" s="10">
        <f t="shared" si="550"/>
        <v>44000.000000000007</v>
      </c>
      <c r="AJ1538" s="10">
        <f t="shared" si="551"/>
        <v>26400.000000000004</v>
      </c>
    </row>
    <row r="1539" spans="1:36" x14ac:dyDescent="0.3">
      <c r="A1539" t="s">
        <v>5864</v>
      </c>
      <c r="B1539" t="s">
        <v>2364</v>
      </c>
      <c r="C1539" t="s">
        <v>2365</v>
      </c>
      <c r="D1539" t="s">
        <v>130</v>
      </c>
      <c r="E1539">
        <v>46368</v>
      </c>
      <c r="F1539" t="s">
        <v>15</v>
      </c>
      <c r="G1539">
        <v>8</v>
      </c>
      <c r="H1539">
        <v>250</v>
      </c>
      <c r="I1539" t="str" cm="1">
        <f t="array" ref="I1539">_xlfn.IFS(H1539&lt;=120,"V1",H1539&lt;=150,"V2",H1539&lt;=250,"V3", H1539&lt;=350, "V4")</f>
        <v>V3</v>
      </c>
      <c r="J1539" t="s">
        <v>5865</v>
      </c>
      <c r="K1539" t="str">
        <f t="shared" ref="K1539:K1602" si="552">TRIM(LEFT(J1539, FIND(",", J1539) - 1))</f>
        <v>41.5874</v>
      </c>
      <c r="L1539" t="str">
        <f t="shared" ref="L1539:L1602" si="553">TRIM(MID(J1539, FIND(",", J1539) + 1, LEN(J1539)))</f>
        <v>-87.2176</v>
      </c>
      <c r="M1539">
        <v>187</v>
      </c>
      <c r="N1539" s="1">
        <v>44554</v>
      </c>
      <c r="O1539" s="1">
        <v>46099</v>
      </c>
      <c r="P1539" s="2">
        <f t="shared" ref="P1539:P1602" si="554">(O1539-N1539)/365.25</f>
        <v>4.2299794661190964</v>
      </c>
      <c r="Q1539" s="2" t="str">
        <f t="shared" ref="Q1539:Q1602" si="555">IF(P1539&lt;3,"New",IF(P1539&lt;=8,"Mid","Old"))</f>
        <v>Mid</v>
      </c>
      <c r="R1539">
        <f t="shared" ref="R1539:R1602" si="556">G1539*H1539</f>
        <v>2000</v>
      </c>
      <c r="S1539" t="str">
        <f t="shared" ref="S1539:S1602" si="557">IF(G1539&lt;=30,"Small",IF(G1539&lt;=60,"Medium","Large"))</f>
        <v>Small</v>
      </c>
      <c r="T1539" t="str">
        <f t="shared" ref="T1539:T1602" si="558">IF(OR(D1539="CA",D1539="FL",D1539="WA",D1539="CO",D1539="TX",D1539="NJ"),"High EV Adoption Corridor","Lower EV Adoption Corridor")</f>
        <v>Lower EV Adoption Corridor</v>
      </c>
      <c r="U1539" s="3">
        <f t="shared" ref="U1539:U1602" si="559" xml:space="preserve"> R1539 * 1500 *
  IF(I1539="V1",1,
     IF(I1539="V2",1.1,1.2)) *
  IF(T1539="High EV Adoption Corridor",1.3,1)</f>
        <v>3600000</v>
      </c>
      <c r="V1539" s="4">
        <f t="shared" ref="V1539:V1602" si="560" xml:space="preserve"> R1539 * 400 *
  IF(I1539="V1",0.9,
     IF(I1539="V2",1,1.1)) *
  IF(T1539="High EV Adoption Corridor",1.2,1)</f>
        <v>880000.00000000012</v>
      </c>
      <c r="W1539" s="3">
        <f t="shared" ref="W1539:W1602" si="561" xml:space="preserve"> R1539 * 5000 *
  IF(I1539="V1",0.8,
     IF(I1539="V2",1,1.2)) *
  IF(T1539="High EV Adoption Corridor",1.1,1)</f>
        <v>12000000</v>
      </c>
      <c r="X1539" s="3">
        <f t="shared" ref="X1539:X1602" si="562" xml:space="preserve"> R1539 * 3000 *
  IF(I1539="V1",0.9,
     IF(I1539="V2",1,1.1)) *
  IF(T1539="High EV Adoption Corridor",1.5,1)</f>
        <v>6600000.0000000009</v>
      </c>
      <c r="Y1539">
        <f t="shared" ref="Y1539:Y1602" si="563" xml:space="preserve"> ((W1539/10) + V1539) / X1539</f>
        <v>0.31515151515151513</v>
      </c>
      <c r="Z1539">
        <f t="shared" ref="Z1539:Z1602" si="564">(U1539-V1539)/U1539</f>
        <v>0.75555555555555554</v>
      </c>
      <c r="AA1539" t="str">
        <f t="shared" ref="AA1539:AA1602" si="565">IF(AND(I1539="V3",T1539="High EV Adoption Corridor"),
"Tier 1 - Priority Fleet",
IF(AND(I1539="V3",T1539="Lower EV Adoption Corridor"),
"Tier 2 - Growth Markets",
IF(AND(OR(I1539="V1",I1539="V2"),T1539="High EV Adoption Corridor"),
"Tier 3 - Upgrade Pipeline",
IF(AND(I1539="V2",T1539="Lower EV Adoption Corridor"),
"Tier 4 - Stable Network",
"Tier 5 - Retirement Pipeline"))))</f>
        <v>Tier 2 - Growth Markets</v>
      </c>
      <c r="AB1539" s="3">
        <f t="shared" ref="AB1539:AB1602" si="566">V1539/G1539</f>
        <v>110000.00000000001</v>
      </c>
      <c r="AC1539" s="3">
        <f t="shared" ref="AC1539:AC1602" si="567">W1539/G1539</f>
        <v>1500000</v>
      </c>
      <c r="AD1539" s="3">
        <f t="shared" ref="AD1539:AD1602" si="568">U1539/G1539</f>
        <v>450000</v>
      </c>
      <c r="AE1539" s="5">
        <f t="shared" ref="AE1539:AE1602" si="569">W1539/(U1539-V1539)</f>
        <v>4.4117647058823533</v>
      </c>
      <c r="AF1539" s="10">
        <f t="shared" ref="AF1539:AF1602" si="570">V1539*0.62</f>
        <v>545600.00000000012</v>
      </c>
      <c r="AG1539" s="10">
        <f t="shared" ref="AG1539:AG1602" si="571">V1539*0.2</f>
        <v>176000.00000000003</v>
      </c>
      <c r="AH1539" s="10">
        <f t="shared" ref="AH1539:AH1602" si="572">V1539*0.1</f>
        <v>88000.000000000015</v>
      </c>
      <c r="AI1539" s="10">
        <f t="shared" ref="AI1539:AI1602" si="573">V1539*0.05</f>
        <v>44000.000000000007</v>
      </c>
      <c r="AJ1539" s="10">
        <f t="shared" ref="AJ1539:AJ1602" si="574">V1539*0.03</f>
        <v>26400.000000000004</v>
      </c>
    </row>
    <row r="1540" spans="1:36" x14ac:dyDescent="0.3">
      <c r="A1540" t="s">
        <v>5866</v>
      </c>
      <c r="B1540" t="s">
        <v>5867</v>
      </c>
      <c r="C1540" t="s">
        <v>5868</v>
      </c>
      <c r="D1540" t="s">
        <v>958</v>
      </c>
      <c r="E1540">
        <v>4605</v>
      </c>
      <c r="F1540" t="s">
        <v>15</v>
      </c>
      <c r="G1540">
        <v>8</v>
      </c>
      <c r="H1540">
        <v>250</v>
      </c>
      <c r="I1540" t="str" cm="1">
        <f t="array" ref="I1540">_xlfn.IFS(H1540&lt;=120,"V1",H1540&lt;=150,"V2",H1540&lt;=250,"V3", H1540&lt;=350, "V4")</f>
        <v>V3</v>
      </c>
      <c r="J1540" t="s">
        <v>5869</v>
      </c>
      <c r="K1540" t="str">
        <f t="shared" si="552"/>
        <v>44.532641</v>
      </c>
      <c r="L1540" t="str">
        <f t="shared" si="553"/>
        <v>-68.411381</v>
      </c>
      <c r="M1540">
        <v>37</v>
      </c>
      <c r="N1540" s="1">
        <v>44623</v>
      </c>
      <c r="O1540" s="1">
        <v>46099</v>
      </c>
      <c r="P1540" s="2">
        <f t="shared" si="554"/>
        <v>4.0410677618069819</v>
      </c>
      <c r="Q1540" s="2" t="str">
        <f t="shared" si="555"/>
        <v>Mid</v>
      </c>
      <c r="R1540">
        <f t="shared" si="556"/>
        <v>2000</v>
      </c>
      <c r="S1540" t="str">
        <f t="shared" si="557"/>
        <v>Small</v>
      </c>
      <c r="T1540" t="str">
        <f t="shared" si="558"/>
        <v>Lower EV Adoption Corridor</v>
      </c>
      <c r="U1540" s="3">
        <f t="shared" si="559"/>
        <v>3600000</v>
      </c>
      <c r="V1540" s="4">
        <f t="shared" si="560"/>
        <v>880000.00000000012</v>
      </c>
      <c r="W1540" s="3">
        <f t="shared" si="561"/>
        <v>12000000</v>
      </c>
      <c r="X1540" s="3">
        <f t="shared" si="562"/>
        <v>6600000.0000000009</v>
      </c>
      <c r="Y1540">
        <f t="shared" si="563"/>
        <v>0.31515151515151513</v>
      </c>
      <c r="Z1540">
        <f t="shared" si="564"/>
        <v>0.75555555555555554</v>
      </c>
      <c r="AA1540" t="str">
        <f t="shared" si="565"/>
        <v>Tier 2 - Growth Markets</v>
      </c>
      <c r="AB1540" s="3">
        <f t="shared" si="566"/>
        <v>110000.00000000001</v>
      </c>
      <c r="AC1540" s="3">
        <f t="shared" si="567"/>
        <v>1500000</v>
      </c>
      <c r="AD1540" s="3">
        <f t="shared" si="568"/>
        <v>450000</v>
      </c>
      <c r="AE1540" s="5">
        <f t="shared" si="569"/>
        <v>4.4117647058823533</v>
      </c>
      <c r="AF1540" s="10">
        <f t="shared" si="570"/>
        <v>545600.00000000012</v>
      </c>
      <c r="AG1540" s="10">
        <f t="shared" si="571"/>
        <v>176000.00000000003</v>
      </c>
      <c r="AH1540" s="10">
        <f t="shared" si="572"/>
        <v>88000.000000000015</v>
      </c>
      <c r="AI1540" s="10">
        <f t="shared" si="573"/>
        <v>44000.000000000007</v>
      </c>
      <c r="AJ1540" s="10">
        <f t="shared" si="574"/>
        <v>26400.000000000004</v>
      </c>
    </row>
    <row r="1541" spans="1:36" x14ac:dyDescent="0.3">
      <c r="A1541" t="s">
        <v>5870</v>
      </c>
      <c r="B1541" t="s">
        <v>5871</v>
      </c>
      <c r="C1541" t="s">
        <v>1456</v>
      </c>
      <c r="D1541" t="s">
        <v>14</v>
      </c>
      <c r="E1541">
        <v>91321</v>
      </c>
      <c r="F1541" t="s">
        <v>15</v>
      </c>
      <c r="G1541">
        <v>16</v>
      </c>
      <c r="H1541">
        <v>250</v>
      </c>
      <c r="I1541" t="str" cm="1">
        <f t="array" ref="I1541">_xlfn.IFS(H1541&lt;=120,"V1",H1541&lt;=150,"V2",H1541&lt;=250,"V3", H1541&lt;=350, "V4")</f>
        <v>V3</v>
      </c>
      <c r="J1541" t="s">
        <v>5872</v>
      </c>
      <c r="K1541" t="str">
        <f t="shared" si="552"/>
        <v>34.3683</v>
      </c>
      <c r="L1541" t="str">
        <f t="shared" si="553"/>
        <v>-118.5092</v>
      </c>
      <c r="M1541">
        <v>413</v>
      </c>
      <c r="N1541" s="1">
        <v>44993</v>
      </c>
      <c r="O1541" s="1">
        <v>46099</v>
      </c>
      <c r="P1541" s="2">
        <f t="shared" si="554"/>
        <v>3.0280629705681039</v>
      </c>
      <c r="Q1541" s="2" t="str">
        <f t="shared" si="555"/>
        <v>Mid</v>
      </c>
      <c r="R1541">
        <f t="shared" si="556"/>
        <v>4000</v>
      </c>
      <c r="S1541" t="str">
        <f t="shared" si="557"/>
        <v>Small</v>
      </c>
      <c r="T1541" t="str">
        <f t="shared" si="558"/>
        <v>High EV Adoption Corridor</v>
      </c>
      <c r="U1541" s="3">
        <f t="shared" si="559"/>
        <v>9360000</v>
      </c>
      <c r="V1541" s="4">
        <f t="shared" si="560"/>
        <v>2112000</v>
      </c>
      <c r="W1541" s="3">
        <f t="shared" si="561"/>
        <v>26400000.000000004</v>
      </c>
      <c r="X1541" s="3">
        <f t="shared" si="562"/>
        <v>19800000.000000004</v>
      </c>
      <c r="Y1541">
        <f t="shared" si="563"/>
        <v>0.23999999999999996</v>
      </c>
      <c r="Z1541">
        <f t="shared" si="564"/>
        <v>0.77435897435897438</v>
      </c>
      <c r="AA1541" t="str">
        <f t="shared" si="565"/>
        <v>Tier 1 - Priority Fleet</v>
      </c>
      <c r="AB1541" s="3">
        <f t="shared" si="566"/>
        <v>132000</v>
      </c>
      <c r="AC1541" s="3">
        <f t="shared" si="567"/>
        <v>1650000.0000000002</v>
      </c>
      <c r="AD1541" s="3">
        <f t="shared" si="568"/>
        <v>585000</v>
      </c>
      <c r="AE1541" s="5">
        <f t="shared" si="569"/>
        <v>3.6423841059602653</v>
      </c>
      <c r="AF1541" s="10">
        <f t="shared" si="570"/>
        <v>1309440</v>
      </c>
      <c r="AG1541" s="10">
        <f t="shared" si="571"/>
        <v>422400</v>
      </c>
      <c r="AH1541" s="10">
        <f t="shared" si="572"/>
        <v>211200</v>
      </c>
      <c r="AI1541" s="10">
        <f t="shared" si="573"/>
        <v>105600</v>
      </c>
      <c r="AJ1541" s="10">
        <f t="shared" si="574"/>
        <v>63360</v>
      </c>
    </row>
    <row r="1542" spans="1:36" x14ac:dyDescent="0.3">
      <c r="A1542" t="s">
        <v>5873</v>
      </c>
      <c r="B1542" t="s">
        <v>5874</v>
      </c>
      <c r="C1542" t="s">
        <v>138</v>
      </c>
      <c r="D1542" t="s">
        <v>179</v>
      </c>
      <c r="E1542">
        <v>2898</v>
      </c>
      <c r="F1542" t="s">
        <v>15</v>
      </c>
      <c r="G1542">
        <v>8</v>
      </c>
      <c r="H1542">
        <v>250</v>
      </c>
      <c r="I1542" t="str" cm="1">
        <f t="array" ref="I1542">_xlfn.IFS(H1542&lt;=120,"V1",H1542&lt;=150,"V2",H1542&lt;=250,"V3", H1542&lt;=350, "V4")</f>
        <v>V3</v>
      </c>
      <c r="J1542" t="s">
        <v>5875</v>
      </c>
      <c r="K1542" t="str">
        <f t="shared" si="552"/>
        <v>41.513891</v>
      </c>
      <c r="L1542" t="str">
        <f t="shared" si="553"/>
        <v>-71.698256</v>
      </c>
      <c r="M1542">
        <v>39</v>
      </c>
      <c r="N1542" s="1">
        <v>44735</v>
      </c>
      <c r="O1542" s="1">
        <v>46099</v>
      </c>
      <c r="P1542" s="2">
        <f t="shared" si="554"/>
        <v>3.7344284736481863</v>
      </c>
      <c r="Q1542" s="2" t="str">
        <f t="shared" si="555"/>
        <v>Mid</v>
      </c>
      <c r="R1542">
        <f t="shared" si="556"/>
        <v>2000</v>
      </c>
      <c r="S1542" t="str">
        <f t="shared" si="557"/>
        <v>Small</v>
      </c>
      <c r="T1542" t="str">
        <f t="shared" si="558"/>
        <v>Lower EV Adoption Corridor</v>
      </c>
      <c r="U1542" s="3">
        <f t="shared" si="559"/>
        <v>3600000</v>
      </c>
      <c r="V1542" s="4">
        <f t="shared" si="560"/>
        <v>880000.00000000012</v>
      </c>
      <c r="W1542" s="3">
        <f t="shared" si="561"/>
        <v>12000000</v>
      </c>
      <c r="X1542" s="3">
        <f t="shared" si="562"/>
        <v>6600000.0000000009</v>
      </c>
      <c r="Y1542">
        <f t="shared" si="563"/>
        <v>0.31515151515151513</v>
      </c>
      <c r="Z1542">
        <f t="shared" si="564"/>
        <v>0.75555555555555554</v>
      </c>
      <c r="AA1542" t="str">
        <f t="shared" si="565"/>
        <v>Tier 2 - Growth Markets</v>
      </c>
      <c r="AB1542" s="3">
        <f t="shared" si="566"/>
        <v>110000.00000000001</v>
      </c>
      <c r="AC1542" s="3">
        <f t="shared" si="567"/>
        <v>1500000</v>
      </c>
      <c r="AD1542" s="3">
        <f t="shared" si="568"/>
        <v>450000</v>
      </c>
      <c r="AE1542" s="5">
        <f t="shared" si="569"/>
        <v>4.4117647058823533</v>
      </c>
      <c r="AF1542" s="10">
        <f t="shared" si="570"/>
        <v>545600.00000000012</v>
      </c>
      <c r="AG1542" s="10">
        <f t="shared" si="571"/>
        <v>176000.00000000003</v>
      </c>
      <c r="AH1542" s="10">
        <f t="shared" si="572"/>
        <v>88000.000000000015</v>
      </c>
      <c r="AI1542" s="10">
        <f t="shared" si="573"/>
        <v>44000.000000000007</v>
      </c>
      <c r="AJ1542" s="10">
        <f t="shared" si="574"/>
        <v>26400.000000000004</v>
      </c>
    </row>
    <row r="1543" spans="1:36" x14ac:dyDescent="0.3">
      <c r="A1543" t="s">
        <v>5876</v>
      </c>
      <c r="B1543" t="s">
        <v>5877</v>
      </c>
      <c r="C1543" t="s">
        <v>597</v>
      </c>
      <c r="D1543" t="s">
        <v>28</v>
      </c>
      <c r="E1543">
        <v>30096</v>
      </c>
      <c r="F1543" t="s">
        <v>15</v>
      </c>
      <c r="G1543">
        <v>12</v>
      </c>
      <c r="H1543">
        <v>250</v>
      </c>
      <c r="I1543" t="str" cm="1">
        <f t="array" ref="I1543">_xlfn.IFS(H1543&lt;=120,"V1",H1543&lt;=150,"V2",H1543&lt;=250,"V3", H1543&lt;=350, "V4")</f>
        <v>V3</v>
      </c>
      <c r="J1543" t="s">
        <v>5878</v>
      </c>
      <c r="K1543" t="str">
        <f t="shared" si="552"/>
        <v>34.0004</v>
      </c>
      <c r="L1543" t="str">
        <f t="shared" si="553"/>
        <v>-84.169</v>
      </c>
      <c r="M1543">
        <v>288</v>
      </c>
      <c r="N1543" s="1">
        <v>44694</v>
      </c>
      <c r="O1543" s="1">
        <v>46099</v>
      </c>
      <c r="P1543" s="2">
        <f t="shared" si="554"/>
        <v>3.8466803559206024</v>
      </c>
      <c r="Q1543" s="2" t="str">
        <f t="shared" si="555"/>
        <v>Mid</v>
      </c>
      <c r="R1543">
        <f t="shared" si="556"/>
        <v>3000</v>
      </c>
      <c r="S1543" t="str">
        <f t="shared" si="557"/>
        <v>Small</v>
      </c>
      <c r="T1543" t="str">
        <f t="shared" si="558"/>
        <v>Lower EV Adoption Corridor</v>
      </c>
      <c r="U1543" s="3">
        <f t="shared" si="559"/>
        <v>5400000</v>
      </c>
      <c r="V1543" s="4">
        <f t="shared" si="560"/>
        <v>1320000</v>
      </c>
      <c r="W1543" s="3">
        <f t="shared" si="561"/>
        <v>18000000</v>
      </c>
      <c r="X1543" s="3">
        <f t="shared" si="562"/>
        <v>9900000</v>
      </c>
      <c r="Y1543">
        <f t="shared" si="563"/>
        <v>0.31515151515151513</v>
      </c>
      <c r="Z1543">
        <f t="shared" si="564"/>
        <v>0.75555555555555554</v>
      </c>
      <c r="AA1543" t="str">
        <f t="shared" si="565"/>
        <v>Tier 2 - Growth Markets</v>
      </c>
      <c r="AB1543" s="3">
        <f t="shared" si="566"/>
        <v>110000</v>
      </c>
      <c r="AC1543" s="3">
        <f t="shared" si="567"/>
        <v>1500000</v>
      </c>
      <c r="AD1543" s="3">
        <f t="shared" si="568"/>
        <v>450000</v>
      </c>
      <c r="AE1543" s="5">
        <f t="shared" si="569"/>
        <v>4.4117647058823533</v>
      </c>
      <c r="AF1543" s="10">
        <f t="shared" si="570"/>
        <v>818400</v>
      </c>
      <c r="AG1543" s="10">
        <f t="shared" si="571"/>
        <v>264000</v>
      </c>
      <c r="AH1543" s="10">
        <f t="shared" si="572"/>
        <v>132000</v>
      </c>
      <c r="AI1543" s="10">
        <f t="shared" si="573"/>
        <v>66000</v>
      </c>
      <c r="AJ1543" s="10">
        <f t="shared" si="574"/>
        <v>39600</v>
      </c>
    </row>
    <row r="1544" spans="1:36" x14ac:dyDescent="0.3">
      <c r="A1544" t="s">
        <v>5879</v>
      </c>
      <c r="B1544" t="s">
        <v>5880</v>
      </c>
      <c r="C1544" t="s">
        <v>5881</v>
      </c>
      <c r="D1544" t="s">
        <v>630</v>
      </c>
      <c r="E1544">
        <v>48167</v>
      </c>
      <c r="F1544" t="s">
        <v>15</v>
      </c>
      <c r="G1544">
        <v>12</v>
      </c>
      <c r="H1544">
        <v>250</v>
      </c>
      <c r="I1544" t="str" cm="1">
        <f t="array" ref="I1544">_xlfn.IFS(H1544&lt;=120,"V1",H1544&lt;=150,"V2",H1544&lt;=250,"V3", H1544&lt;=350, "V4")</f>
        <v>V3</v>
      </c>
      <c r="J1544" t="s">
        <v>5882</v>
      </c>
      <c r="K1544" t="str">
        <f t="shared" si="552"/>
        <v>42.4372</v>
      </c>
      <c r="L1544" t="str">
        <f t="shared" si="553"/>
        <v>-83.4381</v>
      </c>
      <c r="M1544">
        <v>244</v>
      </c>
      <c r="N1544" s="1">
        <v>44708</v>
      </c>
      <c r="O1544" s="1">
        <v>46099</v>
      </c>
      <c r="P1544" s="2">
        <f t="shared" si="554"/>
        <v>3.808350444900753</v>
      </c>
      <c r="Q1544" s="2" t="str">
        <f t="shared" si="555"/>
        <v>Mid</v>
      </c>
      <c r="R1544">
        <f t="shared" si="556"/>
        <v>3000</v>
      </c>
      <c r="S1544" t="str">
        <f t="shared" si="557"/>
        <v>Small</v>
      </c>
      <c r="T1544" t="str">
        <f t="shared" si="558"/>
        <v>Lower EV Adoption Corridor</v>
      </c>
      <c r="U1544" s="3">
        <f t="shared" si="559"/>
        <v>5400000</v>
      </c>
      <c r="V1544" s="4">
        <f t="shared" si="560"/>
        <v>1320000</v>
      </c>
      <c r="W1544" s="3">
        <f t="shared" si="561"/>
        <v>18000000</v>
      </c>
      <c r="X1544" s="3">
        <f t="shared" si="562"/>
        <v>9900000</v>
      </c>
      <c r="Y1544">
        <f t="shared" si="563"/>
        <v>0.31515151515151513</v>
      </c>
      <c r="Z1544">
        <f t="shared" si="564"/>
        <v>0.75555555555555554</v>
      </c>
      <c r="AA1544" t="str">
        <f t="shared" si="565"/>
        <v>Tier 2 - Growth Markets</v>
      </c>
      <c r="AB1544" s="3">
        <f t="shared" si="566"/>
        <v>110000</v>
      </c>
      <c r="AC1544" s="3">
        <f t="shared" si="567"/>
        <v>1500000</v>
      </c>
      <c r="AD1544" s="3">
        <f t="shared" si="568"/>
        <v>450000</v>
      </c>
      <c r="AE1544" s="5">
        <f t="shared" si="569"/>
        <v>4.4117647058823533</v>
      </c>
      <c r="AF1544" s="10">
        <f t="shared" si="570"/>
        <v>818400</v>
      </c>
      <c r="AG1544" s="10">
        <f t="shared" si="571"/>
        <v>264000</v>
      </c>
      <c r="AH1544" s="10">
        <f t="shared" si="572"/>
        <v>132000</v>
      </c>
      <c r="AI1544" s="10">
        <f t="shared" si="573"/>
        <v>66000</v>
      </c>
      <c r="AJ1544" s="10">
        <f t="shared" si="574"/>
        <v>39600</v>
      </c>
    </row>
    <row r="1545" spans="1:36" x14ac:dyDescent="0.3">
      <c r="A1545" t="s">
        <v>5883</v>
      </c>
      <c r="B1545" t="s">
        <v>5884</v>
      </c>
      <c r="C1545" t="s">
        <v>5885</v>
      </c>
      <c r="D1545" t="s">
        <v>158</v>
      </c>
      <c r="E1545">
        <v>11949</v>
      </c>
      <c r="F1545" t="s">
        <v>15</v>
      </c>
      <c r="G1545">
        <v>12</v>
      </c>
      <c r="H1545">
        <v>250</v>
      </c>
      <c r="I1545" t="str" cm="1">
        <f t="array" ref="I1545">_xlfn.IFS(H1545&lt;=120,"V1",H1545&lt;=150,"V2",H1545&lt;=250,"V3", H1545&lt;=350, "V4")</f>
        <v>V3</v>
      </c>
      <c r="J1545" t="s">
        <v>5886</v>
      </c>
      <c r="K1545" t="str">
        <f t="shared" si="552"/>
        <v>40.871424</v>
      </c>
      <c r="L1545" t="str">
        <f t="shared" si="553"/>
        <v>-72.798971</v>
      </c>
      <c r="M1545">
        <v>16</v>
      </c>
      <c r="N1545" s="1">
        <v>44675</v>
      </c>
      <c r="O1545" s="1">
        <v>46099</v>
      </c>
      <c r="P1545" s="2">
        <f t="shared" si="554"/>
        <v>3.8986995208761122</v>
      </c>
      <c r="Q1545" s="2" t="str">
        <f t="shared" si="555"/>
        <v>Mid</v>
      </c>
      <c r="R1545">
        <f t="shared" si="556"/>
        <v>3000</v>
      </c>
      <c r="S1545" t="str">
        <f t="shared" si="557"/>
        <v>Small</v>
      </c>
      <c r="T1545" t="str">
        <f t="shared" si="558"/>
        <v>Lower EV Adoption Corridor</v>
      </c>
      <c r="U1545" s="3">
        <f t="shared" si="559"/>
        <v>5400000</v>
      </c>
      <c r="V1545" s="4">
        <f t="shared" si="560"/>
        <v>1320000</v>
      </c>
      <c r="W1545" s="3">
        <f t="shared" si="561"/>
        <v>18000000</v>
      </c>
      <c r="X1545" s="3">
        <f t="shared" si="562"/>
        <v>9900000</v>
      </c>
      <c r="Y1545">
        <f t="shared" si="563"/>
        <v>0.31515151515151513</v>
      </c>
      <c r="Z1545">
        <f t="shared" si="564"/>
        <v>0.75555555555555554</v>
      </c>
      <c r="AA1545" t="str">
        <f t="shared" si="565"/>
        <v>Tier 2 - Growth Markets</v>
      </c>
      <c r="AB1545" s="3">
        <f t="shared" si="566"/>
        <v>110000</v>
      </c>
      <c r="AC1545" s="3">
        <f t="shared" si="567"/>
        <v>1500000</v>
      </c>
      <c r="AD1545" s="3">
        <f t="shared" si="568"/>
        <v>450000</v>
      </c>
      <c r="AE1545" s="5">
        <f t="shared" si="569"/>
        <v>4.4117647058823533</v>
      </c>
      <c r="AF1545" s="10">
        <f t="shared" si="570"/>
        <v>818400</v>
      </c>
      <c r="AG1545" s="10">
        <f t="shared" si="571"/>
        <v>264000</v>
      </c>
      <c r="AH1545" s="10">
        <f t="shared" si="572"/>
        <v>132000</v>
      </c>
      <c r="AI1545" s="10">
        <f t="shared" si="573"/>
        <v>66000</v>
      </c>
      <c r="AJ1545" s="10">
        <f t="shared" si="574"/>
        <v>39600</v>
      </c>
    </row>
    <row r="1546" spans="1:36" x14ac:dyDescent="0.3">
      <c r="A1546" t="s">
        <v>5887</v>
      </c>
      <c r="B1546" t="s">
        <v>5888</v>
      </c>
      <c r="C1546" t="s">
        <v>4158</v>
      </c>
      <c r="D1546" t="s">
        <v>153</v>
      </c>
      <c r="E1546">
        <v>15533</v>
      </c>
      <c r="F1546" t="s">
        <v>15</v>
      </c>
      <c r="G1546">
        <v>12</v>
      </c>
      <c r="H1546">
        <v>250</v>
      </c>
      <c r="I1546" t="str" cm="1">
        <f t="array" ref="I1546">_xlfn.IFS(H1546&lt;=120,"V1",H1546&lt;=150,"V2",H1546&lt;=250,"V3", H1546&lt;=350, "V4")</f>
        <v>V3</v>
      </c>
      <c r="J1546" t="s">
        <v>5889</v>
      </c>
      <c r="K1546" t="str">
        <f t="shared" si="552"/>
        <v>39.998748</v>
      </c>
      <c r="L1546" t="str">
        <f t="shared" si="553"/>
        <v>-78.236263</v>
      </c>
      <c r="M1546">
        <v>401</v>
      </c>
      <c r="N1546" s="1">
        <v>44746</v>
      </c>
      <c r="O1546" s="1">
        <v>46099</v>
      </c>
      <c r="P1546" s="2">
        <f t="shared" si="554"/>
        <v>3.7043121149897331</v>
      </c>
      <c r="Q1546" s="2" t="str">
        <f t="shared" si="555"/>
        <v>Mid</v>
      </c>
      <c r="R1546">
        <f t="shared" si="556"/>
        <v>3000</v>
      </c>
      <c r="S1546" t="str">
        <f t="shared" si="557"/>
        <v>Small</v>
      </c>
      <c r="T1546" t="str">
        <f t="shared" si="558"/>
        <v>Lower EV Adoption Corridor</v>
      </c>
      <c r="U1546" s="3">
        <f t="shared" si="559"/>
        <v>5400000</v>
      </c>
      <c r="V1546" s="4">
        <f t="shared" si="560"/>
        <v>1320000</v>
      </c>
      <c r="W1546" s="3">
        <f t="shared" si="561"/>
        <v>18000000</v>
      </c>
      <c r="X1546" s="3">
        <f t="shared" si="562"/>
        <v>9900000</v>
      </c>
      <c r="Y1546">
        <f t="shared" si="563"/>
        <v>0.31515151515151513</v>
      </c>
      <c r="Z1546">
        <f t="shared" si="564"/>
        <v>0.75555555555555554</v>
      </c>
      <c r="AA1546" t="str">
        <f t="shared" si="565"/>
        <v>Tier 2 - Growth Markets</v>
      </c>
      <c r="AB1546" s="3">
        <f t="shared" si="566"/>
        <v>110000</v>
      </c>
      <c r="AC1546" s="3">
        <f t="shared" si="567"/>
        <v>1500000</v>
      </c>
      <c r="AD1546" s="3">
        <f t="shared" si="568"/>
        <v>450000</v>
      </c>
      <c r="AE1546" s="5">
        <f t="shared" si="569"/>
        <v>4.4117647058823533</v>
      </c>
      <c r="AF1546" s="10">
        <f t="shared" si="570"/>
        <v>818400</v>
      </c>
      <c r="AG1546" s="10">
        <f t="shared" si="571"/>
        <v>264000</v>
      </c>
      <c r="AH1546" s="10">
        <f t="shared" si="572"/>
        <v>132000</v>
      </c>
      <c r="AI1546" s="10">
        <f t="shared" si="573"/>
        <v>66000</v>
      </c>
      <c r="AJ1546" s="10">
        <f t="shared" si="574"/>
        <v>39600</v>
      </c>
    </row>
    <row r="1547" spans="1:36" x14ac:dyDescent="0.3">
      <c r="A1547" t="s">
        <v>5890</v>
      </c>
      <c r="B1547" t="s">
        <v>5891</v>
      </c>
      <c r="C1547" t="s">
        <v>4172</v>
      </c>
      <c r="D1547" t="s">
        <v>321</v>
      </c>
      <c r="E1547">
        <v>2215</v>
      </c>
      <c r="F1547" t="s">
        <v>15</v>
      </c>
      <c r="G1547">
        <v>8</v>
      </c>
      <c r="H1547">
        <v>72</v>
      </c>
      <c r="I1547" t="str" cm="1">
        <f t="array" ref="I1547">_xlfn.IFS(H1547&lt;=120,"V1",H1547&lt;=150,"V2",H1547&lt;=250,"V3", H1547&lt;=350, "V4")</f>
        <v>V1</v>
      </c>
      <c r="J1547" t="s">
        <v>5892</v>
      </c>
      <c r="K1547" t="str">
        <f t="shared" si="552"/>
        <v>42.344691</v>
      </c>
      <c r="L1547" t="str">
        <f t="shared" si="553"/>
        <v>-71.099322</v>
      </c>
      <c r="M1547">
        <v>4</v>
      </c>
      <c r="N1547" s="1">
        <v>43582</v>
      </c>
      <c r="O1547" s="1">
        <v>46099</v>
      </c>
      <c r="P1547" s="2">
        <f t="shared" si="554"/>
        <v>6.8911704312114992</v>
      </c>
      <c r="Q1547" s="2" t="str">
        <f t="shared" si="555"/>
        <v>Mid</v>
      </c>
      <c r="R1547">
        <f t="shared" si="556"/>
        <v>576</v>
      </c>
      <c r="S1547" t="str">
        <f t="shared" si="557"/>
        <v>Small</v>
      </c>
      <c r="T1547" t="str">
        <f t="shared" si="558"/>
        <v>Lower EV Adoption Corridor</v>
      </c>
      <c r="U1547" s="3">
        <f t="shared" si="559"/>
        <v>864000</v>
      </c>
      <c r="V1547" s="4">
        <f t="shared" si="560"/>
        <v>207360</v>
      </c>
      <c r="W1547" s="3">
        <f t="shared" si="561"/>
        <v>2304000</v>
      </c>
      <c r="X1547" s="3">
        <f t="shared" si="562"/>
        <v>1555200</v>
      </c>
      <c r="Y1547">
        <f t="shared" si="563"/>
        <v>0.2814814814814815</v>
      </c>
      <c r="Z1547">
        <f t="shared" si="564"/>
        <v>0.76</v>
      </c>
      <c r="AA1547" t="str">
        <f t="shared" si="565"/>
        <v>Tier 5 - Retirement Pipeline</v>
      </c>
      <c r="AB1547" s="3">
        <f t="shared" si="566"/>
        <v>25920</v>
      </c>
      <c r="AC1547" s="3">
        <f t="shared" si="567"/>
        <v>288000</v>
      </c>
      <c r="AD1547" s="3">
        <f t="shared" si="568"/>
        <v>108000</v>
      </c>
      <c r="AE1547" s="5">
        <f t="shared" si="569"/>
        <v>3.5087719298245612</v>
      </c>
      <c r="AF1547" s="10">
        <f t="shared" si="570"/>
        <v>128563.2</v>
      </c>
      <c r="AG1547" s="10">
        <f t="shared" si="571"/>
        <v>41472</v>
      </c>
      <c r="AH1547" s="10">
        <f t="shared" si="572"/>
        <v>20736</v>
      </c>
      <c r="AI1547" s="10">
        <f t="shared" si="573"/>
        <v>10368</v>
      </c>
      <c r="AJ1547" s="10">
        <f t="shared" si="574"/>
        <v>6220.8</v>
      </c>
    </row>
    <row r="1548" spans="1:36" x14ac:dyDescent="0.3">
      <c r="A1548" t="s">
        <v>5893</v>
      </c>
      <c r="B1548" t="s">
        <v>5894</v>
      </c>
      <c r="C1548" t="s">
        <v>4050</v>
      </c>
      <c r="D1548" t="s">
        <v>299</v>
      </c>
      <c r="E1548">
        <v>20175</v>
      </c>
      <c r="F1548" t="s">
        <v>15</v>
      </c>
      <c r="G1548">
        <v>10</v>
      </c>
      <c r="H1548">
        <v>72</v>
      </c>
      <c r="I1548" t="str" cm="1">
        <f t="array" ref="I1548">_xlfn.IFS(H1548&lt;=120,"V1",H1548&lt;=150,"V2",H1548&lt;=250,"V3", H1548&lt;=350, "V4")</f>
        <v>V1</v>
      </c>
      <c r="J1548" t="s">
        <v>5895</v>
      </c>
      <c r="K1548" t="str">
        <f t="shared" si="552"/>
        <v>39.089677</v>
      </c>
      <c r="L1548" t="str">
        <f t="shared" si="553"/>
        <v>-77.526324</v>
      </c>
      <c r="M1548">
        <v>77</v>
      </c>
      <c r="N1548" s="1">
        <v>43665</v>
      </c>
      <c r="O1548" s="1">
        <v>46099</v>
      </c>
      <c r="P1548" s="2">
        <f t="shared" si="554"/>
        <v>6.6639288158795349</v>
      </c>
      <c r="Q1548" s="2" t="str">
        <f t="shared" si="555"/>
        <v>Mid</v>
      </c>
      <c r="R1548">
        <f t="shared" si="556"/>
        <v>720</v>
      </c>
      <c r="S1548" t="str">
        <f t="shared" si="557"/>
        <v>Small</v>
      </c>
      <c r="T1548" t="str">
        <f t="shared" si="558"/>
        <v>Lower EV Adoption Corridor</v>
      </c>
      <c r="U1548" s="3">
        <f t="shared" si="559"/>
        <v>1080000</v>
      </c>
      <c r="V1548" s="4">
        <f t="shared" si="560"/>
        <v>259200</v>
      </c>
      <c r="W1548" s="3">
        <f t="shared" si="561"/>
        <v>2880000</v>
      </c>
      <c r="X1548" s="3">
        <f t="shared" si="562"/>
        <v>1944000</v>
      </c>
      <c r="Y1548">
        <f t="shared" si="563"/>
        <v>0.2814814814814815</v>
      </c>
      <c r="Z1548">
        <f t="shared" si="564"/>
        <v>0.76</v>
      </c>
      <c r="AA1548" t="str">
        <f t="shared" si="565"/>
        <v>Tier 5 - Retirement Pipeline</v>
      </c>
      <c r="AB1548" s="3">
        <f t="shared" si="566"/>
        <v>25920</v>
      </c>
      <c r="AC1548" s="3">
        <f t="shared" si="567"/>
        <v>288000</v>
      </c>
      <c r="AD1548" s="3">
        <f t="shared" si="568"/>
        <v>108000</v>
      </c>
      <c r="AE1548" s="5">
        <f t="shared" si="569"/>
        <v>3.5087719298245612</v>
      </c>
      <c r="AF1548" s="10">
        <f t="shared" si="570"/>
        <v>160704</v>
      </c>
      <c r="AG1548" s="10">
        <f t="shared" si="571"/>
        <v>51840</v>
      </c>
      <c r="AH1548" s="10">
        <f t="shared" si="572"/>
        <v>25920</v>
      </c>
      <c r="AI1548" s="10">
        <f t="shared" si="573"/>
        <v>12960</v>
      </c>
      <c r="AJ1548" s="10">
        <f t="shared" si="574"/>
        <v>7776</v>
      </c>
    </row>
    <row r="1549" spans="1:36" x14ac:dyDescent="0.3">
      <c r="A1549" t="s">
        <v>5896</v>
      </c>
      <c r="B1549" t="s">
        <v>5897</v>
      </c>
      <c r="C1549" t="s">
        <v>5898</v>
      </c>
      <c r="D1549" t="s">
        <v>299</v>
      </c>
      <c r="E1549">
        <v>23834</v>
      </c>
      <c r="F1549" t="s">
        <v>15</v>
      </c>
      <c r="G1549">
        <v>8</v>
      </c>
      <c r="H1549">
        <v>250</v>
      </c>
      <c r="I1549" t="str" cm="1">
        <f t="array" ref="I1549">_xlfn.IFS(H1549&lt;=120,"V1",H1549&lt;=150,"V2",H1549&lt;=250,"V3", H1549&lt;=350, "V4")</f>
        <v>V3</v>
      </c>
      <c r="J1549" t="s">
        <v>5899</v>
      </c>
      <c r="K1549" t="str">
        <f t="shared" si="552"/>
        <v>37.305593</v>
      </c>
      <c r="L1549" t="str">
        <f t="shared" si="553"/>
        <v>-77.409675</v>
      </c>
      <c r="M1549">
        <v>35</v>
      </c>
      <c r="N1549" s="1">
        <v>44687</v>
      </c>
      <c r="O1549" s="1">
        <v>46099</v>
      </c>
      <c r="P1549" s="2">
        <f t="shared" si="554"/>
        <v>3.8658453114305269</v>
      </c>
      <c r="Q1549" s="2" t="str">
        <f t="shared" si="555"/>
        <v>Mid</v>
      </c>
      <c r="R1549">
        <f t="shared" si="556"/>
        <v>2000</v>
      </c>
      <c r="S1549" t="str">
        <f t="shared" si="557"/>
        <v>Small</v>
      </c>
      <c r="T1549" t="str">
        <f t="shared" si="558"/>
        <v>Lower EV Adoption Corridor</v>
      </c>
      <c r="U1549" s="3">
        <f t="shared" si="559"/>
        <v>3600000</v>
      </c>
      <c r="V1549" s="4">
        <f t="shared" si="560"/>
        <v>880000.00000000012</v>
      </c>
      <c r="W1549" s="3">
        <f t="shared" si="561"/>
        <v>12000000</v>
      </c>
      <c r="X1549" s="3">
        <f t="shared" si="562"/>
        <v>6600000.0000000009</v>
      </c>
      <c r="Y1549">
        <f t="shared" si="563"/>
        <v>0.31515151515151513</v>
      </c>
      <c r="Z1549">
        <f t="shared" si="564"/>
        <v>0.75555555555555554</v>
      </c>
      <c r="AA1549" t="str">
        <f t="shared" si="565"/>
        <v>Tier 2 - Growth Markets</v>
      </c>
      <c r="AB1549" s="3">
        <f t="shared" si="566"/>
        <v>110000.00000000001</v>
      </c>
      <c r="AC1549" s="3">
        <f t="shared" si="567"/>
        <v>1500000</v>
      </c>
      <c r="AD1549" s="3">
        <f t="shared" si="568"/>
        <v>450000</v>
      </c>
      <c r="AE1549" s="5">
        <f t="shared" si="569"/>
        <v>4.4117647058823533</v>
      </c>
      <c r="AF1549" s="10">
        <f t="shared" si="570"/>
        <v>545600.00000000012</v>
      </c>
      <c r="AG1549" s="10">
        <f t="shared" si="571"/>
        <v>176000.00000000003</v>
      </c>
      <c r="AH1549" s="10">
        <f t="shared" si="572"/>
        <v>88000.000000000015</v>
      </c>
      <c r="AI1549" s="10">
        <f t="shared" si="573"/>
        <v>44000.000000000007</v>
      </c>
      <c r="AJ1549" s="10">
        <f t="shared" si="574"/>
        <v>26400.000000000004</v>
      </c>
    </row>
    <row r="1550" spans="1:36" x14ac:dyDescent="0.3">
      <c r="A1550" t="s">
        <v>5900</v>
      </c>
      <c r="B1550" t="s">
        <v>5901</v>
      </c>
      <c r="C1550" t="s">
        <v>138</v>
      </c>
      <c r="D1550" t="s">
        <v>299</v>
      </c>
      <c r="E1550">
        <v>23236</v>
      </c>
      <c r="F1550" t="s">
        <v>15</v>
      </c>
      <c r="G1550">
        <v>8</v>
      </c>
      <c r="H1550">
        <v>250</v>
      </c>
      <c r="I1550" t="str" cm="1">
        <f t="array" ref="I1550">_xlfn.IFS(H1550&lt;=120,"V1",H1550&lt;=150,"V2",H1550&lt;=250,"V3", H1550&lt;=350, "V4")</f>
        <v>V3</v>
      </c>
      <c r="J1550" t="s">
        <v>5902</v>
      </c>
      <c r="K1550" t="str">
        <f t="shared" si="552"/>
        <v>37.495848</v>
      </c>
      <c r="L1550" t="str">
        <f t="shared" si="553"/>
        <v>-77.547664</v>
      </c>
      <c r="M1550">
        <v>88</v>
      </c>
      <c r="N1550" s="1">
        <v>44693</v>
      </c>
      <c r="O1550" s="1">
        <v>46099</v>
      </c>
      <c r="P1550" s="2">
        <f t="shared" si="554"/>
        <v>3.8494182067077345</v>
      </c>
      <c r="Q1550" s="2" t="str">
        <f t="shared" si="555"/>
        <v>Mid</v>
      </c>
      <c r="R1550">
        <f t="shared" si="556"/>
        <v>2000</v>
      </c>
      <c r="S1550" t="str">
        <f t="shared" si="557"/>
        <v>Small</v>
      </c>
      <c r="T1550" t="str">
        <f t="shared" si="558"/>
        <v>Lower EV Adoption Corridor</v>
      </c>
      <c r="U1550" s="3">
        <f t="shared" si="559"/>
        <v>3600000</v>
      </c>
      <c r="V1550" s="4">
        <f t="shared" si="560"/>
        <v>880000.00000000012</v>
      </c>
      <c r="W1550" s="3">
        <f t="shared" si="561"/>
        <v>12000000</v>
      </c>
      <c r="X1550" s="3">
        <f t="shared" si="562"/>
        <v>6600000.0000000009</v>
      </c>
      <c r="Y1550">
        <f t="shared" si="563"/>
        <v>0.31515151515151513</v>
      </c>
      <c r="Z1550">
        <f t="shared" si="564"/>
        <v>0.75555555555555554</v>
      </c>
      <c r="AA1550" t="str">
        <f t="shared" si="565"/>
        <v>Tier 2 - Growth Markets</v>
      </c>
      <c r="AB1550" s="3">
        <f t="shared" si="566"/>
        <v>110000.00000000001</v>
      </c>
      <c r="AC1550" s="3">
        <f t="shared" si="567"/>
        <v>1500000</v>
      </c>
      <c r="AD1550" s="3">
        <f t="shared" si="568"/>
        <v>450000</v>
      </c>
      <c r="AE1550" s="5">
        <f t="shared" si="569"/>
        <v>4.4117647058823533</v>
      </c>
      <c r="AF1550" s="10">
        <f t="shared" si="570"/>
        <v>545600.00000000012</v>
      </c>
      <c r="AG1550" s="10">
        <f t="shared" si="571"/>
        <v>176000.00000000003</v>
      </c>
      <c r="AH1550" s="10">
        <f t="shared" si="572"/>
        <v>88000.000000000015</v>
      </c>
      <c r="AI1550" s="10">
        <f t="shared" si="573"/>
        <v>44000.000000000007</v>
      </c>
      <c r="AJ1550" s="10">
        <f t="shared" si="574"/>
        <v>26400.000000000004</v>
      </c>
    </row>
    <row r="1551" spans="1:36" x14ac:dyDescent="0.3">
      <c r="A1551" t="s">
        <v>5903</v>
      </c>
      <c r="B1551" t="s">
        <v>5904</v>
      </c>
      <c r="C1551" t="s">
        <v>3738</v>
      </c>
      <c r="D1551" t="s">
        <v>299</v>
      </c>
      <c r="E1551">
        <v>22030</v>
      </c>
      <c r="F1551" t="s">
        <v>15</v>
      </c>
      <c r="G1551">
        <v>12</v>
      </c>
      <c r="H1551">
        <v>250</v>
      </c>
      <c r="I1551" t="str" cm="1">
        <f t="array" ref="I1551">_xlfn.IFS(H1551&lt;=120,"V1",H1551&lt;=150,"V2",H1551&lt;=250,"V3", H1551&lt;=350, "V4")</f>
        <v>V3</v>
      </c>
      <c r="J1551" t="s">
        <v>5905</v>
      </c>
      <c r="K1551" t="str">
        <f t="shared" si="552"/>
        <v>38.859305</v>
      </c>
      <c r="L1551" t="str">
        <f t="shared" si="553"/>
        <v>-77.357542</v>
      </c>
      <c r="M1551">
        <v>132</v>
      </c>
      <c r="N1551" s="1">
        <v>44707</v>
      </c>
      <c r="O1551" s="1">
        <v>46099</v>
      </c>
      <c r="P1551" s="2">
        <f t="shared" si="554"/>
        <v>3.8110882956878851</v>
      </c>
      <c r="Q1551" s="2" t="str">
        <f t="shared" si="555"/>
        <v>Mid</v>
      </c>
      <c r="R1551">
        <f t="shared" si="556"/>
        <v>3000</v>
      </c>
      <c r="S1551" t="str">
        <f t="shared" si="557"/>
        <v>Small</v>
      </c>
      <c r="T1551" t="str">
        <f t="shared" si="558"/>
        <v>Lower EV Adoption Corridor</v>
      </c>
      <c r="U1551" s="3">
        <f t="shared" si="559"/>
        <v>5400000</v>
      </c>
      <c r="V1551" s="4">
        <f t="shared" si="560"/>
        <v>1320000</v>
      </c>
      <c r="W1551" s="3">
        <f t="shared" si="561"/>
        <v>18000000</v>
      </c>
      <c r="X1551" s="3">
        <f t="shared" si="562"/>
        <v>9900000</v>
      </c>
      <c r="Y1551">
        <f t="shared" si="563"/>
        <v>0.31515151515151513</v>
      </c>
      <c r="Z1551">
        <f t="shared" si="564"/>
        <v>0.75555555555555554</v>
      </c>
      <c r="AA1551" t="str">
        <f t="shared" si="565"/>
        <v>Tier 2 - Growth Markets</v>
      </c>
      <c r="AB1551" s="3">
        <f t="shared" si="566"/>
        <v>110000</v>
      </c>
      <c r="AC1551" s="3">
        <f t="shared" si="567"/>
        <v>1500000</v>
      </c>
      <c r="AD1551" s="3">
        <f t="shared" si="568"/>
        <v>450000</v>
      </c>
      <c r="AE1551" s="5">
        <f t="shared" si="569"/>
        <v>4.4117647058823533</v>
      </c>
      <c r="AF1551" s="10">
        <f t="shared" si="570"/>
        <v>818400</v>
      </c>
      <c r="AG1551" s="10">
        <f t="shared" si="571"/>
        <v>264000</v>
      </c>
      <c r="AH1551" s="10">
        <f t="shared" si="572"/>
        <v>132000</v>
      </c>
      <c r="AI1551" s="10">
        <f t="shared" si="573"/>
        <v>66000</v>
      </c>
      <c r="AJ1551" s="10">
        <f t="shared" si="574"/>
        <v>39600</v>
      </c>
    </row>
    <row r="1552" spans="1:36" x14ac:dyDescent="0.3">
      <c r="A1552" t="s">
        <v>5906</v>
      </c>
      <c r="B1552" t="s">
        <v>5907</v>
      </c>
      <c r="C1552" t="s">
        <v>601</v>
      </c>
      <c r="D1552" t="s">
        <v>1412</v>
      </c>
      <c r="E1552">
        <v>19725</v>
      </c>
      <c r="F1552" t="s">
        <v>15</v>
      </c>
      <c r="G1552">
        <v>12</v>
      </c>
      <c r="H1552">
        <v>150</v>
      </c>
      <c r="I1552" t="str" cm="1">
        <f t="array" ref="I1552">_xlfn.IFS(H1552&lt;=120,"V1",H1552&lt;=150,"V2",H1552&lt;=250,"V3", H1552&lt;=350, "V4")</f>
        <v>V2</v>
      </c>
      <c r="J1552" t="s">
        <v>5908</v>
      </c>
      <c r="K1552" t="str">
        <f t="shared" si="552"/>
        <v>39.6635</v>
      </c>
      <c r="L1552" t="str">
        <f t="shared" si="553"/>
        <v>-75.69017</v>
      </c>
      <c r="M1552">
        <v>18</v>
      </c>
      <c r="N1552" s="1">
        <v>41264</v>
      </c>
      <c r="O1552" s="1">
        <v>46099</v>
      </c>
      <c r="P1552" s="2">
        <f t="shared" si="554"/>
        <v>13.237508555783711</v>
      </c>
      <c r="Q1552" s="2" t="str">
        <f t="shared" si="555"/>
        <v>Old</v>
      </c>
      <c r="R1552">
        <f t="shared" si="556"/>
        <v>1800</v>
      </c>
      <c r="S1552" t="str">
        <f t="shared" si="557"/>
        <v>Small</v>
      </c>
      <c r="T1552" t="str">
        <f t="shared" si="558"/>
        <v>Lower EV Adoption Corridor</v>
      </c>
      <c r="U1552" s="3">
        <f t="shared" si="559"/>
        <v>2970000.0000000005</v>
      </c>
      <c r="V1552" s="4">
        <f t="shared" si="560"/>
        <v>720000</v>
      </c>
      <c r="W1552" s="3">
        <f t="shared" si="561"/>
        <v>9000000</v>
      </c>
      <c r="X1552" s="3">
        <f t="shared" si="562"/>
        <v>5400000</v>
      </c>
      <c r="Y1552">
        <f t="shared" si="563"/>
        <v>0.3</v>
      </c>
      <c r="Z1552">
        <f t="shared" si="564"/>
        <v>0.75757575757575757</v>
      </c>
      <c r="AA1552" t="str">
        <f t="shared" si="565"/>
        <v>Tier 4 - Stable Network</v>
      </c>
      <c r="AB1552" s="3">
        <f t="shared" si="566"/>
        <v>60000</v>
      </c>
      <c r="AC1552" s="3">
        <f t="shared" si="567"/>
        <v>750000</v>
      </c>
      <c r="AD1552" s="3">
        <f t="shared" si="568"/>
        <v>247500.00000000003</v>
      </c>
      <c r="AE1552" s="5">
        <f t="shared" si="569"/>
        <v>3.9999999999999991</v>
      </c>
      <c r="AF1552" s="10">
        <f t="shared" si="570"/>
        <v>446400</v>
      </c>
      <c r="AG1552" s="10">
        <f t="shared" si="571"/>
        <v>144000</v>
      </c>
      <c r="AH1552" s="10">
        <f t="shared" si="572"/>
        <v>72000</v>
      </c>
      <c r="AI1552" s="10">
        <f t="shared" si="573"/>
        <v>36000</v>
      </c>
      <c r="AJ1552" s="10">
        <f t="shared" si="574"/>
        <v>21600</v>
      </c>
    </row>
    <row r="1553" spans="1:36" x14ac:dyDescent="0.3">
      <c r="A1553" t="s">
        <v>5909</v>
      </c>
      <c r="B1553" t="s">
        <v>5910</v>
      </c>
      <c r="C1553" t="s">
        <v>5911</v>
      </c>
      <c r="D1553" t="s">
        <v>852</v>
      </c>
      <c r="E1553">
        <v>7001</v>
      </c>
      <c r="F1553" t="s">
        <v>15</v>
      </c>
      <c r="G1553">
        <v>12</v>
      </c>
      <c r="H1553">
        <v>250</v>
      </c>
      <c r="I1553" t="str" cm="1">
        <f t="array" ref="I1553">_xlfn.IFS(H1553&lt;=120,"V1",H1553&lt;=150,"V2",H1553&lt;=250,"V3", H1553&lt;=350, "V4")</f>
        <v>V3</v>
      </c>
      <c r="J1553" t="s">
        <v>5912</v>
      </c>
      <c r="K1553" t="str">
        <f t="shared" si="552"/>
        <v>40.576793</v>
      </c>
      <c r="L1553" t="str">
        <f t="shared" si="553"/>
        <v>-74.287572</v>
      </c>
      <c r="M1553">
        <v>26</v>
      </c>
      <c r="N1553" s="1">
        <v>44783</v>
      </c>
      <c r="O1553" s="1">
        <v>46099</v>
      </c>
      <c r="P1553" s="2">
        <f t="shared" si="554"/>
        <v>3.6030116358658453</v>
      </c>
      <c r="Q1553" s="2" t="str">
        <f t="shared" si="555"/>
        <v>Mid</v>
      </c>
      <c r="R1553">
        <f t="shared" si="556"/>
        <v>3000</v>
      </c>
      <c r="S1553" t="str">
        <f t="shared" si="557"/>
        <v>Small</v>
      </c>
      <c r="T1553" t="str">
        <f t="shared" si="558"/>
        <v>High EV Adoption Corridor</v>
      </c>
      <c r="U1553" s="3">
        <f t="shared" si="559"/>
        <v>7020000</v>
      </c>
      <c r="V1553" s="4">
        <f t="shared" si="560"/>
        <v>1584000</v>
      </c>
      <c r="W1553" s="3">
        <f t="shared" si="561"/>
        <v>19800000</v>
      </c>
      <c r="X1553" s="3">
        <f t="shared" si="562"/>
        <v>14850000</v>
      </c>
      <c r="Y1553">
        <f t="shared" si="563"/>
        <v>0.24</v>
      </c>
      <c r="Z1553">
        <f t="shared" si="564"/>
        <v>0.77435897435897438</v>
      </c>
      <c r="AA1553" t="str">
        <f t="shared" si="565"/>
        <v>Tier 1 - Priority Fleet</v>
      </c>
      <c r="AB1553" s="3">
        <f t="shared" si="566"/>
        <v>132000</v>
      </c>
      <c r="AC1553" s="3">
        <f t="shared" si="567"/>
        <v>1650000</v>
      </c>
      <c r="AD1553" s="3">
        <f t="shared" si="568"/>
        <v>585000</v>
      </c>
      <c r="AE1553" s="5">
        <f t="shared" si="569"/>
        <v>3.6423841059602649</v>
      </c>
      <c r="AF1553" s="10">
        <f t="shared" si="570"/>
        <v>982080</v>
      </c>
      <c r="AG1553" s="10">
        <f t="shared" si="571"/>
        <v>316800</v>
      </c>
      <c r="AH1553" s="10">
        <f t="shared" si="572"/>
        <v>158400</v>
      </c>
      <c r="AI1553" s="10">
        <f t="shared" si="573"/>
        <v>79200</v>
      </c>
      <c r="AJ1553" s="10">
        <f t="shared" si="574"/>
        <v>47520</v>
      </c>
    </row>
    <row r="1554" spans="1:36" x14ac:dyDescent="0.3">
      <c r="A1554" t="s">
        <v>5913</v>
      </c>
      <c r="B1554" t="s">
        <v>5914</v>
      </c>
      <c r="C1554" t="s">
        <v>5915</v>
      </c>
      <c r="D1554" t="s">
        <v>50</v>
      </c>
      <c r="E1554">
        <v>76051</v>
      </c>
      <c r="F1554" t="s">
        <v>15</v>
      </c>
      <c r="G1554">
        <v>12</v>
      </c>
      <c r="H1554">
        <v>250</v>
      </c>
      <c r="I1554" t="str" cm="1">
        <f t="array" ref="I1554">_xlfn.IFS(H1554&lt;=120,"V1",H1554&lt;=150,"V2",H1554&lt;=250,"V3", H1554&lt;=350, "V4")</f>
        <v>V3</v>
      </c>
      <c r="J1554" t="s">
        <v>5916</v>
      </c>
      <c r="K1554" t="str">
        <f t="shared" si="552"/>
        <v>32.941942</v>
      </c>
      <c r="L1554" t="str">
        <f t="shared" si="553"/>
        <v>-97.065861</v>
      </c>
      <c r="M1554">
        <v>187</v>
      </c>
      <c r="N1554" s="1">
        <v>44293</v>
      </c>
      <c r="O1554" s="1">
        <v>46099</v>
      </c>
      <c r="P1554" s="2">
        <f t="shared" si="554"/>
        <v>4.944558521560575</v>
      </c>
      <c r="Q1554" s="2" t="str">
        <f t="shared" si="555"/>
        <v>Mid</v>
      </c>
      <c r="R1554">
        <f t="shared" si="556"/>
        <v>3000</v>
      </c>
      <c r="S1554" t="str">
        <f t="shared" si="557"/>
        <v>Small</v>
      </c>
      <c r="T1554" t="str">
        <f t="shared" si="558"/>
        <v>High EV Adoption Corridor</v>
      </c>
      <c r="U1554" s="3">
        <f t="shared" si="559"/>
        <v>7020000</v>
      </c>
      <c r="V1554" s="4">
        <f t="shared" si="560"/>
        <v>1584000</v>
      </c>
      <c r="W1554" s="3">
        <f t="shared" si="561"/>
        <v>19800000</v>
      </c>
      <c r="X1554" s="3">
        <f t="shared" si="562"/>
        <v>14850000</v>
      </c>
      <c r="Y1554">
        <f t="shared" si="563"/>
        <v>0.24</v>
      </c>
      <c r="Z1554">
        <f t="shared" si="564"/>
        <v>0.77435897435897438</v>
      </c>
      <c r="AA1554" t="str">
        <f t="shared" si="565"/>
        <v>Tier 1 - Priority Fleet</v>
      </c>
      <c r="AB1554" s="3">
        <f t="shared" si="566"/>
        <v>132000</v>
      </c>
      <c r="AC1554" s="3">
        <f t="shared" si="567"/>
        <v>1650000</v>
      </c>
      <c r="AD1554" s="3">
        <f t="shared" si="568"/>
        <v>585000</v>
      </c>
      <c r="AE1554" s="5">
        <f t="shared" si="569"/>
        <v>3.6423841059602649</v>
      </c>
      <c r="AF1554" s="10">
        <f t="shared" si="570"/>
        <v>982080</v>
      </c>
      <c r="AG1554" s="10">
        <f t="shared" si="571"/>
        <v>316800</v>
      </c>
      <c r="AH1554" s="10">
        <f t="shared" si="572"/>
        <v>158400</v>
      </c>
      <c r="AI1554" s="10">
        <f t="shared" si="573"/>
        <v>79200</v>
      </c>
      <c r="AJ1554" s="10">
        <f t="shared" si="574"/>
        <v>47520</v>
      </c>
    </row>
    <row r="1555" spans="1:36" x14ac:dyDescent="0.3">
      <c r="A1555" t="s">
        <v>5917</v>
      </c>
      <c r="B1555" t="s">
        <v>5918</v>
      </c>
      <c r="C1555" t="s">
        <v>5919</v>
      </c>
      <c r="D1555" t="s">
        <v>415</v>
      </c>
      <c r="E1555">
        <v>50313</v>
      </c>
      <c r="F1555" t="s">
        <v>15</v>
      </c>
      <c r="G1555">
        <v>8</v>
      </c>
      <c r="H1555">
        <v>250</v>
      </c>
      <c r="I1555" t="str" cm="1">
        <f t="array" ref="I1555">_xlfn.IFS(H1555&lt;=120,"V1",H1555&lt;=150,"V2",H1555&lt;=250,"V3", H1555&lt;=350, "V4")</f>
        <v>V3</v>
      </c>
      <c r="J1555" t="s">
        <v>5920</v>
      </c>
      <c r="K1555" t="str">
        <f t="shared" si="552"/>
        <v>41.652488</v>
      </c>
      <c r="L1555" t="str">
        <f t="shared" si="553"/>
        <v>-93.620937</v>
      </c>
      <c r="M1555">
        <v>256</v>
      </c>
      <c r="N1555" s="1">
        <v>44598</v>
      </c>
      <c r="O1555" s="1">
        <v>46099</v>
      </c>
      <c r="P1555" s="2">
        <f t="shared" si="554"/>
        <v>4.1095140314852845</v>
      </c>
      <c r="Q1555" s="2" t="str">
        <f t="shared" si="555"/>
        <v>Mid</v>
      </c>
      <c r="R1555">
        <f t="shared" si="556"/>
        <v>2000</v>
      </c>
      <c r="S1555" t="str">
        <f t="shared" si="557"/>
        <v>Small</v>
      </c>
      <c r="T1555" t="str">
        <f t="shared" si="558"/>
        <v>Lower EV Adoption Corridor</v>
      </c>
      <c r="U1555" s="3">
        <f t="shared" si="559"/>
        <v>3600000</v>
      </c>
      <c r="V1555" s="4">
        <f t="shared" si="560"/>
        <v>880000.00000000012</v>
      </c>
      <c r="W1555" s="3">
        <f t="shared" si="561"/>
        <v>12000000</v>
      </c>
      <c r="X1555" s="3">
        <f t="shared" si="562"/>
        <v>6600000.0000000009</v>
      </c>
      <c r="Y1555">
        <f t="shared" si="563"/>
        <v>0.31515151515151513</v>
      </c>
      <c r="Z1555">
        <f t="shared" si="564"/>
        <v>0.75555555555555554</v>
      </c>
      <c r="AA1555" t="str">
        <f t="shared" si="565"/>
        <v>Tier 2 - Growth Markets</v>
      </c>
      <c r="AB1555" s="3">
        <f t="shared" si="566"/>
        <v>110000.00000000001</v>
      </c>
      <c r="AC1555" s="3">
        <f t="shared" si="567"/>
        <v>1500000</v>
      </c>
      <c r="AD1555" s="3">
        <f t="shared" si="568"/>
        <v>450000</v>
      </c>
      <c r="AE1555" s="5">
        <f t="shared" si="569"/>
        <v>4.4117647058823533</v>
      </c>
      <c r="AF1555" s="10">
        <f t="shared" si="570"/>
        <v>545600.00000000012</v>
      </c>
      <c r="AG1555" s="10">
        <f t="shared" si="571"/>
        <v>176000.00000000003</v>
      </c>
      <c r="AH1555" s="10">
        <f t="shared" si="572"/>
        <v>88000.000000000015</v>
      </c>
      <c r="AI1555" s="10">
        <f t="shared" si="573"/>
        <v>44000.000000000007</v>
      </c>
      <c r="AJ1555" s="10">
        <f t="shared" si="574"/>
        <v>26400.000000000004</v>
      </c>
    </row>
    <row r="1556" spans="1:36" x14ac:dyDescent="0.3">
      <c r="A1556" t="s">
        <v>5921</v>
      </c>
      <c r="B1556" t="s">
        <v>5922</v>
      </c>
      <c r="C1556" t="s">
        <v>1288</v>
      </c>
      <c r="D1556" t="s">
        <v>913</v>
      </c>
      <c r="E1556">
        <v>21701</v>
      </c>
      <c r="F1556" t="s">
        <v>15</v>
      </c>
      <c r="G1556">
        <v>8</v>
      </c>
      <c r="H1556">
        <v>250</v>
      </c>
      <c r="I1556" t="str" cm="1">
        <f t="array" ref="I1556">_xlfn.IFS(H1556&lt;=120,"V1",H1556&lt;=150,"V2",H1556&lt;=250,"V3", H1556&lt;=350, "V4")</f>
        <v>V3</v>
      </c>
      <c r="J1556" t="s">
        <v>5923</v>
      </c>
      <c r="K1556" t="str">
        <f t="shared" si="552"/>
        <v>39.3867</v>
      </c>
      <c r="L1556" t="str">
        <f t="shared" si="553"/>
        <v>-77.4077</v>
      </c>
      <c r="M1556">
        <v>98</v>
      </c>
      <c r="N1556" s="1">
        <v>44644</v>
      </c>
      <c r="O1556" s="1">
        <v>46099</v>
      </c>
      <c r="P1556" s="2">
        <f t="shared" si="554"/>
        <v>3.9835728952772076</v>
      </c>
      <c r="Q1556" s="2" t="str">
        <f t="shared" si="555"/>
        <v>Mid</v>
      </c>
      <c r="R1556">
        <f t="shared" si="556"/>
        <v>2000</v>
      </c>
      <c r="S1556" t="str">
        <f t="shared" si="557"/>
        <v>Small</v>
      </c>
      <c r="T1556" t="str">
        <f t="shared" si="558"/>
        <v>Lower EV Adoption Corridor</v>
      </c>
      <c r="U1556" s="3">
        <f t="shared" si="559"/>
        <v>3600000</v>
      </c>
      <c r="V1556" s="4">
        <f t="shared" si="560"/>
        <v>880000.00000000012</v>
      </c>
      <c r="W1556" s="3">
        <f t="shared" si="561"/>
        <v>12000000</v>
      </c>
      <c r="X1556" s="3">
        <f t="shared" si="562"/>
        <v>6600000.0000000009</v>
      </c>
      <c r="Y1556">
        <f t="shared" si="563"/>
        <v>0.31515151515151513</v>
      </c>
      <c r="Z1556">
        <f t="shared" si="564"/>
        <v>0.75555555555555554</v>
      </c>
      <c r="AA1556" t="str">
        <f t="shared" si="565"/>
        <v>Tier 2 - Growth Markets</v>
      </c>
      <c r="AB1556" s="3">
        <f t="shared" si="566"/>
        <v>110000.00000000001</v>
      </c>
      <c r="AC1556" s="3">
        <f t="shared" si="567"/>
        <v>1500000</v>
      </c>
      <c r="AD1556" s="3">
        <f t="shared" si="568"/>
        <v>450000</v>
      </c>
      <c r="AE1556" s="5">
        <f t="shared" si="569"/>
        <v>4.4117647058823533</v>
      </c>
      <c r="AF1556" s="10">
        <f t="shared" si="570"/>
        <v>545600.00000000012</v>
      </c>
      <c r="AG1556" s="10">
        <f t="shared" si="571"/>
        <v>176000.00000000003</v>
      </c>
      <c r="AH1556" s="10">
        <f t="shared" si="572"/>
        <v>88000.000000000015</v>
      </c>
      <c r="AI1556" s="10">
        <f t="shared" si="573"/>
        <v>44000.000000000007</v>
      </c>
      <c r="AJ1556" s="10">
        <f t="shared" si="574"/>
        <v>26400.000000000004</v>
      </c>
    </row>
    <row r="1557" spans="1:36" x14ac:dyDescent="0.3">
      <c r="A1557" t="s">
        <v>5924</v>
      </c>
      <c r="B1557" t="s">
        <v>5925</v>
      </c>
      <c r="C1557" t="s">
        <v>561</v>
      </c>
      <c r="D1557" t="s">
        <v>143</v>
      </c>
      <c r="E1557">
        <v>87110</v>
      </c>
      <c r="F1557" t="s">
        <v>15</v>
      </c>
      <c r="G1557">
        <v>16</v>
      </c>
      <c r="H1557">
        <v>250</v>
      </c>
      <c r="I1557" t="str" cm="1">
        <f t="array" ref="I1557">_xlfn.IFS(H1557&lt;=120,"V1",H1557&lt;=150,"V2",H1557&lt;=250,"V3", H1557&lt;=350, "V4")</f>
        <v>V3</v>
      </c>
      <c r="J1557" t="s">
        <v>5926</v>
      </c>
      <c r="K1557" t="str">
        <f t="shared" si="552"/>
        <v>35.104333</v>
      </c>
      <c r="L1557" t="str">
        <f t="shared" si="553"/>
        <v>-106.566029</v>
      </c>
      <c r="M1557">
        <v>1614</v>
      </c>
      <c r="N1557" s="1">
        <v>44643</v>
      </c>
      <c r="O1557" s="1">
        <v>46099</v>
      </c>
      <c r="P1557" s="2">
        <f t="shared" si="554"/>
        <v>3.9863107460643397</v>
      </c>
      <c r="Q1557" s="2" t="str">
        <f t="shared" si="555"/>
        <v>Mid</v>
      </c>
      <c r="R1557">
        <f t="shared" si="556"/>
        <v>4000</v>
      </c>
      <c r="S1557" t="str">
        <f t="shared" si="557"/>
        <v>Small</v>
      </c>
      <c r="T1557" t="str">
        <f t="shared" si="558"/>
        <v>Lower EV Adoption Corridor</v>
      </c>
      <c r="U1557" s="3">
        <f t="shared" si="559"/>
        <v>7200000</v>
      </c>
      <c r="V1557" s="4">
        <f t="shared" si="560"/>
        <v>1760000.0000000002</v>
      </c>
      <c r="W1557" s="3">
        <f t="shared" si="561"/>
        <v>24000000</v>
      </c>
      <c r="X1557" s="3">
        <f t="shared" si="562"/>
        <v>13200000.000000002</v>
      </c>
      <c r="Y1557">
        <f t="shared" si="563"/>
        <v>0.31515151515151513</v>
      </c>
      <c r="Z1557">
        <f t="shared" si="564"/>
        <v>0.75555555555555554</v>
      </c>
      <c r="AA1557" t="str">
        <f t="shared" si="565"/>
        <v>Tier 2 - Growth Markets</v>
      </c>
      <c r="AB1557" s="3">
        <f t="shared" si="566"/>
        <v>110000.00000000001</v>
      </c>
      <c r="AC1557" s="3">
        <f t="shared" si="567"/>
        <v>1500000</v>
      </c>
      <c r="AD1557" s="3">
        <f t="shared" si="568"/>
        <v>450000</v>
      </c>
      <c r="AE1557" s="5">
        <f t="shared" si="569"/>
        <v>4.4117647058823533</v>
      </c>
      <c r="AF1557" s="10">
        <f t="shared" si="570"/>
        <v>1091200.0000000002</v>
      </c>
      <c r="AG1557" s="10">
        <f t="shared" si="571"/>
        <v>352000.00000000006</v>
      </c>
      <c r="AH1557" s="10">
        <f t="shared" si="572"/>
        <v>176000.00000000003</v>
      </c>
      <c r="AI1557" s="10">
        <f t="shared" si="573"/>
        <v>88000.000000000015</v>
      </c>
      <c r="AJ1557" s="10">
        <f t="shared" si="574"/>
        <v>52800.000000000007</v>
      </c>
    </row>
    <row r="1558" spans="1:36" x14ac:dyDescent="0.3">
      <c r="A1558" t="s">
        <v>5927</v>
      </c>
      <c r="B1558" t="s">
        <v>5928</v>
      </c>
      <c r="C1558" t="s">
        <v>5929</v>
      </c>
      <c r="D1558" t="s">
        <v>125</v>
      </c>
      <c r="E1558">
        <v>29488</v>
      </c>
      <c r="F1558" t="s">
        <v>15</v>
      </c>
      <c r="G1558">
        <v>12</v>
      </c>
      <c r="H1558">
        <v>250</v>
      </c>
      <c r="I1558" t="str" cm="1">
        <f t="array" ref="I1558">_xlfn.IFS(H1558&lt;=120,"V1",H1558&lt;=150,"V2",H1558&lt;=250,"V3", H1558&lt;=350, "V4")</f>
        <v>V3</v>
      </c>
      <c r="J1558" t="s">
        <v>5930</v>
      </c>
      <c r="K1558" t="str">
        <f t="shared" si="552"/>
        <v>32.9333</v>
      </c>
      <c r="L1558" t="str">
        <f t="shared" si="553"/>
        <v>-80.6925</v>
      </c>
      <c r="M1558">
        <v>25</v>
      </c>
      <c r="N1558" s="1">
        <v>44670</v>
      </c>
      <c r="O1558" s="1">
        <v>46099</v>
      </c>
      <c r="P1558" s="2">
        <f t="shared" si="554"/>
        <v>3.9123887748117729</v>
      </c>
      <c r="Q1558" s="2" t="str">
        <f t="shared" si="555"/>
        <v>Mid</v>
      </c>
      <c r="R1558">
        <f t="shared" si="556"/>
        <v>3000</v>
      </c>
      <c r="S1558" t="str">
        <f t="shared" si="557"/>
        <v>Small</v>
      </c>
      <c r="T1558" t="str">
        <f t="shared" si="558"/>
        <v>Lower EV Adoption Corridor</v>
      </c>
      <c r="U1558" s="3">
        <f t="shared" si="559"/>
        <v>5400000</v>
      </c>
      <c r="V1558" s="4">
        <f t="shared" si="560"/>
        <v>1320000</v>
      </c>
      <c r="W1558" s="3">
        <f t="shared" si="561"/>
        <v>18000000</v>
      </c>
      <c r="X1558" s="3">
        <f t="shared" si="562"/>
        <v>9900000</v>
      </c>
      <c r="Y1558">
        <f t="shared" si="563"/>
        <v>0.31515151515151513</v>
      </c>
      <c r="Z1558">
        <f t="shared" si="564"/>
        <v>0.75555555555555554</v>
      </c>
      <c r="AA1558" t="str">
        <f t="shared" si="565"/>
        <v>Tier 2 - Growth Markets</v>
      </c>
      <c r="AB1558" s="3">
        <f t="shared" si="566"/>
        <v>110000</v>
      </c>
      <c r="AC1558" s="3">
        <f t="shared" si="567"/>
        <v>1500000</v>
      </c>
      <c r="AD1558" s="3">
        <f t="shared" si="568"/>
        <v>450000</v>
      </c>
      <c r="AE1558" s="5">
        <f t="shared" si="569"/>
        <v>4.4117647058823533</v>
      </c>
      <c r="AF1558" s="10">
        <f t="shared" si="570"/>
        <v>818400</v>
      </c>
      <c r="AG1558" s="10">
        <f t="shared" si="571"/>
        <v>264000</v>
      </c>
      <c r="AH1558" s="10">
        <f t="shared" si="572"/>
        <v>132000</v>
      </c>
      <c r="AI1558" s="10">
        <f t="shared" si="573"/>
        <v>66000</v>
      </c>
      <c r="AJ1558" s="10">
        <f t="shared" si="574"/>
        <v>39600</v>
      </c>
    </row>
    <row r="1559" spans="1:36" x14ac:dyDescent="0.3">
      <c r="A1559" t="s">
        <v>5931</v>
      </c>
      <c r="B1559" t="s">
        <v>5932</v>
      </c>
      <c r="C1559" t="s">
        <v>5933</v>
      </c>
      <c r="D1559" t="s">
        <v>189</v>
      </c>
      <c r="E1559">
        <v>53913</v>
      </c>
      <c r="F1559" t="s">
        <v>15</v>
      </c>
      <c r="G1559">
        <v>12</v>
      </c>
      <c r="H1559">
        <v>250</v>
      </c>
      <c r="I1559" t="str" cm="1">
        <f t="array" ref="I1559">_xlfn.IFS(H1559&lt;=120,"V1",H1559&lt;=150,"V2",H1559&lt;=250,"V3", H1559&lt;=350, "V4")</f>
        <v>V3</v>
      </c>
      <c r="J1559" t="s">
        <v>5934</v>
      </c>
      <c r="K1559" t="str">
        <f t="shared" si="552"/>
        <v>43.576852</v>
      </c>
      <c r="L1559" t="str">
        <f t="shared" si="553"/>
        <v>-89.77949</v>
      </c>
      <c r="M1559">
        <v>274</v>
      </c>
      <c r="N1559" s="1">
        <v>44720</v>
      </c>
      <c r="O1559" s="1">
        <v>46099</v>
      </c>
      <c r="P1559" s="2">
        <f t="shared" si="554"/>
        <v>3.7754962354551678</v>
      </c>
      <c r="Q1559" s="2" t="str">
        <f t="shared" si="555"/>
        <v>Mid</v>
      </c>
      <c r="R1559">
        <f t="shared" si="556"/>
        <v>3000</v>
      </c>
      <c r="S1559" t="str">
        <f t="shared" si="557"/>
        <v>Small</v>
      </c>
      <c r="T1559" t="str">
        <f t="shared" si="558"/>
        <v>Lower EV Adoption Corridor</v>
      </c>
      <c r="U1559" s="3">
        <f t="shared" si="559"/>
        <v>5400000</v>
      </c>
      <c r="V1559" s="4">
        <f t="shared" si="560"/>
        <v>1320000</v>
      </c>
      <c r="W1559" s="3">
        <f t="shared" si="561"/>
        <v>18000000</v>
      </c>
      <c r="X1559" s="3">
        <f t="shared" si="562"/>
        <v>9900000</v>
      </c>
      <c r="Y1559">
        <f t="shared" si="563"/>
        <v>0.31515151515151513</v>
      </c>
      <c r="Z1559">
        <f t="shared" si="564"/>
        <v>0.75555555555555554</v>
      </c>
      <c r="AA1559" t="str">
        <f t="shared" si="565"/>
        <v>Tier 2 - Growth Markets</v>
      </c>
      <c r="AB1559" s="3">
        <f t="shared" si="566"/>
        <v>110000</v>
      </c>
      <c r="AC1559" s="3">
        <f t="shared" si="567"/>
        <v>1500000</v>
      </c>
      <c r="AD1559" s="3">
        <f t="shared" si="568"/>
        <v>450000</v>
      </c>
      <c r="AE1559" s="5">
        <f t="shared" si="569"/>
        <v>4.4117647058823533</v>
      </c>
      <c r="AF1559" s="10">
        <f t="shared" si="570"/>
        <v>818400</v>
      </c>
      <c r="AG1559" s="10">
        <f t="shared" si="571"/>
        <v>264000</v>
      </c>
      <c r="AH1559" s="10">
        <f t="shared" si="572"/>
        <v>132000</v>
      </c>
      <c r="AI1559" s="10">
        <f t="shared" si="573"/>
        <v>66000</v>
      </c>
      <c r="AJ1559" s="10">
        <f t="shared" si="574"/>
        <v>39600</v>
      </c>
    </row>
    <row r="1560" spans="1:36" x14ac:dyDescent="0.3">
      <c r="A1560" t="s">
        <v>5935</v>
      </c>
      <c r="B1560" t="s">
        <v>5936</v>
      </c>
      <c r="C1560" t="s">
        <v>1747</v>
      </c>
      <c r="D1560" t="s">
        <v>852</v>
      </c>
      <c r="E1560">
        <v>7822</v>
      </c>
      <c r="F1560" t="s">
        <v>15</v>
      </c>
      <c r="G1560">
        <v>8</v>
      </c>
      <c r="H1560">
        <v>250</v>
      </c>
      <c r="I1560" t="str" cm="1">
        <f t="array" ref="I1560">_xlfn.IFS(H1560&lt;=120,"V1",H1560&lt;=150,"V2",H1560&lt;=250,"V3", H1560&lt;=350, "V4")</f>
        <v>V3</v>
      </c>
      <c r="J1560" t="s">
        <v>5937</v>
      </c>
      <c r="K1560" t="str">
        <f t="shared" si="552"/>
        <v>41.11941</v>
      </c>
      <c r="L1560" t="str">
        <f t="shared" si="553"/>
        <v>-74.71296</v>
      </c>
      <c r="M1560">
        <v>157</v>
      </c>
      <c r="N1560" s="1">
        <v>44796</v>
      </c>
      <c r="O1560" s="1">
        <v>46099</v>
      </c>
      <c r="P1560" s="2">
        <f t="shared" si="554"/>
        <v>3.5674195756331279</v>
      </c>
      <c r="Q1560" s="2" t="str">
        <f t="shared" si="555"/>
        <v>Mid</v>
      </c>
      <c r="R1560">
        <f t="shared" si="556"/>
        <v>2000</v>
      </c>
      <c r="S1560" t="str">
        <f t="shared" si="557"/>
        <v>Small</v>
      </c>
      <c r="T1560" t="str">
        <f t="shared" si="558"/>
        <v>High EV Adoption Corridor</v>
      </c>
      <c r="U1560" s="3">
        <f t="shared" si="559"/>
        <v>4680000</v>
      </c>
      <c r="V1560" s="4">
        <f t="shared" si="560"/>
        <v>1056000</v>
      </c>
      <c r="W1560" s="3">
        <f t="shared" si="561"/>
        <v>13200000.000000002</v>
      </c>
      <c r="X1560" s="3">
        <f t="shared" si="562"/>
        <v>9900000.0000000019</v>
      </c>
      <c r="Y1560">
        <f t="shared" si="563"/>
        <v>0.23999999999999996</v>
      </c>
      <c r="Z1560">
        <f t="shared" si="564"/>
        <v>0.77435897435897438</v>
      </c>
      <c r="AA1560" t="str">
        <f t="shared" si="565"/>
        <v>Tier 1 - Priority Fleet</v>
      </c>
      <c r="AB1560" s="3">
        <f t="shared" si="566"/>
        <v>132000</v>
      </c>
      <c r="AC1560" s="3">
        <f t="shared" si="567"/>
        <v>1650000.0000000002</v>
      </c>
      <c r="AD1560" s="3">
        <f t="shared" si="568"/>
        <v>585000</v>
      </c>
      <c r="AE1560" s="5">
        <f t="shared" si="569"/>
        <v>3.6423841059602653</v>
      </c>
      <c r="AF1560" s="10">
        <f t="shared" si="570"/>
        <v>654720</v>
      </c>
      <c r="AG1560" s="10">
        <f t="shared" si="571"/>
        <v>211200</v>
      </c>
      <c r="AH1560" s="10">
        <f t="shared" si="572"/>
        <v>105600</v>
      </c>
      <c r="AI1560" s="10">
        <f t="shared" si="573"/>
        <v>52800</v>
      </c>
      <c r="AJ1560" s="10">
        <f t="shared" si="574"/>
        <v>31680</v>
      </c>
    </row>
    <row r="1561" spans="1:36" x14ac:dyDescent="0.3">
      <c r="A1561" t="s">
        <v>5938</v>
      </c>
      <c r="B1561" t="s">
        <v>5939</v>
      </c>
      <c r="C1561" t="s">
        <v>5940</v>
      </c>
      <c r="D1561" t="s">
        <v>350</v>
      </c>
      <c r="E1561">
        <v>70112</v>
      </c>
      <c r="F1561" t="s">
        <v>15</v>
      </c>
      <c r="G1561">
        <v>12</v>
      </c>
      <c r="H1561">
        <v>250</v>
      </c>
      <c r="I1561" t="str" cm="1">
        <f t="array" ref="I1561">_xlfn.IFS(H1561&lt;=120,"V1",H1561&lt;=150,"V2",H1561&lt;=250,"V3", H1561&lt;=350, "V4")</f>
        <v>V3</v>
      </c>
      <c r="J1561" t="s">
        <v>5941</v>
      </c>
      <c r="K1561" t="str">
        <f t="shared" si="552"/>
        <v>29.957061</v>
      </c>
      <c r="L1561" t="str">
        <f t="shared" si="553"/>
        <v>-90.076684</v>
      </c>
      <c r="M1561">
        <v>0</v>
      </c>
      <c r="N1561" s="1">
        <v>45022</v>
      </c>
      <c r="O1561" s="1">
        <v>46099</v>
      </c>
      <c r="P1561" s="2">
        <f t="shared" si="554"/>
        <v>2.9486652977412731</v>
      </c>
      <c r="Q1561" s="2" t="str">
        <f t="shared" si="555"/>
        <v>New</v>
      </c>
      <c r="R1561">
        <f t="shared" si="556"/>
        <v>3000</v>
      </c>
      <c r="S1561" t="str">
        <f t="shared" si="557"/>
        <v>Small</v>
      </c>
      <c r="T1561" t="str">
        <f t="shared" si="558"/>
        <v>Lower EV Adoption Corridor</v>
      </c>
      <c r="U1561" s="3">
        <f t="shared" si="559"/>
        <v>5400000</v>
      </c>
      <c r="V1561" s="4">
        <f t="shared" si="560"/>
        <v>1320000</v>
      </c>
      <c r="W1561" s="3">
        <f t="shared" si="561"/>
        <v>18000000</v>
      </c>
      <c r="X1561" s="3">
        <f t="shared" si="562"/>
        <v>9900000</v>
      </c>
      <c r="Y1561">
        <f t="shared" si="563"/>
        <v>0.31515151515151513</v>
      </c>
      <c r="Z1561">
        <f t="shared" si="564"/>
        <v>0.75555555555555554</v>
      </c>
      <c r="AA1561" t="str">
        <f t="shared" si="565"/>
        <v>Tier 2 - Growth Markets</v>
      </c>
      <c r="AB1561" s="3">
        <f t="shared" si="566"/>
        <v>110000</v>
      </c>
      <c r="AC1561" s="3">
        <f t="shared" si="567"/>
        <v>1500000</v>
      </c>
      <c r="AD1561" s="3">
        <f t="shared" si="568"/>
        <v>450000</v>
      </c>
      <c r="AE1561" s="5">
        <f t="shared" si="569"/>
        <v>4.4117647058823533</v>
      </c>
      <c r="AF1561" s="10">
        <f t="shared" si="570"/>
        <v>818400</v>
      </c>
      <c r="AG1561" s="10">
        <f t="shared" si="571"/>
        <v>264000</v>
      </c>
      <c r="AH1561" s="10">
        <f t="shared" si="572"/>
        <v>132000</v>
      </c>
      <c r="AI1561" s="10">
        <f t="shared" si="573"/>
        <v>66000</v>
      </c>
      <c r="AJ1561" s="10">
        <f t="shared" si="574"/>
        <v>39600</v>
      </c>
    </row>
    <row r="1562" spans="1:36" x14ac:dyDescent="0.3">
      <c r="A1562" t="s">
        <v>5942</v>
      </c>
      <c r="B1562" t="s">
        <v>5943</v>
      </c>
      <c r="C1562" t="s">
        <v>5944</v>
      </c>
      <c r="D1562" t="s">
        <v>50</v>
      </c>
      <c r="E1562">
        <v>75254</v>
      </c>
      <c r="F1562" t="s">
        <v>15</v>
      </c>
      <c r="G1562">
        <v>16</v>
      </c>
      <c r="H1562">
        <v>250</v>
      </c>
      <c r="I1562" t="str" cm="1">
        <f t="array" ref="I1562">_xlfn.IFS(H1562&lt;=120,"V1",H1562&lt;=150,"V2",H1562&lt;=250,"V3", H1562&lt;=350, "V4")</f>
        <v>V3</v>
      </c>
      <c r="J1562" t="s">
        <v>5945</v>
      </c>
      <c r="K1562" t="str">
        <f t="shared" si="552"/>
        <v>32.950179</v>
      </c>
      <c r="L1562" t="str">
        <f t="shared" si="553"/>
        <v>-96.81853</v>
      </c>
      <c r="M1562">
        <v>187</v>
      </c>
      <c r="N1562" s="1">
        <v>44886</v>
      </c>
      <c r="O1562" s="1">
        <v>46099</v>
      </c>
      <c r="P1562" s="2">
        <f t="shared" si="554"/>
        <v>3.3210130047912387</v>
      </c>
      <c r="Q1562" s="2" t="str">
        <f t="shared" si="555"/>
        <v>Mid</v>
      </c>
      <c r="R1562">
        <f t="shared" si="556"/>
        <v>4000</v>
      </c>
      <c r="S1562" t="str">
        <f t="shared" si="557"/>
        <v>Small</v>
      </c>
      <c r="T1562" t="str">
        <f t="shared" si="558"/>
        <v>High EV Adoption Corridor</v>
      </c>
      <c r="U1562" s="3">
        <f t="shared" si="559"/>
        <v>9360000</v>
      </c>
      <c r="V1562" s="4">
        <f t="shared" si="560"/>
        <v>2112000</v>
      </c>
      <c r="W1562" s="3">
        <f t="shared" si="561"/>
        <v>26400000.000000004</v>
      </c>
      <c r="X1562" s="3">
        <f t="shared" si="562"/>
        <v>19800000.000000004</v>
      </c>
      <c r="Y1562">
        <f t="shared" si="563"/>
        <v>0.23999999999999996</v>
      </c>
      <c r="Z1562">
        <f t="shared" si="564"/>
        <v>0.77435897435897438</v>
      </c>
      <c r="AA1562" t="str">
        <f t="shared" si="565"/>
        <v>Tier 1 - Priority Fleet</v>
      </c>
      <c r="AB1562" s="3">
        <f t="shared" si="566"/>
        <v>132000</v>
      </c>
      <c r="AC1562" s="3">
        <f t="shared" si="567"/>
        <v>1650000.0000000002</v>
      </c>
      <c r="AD1562" s="3">
        <f t="shared" si="568"/>
        <v>585000</v>
      </c>
      <c r="AE1562" s="5">
        <f t="shared" si="569"/>
        <v>3.6423841059602653</v>
      </c>
      <c r="AF1562" s="10">
        <f t="shared" si="570"/>
        <v>1309440</v>
      </c>
      <c r="AG1562" s="10">
        <f t="shared" si="571"/>
        <v>422400</v>
      </c>
      <c r="AH1562" s="10">
        <f t="shared" si="572"/>
        <v>211200</v>
      </c>
      <c r="AI1562" s="10">
        <f t="shared" si="573"/>
        <v>105600</v>
      </c>
      <c r="AJ1562" s="10">
        <f t="shared" si="574"/>
        <v>63360</v>
      </c>
    </row>
    <row r="1563" spans="1:36" x14ac:dyDescent="0.3">
      <c r="A1563" t="s">
        <v>5946</v>
      </c>
      <c r="B1563" t="s">
        <v>5947</v>
      </c>
      <c r="C1563" t="s">
        <v>697</v>
      </c>
      <c r="D1563" t="s">
        <v>153</v>
      </c>
      <c r="E1563">
        <v>18106</v>
      </c>
      <c r="F1563" t="s">
        <v>15</v>
      </c>
      <c r="G1563">
        <v>12</v>
      </c>
      <c r="H1563">
        <v>250</v>
      </c>
      <c r="I1563" t="str" cm="1">
        <f t="array" ref="I1563">_xlfn.IFS(H1563&lt;=120,"V1",H1563&lt;=150,"V2",H1563&lt;=250,"V3", H1563&lt;=350, "V4")</f>
        <v>V3</v>
      </c>
      <c r="J1563" t="s">
        <v>5948</v>
      </c>
      <c r="K1563" t="str">
        <f t="shared" si="552"/>
        <v>40.57163</v>
      </c>
      <c r="L1563" t="str">
        <f t="shared" si="553"/>
        <v>-75.616759</v>
      </c>
      <c r="M1563">
        <v>135</v>
      </c>
      <c r="N1563" s="1">
        <v>44693</v>
      </c>
      <c r="O1563" s="1">
        <v>46099</v>
      </c>
      <c r="P1563" s="2">
        <f t="shared" si="554"/>
        <v>3.8494182067077345</v>
      </c>
      <c r="Q1563" s="2" t="str">
        <f t="shared" si="555"/>
        <v>Mid</v>
      </c>
      <c r="R1563">
        <f t="shared" si="556"/>
        <v>3000</v>
      </c>
      <c r="S1563" t="str">
        <f t="shared" si="557"/>
        <v>Small</v>
      </c>
      <c r="T1563" t="str">
        <f t="shared" si="558"/>
        <v>Lower EV Adoption Corridor</v>
      </c>
      <c r="U1563" s="3">
        <f t="shared" si="559"/>
        <v>5400000</v>
      </c>
      <c r="V1563" s="4">
        <f t="shared" si="560"/>
        <v>1320000</v>
      </c>
      <c r="W1563" s="3">
        <f t="shared" si="561"/>
        <v>18000000</v>
      </c>
      <c r="X1563" s="3">
        <f t="shared" si="562"/>
        <v>9900000</v>
      </c>
      <c r="Y1563">
        <f t="shared" si="563"/>
        <v>0.31515151515151513</v>
      </c>
      <c r="Z1563">
        <f t="shared" si="564"/>
        <v>0.75555555555555554</v>
      </c>
      <c r="AA1563" t="str">
        <f t="shared" si="565"/>
        <v>Tier 2 - Growth Markets</v>
      </c>
      <c r="AB1563" s="3">
        <f t="shared" si="566"/>
        <v>110000</v>
      </c>
      <c r="AC1563" s="3">
        <f t="shared" si="567"/>
        <v>1500000</v>
      </c>
      <c r="AD1563" s="3">
        <f t="shared" si="568"/>
        <v>450000</v>
      </c>
      <c r="AE1563" s="5">
        <f t="shared" si="569"/>
        <v>4.4117647058823533</v>
      </c>
      <c r="AF1563" s="10">
        <f t="shared" si="570"/>
        <v>818400</v>
      </c>
      <c r="AG1563" s="10">
        <f t="shared" si="571"/>
        <v>264000</v>
      </c>
      <c r="AH1563" s="10">
        <f t="shared" si="572"/>
        <v>132000</v>
      </c>
      <c r="AI1563" s="10">
        <f t="shared" si="573"/>
        <v>66000</v>
      </c>
      <c r="AJ1563" s="10">
        <f t="shared" si="574"/>
        <v>39600</v>
      </c>
    </row>
    <row r="1564" spans="1:36" x14ac:dyDescent="0.3">
      <c r="A1564" t="s">
        <v>5949</v>
      </c>
      <c r="B1564" t="s">
        <v>5950</v>
      </c>
      <c r="C1564" t="s">
        <v>4070</v>
      </c>
      <c r="D1564" t="s">
        <v>913</v>
      </c>
      <c r="E1564">
        <v>20707</v>
      </c>
      <c r="F1564" t="s">
        <v>15</v>
      </c>
      <c r="G1564">
        <v>8</v>
      </c>
      <c r="H1564">
        <v>250</v>
      </c>
      <c r="I1564" t="str" cm="1">
        <f t="array" ref="I1564">_xlfn.IFS(H1564&lt;=120,"V1",H1564&lt;=150,"V2",H1564&lt;=250,"V3", H1564&lt;=350, "V4")</f>
        <v>V3</v>
      </c>
      <c r="J1564" t="s">
        <v>5951</v>
      </c>
      <c r="K1564" t="str">
        <f t="shared" si="552"/>
        <v>39.095839</v>
      </c>
      <c r="L1564" t="str">
        <f t="shared" si="553"/>
        <v>-76.841533</v>
      </c>
      <c r="M1564">
        <v>43</v>
      </c>
      <c r="N1564" s="1">
        <v>44657</v>
      </c>
      <c r="O1564" s="1">
        <v>46099</v>
      </c>
      <c r="P1564" s="2">
        <f t="shared" si="554"/>
        <v>3.9479808350444903</v>
      </c>
      <c r="Q1564" s="2" t="str">
        <f t="shared" si="555"/>
        <v>Mid</v>
      </c>
      <c r="R1564">
        <f t="shared" si="556"/>
        <v>2000</v>
      </c>
      <c r="S1564" t="str">
        <f t="shared" si="557"/>
        <v>Small</v>
      </c>
      <c r="T1564" t="str">
        <f t="shared" si="558"/>
        <v>Lower EV Adoption Corridor</v>
      </c>
      <c r="U1564" s="3">
        <f t="shared" si="559"/>
        <v>3600000</v>
      </c>
      <c r="V1564" s="4">
        <f t="shared" si="560"/>
        <v>880000.00000000012</v>
      </c>
      <c r="W1564" s="3">
        <f t="shared" si="561"/>
        <v>12000000</v>
      </c>
      <c r="X1564" s="3">
        <f t="shared" si="562"/>
        <v>6600000.0000000009</v>
      </c>
      <c r="Y1564">
        <f t="shared" si="563"/>
        <v>0.31515151515151513</v>
      </c>
      <c r="Z1564">
        <f t="shared" si="564"/>
        <v>0.75555555555555554</v>
      </c>
      <c r="AA1564" t="str">
        <f t="shared" si="565"/>
        <v>Tier 2 - Growth Markets</v>
      </c>
      <c r="AB1564" s="3">
        <f t="shared" si="566"/>
        <v>110000.00000000001</v>
      </c>
      <c r="AC1564" s="3">
        <f t="shared" si="567"/>
        <v>1500000</v>
      </c>
      <c r="AD1564" s="3">
        <f t="shared" si="568"/>
        <v>450000</v>
      </c>
      <c r="AE1564" s="5">
        <f t="shared" si="569"/>
        <v>4.4117647058823533</v>
      </c>
      <c r="AF1564" s="10">
        <f t="shared" si="570"/>
        <v>545600.00000000012</v>
      </c>
      <c r="AG1564" s="10">
        <f t="shared" si="571"/>
        <v>176000.00000000003</v>
      </c>
      <c r="AH1564" s="10">
        <f t="shared" si="572"/>
        <v>88000.000000000015</v>
      </c>
      <c r="AI1564" s="10">
        <f t="shared" si="573"/>
        <v>44000.000000000007</v>
      </c>
      <c r="AJ1564" s="10">
        <f t="shared" si="574"/>
        <v>26400.000000000004</v>
      </c>
    </row>
    <row r="1565" spans="1:36" x14ac:dyDescent="0.3">
      <c r="A1565" t="s">
        <v>5952</v>
      </c>
      <c r="B1565" t="s">
        <v>5953</v>
      </c>
      <c r="C1565" t="s">
        <v>5954</v>
      </c>
      <c r="D1565" t="s">
        <v>14</v>
      </c>
      <c r="E1565">
        <v>94553</v>
      </c>
      <c r="F1565" t="s">
        <v>15</v>
      </c>
      <c r="G1565">
        <v>16</v>
      </c>
      <c r="H1565">
        <v>250</v>
      </c>
      <c r="I1565" t="str" cm="1">
        <f t="array" ref="I1565">_xlfn.IFS(H1565&lt;=120,"V1",H1565&lt;=150,"V2",H1565&lt;=250,"V3", H1565&lt;=350, "V4")</f>
        <v>V3</v>
      </c>
      <c r="J1565" t="s">
        <v>5955</v>
      </c>
      <c r="K1565" t="str">
        <f t="shared" si="552"/>
        <v>37.99316</v>
      </c>
      <c r="L1565" t="str">
        <f t="shared" si="553"/>
        <v>-122.12137</v>
      </c>
      <c r="M1565">
        <v>73</v>
      </c>
      <c r="N1565" s="1">
        <v>44561</v>
      </c>
      <c r="O1565" s="1">
        <v>46099</v>
      </c>
      <c r="P1565" s="2">
        <f t="shared" si="554"/>
        <v>4.2108145106091719</v>
      </c>
      <c r="Q1565" s="2" t="str">
        <f t="shared" si="555"/>
        <v>Mid</v>
      </c>
      <c r="R1565">
        <f t="shared" si="556"/>
        <v>4000</v>
      </c>
      <c r="S1565" t="str">
        <f t="shared" si="557"/>
        <v>Small</v>
      </c>
      <c r="T1565" t="str">
        <f t="shared" si="558"/>
        <v>High EV Adoption Corridor</v>
      </c>
      <c r="U1565" s="3">
        <f t="shared" si="559"/>
        <v>9360000</v>
      </c>
      <c r="V1565" s="4">
        <f t="shared" si="560"/>
        <v>2112000</v>
      </c>
      <c r="W1565" s="3">
        <f t="shared" si="561"/>
        <v>26400000.000000004</v>
      </c>
      <c r="X1565" s="3">
        <f t="shared" si="562"/>
        <v>19800000.000000004</v>
      </c>
      <c r="Y1565">
        <f t="shared" si="563"/>
        <v>0.23999999999999996</v>
      </c>
      <c r="Z1565">
        <f t="shared" si="564"/>
        <v>0.77435897435897438</v>
      </c>
      <c r="AA1565" t="str">
        <f t="shared" si="565"/>
        <v>Tier 1 - Priority Fleet</v>
      </c>
      <c r="AB1565" s="3">
        <f t="shared" si="566"/>
        <v>132000</v>
      </c>
      <c r="AC1565" s="3">
        <f t="shared" si="567"/>
        <v>1650000.0000000002</v>
      </c>
      <c r="AD1565" s="3">
        <f t="shared" si="568"/>
        <v>585000</v>
      </c>
      <c r="AE1565" s="5">
        <f t="shared" si="569"/>
        <v>3.6423841059602653</v>
      </c>
      <c r="AF1565" s="10">
        <f t="shared" si="570"/>
        <v>1309440</v>
      </c>
      <c r="AG1565" s="10">
        <f t="shared" si="571"/>
        <v>422400</v>
      </c>
      <c r="AH1565" s="10">
        <f t="shared" si="572"/>
        <v>211200</v>
      </c>
      <c r="AI1565" s="10">
        <f t="shared" si="573"/>
        <v>105600</v>
      </c>
      <c r="AJ1565" s="10">
        <f t="shared" si="574"/>
        <v>63360</v>
      </c>
    </row>
    <row r="1566" spans="1:36" x14ac:dyDescent="0.3">
      <c r="A1566" t="s">
        <v>5956</v>
      </c>
      <c r="B1566" t="s">
        <v>5957</v>
      </c>
      <c r="C1566" t="s">
        <v>5958</v>
      </c>
      <c r="D1566" t="s">
        <v>50</v>
      </c>
      <c r="E1566">
        <v>76039</v>
      </c>
      <c r="F1566" t="s">
        <v>15</v>
      </c>
      <c r="G1566">
        <v>12</v>
      </c>
      <c r="H1566">
        <v>250</v>
      </c>
      <c r="I1566" t="str" cm="1">
        <f t="array" ref="I1566">_xlfn.IFS(H1566&lt;=120,"V1",H1566&lt;=150,"V2",H1566&lt;=250,"V3", H1566&lt;=350, "V4")</f>
        <v>V3</v>
      </c>
      <c r="J1566" t="s">
        <v>5959</v>
      </c>
      <c r="K1566" t="str">
        <f t="shared" si="552"/>
        <v>32.880879</v>
      </c>
      <c r="L1566" t="str">
        <f t="shared" si="553"/>
        <v>-97.074504</v>
      </c>
      <c r="M1566">
        <v>174</v>
      </c>
      <c r="N1566" s="1">
        <v>45006</v>
      </c>
      <c r="O1566" s="1">
        <v>46099</v>
      </c>
      <c r="P1566" s="2">
        <f t="shared" si="554"/>
        <v>2.9924709103353866</v>
      </c>
      <c r="Q1566" s="2" t="str">
        <f t="shared" si="555"/>
        <v>New</v>
      </c>
      <c r="R1566">
        <f t="shared" si="556"/>
        <v>3000</v>
      </c>
      <c r="S1566" t="str">
        <f t="shared" si="557"/>
        <v>Small</v>
      </c>
      <c r="T1566" t="str">
        <f t="shared" si="558"/>
        <v>High EV Adoption Corridor</v>
      </c>
      <c r="U1566" s="3">
        <f t="shared" si="559"/>
        <v>7020000</v>
      </c>
      <c r="V1566" s="4">
        <f t="shared" si="560"/>
        <v>1584000</v>
      </c>
      <c r="W1566" s="3">
        <f t="shared" si="561"/>
        <v>19800000</v>
      </c>
      <c r="X1566" s="3">
        <f t="shared" si="562"/>
        <v>14850000</v>
      </c>
      <c r="Y1566">
        <f t="shared" si="563"/>
        <v>0.24</v>
      </c>
      <c r="Z1566">
        <f t="shared" si="564"/>
        <v>0.77435897435897438</v>
      </c>
      <c r="AA1566" t="str">
        <f t="shared" si="565"/>
        <v>Tier 1 - Priority Fleet</v>
      </c>
      <c r="AB1566" s="3">
        <f t="shared" si="566"/>
        <v>132000</v>
      </c>
      <c r="AC1566" s="3">
        <f t="shared" si="567"/>
        <v>1650000</v>
      </c>
      <c r="AD1566" s="3">
        <f t="shared" si="568"/>
        <v>585000</v>
      </c>
      <c r="AE1566" s="5">
        <f t="shared" si="569"/>
        <v>3.6423841059602649</v>
      </c>
      <c r="AF1566" s="10">
        <f t="shared" si="570"/>
        <v>982080</v>
      </c>
      <c r="AG1566" s="10">
        <f t="shared" si="571"/>
        <v>316800</v>
      </c>
      <c r="AH1566" s="10">
        <f t="shared" si="572"/>
        <v>158400</v>
      </c>
      <c r="AI1566" s="10">
        <f t="shared" si="573"/>
        <v>79200</v>
      </c>
      <c r="AJ1566" s="10">
        <f t="shared" si="574"/>
        <v>47520</v>
      </c>
    </row>
    <row r="1567" spans="1:36" x14ac:dyDescent="0.3">
      <c r="A1567" t="s">
        <v>5960</v>
      </c>
      <c r="B1567" t="s">
        <v>5961</v>
      </c>
      <c r="C1567" t="s">
        <v>5962</v>
      </c>
      <c r="D1567" t="s">
        <v>299</v>
      </c>
      <c r="E1567">
        <v>24572</v>
      </c>
      <c r="F1567" t="s">
        <v>15</v>
      </c>
      <c r="G1567">
        <v>8</v>
      </c>
      <c r="H1567">
        <v>250</v>
      </c>
      <c r="I1567" t="str" cm="1">
        <f t="array" ref="I1567">_xlfn.IFS(H1567&lt;=120,"V1",H1567&lt;=150,"V2",H1567&lt;=250,"V3", H1567&lt;=350, "V4")</f>
        <v>V3</v>
      </c>
      <c r="J1567" t="s">
        <v>5963</v>
      </c>
      <c r="K1567" t="str">
        <f t="shared" si="552"/>
        <v>37.466222</v>
      </c>
      <c r="L1567" t="str">
        <f t="shared" si="553"/>
        <v>-79.117738</v>
      </c>
      <c r="M1567">
        <v>256</v>
      </c>
      <c r="N1567" s="1">
        <v>44539</v>
      </c>
      <c r="O1567" s="1">
        <v>46099</v>
      </c>
      <c r="P1567" s="2">
        <f t="shared" si="554"/>
        <v>4.2710472279260783</v>
      </c>
      <c r="Q1567" s="2" t="str">
        <f t="shared" si="555"/>
        <v>Mid</v>
      </c>
      <c r="R1567">
        <f t="shared" si="556"/>
        <v>2000</v>
      </c>
      <c r="S1567" t="str">
        <f t="shared" si="557"/>
        <v>Small</v>
      </c>
      <c r="T1567" t="str">
        <f t="shared" si="558"/>
        <v>Lower EV Adoption Corridor</v>
      </c>
      <c r="U1567" s="3">
        <f t="shared" si="559"/>
        <v>3600000</v>
      </c>
      <c r="V1567" s="4">
        <f t="shared" si="560"/>
        <v>880000.00000000012</v>
      </c>
      <c r="W1567" s="3">
        <f t="shared" si="561"/>
        <v>12000000</v>
      </c>
      <c r="X1567" s="3">
        <f t="shared" si="562"/>
        <v>6600000.0000000009</v>
      </c>
      <c r="Y1567">
        <f t="shared" si="563"/>
        <v>0.31515151515151513</v>
      </c>
      <c r="Z1567">
        <f t="shared" si="564"/>
        <v>0.75555555555555554</v>
      </c>
      <c r="AA1567" t="str">
        <f t="shared" si="565"/>
        <v>Tier 2 - Growth Markets</v>
      </c>
      <c r="AB1567" s="3">
        <f t="shared" si="566"/>
        <v>110000.00000000001</v>
      </c>
      <c r="AC1567" s="3">
        <f t="shared" si="567"/>
        <v>1500000</v>
      </c>
      <c r="AD1567" s="3">
        <f t="shared" si="568"/>
        <v>450000</v>
      </c>
      <c r="AE1567" s="5">
        <f t="shared" si="569"/>
        <v>4.4117647058823533</v>
      </c>
      <c r="AF1567" s="10">
        <f t="shared" si="570"/>
        <v>545600.00000000012</v>
      </c>
      <c r="AG1567" s="10">
        <f t="shared" si="571"/>
        <v>176000.00000000003</v>
      </c>
      <c r="AH1567" s="10">
        <f t="shared" si="572"/>
        <v>88000.000000000015</v>
      </c>
      <c r="AI1567" s="10">
        <f t="shared" si="573"/>
        <v>44000.000000000007</v>
      </c>
      <c r="AJ1567" s="10">
        <f t="shared" si="574"/>
        <v>26400.000000000004</v>
      </c>
    </row>
    <row r="1568" spans="1:36" x14ac:dyDescent="0.3">
      <c r="A1568" t="s">
        <v>5964</v>
      </c>
      <c r="B1568" t="s">
        <v>5965</v>
      </c>
      <c r="C1568" t="s">
        <v>5966</v>
      </c>
      <c r="D1568" t="s">
        <v>125</v>
      </c>
      <c r="E1568">
        <v>29118</v>
      </c>
      <c r="F1568" t="s">
        <v>15</v>
      </c>
      <c r="G1568">
        <v>8</v>
      </c>
      <c r="H1568">
        <v>250</v>
      </c>
      <c r="I1568" t="str" cm="1">
        <f t="array" ref="I1568">_xlfn.IFS(H1568&lt;=120,"V1",H1568&lt;=150,"V2",H1568&lt;=250,"V3", H1568&lt;=350, "V4")</f>
        <v>V3</v>
      </c>
      <c r="J1568" t="s">
        <v>5967</v>
      </c>
      <c r="K1568" t="str">
        <f t="shared" si="552"/>
        <v>33.552408</v>
      </c>
      <c r="L1568" t="str">
        <f t="shared" si="553"/>
        <v>-80.828133</v>
      </c>
      <c r="M1568">
        <v>98</v>
      </c>
      <c r="N1568" s="1">
        <v>44517</v>
      </c>
      <c r="O1568" s="1">
        <v>46099</v>
      </c>
      <c r="P1568" s="2">
        <f t="shared" si="554"/>
        <v>4.3312799452429847</v>
      </c>
      <c r="Q1568" s="2" t="str">
        <f t="shared" si="555"/>
        <v>Mid</v>
      </c>
      <c r="R1568">
        <f t="shared" si="556"/>
        <v>2000</v>
      </c>
      <c r="S1568" t="str">
        <f t="shared" si="557"/>
        <v>Small</v>
      </c>
      <c r="T1568" t="str">
        <f t="shared" si="558"/>
        <v>Lower EV Adoption Corridor</v>
      </c>
      <c r="U1568" s="3">
        <f t="shared" si="559"/>
        <v>3600000</v>
      </c>
      <c r="V1568" s="4">
        <f t="shared" si="560"/>
        <v>880000.00000000012</v>
      </c>
      <c r="W1568" s="3">
        <f t="shared" si="561"/>
        <v>12000000</v>
      </c>
      <c r="X1568" s="3">
        <f t="shared" si="562"/>
        <v>6600000.0000000009</v>
      </c>
      <c r="Y1568">
        <f t="shared" si="563"/>
        <v>0.31515151515151513</v>
      </c>
      <c r="Z1568">
        <f t="shared" si="564"/>
        <v>0.75555555555555554</v>
      </c>
      <c r="AA1568" t="str">
        <f t="shared" si="565"/>
        <v>Tier 2 - Growth Markets</v>
      </c>
      <c r="AB1568" s="3">
        <f t="shared" si="566"/>
        <v>110000.00000000001</v>
      </c>
      <c r="AC1568" s="3">
        <f t="shared" si="567"/>
        <v>1500000</v>
      </c>
      <c r="AD1568" s="3">
        <f t="shared" si="568"/>
        <v>450000</v>
      </c>
      <c r="AE1568" s="5">
        <f t="shared" si="569"/>
        <v>4.4117647058823533</v>
      </c>
      <c r="AF1568" s="10">
        <f t="shared" si="570"/>
        <v>545600.00000000012</v>
      </c>
      <c r="AG1568" s="10">
        <f t="shared" si="571"/>
        <v>176000.00000000003</v>
      </c>
      <c r="AH1568" s="10">
        <f t="shared" si="572"/>
        <v>88000.000000000015</v>
      </c>
      <c r="AI1568" s="10">
        <f t="shared" si="573"/>
        <v>44000.000000000007</v>
      </c>
      <c r="AJ1568" s="10">
        <f t="shared" si="574"/>
        <v>26400.000000000004</v>
      </c>
    </row>
    <row r="1569" spans="1:36" x14ac:dyDescent="0.3">
      <c r="A1569" t="s">
        <v>5968</v>
      </c>
      <c r="B1569" t="s">
        <v>5969</v>
      </c>
      <c r="C1569" t="s">
        <v>2945</v>
      </c>
      <c r="D1569" t="s">
        <v>41</v>
      </c>
      <c r="E1569">
        <v>32606</v>
      </c>
      <c r="F1569" t="s">
        <v>15</v>
      </c>
      <c r="G1569">
        <v>7</v>
      </c>
      <c r="H1569">
        <v>250</v>
      </c>
      <c r="I1569" t="str" cm="1">
        <f t="array" ref="I1569">_xlfn.IFS(H1569&lt;=120,"V1",H1569&lt;=150,"V2",H1569&lt;=250,"V3", H1569&lt;=350, "V4")</f>
        <v>V3</v>
      </c>
      <c r="J1569" t="s">
        <v>5970</v>
      </c>
      <c r="K1569" t="str">
        <f t="shared" si="552"/>
        <v>29.688578</v>
      </c>
      <c r="L1569" t="str">
        <f t="shared" si="553"/>
        <v>-82.443183</v>
      </c>
      <c r="M1569">
        <v>57</v>
      </c>
      <c r="N1569" s="1">
        <v>45016</v>
      </c>
      <c r="O1569" s="1">
        <v>46099</v>
      </c>
      <c r="P1569" s="2">
        <f t="shared" si="554"/>
        <v>2.9650924024640659</v>
      </c>
      <c r="Q1569" s="2" t="str">
        <f t="shared" si="555"/>
        <v>New</v>
      </c>
      <c r="R1569">
        <f t="shared" si="556"/>
        <v>1750</v>
      </c>
      <c r="S1569" t="str">
        <f t="shared" si="557"/>
        <v>Small</v>
      </c>
      <c r="T1569" t="str">
        <f t="shared" si="558"/>
        <v>High EV Adoption Corridor</v>
      </c>
      <c r="U1569" s="3">
        <f t="shared" si="559"/>
        <v>4095000</v>
      </c>
      <c r="V1569" s="4">
        <f t="shared" si="560"/>
        <v>924000.00000000012</v>
      </c>
      <c r="W1569" s="3">
        <f t="shared" si="561"/>
        <v>11550000.000000002</v>
      </c>
      <c r="X1569" s="3">
        <f t="shared" si="562"/>
        <v>8662500.0000000019</v>
      </c>
      <c r="Y1569">
        <f t="shared" si="563"/>
        <v>0.24</v>
      </c>
      <c r="Z1569">
        <f t="shared" si="564"/>
        <v>0.77435897435897438</v>
      </c>
      <c r="AA1569" t="str">
        <f t="shared" si="565"/>
        <v>Tier 1 - Priority Fleet</v>
      </c>
      <c r="AB1569" s="3">
        <f t="shared" si="566"/>
        <v>132000.00000000003</v>
      </c>
      <c r="AC1569" s="3">
        <f t="shared" si="567"/>
        <v>1650000.0000000002</v>
      </c>
      <c r="AD1569" s="3">
        <f t="shared" si="568"/>
        <v>585000</v>
      </c>
      <c r="AE1569" s="5">
        <f t="shared" si="569"/>
        <v>3.6423841059602653</v>
      </c>
      <c r="AF1569" s="10">
        <f t="shared" si="570"/>
        <v>572880.00000000012</v>
      </c>
      <c r="AG1569" s="10">
        <f t="shared" si="571"/>
        <v>184800.00000000003</v>
      </c>
      <c r="AH1569" s="10">
        <f t="shared" si="572"/>
        <v>92400.000000000015</v>
      </c>
      <c r="AI1569" s="10">
        <f t="shared" si="573"/>
        <v>46200.000000000007</v>
      </c>
      <c r="AJ1569" s="10">
        <f t="shared" si="574"/>
        <v>27720.000000000004</v>
      </c>
    </row>
    <row r="1570" spans="1:36" x14ac:dyDescent="0.3">
      <c r="A1570" t="s">
        <v>5971</v>
      </c>
      <c r="B1570" t="s">
        <v>5972</v>
      </c>
      <c r="C1570" t="s">
        <v>557</v>
      </c>
      <c r="D1570" t="s">
        <v>433</v>
      </c>
      <c r="E1570">
        <v>89119</v>
      </c>
      <c r="F1570" t="s">
        <v>15</v>
      </c>
      <c r="G1570">
        <v>12</v>
      </c>
      <c r="H1570">
        <v>250</v>
      </c>
      <c r="I1570" t="str" cm="1">
        <f t="array" ref="I1570">_xlfn.IFS(H1570&lt;=120,"V1",H1570&lt;=150,"V2",H1570&lt;=250,"V3", H1570&lt;=350, "V4")</f>
        <v>V3</v>
      </c>
      <c r="J1570" t="s">
        <v>5973</v>
      </c>
      <c r="K1570" t="str">
        <f t="shared" si="552"/>
        <v>36.082221</v>
      </c>
      <c r="L1570" t="str">
        <f t="shared" si="553"/>
        <v>-115.121054</v>
      </c>
      <c r="M1570">
        <v>616</v>
      </c>
      <c r="N1570" s="1">
        <v>44661</v>
      </c>
      <c r="O1570" s="1">
        <v>46099</v>
      </c>
      <c r="P1570" s="2">
        <f t="shared" si="554"/>
        <v>3.9370294318959616</v>
      </c>
      <c r="Q1570" s="2" t="str">
        <f t="shared" si="555"/>
        <v>Mid</v>
      </c>
      <c r="R1570">
        <f t="shared" si="556"/>
        <v>3000</v>
      </c>
      <c r="S1570" t="str">
        <f t="shared" si="557"/>
        <v>Small</v>
      </c>
      <c r="T1570" t="str">
        <f t="shared" si="558"/>
        <v>Lower EV Adoption Corridor</v>
      </c>
      <c r="U1570" s="3">
        <f t="shared" si="559"/>
        <v>5400000</v>
      </c>
      <c r="V1570" s="4">
        <f t="shared" si="560"/>
        <v>1320000</v>
      </c>
      <c r="W1570" s="3">
        <f t="shared" si="561"/>
        <v>18000000</v>
      </c>
      <c r="X1570" s="3">
        <f t="shared" si="562"/>
        <v>9900000</v>
      </c>
      <c r="Y1570">
        <f t="shared" si="563"/>
        <v>0.31515151515151513</v>
      </c>
      <c r="Z1570">
        <f t="shared" si="564"/>
        <v>0.75555555555555554</v>
      </c>
      <c r="AA1570" t="str">
        <f t="shared" si="565"/>
        <v>Tier 2 - Growth Markets</v>
      </c>
      <c r="AB1570" s="3">
        <f t="shared" si="566"/>
        <v>110000</v>
      </c>
      <c r="AC1570" s="3">
        <f t="shared" si="567"/>
        <v>1500000</v>
      </c>
      <c r="AD1570" s="3">
        <f t="shared" si="568"/>
        <v>450000</v>
      </c>
      <c r="AE1570" s="5">
        <f t="shared" si="569"/>
        <v>4.4117647058823533</v>
      </c>
      <c r="AF1570" s="10">
        <f t="shared" si="570"/>
        <v>818400</v>
      </c>
      <c r="AG1570" s="10">
        <f t="shared" si="571"/>
        <v>264000</v>
      </c>
      <c r="AH1570" s="10">
        <f t="shared" si="572"/>
        <v>132000</v>
      </c>
      <c r="AI1570" s="10">
        <f t="shared" si="573"/>
        <v>66000</v>
      </c>
      <c r="AJ1570" s="10">
        <f t="shared" si="574"/>
        <v>39600</v>
      </c>
    </row>
    <row r="1571" spans="1:36" x14ac:dyDescent="0.3">
      <c r="A1571" t="s">
        <v>5974</v>
      </c>
      <c r="B1571" t="s">
        <v>5975</v>
      </c>
      <c r="C1571" t="s">
        <v>1871</v>
      </c>
      <c r="D1571" t="s">
        <v>1872</v>
      </c>
      <c r="E1571">
        <v>20002</v>
      </c>
      <c r="F1571" t="s">
        <v>15</v>
      </c>
      <c r="G1571">
        <v>8</v>
      </c>
      <c r="H1571">
        <v>250</v>
      </c>
      <c r="I1571" t="str" cm="1">
        <f t="array" ref="I1571">_xlfn.IFS(H1571&lt;=120,"V1",H1571&lt;=150,"V2",H1571&lt;=250,"V3", H1571&lt;=350, "V4")</f>
        <v>V3</v>
      </c>
      <c r="J1571" t="s">
        <v>5976</v>
      </c>
      <c r="K1571" t="str">
        <f t="shared" si="552"/>
        <v>38.90595</v>
      </c>
      <c r="L1571" t="str">
        <f t="shared" si="553"/>
        <v>-77.005167</v>
      </c>
      <c r="M1571">
        <v>9</v>
      </c>
      <c r="N1571" s="1">
        <v>44958</v>
      </c>
      <c r="O1571" s="1">
        <v>46099</v>
      </c>
      <c r="P1571" s="2">
        <f t="shared" si="554"/>
        <v>3.1238877481177276</v>
      </c>
      <c r="Q1571" s="2" t="str">
        <f t="shared" si="555"/>
        <v>Mid</v>
      </c>
      <c r="R1571">
        <f t="shared" si="556"/>
        <v>2000</v>
      </c>
      <c r="S1571" t="str">
        <f t="shared" si="557"/>
        <v>Small</v>
      </c>
      <c r="T1571" t="str">
        <f t="shared" si="558"/>
        <v>Lower EV Adoption Corridor</v>
      </c>
      <c r="U1571" s="3">
        <f t="shared" si="559"/>
        <v>3600000</v>
      </c>
      <c r="V1571" s="4">
        <f t="shared" si="560"/>
        <v>880000.00000000012</v>
      </c>
      <c r="W1571" s="3">
        <f t="shared" si="561"/>
        <v>12000000</v>
      </c>
      <c r="X1571" s="3">
        <f t="shared" si="562"/>
        <v>6600000.0000000009</v>
      </c>
      <c r="Y1571">
        <f t="shared" si="563"/>
        <v>0.31515151515151513</v>
      </c>
      <c r="Z1571">
        <f t="shared" si="564"/>
        <v>0.75555555555555554</v>
      </c>
      <c r="AA1571" t="str">
        <f t="shared" si="565"/>
        <v>Tier 2 - Growth Markets</v>
      </c>
      <c r="AB1571" s="3">
        <f t="shared" si="566"/>
        <v>110000.00000000001</v>
      </c>
      <c r="AC1571" s="3">
        <f t="shared" si="567"/>
        <v>1500000</v>
      </c>
      <c r="AD1571" s="3">
        <f t="shared" si="568"/>
        <v>450000</v>
      </c>
      <c r="AE1571" s="5">
        <f t="shared" si="569"/>
        <v>4.4117647058823533</v>
      </c>
      <c r="AF1571" s="10">
        <f t="shared" si="570"/>
        <v>545600.00000000012</v>
      </c>
      <c r="AG1571" s="10">
        <f t="shared" si="571"/>
        <v>176000.00000000003</v>
      </c>
      <c r="AH1571" s="10">
        <f t="shared" si="572"/>
        <v>88000.000000000015</v>
      </c>
      <c r="AI1571" s="10">
        <f t="shared" si="573"/>
        <v>44000.000000000007</v>
      </c>
      <c r="AJ1571" s="10">
        <f t="shared" si="574"/>
        <v>26400.000000000004</v>
      </c>
    </row>
    <row r="1572" spans="1:36" x14ac:dyDescent="0.3">
      <c r="A1572" t="s">
        <v>5977</v>
      </c>
      <c r="B1572" t="s">
        <v>5978</v>
      </c>
      <c r="C1572" t="s">
        <v>2781</v>
      </c>
      <c r="D1572" t="s">
        <v>59</v>
      </c>
      <c r="E1572">
        <v>61114</v>
      </c>
      <c r="F1572" t="s">
        <v>15</v>
      </c>
      <c r="G1572">
        <v>12</v>
      </c>
      <c r="H1572">
        <v>250</v>
      </c>
      <c r="I1572" t="str" cm="1">
        <f t="array" ref="I1572">_xlfn.IFS(H1572&lt;=120,"V1",H1572&lt;=150,"V2",H1572&lt;=250,"V3", H1572&lt;=350, "V4")</f>
        <v>V3</v>
      </c>
      <c r="J1572" t="s">
        <v>5979</v>
      </c>
      <c r="K1572" t="str">
        <f t="shared" si="552"/>
        <v>42.306111</v>
      </c>
      <c r="L1572" t="str">
        <f t="shared" si="553"/>
        <v>-88.976472</v>
      </c>
      <c r="M1572">
        <v>267</v>
      </c>
      <c r="N1572" s="1">
        <v>44549</v>
      </c>
      <c r="O1572" s="1">
        <v>46099</v>
      </c>
      <c r="P1572" s="2">
        <f t="shared" si="554"/>
        <v>4.2436687200547567</v>
      </c>
      <c r="Q1572" s="2" t="str">
        <f t="shared" si="555"/>
        <v>Mid</v>
      </c>
      <c r="R1572">
        <f t="shared" si="556"/>
        <v>3000</v>
      </c>
      <c r="S1572" t="str">
        <f t="shared" si="557"/>
        <v>Small</v>
      </c>
      <c r="T1572" t="str">
        <f t="shared" si="558"/>
        <v>Lower EV Adoption Corridor</v>
      </c>
      <c r="U1572" s="3">
        <f t="shared" si="559"/>
        <v>5400000</v>
      </c>
      <c r="V1572" s="4">
        <f t="shared" si="560"/>
        <v>1320000</v>
      </c>
      <c r="W1572" s="3">
        <f t="shared" si="561"/>
        <v>18000000</v>
      </c>
      <c r="X1572" s="3">
        <f t="shared" si="562"/>
        <v>9900000</v>
      </c>
      <c r="Y1572">
        <f t="shared" si="563"/>
        <v>0.31515151515151513</v>
      </c>
      <c r="Z1572">
        <f t="shared" si="564"/>
        <v>0.75555555555555554</v>
      </c>
      <c r="AA1572" t="str">
        <f t="shared" si="565"/>
        <v>Tier 2 - Growth Markets</v>
      </c>
      <c r="AB1572" s="3">
        <f t="shared" si="566"/>
        <v>110000</v>
      </c>
      <c r="AC1572" s="3">
        <f t="shared" si="567"/>
        <v>1500000</v>
      </c>
      <c r="AD1572" s="3">
        <f t="shared" si="568"/>
        <v>450000</v>
      </c>
      <c r="AE1572" s="5">
        <f t="shared" si="569"/>
        <v>4.4117647058823533</v>
      </c>
      <c r="AF1572" s="10">
        <f t="shared" si="570"/>
        <v>818400</v>
      </c>
      <c r="AG1572" s="10">
        <f t="shared" si="571"/>
        <v>264000</v>
      </c>
      <c r="AH1572" s="10">
        <f t="shared" si="572"/>
        <v>132000</v>
      </c>
      <c r="AI1572" s="10">
        <f t="shared" si="573"/>
        <v>66000</v>
      </c>
      <c r="AJ1572" s="10">
        <f t="shared" si="574"/>
        <v>39600</v>
      </c>
    </row>
    <row r="1573" spans="1:36" x14ac:dyDescent="0.3">
      <c r="A1573" t="s">
        <v>5980</v>
      </c>
      <c r="B1573" t="s">
        <v>5981</v>
      </c>
      <c r="C1573" t="s">
        <v>1958</v>
      </c>
      <c r="D1573" t="s">
        <v>14</v>
      </c>
      <c r="E1573">
        <v>91107</v>
      </c>
      <c r="F1573" t="s">
        <v>15</v>
      </c>
      <c r="G1573">
        <v>16</v>
      </c>
      <c r="H1573">
        <v>250</v>
      </c>
      <c r="I1573" t="str" cm="1">
        <f t="array" ref="I1573">_xlfn.IFS(H1573&lt;=120,"V1",H1573&lt;=150,"V2",H1573&lt;=250,"V3", H1573&lt;=350, "V4")</f>
        <v>V3</v>
      </c>
      <c r="J1573" t="s">
        <v>5982</v>
      </c>
      <c r="K1573" t="str">
        <f t="shared" si="552"/>
        <v>34.145015</v>
      </c>
      <c r="L1573" t="str">
        <f t="shared" si="553"/>
        <v>-118.078417</v>
      </c>
      <c r="M1573">
        <v>207</v>
      </c>
      <c r="N1573" s="1">
        <v>45012</v>
      </c>
      <c r="O1573" s="1">
        <v>46099</v>
      </c>
      <c r="P1573" s="2">
        <f t="shared" si="554"/>
        <v>2.9760438056125942</v>
      </c>
      <c r="Q1573" s="2" t="str">
        <f t="shared" si="555"/>
        <v>New</v>
      </c>
      <c r="R1573">
        <f t="shared" si="556"/>
        <v>4000</v>
      </c>
      <c r="S1573" t="str">
        <f t="shared" si="557"/>
        <v>Small</v>
      </c>
      <c r="T1573" t="str">
        <f t="shared" si="558"/>
        <v>High EV Adoption Corridor</v>
      </c>
      <c r="U1573" s="3">
        <f t="shared" si="559"/>
        <v>9360000</v>
      </c>
      <c r="V1573" s="4">
        <f t="shared" si="560"/>
        <v>2112000</v>
      </c>
      <c r="W1573" s="3">
        <f t="shared" si="561"/>
        <v>26400000.000000004</v>
      </c>
      <c r="X1573" s="3">
        <f t="shared" si="562"/>
        <v>19800000.000000004</v>
      </c>
      <c r="Y1573">
        <f t="shared" si="563"/>
        <v>0.23999999999999996</v>
      </c>
      <c r="Z1573">
        <f t="shared" si="564"/>
        <v>0.77435897435897438</v>
      </c>
      <c r="AA1573" t="str">
        <f t="shared" si="565"/>
        <v>Tier 1 - Priority Fleet</v>
      </c>
      <c r="AB1573" s="3">
        <f t="shared" si="566"/>
        <v>132000</v>
      </c>
      <c r="AC1573" s="3">
        <f t="shared" si="567"/>
        <v>1650000.0000000002</v>
      </c>
      <c r="AD1573" s="3">
        <f t="shared" si="568"/>
        <v>585000</v>
      </c>
      <c r="AE1573" s="5">
        <f t="shared" si="569"/>
        <v>3.6423841059602653</v>
      </c>
      <c r="AF1573" s="10">
        <f t="shared" si="570"/>
        <v>1309440</v>
      </c>
      <c r="AG1573" s="10">
        <f t="shared" si="571"/>
        <v>422400</v>
      </c>
      <c r="AH1573" s="10">
        <f t="shared" si="572"/>
        <v>211200</v>
      </c>
      <c r="AI1573" s="10">
        <f t="shared" si="573"/>
        <v>105600</v>
      </c>
      <c r="AJ1573" s="10">
        <f t="shared" si="574"/>
        <v>63360</v>
      </c>
    </row>
    <row r="1574" spans="1:36" x14ac:dyDescent="0.3">
      <c r="A1574" t="s">
        <v>5983</v>
      </c>
      <c r="B1574" t="s">
        <v>5984</v>
      </c>
      <c r="C1574" t="s">
        <v>5985</v>
      </c>
      <c r="D1574" t="s">
        <v>14</v>
      </c>
      <c r="E1574">
        <v>90803</v>
      </c>
      <c r="F1574" t="s">
        <v>15</v>
      </c>
      <c r="G1574">
        <v>20</v>
      </c>
      <c r="H1574">
        <v>250</v>
      </c>
      <c r="I1574" t="str" cm="1">
        <f t="array" ref="I1574">_xlfn.IFS(H1574&lt;=120,"V1",H1574&lt;=150,"V2",H1574&lt;=250,"V3", H1574&lt;=350, "V4")</f>
        <v>V3</v>
      </c>
      <c r="J1574" t="s">
        <v>5986</v>
      </c>
      <c r="K1574" t="str">
        <f t="shared" si="552"/>
        <v>33.7574</v>
      </c>
      <c r="L1574" t="str">
        <f t="shared" si="553"/>
        <v>-118.1074</v>
      </c>
      <c r="M1574">
        <v>3</v>
      </c>
      <c r="N1574" s="1">
        <v>44697</v>
      </c>
      <c r="O1574" s="1">
        <v>46099</v>
      </c>
      <c r="P1574" s="2">
        <f t="shared" si="554"/>
        <v>3.8384668035592062</v>
      </c>
      <c r="Q1574" s="2" t="str">
        <f t="shared" si="555"/>
        <v>Mid</v>
      </c>
      <c r="R1574">
        <f t="shared" si="556"/>
        <v>5000</v>
      </c>
      <c r="S1574" t="str">
        <f t="shared" si="557"/>
        <v>Small</v>
      </c>
      <c r="T1574" t="str">
        <f t="shared" si="558"/>
        <v>High EV Adoption Corridor</v>
      </c>
      <c r="U1574" s="3">
        <f t="shared" si="559"/>
        <v>11700000</v>
      </c>
      <c r="V1574" s="4">
        <f t="shared" si="560"/>
        <v>2640000</v>
      </c>
      <c r="W1574" s="3">
        <f t="shared" si="561"/>
        <v>33000000.000000004</v>
      </c>
      <c r="X1574" s="3">
        <f t="shared" si="562"/>
        <v>24750000.000000004</v>
      </c>
      <c r="Y1574">
        <f t="shared" si="563"/>
        <v>0.23999999999999996</v>
      </c>
      <c r="Z1574">
        <f t="shared" si="564"/>
        <v>0.77435897435897438</v>
      </c>
      <c r="AA1574" t="str">
        <f t="shared" si="565"/>
        <v>Tier 1 - Priority Fleet</v>
      </c>
      <c r="AB1574" s="3">
        <f t="shared" si="566"/>
        <v>132000</v>
      </c>
      <c r="AC1574" s="3">
        <f t="shared" si="567"/>
        <v>1650000.0000000002</v>
      </c>
      <c r="AD1574" s="3">
        <f t="shared" si="568"/>
        <v>585000</v>
      </c>
      <c r="AE1574" s="5">
        <f t="shared" si="569"/>
        <v>3.6423841059602653</v>
      </c>
      <c r="AF1574" s="10">
        <f t="shared" si="570"/>
        <v>1636800</v>
      </c>
      <c r="AG1574" s="10">
        <f t="shared" si="571"/>
        <v>528000</v>
      </c>
      <c r="AH1574" s="10">
        <f t="shared" si="572"/>
        <v>264000</v>
      </c>
      <c r="AI1574" s="10">
        <f t="shared" si="573"/>
        <v>132000</v>
      </c>
      <c r="AJ1574" s="10">
        <f t="shared" si="574"/>
        <v>79200</v>
      </c>
    </row>
    <row r="1575" spans="1:36" x14ac:dyDescent="0.3">
      <c r="A1575" t="s">
        <v>5987</v>
      </c>
      <c r="B1575" t="s">
        <v>5988</v>
      </c>
      <c r="C1575" t="s">
        <v>4258</v>
      </c>
      <c r="D1575" t="s">
        <v>14</v>
      </c>
      <c r="E1575">
        <v>92780</v>
      </c>
      <c r="F1575" t="s">
        <v>15</v>
      </c>
      <c r="G1575">
        <v>12</v>
      </c>
      <c r="H1575">
        <v>250</v>
      </c>
      <c r="I1575" t="str" cm="1">
        <f t="array" ref="I1575">_xlfn.IFS(H1575&lt;=120,"V1",H1575&lt;=150,"V2",H1575&lt;=250,"V3", H1575&lt;=350, "V4")</f>
        <v>V3</v>
      </c>
      <c r="J1575" t="s">
        <v>5989</v>
      </c>
      <c r="K1575" t="str">
        <f t="shared" si="552"/>
        <v>33.727381</v>
      </c>
      <c r="L1575" t="str">
        <f t="shared" si="553"/>
        <v>-117.821821</v>
      </c>
      <c r="M1575">
        <v>28</v>
      </c>
      <c r="N1575" s="1">
        <v>44824</v>
      </c>
      <c r="O1575" s="1">
        <v>46099</v>
      </c>
      <c r="P1575" s="2">
        <f t="shared" si="554"/>
        <v>3.4907597535934292</v>
      </c>
      <c r="Q1575" s="2" t="str">
        <f t="shared" si="555"/>
        <v>Mid</v>
      </c>
      <c r="R1575">
        <f t="shared" si="556"/>
        <v>3000</v>
      </c>
      <c r="S1575" t="str">
        <f t="shared" si="557"/>
        <v>Small</v>
      </c>
      <c r="T1575" t="str">
        <f t="shared" si="558"/>
        <v>High EV Adoption Corridor</v>
      </c>
      <c r="U1575" s="3">
        <f t="shared" si="559"/>
        <v>7020000</v>
      </c>
      <c r="V1575" s="4">
        <f t="shared" si="560"/>
        <v>1584000</v>
      </c>
      <c r="W1575" s="3">
        <f t="shared" si="561"/>
        <v>19800000</v>
      </c>
      <c r="X1575" s="3">
        <f t="shared" si="562"/>
        <v>14850000</v>
      </c>
      <c r="Y1575">
        <f t="shared" si="563"/>
        <v>0.24</v>
      </c>
      <c r="Z1575">
        <f t="shared" si="564"/>
        <v>0.77435897435897438</v>
      </c>
      <c r="AA1575" t="str">
        <f t="shared" si="565"/>
        <v>Tier 1 - Priority Fleet</v>
      </c>
      <c r="AB1575" s="3">
        <f t="shared" si="566"/>
        <v>132000</v>
      </c>
      <c r="AC1575" s="3">
        <f t="shared" si="567"/>
        <v>1650000</v>
      </c>
      <c r="AD1575" s="3">
        <f t="shared" si="568"/>
        <v>585000</v>
      </c>
      <c r="AE1575" s="5">
        <f t="shared" si="569"/>
        <v>3.6423841059602649</v>
      </c>
      <c r="AF1575" s="10">
        <f t="shared" si="570"/>
        <v>982080</v>
      </c>
      <c r="AG1575" s="10">
        <f t="shared" si="571"/>
        <v>316800</v>
      </c>
      <c r="AH1575" s="10">
        <f t="shared" si="572"/>
        <v>158400</v>
      </c>
      <c r="AI1575" s="10">
        <f t="shared" si="573"/>
        <v>79200</v>
      </c>
      <c r="AJ1575" s="10">
        <f t="shared" si="574"/>
        <v>47520</v>
      </c>
    </row>
    <row r="1576" spans="1:36" x14ac:dyDescent="0.3">
      <c r="A1576" t="s">
        <v>5990</v>
      </c>
      <c r="B1576" t="s">
        <v>5991</v>
      </c>
      <c r="C1576" t="s">
        <v>5992</v>
      </c>
      <c r="D1576" t="s">
        <v>50</v>
      </c>
      <c r="E1576">
        <v>75119</v>
      </c>
      <c r="F1576" t="s">
        <v>15</v>
      </c>
      <c r="G1576">
        <v>24</v>
      </c>
      <c r="H1576">
        <v>250</v>
      </c>
      <c r="I1576" t="str" cm="1">
        <f t="array" ref="I1576">_xlfn.IFS(H1576&lt;=120,"V1",H1576&lt;=150,"V2",H1576&lt;=250,"V3", H1576&lt;=350, "V4")</f>
        <v>V3</v>
      </c>
      <c r="J1576" t="s">
        <v>5993</v>
      </c>
      <c r="K1576" t="str">
        <f t="shared" si="552"/>
        <v>32.324308</v>
      </c>
      <c r="L1576" t="str">
        <f t="shared" si="553"/>
        <v>-96.606375</v>
      </c>
      <c r="M1576">
        <v>153</v>
      </c>
      <c r="N1576" s="1">
        <v>44859</v>
      </c>
      <c r="O1576" s="1">
        <v>46099</v>
      </c>
      <c r="P1576" s="2">
        <f t="shared" si="554"/>
        <v>3.3949349760438055</v>
      </c>
      <c r="Q1576" s="2" t="str">
        <f t="shared" si="555"/>
        <v>Mid</v>
      </c>
      <c r="R1576">
        <f t="shared" si="556"/>
        <v>6000</v>
      </c>
      <c r="S1576" t="str">
        <f t="shared" si="557"/>
        <v>Small</v>
      </c>
      <c r="T1576" t="str">
        <f t="shared" si="558"/>
        <v>High EV Adoption Corridor</v>
      </c>
      <c r="U1576" s="3">
        <f t="shared" si="559"/>
        <v>14040000</v>
      </c>
      <c r="V1576" s="4">
        <f t="shared" si="560"/>
        <v>3168000</v>
      </c>
      <c r="W1576" s="3">
        <f t="shared" si="561"/>
        <v>39600000</v>
      </c>
      <c r="X1576" s="3">
        <f t="shared" si="562"/>
        <v>29700000</v>
      </c>
      <c r="Y1576">
        <f t="shared" si="563"/>
        <v>0.24</v>
      </c>
      <c r="Z1576">
        <f t="shared" si="564"/>
        <v>0.77435897435897438</v>
      </c>
      <c r="AA1576" t="str">
        <f t="shared" si="565"/>
        <v>Tier 1 - Priority Fleet</v>
      </c>
      <c r="AB1576" s="3">
        <f t="shared" si="566"/>
        <v>132000</v>
      </c>
      <c r="AC1576" s="3">
        <f t="shared" si="567"/>
        <v>1650000</v>
      </c>
      <c r="AD1576" s="3">
        <f t="shared" si="568"/>
        <v>585000</v>
      </c>
      <c r="AE1576" s="5">
        <f t="shared" si="569"/>
        <v>3.6423841059602649</v>
      </c>
      <c r="AF1576" s="10">
        <f t="shared" si="570"/>
        <v>1964160</v>
      </c>
      <c r="AG1576" s="10">
        <f t="shared" si="571"/>
        <v>633600</v>
      </c>
      <c r="AH1576" s="10">
        <f t="shared" si="572"/>
        <v>316800</v>
      </c>
      <c r="AI1576" s="10">
        <f t="shared" si="573"/>
        <v>158400</v>
      </c>
      <c r="AJ1576" s="10">
        <f t="shared" si="574"/>
        <v>95040</v>
      </c>
    </row>
    <row r="1577" spans="1:36" x14ac:dyDescent="0.3">
      <c r="A1577" t="s">
        <v>5994</v>
      </c>
      <c r="B1577" t="s">
        <v>5995</v>
      </c>
      <c r="C1577" t="s">
        <v>677</v>
      </c>
      <c r="D1577" t="s">
        <v>14</v>
      </c>
      <c r="E1577">
        <v>93206</v>
      </c>
      <c r="F1577" t="s">
        <v>15</v>
      </c>
      <c r="G1577">
        <v>16</v>
      </c>
      <c r="H1577">
        <v>250</v>
      </c>
      <c r="I1577" t="str" cm="1">
        <f t="array" ref="I1577">_xlfn.IFS(H1577&lt;=120,"V1",H1577&lt;=150,"V2",H1577&lt;=250,"V3", H1577&lt;=350, "V4")</f>
        <v>V3</v>
      </c>
      <c r="J1577" t="s">
        <v>5996</v>
      </c>
      <c r="K1577" t="str">
        <f t="shared" si="552"/>
        <v>35.497199</v>
      </c>
      <c r="L1577" t="str">
        <f t="shared" si="553"/>
        <v>-119.554591</v>
      </c>
      <c r="M1577">
        <v>77</v>
      </c>
      <c r="N1577" s="1">
        <v>44816</v>
      </c>
      <c r="O1577" s="1">
        <v>46099</v>
      </c>
      <c r="P1577" s="2">
        <f t="shared" si="554"/>
        <v>3.5126625598904861</v>
      </c>
      <c r="Q1577" s="2" t="str">
        <f t="shared" si="555"/>
        <v>Mid</v>
      </c>
      <c r="R1577">
        <f t="shared" si="556"/>
        <v>4000</v>
      </c>
      <c r="S1577" t="str">
        <f t="shared" si="557"/>
        <v>Small</v>
      </c>
      <c r="T1577" t="str">
        <f t="shared" si="558"/>
        <v>High EV Adoption Corridor</v>
      </c>
      <c r="U1577" s="3">
        <f t="shared" si="559"/>
        <v>9360000</v>
      </c>
      <c r="V1577" s="4">
        <f t="shared" si="560"/>
        <v>2112000</v>
      </c>
      <c r="W1577" s="3">
        <f t="shared" si="561"/>
        <v>26400000.000000004</v>
      </c>
      <c r="X1577" s="3">
        <f t="shared" si="562"/>
        <v>19800000.000000004</v>
      </c>
      <c r="Y1577">
        <f t="shared" si="563"/>
        <v>0.23999999999999996</v>
      </c>
      <c r="Z1577">
        <f t="shared" si="564"/>
        <v>0.77435897435897438</v>
      </c>
      <c r="AA1577" t="str">
        <f t="shared" si="565"/>
        <v>Tier 1 - Priority Fleet</v>
      </c>
      <c r="AB1577" s="3">
        <f t="shared" si="566"/>
        <v>132000</v>
      </c>
      <c r="AC1577" s="3">
        <f t="shared" si="567"/>
        <v>1650000.0000000002</v>
      </c>
      <c r="AD1577" s="3">
        <f t="shared" si="568"/>
        <v>585000</v>
      </c>
      <c r="AE1577" s="5">
        <f t="shared" si="569"/>
        <v>3.6423841059602653</v>
      </c>
      <c r="AF1577" s="10">
        <f t="shared" si="570"/>
        <v>1309440</v>
      </c>
      <c r="AG1577" s="10">
        <f t="shared" si="571"/>
        <v>422400</v>
      </c>
      <c r="AH1577" s="10">
        <f t="shared" si="572"/>
        <v>211200</v>
      </c>
      <c r="AI1577" s="10">
        <f t="shared" si="573"/>
        <v>105600</v>
      </c>
      <c r="AJ1577" s="10">
        <f t="shared" si="574"/>
        <v>63360</v>
      </c>
    </row>
    <row r="1578" spans="1:36" x14ac:dyDescent="0.3">
      <c r="A1578" t="s">
        <v>5997</v>
      </c>
      <c r="B1578" t="s">
        <v>5998</v>
      </c>
      <c r="C1578" t="s">
        <v>5999</v>
      </c>
      <c r="D1578" t="s">
        <v>852</v>
      </c>
      <c r="E1578">
        <v>8512</v>
      </c>
      <c r="F1578" t="s">
        <v>15</v>
      </c>
      <c r="G1578">
        <v>8</v>
      </c>
      <c r="H1578">
        <v>250</v>
      </c>
      <c r="I1578" t="str" cm="1">
        <f t="array" ref="I1578">_xlfn.IFS(H1578&lt;=120,"V1",H1578&lt;=150,"V2",H1578&lt;=250,"V3", H1578&lt;=350, "V4")</f>
        <v>V3</v>
      </c>
      <c r="J1578" t="s">
        <v>6000</v>
      </c>
      <c r="K1578" t="str">
        <f t="shared" si="552"/>
        <v>40.32244</v>
      </c>
      <c r="L1578" t="str">
        <f t="shared" si="553"/>
        <v>-74.4869</v>
      </c>
      <c r="M1578">
        <v>34</v>
      </c>
      <c r="N1578" s="1">
        <v>42194</v>
      </c>
      <c r="O1578" s="1">
        <v>46099</v>
      </c>
      <c r="P1578" s="2">
        <f t="shared" si="554"/>
        <v>10.691307323750856</v>
      </c>
      <c r="Q1578" s="2" t="str">
        <f t="shared" si="555"/>
        <v>Old</v>
      </c>
      <c r="R1578">
        <f t="shared" si="556"/>
        <v>2000</v>
      </c>
      <c r="S1578" t="str">
        <f t="shared" si="557"/>
        <v>Small</v>
      </c>
      <c r="T1578" t="str">
        <f t="shared" si="558"/>
        <v>High EV Adoption Corridor</v>
      </c>
      <c r="U1578" s="3">
        <f t="shared" si="559"/>
        <v>4680000</v>
      </c>
      <c r="V1578" s="4">
        <f t="shared" si="560"/>
        <v>1056000</v>
      </c>
      <c r="W1578" s="3">
        <f t="shared" si="561"/>
        <v>13200000.000000002</v>
      </c>
      <c r="X1578" s="3">
        <f t="shared" si="562"/>
        <v>9900000.0000000019</v>
      </c>
      <c r="Y1578">
        <f t="shared" si="563"/>
        <v>0.23999999999999996</v>
      </c>
      <c r="Z1578">
        <f t="shared" si="564"/>
        <v>0.77435897435897438</v>
      </c>
      <c r="AA1578" t="str">
        <f t="shared" si="565"/>
        <v>Tier 1 - Priority Fleet</v>
      </c>
      <c r="AB1578" s="3">
        <f t="shared" si="566"/>
        <v>132000</v>
      </c>
      <c r="AC1578" s="3">
        <f t="shared" si="567"/>
        <v>1650000.0000000002</v>
      </c>
      <c r="AD1578" s="3">
        <f t="shared" si="568"/>
        <v>585000</v>
      </c>
      <c r="AE1578" s="5">
        <f t="shared" si="569"/>
        <v>3.6423841059602653</v>
      </c>
      <c r="AF1578" s="10">
        <f t="shared" si="570"/>
        <v>654720</v>
      </c>
      <c r="AG1578" s="10">
        <f t="shared" si="571"/>
        <v>211200</v>
      </c>
      <c r="AH1578" s="10">
        <f t="shared" si="572"/>
        <v>105600</v>
      </c>
      <c r="AI1578" s="10">
        <f t="shared" si="573"/>
        <v>52800</v>
      </c>
      <c r="AJ1578" s="10">
        <f t="shared" si="574"/>
        <v>31680</v>
      </c>
    </row>
    <row r="1579" spans="1:36" x14ac:dyDescent="0.3">
      <c r="A1579" t="s">
        <v>6001</v>
      </c>
      <c r="B1579" t="s">
        <v>6002</v>
      </c>
      <c r="C1579" t="s">
        <v>6003</v>
      </c>
      <c r="D1579" t="s">
        <v>852</v>
      </c>
      <c r="E1579">
        <v>7073</v>
      </c>
      <c r="F1579" t="s">
        <v>15</v>
      </c>
      <c r="G1579">
        <v>16</v>
      </c>
      <c r="H1579">
        <v>250</v>
      </c>
      <c r="I1579" t="str" cm="1">
        <f t="array" ref="I1579">_xlfn.IFS(H1579&lt;=120,"V1",H1579&lt;=150,"V2",H1579&lt;=250,"V3", H1579&lt;=350, "V4")</f>
        <v>V3</v>
      </c>
      <c r="J1579" t="s">
        <v>6004</v>
      </c>
      <c r="K1579" t="str">
        <f t="shared" si="552"/>
        <v>40.811556</v>
      </c>
      <c r="L1579" t="str">
        <f t="shared" si="553"/>
        <v>-74.064862</v>
      </c>
      <c r="M1579">
        <v>2</v>
      </c>
      <c r="N1579" s="1">
        <v>44917</v>
      </c>
      <c r="O1579" s="1">
        <v>46099</v>
      </c>
      <c r="P1579" s="2">
        <f t="shared" si="554"/>
        <v>3.2361396303901437</v>
      </c>
      <c r="Q1579" s="2" t="str">
        <f t="shared" si="555"/>
        <v>Mid</v>
      </c>
      <c r="R1579">
        <f t="shared" si="556"/>
        <v>4000</v>
      </c>
      <c r="S1579" t="str">
        <f t="shared" si="557"/>
        <v>Small</v>
      </c>
      <c r="T1579" t="str">
        <f t="shared" si="558"/>
        <v>High EV Adoption Corridor</v>
      </c>
      <c r="U1579" s="3">
        <f t="shared" si="559"/>
        <v>9360000</v>
      </c>
      <c r="V1579" s="4">
        <f t="shared" si="560"/>
        <v>2112000</v>
      </c>
      <c r="W1579" s="3">
        <f t="shared" si="561"/>
        <v>26400000.000000004</v>
      </c>
      <c r="X1579" s="3">
        <f t="shared" si="562"/>
        <v>19800000.000000004</v>
      </c>
      <c r="Y1579">
        <f t="shared" si="563"/>
        <v>0.23999999999999996</v>
      </c>
      <c r="Z1579">
        <f t="shared" si="564"/>
        <v>0.77435897435897438</v>
      </c>
      <c r="AA1579" t="str">
        <f t="shared" si="565"/>
        <v>Tier 1 - Priority Fleet</v>
      </c>
      <c r="AB1579" s="3">
        <f t="shared" si="566"/>
        <v>132000</v>
      </c>
      <c r="AC1579" s="3">
        <f t="shared" si="567"/>
        <v>1650000.0000000002</v>
      </c>
      <c r="AD1579" s="3">
        <f t="shared" si="568"/>
        <v>585000</v>
      </c>
      <c r="AE1579" s="5">
        <f t="shared" si="569"/>
        <v>3.6423841059602653</v>
      </c>
      <c r="AF1579" s="10">
        <f t="shared" si="570"/>
        <v>1309440</v>
      </c>
      <c r="AG1579" s="10">
        <f t="shared" si="571"/>
        <v>422400</v>
      </c>
      <c r="AH1579" s="10">
        <f t="shared" si="572"/>
        <v>211200</v>
      </c>
      <c r="AI1579" s="10">
        <f t="shared" si="573"/>
        <v>105600</v>
      </c>
      <c r="AJ1579" s="10">
        <f t="shared" si="574"/>
        <v>63360</v>
      </c>
    </row>
    <row r="1580" spans="1:36" x14ac:dyDescent="0.3">
      <c r="A1580" t="s">
        <v>6005</v>
      </c>
      <c r="B1580" t="s">
        <v>6006</v>
      </c>
      <c r="C1580" t="s">
        <v>6007</v>
      </c>
      <c r="D1580" t="s">
        <v>189</v>
      </c>
      <c r="E1580">
        <v>54548</v>
      </c>
      <c r="F1580" t="s">
        <v>15</v>
      </c>
      <c r="G1580">
        <v>8</v>
      </c>
      <c r="H1580">
        <v>250</v>
      </c>
      <c r="I1580" t="str" cm="1">
        <f t="array" ref="I1580">_xlfn.IFS(H1580&lt;=120,"V1",H1580&lt;=150,"V2",H1580&lt;=250,"V3", H1580&lt;=350, "V4")</f>
        <v>V3</v>
      </c>
      <c r="J1580" t="s">
        <v>6008</v>
      </c>
      <c r="K1580" t="str">
        <f t="shared" si="552"/>
        <v>45.887409</v>
      </c>
      <c r="L1580" t="str">
        <f t="shared" si="553"/>
        <v>-89.720831</v>
      </c>
      <c r="M1580">
        <v>487</v>
      </c>
      <c r="N1580" s="1">
        <v>44882</v>
      </c>
      <c r="O1580" s="1">
        <v>46099</v>
      </c>
      <c r="P1580" s="2">
        <f t="shared" si="554"/>
        <v>3.3319644079397674</v>
      </c>
      <c r="Q1580" s="2" t="str">
        <f t="shared" si="555"/>
        <v>Mid</v>
      </c>
      <c r="R1580">
        <f t="shared" si="556"/>
        <v>2000</v>
      </c>
      <c r="S1580" t="str">
        <f t="shared" si="557"/>
        <v>Small</v>
      </c>
      <c r="T1580" t="str">
        <f t="shared" si="558"/>
        <v>Lower EV Adoption Corridor</v>
      </c>
      <c r="U1580" s="3">
        <f t="shared" si="559"/>
        <v>3600000</v>
      </c>
      <c r="V1580" s="4">
        <f t="shared" si="560"/>
        <v>880000.00000000012</v>
      </c>
      <c r="W1580" s="3">
        <f t="shared" si="561"/>
        <v>12000000</v>
      </c>
      <c r="X1580" s="3">
        <f t="shared" si="562"/>
        <v>6600000.0000000009</v>
      </c>
      <c r="Y1580">
        <f t="shared" si="563"/>
        <v>0.31515151515151513</v>
      </c>
      <c r="Z1580">
        <f t="shared" si="564"/>
        <v>0.75555555555555554</v>
      </c>
      <c r="AA1580" t="str">
        <f t="shared" si="565"/>
        <v>Tier 2 - Growth Markets</v>
      </c>
      <c r="AB1580" s="3">
        <f t="shared" si="566"/>
        <v>110000.00000000001</v>
      </c>
      <c r="AC1580" s="3">
        <f t="shared" si="567"/>
        <v>1500000</v>
      </c>
      <c r="AD1580" s="3">
        <f t="shared" si="568"/>
        <v>450000</v>
      </c>
      <c r="AE1580" s="5">
        <f t="shared" si="569"/>
        <v>4.4117647058823533</v>
      </c>
      <c r="AF1580" s="10">
        <f t="shared" si="570"/>
        <v>545600.00000000012</v>
      </c>
      <c r="AG1580" s="10">
        <f t="shared" si="571"/>
        <v>176000.00000000003</v>
      </c>
      <c r="AH1580" s="10">
        <f t="shared" si="572"/>
        <v>88000.000000000015</v>
      </c>
      <c r="AI1580" s="10">
        <f t="shared" si="573"/>
        <v>44000.000000000007</v>
      </c>
      <c r="AJ1580" s="10">
        <f t="shared" si="574"/>
        <v>26400.000000000004</v>
      </c>
    </row>
    <row r="1581" spans="1:36" x14ac:dyDescent="0.3">
      <c r="A1581" t="s">
        <v>6009</v>
      </c>
      <c r="B1581" t="s">
        <v>6010</v>
      </c>
      <c r="C1581" t="s">
        <v>1148</v>
      </c>
      <c r="D1581" t="s">
        <v>50</v>
      </c>
      <c r="E1581">
        <v>77707</v>
      </c>
      <c r="F1581" t="s">
        <v>15</v>
      </c>
      <c r="G1581">
        <v>12</v>
      </c>
      <c r="H1581">
        <v>250</v>
      </c>
      <c r="I1581" t="str" cm="1">
        <f t="array" ref="I1581">_xlfn.IFS(H1581&lt;=120,"V1",H1581&lt;=150,"V2",H1581&lt;=250,"V3", H1581&lt;=350, "V4")</f>
        <v>V3</v>
      </c>
      <c r="J1581" t="s">
        <v>6011</v>
      </c>
      <c r="K1581" t="str">
        <f t="shared" si="552"/>
        <v>31.037265</v>
      </c>
      <c r="L1581" t="str">
        <f t="shared" si="553"/>
        <v>-104.854816</v>
      </c>
      <c r="M1581">
        <v>1255</v>
      </c>
      <c r="N1581" s="1">
        <v>45064</v>
      </c>
      <c r="O1581" s="1">
        <v>46099</v>
      </c>
      <c r="P1581" s="2">
        <f t="shared" si="554"/>
        <v>2.8336755646817249</v>
      </c>
      <c r="Q1581" s="2" t="str">
        <f t="shared" si="555"/>
        <v>New</v>
      </c>
      <c r="R1581">
        <f t="shared" si="556"/>
        <v>3000</v>
      </c>
      <c r="S1581" t="str">
        <f t="shared" si="557"/>
        <v>Small</v>
      </c>
      <c r="T1581" t="str">
        <f t="shared" si="558"/>
        <v>High EV Adoption Corridor</v>
      </c>
      <c r="U1581" s="3">
        <f t="shared" si="559"/>
        <v>7020000</v>
      </c>
      <c r="V1581" s="4">
        <f t="shared" si="560"/>
        <v>1584000</v>
      </c>
      <c r="W1581" s="3">
        <f t="shared" si="561"/>
        <v>19800000</v>
      </c>
      <c r="X1581" s="3">
        <f t="shared" si="562"/>
        <v>14850000</v>
      </c>
      <c r="Y1581">
        <f t="shared" si="563"/>
        <v>0.24</v>
      </c>
      <c r="Z1581">
        <f t="shared" si="564"/>
        <v>0.77435897435897438</v>
      </c>
      <c r="AA1581" t="str">
        <f t="shared" si="565"/>
        <v>Tier 1 - Priority Fleet</v>
      </c>
      <c r="AB1581" s="3">
        <f t="shared" si="566"/>
        <v>132000</v>
      </c>
      <c r="AC1581" s="3">
        <f t="shared" si="567"/>
        <v>1650000</v>
      </c>
      <c r="AD1581" s="3">
        <f t="shared" si="568"/>
        <v>585000</v>
      </c>
      <c r="AE1581" s="5">
        <f t="shared" si="569"/>
        <v>3.6423841059602649</v>
      </c>
      <c r="AF1581" s="10">
        <f t="shared" si="570"/>
        <v>982080</v>
      </c>
      <c r="AG1581" s="10">
        <f t="shared" si="571"/>
        <v>316800</v>
      </c>
      <c r="AH1581" s="10">
        <f t="shared" si="572"/>
        <v>158400</v>
      </c>
      <c r="AI1581" s="10">
        <f t="shared" si="573"/>
        <v>79200</v>
      </c>
      <c r="AJ1581" s="10">
        <f t="shared" si="574"/>
        <v>47520</v>
      </c>
    </row>
    <row r="1582" spans="1:36" x14ac:dyDescent="0.3">
      <c r="A1582" t="s">
        <v>6012</v>
      </c>
      <c r="B1582" t="s">
        <v>6013</v>
      </c>
      <c r="C1582" t="s">
        <v>617</v>
      </c>
      <c r="D1582" t="s">
        <v>125</v>
      </c>
      <c r="E1582">
        <v>29212</v>
      </c>
      <c r="F1582" t="s">
        <v>15</v>
      </c>
      <c r="G1582">
        <v>16</v>
      </c>
      <c r="H1582">
        <v>250</v>
      </c>
      <c r="I1582" t="str" cm="1">
        <f t="array" ref="I1582">_xlfn.IFS(H1582&lt;=120,"V1",H1582&lt;=150,"V2",H1582&lt;=250,"V3", H1582&lt;=350, "V4")</f>
        <v>V3</v>
      </c>
      <c r="J1582" t="s">
        <v>6014</v>
      </c>
      <c r="K1582" t="str">
        <f t="shared" si="552"/>
        <v>34.0729</v>
      </c>
      <c r="L1582" t="str">
        <f t="shared" si="553"/>
        <v>-81.155649</v>
      </c>
      <c r="M1582">
        <v>84</v>
      </c>
      <c r="N1582" s="1">
        <v>44774</v>
      </c>
      <c r="O1582" s="1">
        <v>46099</v>
      </c>
      <c r="P1582" s="2">
        <f t="shared" si="554"/>
        <v>3.6276522929500343</v>
      </c>
      <c r="Q1582" s="2" t="str">
        <f t="shared" si="555"/>
        <v>Mid</v>
      </c>
      <c r="R1582">
        <f t="shared" si="556"/>
        <v>4000</v>
      </c>
      <c r="S1582" t="str">
        <f t="shared" si="557"/>
        <v>Small</v>
      </c>
      <c r="T1582" t="str">
        <f t="shared" si="558"/>
        <v>Lower EV Adoption Corridor</v>
      </c>
      <c r="U1582" s="3">
        <f t="shared" si="559"/>
        <v>7200000</v>
      </c>
      <c r="V1582" s="4">
        <f t="shared" si="560"/>
        <v>1760000.0000000002</v>
      </c>
      <c r="W1582" s="3">
        <f t="shared" si="561"/>
        <v>24000000</v>
      </c>
      <c r="X1582" s="3">
        <f t="shared" si="562"/>
        <v>13200000.000000002</v>
      </c>
      <c r="Y1582">
        <f t="shared" si="563"/>
        <v>0.31515151515151513</v>
      </c>
      <c r="Z1582">
        <f t="shared" si="564"/>
        <v>0.75555555555555554</v>
      </c>
      <c r="AA1582" t="str">
        <f t="shared" si="565"/>
        <v>Tier 2 - Growth Markets</v>
      </c>
      <c r="AB1582" s="3">
        <f t="shared" si="566"/>
        <v>110000.00000000001</v>
      </c>
      <c r="AC1582" s="3">
        <f t="shared" si="567"/>
        <v>1500000</v>
      </c>
      <c r="AD1582" s="3">
        <f t="shared" si="568"/>
        <v>450000</v>
      </c>
      <c r="AE1582" s="5">
        <f t="shared" si="569"/>
        <v>4.4117647058823533</v>
      </c>
      <c r="AF1582" s="10">
        <f t="shared" si="570"/>
        <v>1091200.0000000002</v>
      </c>
      <c r="AG1582" s="10">
        <f t="shared" si="571"/>
        <v>352000.00000000006</v>
      </c>
      <c r="AH1582" s="10">
        <f t="shared" si="572"/>
        <v>176000.00000000003</v>
      </c>
      <c r="AI1582" s="10">
        <f t="shared" si="573"/>
        <v>88000.000000000015</v>
      </c>
      <c r="AJ1582" s="10">
        <f t="shared" si="574"/>
        <v>52800.000000000007</v>
      </c>
    </row>
    <row r="1583" spans="1:36" x14ac:dyDescent="0.3">
      <c r="A1583" t="s">
        <v>6015</v>
      </c>
      <c r="B1583" t="s">
        <v>6016</v>
      </c>
      <c r="C1583" t="s">
        <v>6017</v>
      </c>
      <c r="D1583" t="s">
        <v>28</v>
      </c>
      <c r="E1583">
        <v>31030</v>
      </c>
      <c r="F1583" t="s">
        <v>15</v>
      </c>
      <c r="G1583">
        <v>16</v>
      </c>
      <c r="H1583">
        <v>250</v>
      </c>
      <c r="I1583" t="str" cm="1">
        <f t="array" ref="I1583">_xlfn.IFS(H1583&lt;=120,"V1",H1583&lt;=150,"V2",H1583&lt;=250,"V3", H1583&lt;=350, "V4")</f>
        <v>V3</v>
      </c>
      <c r="J1583" t="s">
        <v>6018</v>
      </c>
      <c r="K1583" t="str">
        <f t="shared" si="552"/>
        <v>32.58434</v>
      </c>
      <c r="L1583" t="str">
        <f t="shared" si="553"/>
        <v>-83.740022</v>
      </c>
      <c r="M1583">
        <v>139</v>
      </c>
      <c r="N1583" s="1">
        <v>44804</v>
      </c>
      <c r="O1583" s="1">
        <v>46099</v>
      </c>
      <c r="P1583" s="2">
        <f t="shared" si="554"/>
        <v>3.5455167693360714</v>
      </c>
      <c r="Q1583" s="2" t="str">
        <f t="shared" si="555"/>
        <v>Mid</v>
      </c>
      <c r="R1583">
        <f t="shared" si="556"/>
        <v>4000</v>
      </c>
      <c r="S1583" t="str">
        <f t="shared" si="557"/>
        <v>Small</v>
      </c>
      <c r="T1583" t="str">
        <f t="shared" si="558"/>
        <v>Lower EV Adoption Corridor</v>
      </c>
      <c r="U1583" s="3">
        <f t="shared" si="559"/>
        <v>7200000</v>
      </c>
      <c r="V1583" s="4">
        <f t="shared" si="560"/>
        <v>1760000.0000000002</v>
      </c>
      <c r="W1583" s="3">
        <f t="shared" si="561"/>
        <v>24000000</v>
      </c>
      <c r="X1583" s="3">
        <f t="shared" si="562"/>
        <v>13200000.000000002</v>
      </c>
      <c r="Y1583">
        <f t="shared" si="563"/>
        <v>0.31515151515151513</v>
      </c>
      <c r="Z1583">
        <f t="shared" si="564"/>
        <v>0.75555555555555554</v>
      </c>
      <c r="AA1583" t="str">
        <f t="shared" si="565"/>
        <v>Tier 2 - Growth Markets</v>
      </c>
      <c r="AB1583" s="3">
        <f t="shared" si="566"/>
        <v>110000.00000000001</v>
      </c>
      <c r="AC1583" s="3">
        <f t="shared" si="567"/>
        <v>1500000</v>
      </c>
      <c r="AD1583" s="3">
        <f t="shared" si="568"/>
        <v>450000</v>
      </c>
      <c r="AE1583" s="5">
        <f t="shared" si="569"/>
        <v>4.4117647058823533</v>
      </c>
      <c r="AF1583" s="10">
        <f t="shared" si="570"/>
        <v>1091200.0000000002</v>
      </c>
      <c r="AG1583" s="10">
        <f t="shared" si="571"/>
        <v>352000.00000000006</v>
      </c>
      <c r="AH1583" s="10">
        <f t="shared" si="572"/>
        <v>176000.00000000003</v>
      </c>
      <c r="AI1583" s="10">
        <f t="shared" si="573"/>
        <v>88000.000000000015</v>
      </c>
      <c r="AJ1583" s="10">
        <f t="shared" si="574"/>
        <v>52800.000000000007</v>
      </c>
    </row>
    <row r="1584" spans="1:36" x14ac:dyDescent="0.3">
      <c r="A1584" t="s">
        <v>6019</v>
      </c>
      <c r="B1584" t="s">
        <v>6020</v>
      </c>
      <c r="C1584" t="s">
        <v>6021</v>
      </c>
      <c r="D1584" t="s">
        <v>14</v>
      </c>
      <c r="E1584">
        <v>92395</v>
      </c>
      <c r="F1584" t="s">
        <v>15</v>
      </c>
      <c r="G1584">
        <v>16</v>
      </c>
      <c r="H1584">
        <v>250</v>
      </c>
      <c r="I1584" t="str" cm="1">
        <f t="array" ref="I1584">_xlfn.IFS(H1584&lt;=120,"V1",H1584&lt;=150,"V2",H1584&lt;=250,"V3", H1584&lt;=350, "V4")</f>
        <v>V3</v>
      </c>
      <c r="J1584" t="s">
        <v>6022</v>
      </c>
      <c r="K1584" t="str">
        <f t="shared" si="552"/>
        <v>34.517047</v>
      </c>
      <c r="L1584" t="str">
        <f t="shared" si="553"/>
        <v>-117.313614</v>
      </c>
      <c r="M1584">
        <v>897</v>
      </c>
      <c r="N1584" s="1">
        <v>44915</v>
      </c>
      <c r="O1584" s="1">
        <v>46099</v>
      </c>
      <c r="P1584" s="2">
        <f t="shared" si="554"/>
        <v>3.2416153319644079</v>
      </c>
      <c r="Q1584" s="2" t="str">
        <f t="shared" si="555"/>
        <v>Mid</v>
      </c>
      <c r="R1584">
        <f t="shared" si="556"/>
        <v>4000</v>
      </c>
      <c r="S1584" t="str">
        <f t="shared" si="557"/>
        <v>Small</v>
      </c>
      <c r="T1584" t="str">
        <f t="shared" si="558"/>
        <v>High EV Adoption Corridor</v>
      </c>
      <c r="U1584" s="3">
        <f t="shared" si="559"/>
        <v>9360000</v>
      </c>
      <c r="V1584" s="4">
        <f t="shared" si="560"/>
        <v>2112000</v>
      </c>
      <c r="W1584" s="3">
        <f t="shared" si="561"/>
        <v>26400000.000000004</v>
      </c>
      <c r="X1584" s="3">
        <f t="shared" si="562"/>
        <v>19800000.000000004</v>
      </c>
      <c r="Y1584">
        <f t="shared" si="563"/>
        <v>0.23999999999999996</v>
      </c>
      <c r="Z1584">
        <f t="shared" si="564"/>
        <v>0.77435897435897438</v>
      </c>
      <c r="AA1584" t="str">
        <f t="shared" si="565"/>
        <v>Tier 1 - Priority Fleet</v>
      </c>
      <c r="AB1584" s="3">
        <f t="shared" si="566"/>
        <v>132000</v>
      </c>
      <c r="AC1584" s="3">
        <f t="shared" si="567"/>
        <v>1650000.0000000002</v>
      </c>
      <c r="AD1584" s="3">
        <f t="shared" si="568"/>
        <v>585000</v>
      </c>
      <c r="AE1584" s="5">
        <f t="shared" si="569"/>
        <v>3.6423841059602653</v>
      </c>
      <c r="AF1584" s="10">
        <f t="shared" si="570"/>
        <v>1309440</v>
      </c>
      <c r="AG1584" s="10">
        <f t="shared" si="571"/>
        <v>422400</v>
      </c>
      <c r="AH1584" s="10">
        <f t="shared" si="572"/>
        <v>211200</v>
      </c>
      <c r="AI1584" s="10">
        <f t="shared" si="573"/>
        <v>105600</v>
      </c>
      <c r="AJ1584" s="10">
        <f t="shared" si="574"/>
        <v>63360</v>
      </c>
    </row>
    <row r="1585" spans="1:36" x14ac:dyDescent="0.3">
      <c r="A1585" t="s">
        <v>6023</v>
      </c>
      <c r="B1585" t="s">
        <v>6024</v>
      </c>
      <c r="C1585" t="s">
        <v>6025</v>
      </c>
      <c r="D1585" t="s">
        <v>505</v>
      </c>
      <c r="E1585">
        <v>74132</v>
      </c>
      <c r="F1585" t="s">
        <v>15</v>
      </c>
      <c r="G1585">
        <v>24</v>
      </c>
      <c r="H1585">
        <v>250</v>
      </c>
      <c r="I1585" t="str" cm="1">
        <f t="array" ref="I1585">_xlfn.IFS(H1585&lt;=120,"V1",H1585&lt;=150,"V2",H1585&lt;=250,"V3", H1585&lt;=350, "V4")</f>
        <v>V3</v>
      </c>
      <c r="J1585" t="s">
        <v>6026</v>
      </c>
      <c r="K1585" t="str">
        <f t="shared" si="552"/>
        <v>36.054073</v>
      </c>
      <c r="L1585" t="str">
        <f t="shared" si="553"/>
        <v>-96.004734</v>
      </c>
      <c r="M1585">
        <v>230</v>
      </c>
      <c r="N1585" s="1">
        <v>45008</v>
      </c>
      <c r="O1585" s="1">
        <v>46099</v>
      </c>
      <c r="P1585" s="2">
        <f t="shared" si="554"/>
        <v>2.9869952087611225</v>
      </c>
      <c r="Q1585" s="2" t="str">
        <f t="shared" si="555"/>
        <v>New</v>
      </c>
      <c r="R1585">
        <f t="shared" si="556"/>
        <v>6000</v>
      </c>
      <c r="S1585" t="str">
        <f t="shared" si="557"/>
        <v>Small</v>
      </c>
      <c r="T1585" t="str">
        <f t="shared" si="558"/>
        <v>Lower EV Adoption Corridor</v>
      </c>
      <c r="U1585" s="3">
        <f t="shared" si="559"/>
        <v>10800000</v>
      </c>
      <c r="V1585" s="4">
        <f t="shared" si="560"/>
        <v>2640000</v>
      </c>
      <c r="W1585" s="3">
        <f t="shared" si="561"/>
        <v>36000000</v>
      </c>
      <c r="X1585" s="3">
        <f t="shared" si="562"/>
        <v>19800000</v>
      </c>
      <c r="Y1585">
        <f t="shared" si="563"/>
        <v>0.31515151515151513</v>
      </c>
      <c r="Z1585">
        <f t="shared" si="564"/>
        <v>0.75555555555555554</v>
      </c>
      <c r="AA1585" t="str">
        <f t="shared" si="565"/>
        <v>Tier 2 - Growth Markets</v>
      </c>
      <c r="AB1585" s="3">
        <f t="shared" si="566"/>
        <v>110000</v>
      </c>
      <c r="AC1585" s="3">
        <f t="shared" si="567"/>
        <v>1500000</v>
      </c>
      <c r="AD1585" s="3">
        <f t="shared" si="568"/>
        <v>450000</v>
      </c>
      <c r="AE1585" s="5">
        <f t="shared" si="569"/>
        <v>4.4117647058823533</v>
      </c>
      <c r="AF1585" s="10">
        <f t="shared" si="570"/>
        <v>1636800</v>
      </c>
      <c r="AG1585" s="10">
        <f t="shared" si="571"/>
        <v>528000</v>
      </c>
      <c r="AH1585" s="10">
        <f t="shared" si="572"/>
        <v>264000</v>
      </c>
      <c r="AI1585" s="10">
        <f t="shared" si="573"/>
        <v>132000</v>
      </c>
      <c r="AJ1585" s="10">
        <f t="shared" si="574"/>
        <v>79200</v>
      </c>
    </row>
    <row r="1586" spans="1:36" x14ac:dyDescent="0.3">
      <c r="A1586" t="s">
        <v>6027</v>
      </c>
      <c r="B1586" t="s">
        <v>6028</v>
      </c>
      <c r="C1586" t="s">
        <v>3367</v>
      </c>
      <c r="D1586" t="s">
        <v>958</v>
      </c>
      <c r="E1586">
        <v>4090</v>
      </c>
      <c r="F1586" t="s">
        <v>15</v>
      </c>
      <c r="G1586">
        <v>8</v>
      </c>
      <c r="H1586">
        <v>250</v>
      </c>
      <c r="I1586" t="str" cm="1">
        <f t="array" ref="I1586">_xlfn.IFS(H1586&lt;=120,"V1",H1586&lt;=150,"V2",H1586&lt;=250,"V3", H1586&lt;=350, "V4")</f>
        <v>V3</v>
      </c>
      <c r="J1586" t="s">
        <v>6029</v>
      </c>
      <c r="K1586" t="str">
        <f t="shared" si="552"/>
        <v>43.32076</v>
      </c>
      <c r="L1586" t="str">
        <f t="shared" si="553"/>
        <v>-70.5806</v>
      </c>
      <c r="M1586">
        <v>21</v>
      </c>
      <c r="N1586" s="1">
        <v>45072</v>
      </c>
      <c r="O1586" s="1">
        <v>46099</v>
      </c>
      <c r="P1586" s="2">
        <f t="shared" si="554"/>
        <v>2.8117727583846679</v>
      </c>
      <c r="Q1586" s="2" t="str">
        <f t="shared" si="555"/>
        <v>New</v>
      </c>
      <c r="R1586">
        <f t="shared" si="556"/>
        <v>2000</v>
      </c>
      <c r="S1586" t="str">
        <f t="shared" si="557"/>
        <v>Small</v>
      </c>
      <c r="T1586" t="str">
        <f t="shared" si="558"/>
        <v>Lower EV Adoption Corridor</v>
      </c>
      <c r="U1586" s="3">
        <f t="shared" si="559"/>
        <v>3600000</v>
      </c>
      <c r="V1586" s="4">
        <f t="shared" si="560"/>
        <v>880000.00000000012</v>
      </c>
      <c r="W1586" s="3">
        <f t="shared" si="561"/>
        <v>12000000</v>
      </c>
      <c r="X1586" s="3">
        <f t="shared" si="562"/>
        <v>6600000.0000000009</v>
      </c>
      <c r="Y1586">
        <f t="shared" si="563"/>
        <v>0.31515151515151513</v>
      </c>
      <c r="Z1586">
        <f t="shared" si="564"/>
        <v>0.75555555555555554</v>
      </c>
      <c r="AA1586" t="str">
        <f t="shared" si="565"/>
        <v>Tier 2 - Growth Markets</v>
      </c>
      <c r="AB1586" s="3">
        <f t="shared" si="566"/>
        <v>110000.00000000001</v>
      </c>
      <c r="AC1586" s="3">
        <f t="shared" si="567"/>
        <v>1500000</v>
      </c>
      <c r="AD1586" s="3">
        <f t="shared" si="568"/>
        <v>450000</v>
      </c>
      <c r="AE1586" s="5">
        <f t="shared" si="569"/>
        <v>4.4117647058823533</v>
      </c>
      <c r="AF1586" s="10">
        <f t="shared" si="570"/>
        <v>545600.00000000012</v>
      </c>
      <c r="AG1586" s="10">
        <f t="shared" si="571"/>
        <v>176000.00000000003</v>
      </c>
      <c r="AH1586" s="10">
        <f t="shared" si="572"/>
        <v>88000.000000000015</v>
      </c>
      <c r="AI1586" s="10">
        <f t="shared" si="573"/>
        <v>44000.000000000007</v>
      </c>
      <c r="AJ1586" s="10">
        <f t="shared" si="574"/>
        <v>26400.000000000004</v>
      </c>
    </row>
    <row r="1587" spans="1:36" x14ac:dyDescent="0.3">
      <c r="A1587" t="s">
        <v>6030</v>
      </c>
      <c r="B1587" t="s">
        <v>6031</v>
      </c>
      <c r="C1587" t="s">
        <v>6032</v>
      </c>
      <c r="D1587" t="s">
        <v>852</v>
      </c>
      <c r="E1587">
        <v>8861</v>
      </c>
      <c r="F1587" t="s">
        <v>15</v>
      </c>
      <c r="G1587">
        <v>8</v>
      </c>
      <c r="H1587">
        <v>250</v>
      </c>
      <c r="I1587" t="str" cm="1">
        <f t="array" ref="I1587">_xlfn.IFS(H1587&lt;=120,"V1",H1587&lt;=150,"V2",H1587&lt;=250,"V3", H1587&lt;=350, "V4")</f>
        <v>V3</v>
      </c>
      <c r="J1587" t="s">
        <v>6033</v>
      </c>
      <c r="K1587" t="str">
        <f t="shared" si="552"/>
        <v>40.516738</v>
      </c>
      <c r="L1587" t="str">
        <f t="shared" si="553"/>
        <v>-74.285902</v>
      </c>
      <c r="M1587">
        <v>24</v>
      </c>
      <c r="N1587" s="1">
        <v>44915</v>
      </c>
      <c r="O1587" s="1">
        <v>46099</v>
      </c>
      <c r="P1587" s="2">
        <f t="shared" si="554"/>
        <v>3.2416153319644079</v>
      </c>
      <c r="Q1587" s="2" t="str">
        <f t="shared" si="555"/>
        <v>Mid</v>
      </c>
      <c r="R1587">
        <f t="shared" si="556"/>
        <v>2000</v>
      </c>
      <c r="S1587" t="str">
        <f t="shared" si="557"/>
        <v>Small</v>
      </c>
      <c r="T1587" t="str">
        <f t="shared" si="558"/>
        <v>High EV Adoption Corridor</v>
      </c>
      <c r="U1587" s="3">
        <f t="shared" si="559"/>
        <v>4680000</v>
      </c>
      <c r="V1587" s="4">
        <f t="shared" si="560"/>
        <v>1056000</v>
      </c>
      <c r="W1587" s="3">
        <f t="shared" si="561"/>
        <v>13200000.000000002</v>
      </c>
      <c r="X1587" s="3">
        <f t="shared" si="562"/>
        <v>9900000.0000000019</v>
      </c>
      <c r="Y1587">
        <f t="shared" si="563"/>
        <v>0.23999999999999996</v>
      </c>
      <c r="Z1587">
        <f t="shared" si="564"/>
        <v>0.77435897435897438</v>
      </c>
      <c r="AA1587" t="str">
        <f t="shared" si="565"/>
        <v>Tier 1 - Priority Fleet</v>
      </c>
      <c r="AB1587" s="3">
        <f t="shared" si="566"/>
        <v>132000</v>
      </c>
      <c r="AC1587" s="3">
        <f t="shared" si="567"/>
        <v>1650000.0000000002</v>
      </c>
      <c r="AD1587" s="3">
        <f t="shared" si="568"/>
        <v>585000</v>
      </c>
      <c r="AE1587" s="5">
        <f t="shared" si="569"/>
        <v>3.6423841059602653</v>
      </c>
      <c r="AF1587" s="10">
        <f t="shared" si="570"/>
        <v>654720</v>
      </c>
      <c r="AG1587" s="10">
        <f t="shared" si="571"/>
        <v>211200</v>
      </c>
      <c r="AH1587" s="10">
        <f t="shared" si="572"/>
        <v>105600</v>
      </c>
      <c r="AI1587" s="10">
        <f t="shared" si="573"/>
        <v>52800</v>
      </c>
      <c r="AJ1587" s="10">
        <f t="shared" si="574"/>
        <v>31680</v>
      </c>
    </row>
    <row r="1588" spans="1:36" x14ac:dyDescent="0.3">
      <c r="A1588" t="s">
        <v>6034</v>
      </c>
      <c r="B1588" t="s">
        <v>6035</v>
      </c>
      <c r="C1588" t="s">
        <v>6036</v>
      </c>
      <c r="D1588" t="s">
        <v>148</v>
      </c>
      <c r="E1588">
        <v>66212</v>
      </c>
      <c r="F1588" t="s">
        <v>15</v>
      </c>
      <c r="G1588">
        <v>12</v>
      </c>
      <c r="H1588">
        <v>250</v>
      </c>
      <c r="I1588" t="str" cm="1">
        <f t="array" ref="I1588">_xlfn.IFS(H1588&lt;=120,"V1",H1588&lt;=150,"V2",H1588&lt;=250,"V3", H1588&lt;=350, "V4")</f>
        <v>V3</v>
      </c>
      <c r="J1588" t="s">
        <v>6037</v>
      </c>
      <c r="K1588" t="str">
        <f t="shared" si="552"/>
        <v>38.95535</v>
      </c>
      <c r="L1588" t="str">
        <f t="shared" si="553"/>
        <v>-94.685593</v>
      </c>
      <c r="M1588">
        <v>284</v>
      </c>
      <c r="N1588" s="1">
        <v>44995</v>
      </c>
      <c r="O1588" s="1">
        <v>46099</v>
      </c>
      <c r="P1588" s="2">
        <f t="shared" si="554"/>
        <v>3.0225872689938398</v>
      </c>
      <c r="Q1588" s="2" t="str">
        <f t="shared" si="555"/>
        <v>Mid</v>
      </c>
      <c r="R1588">
        <f t="shared" si="556"/>
        <v>3000</v>
      </c>
      <c r="S1588" t="str">
        <f t="shared" si="557"/>
        <v>Small</v>
      </c>
      <c r="T1588" t="str">
        <f t="shared" si="558"/>
        <v>Lower EV Adoption Corridor</v>
      </c>
      <c r="U1588" s="3">
        <f t="shared" si="559"/>
        <v>5400000</v>
      </c>
      <c r="V1588" s="4">
        <f t="shared" si="560"/>
        <v>1320000</v>
      </c>
      <c r="W1588" s="3">
        <f t="shared" si="561"/>
        <v>18000000</v>
      </c>
      <c r="X1588" s="3">
        <f t="shared" si="562"/>
        <v>9900000</v>
      </c>
      <c r="Y1588">
        <f t="shared" si="563"/>
        <v>0.31515151515151513</v>
      </c>
      <c r="Z1588">
        <f t="shared" si="564"/>
        <v>0.75555555555555554</v>
      </c>
      <c r="AA1588" t="str">
        <f t="shared" si="565"/>
        <v>Tier 2 - Growth Markets</v>
      </c>
      <c r="AB1588" s="3">
        <f t="shared" si="566"/>
        <v>110000</v>
      </c>
      <c r="AC1588" s="3">
        <f t="shared" si="567"/>
        <v>1500000</v>
      </c>
      <c r="AD1588" s="3">
        <f t="shared" si="568"/>
        <v>450000</v>
      </c>
      <c r="AE1588" s="5">
        <f t="shared" si="569"/>
        <v>4.4117647058823533</v>
      </c>
      <c r="AF1588" s="10">
        <f t="shared" si="570"/>
        <v>818400</v>
      </c>
      <c r="AG1588" s="10">
        <f t="shared" si="571"/>
        <v>264000</v>
      </c>
      <c r="AH1588" s="10">
        <f t="shared" si="572"/>
        <v>132000</v>
      </c>
      <c r="AI1588" s="10">
        <f t="shared" si="573"/>
        <v>66000</v>
      </c>
      <c r="AJ1588" s="10">
        <f t="shared" si="574"/>
        <v>39600</v>
      </c>
    </row>
    <row r="1589" spans="1:36" x14ac:dyDescent="0.3">
      <c r="A1589" t="s">
        <v>6038</v>
      </c>
      <c r="B1589" t="s">
        <v>6039</v>
      </c>
      <c r="C1589" t="s">
        <v>6040</v>
      </c>
      <c r="D1589" t="s">
        <v>230</v>
      </c>
      <c r="E1589">
        <v>98848</v>
      </c>
      <c r="F1589" t="s">
        <v>15</v>
      </c>
      <c r="G1589">
        <v>8</v>
      </c>
      <c r="H1589">
        <v>250</v>
      </c>
      <c r="I1589" t="str" cm="1">
        <f t="array" ref="I1589">_xlfn.IFS(H1589&lt;=120,"V1",H1589&lt;=150,"V2",H1589&lt;=250,"V3", H1589&lt;=350, "V4")</f>
        <v>V3</v>
      </c>
      <c r="J1589" t="s">
        <v>6041</v>
      </c>
      <c r="K1589" t="str">
        <f t="shared" si="552"/>
        <v>47.103877</v>
      </c>
      <c r="L1589" t="str">
        <f t="shared" si="553"/>
        <v>-119.833007</v>
      </c>
      <c r="M1589">
        <v>374</v>
      </c>
      <c r="N1589" s="1">
        <v>44924</v>
      </c>
      <c r="O1589" s="1">
        <v>46099</v>
      </c>
      <c r="P1589" s="2">
        <f t="shared" si="554"/>
        <v>3.2169746748802188</v>
      </c>
      <c r="Q1589" s="2" t="str">
        <f t="shared" si="555"/>
        <v>Mid</v>
      </c>
      <c r="R1589">
        <f t="shared" si="556"/>
        <v>2000</v>
      </c>
      <c r="S1589" t="str">
        <f t="shared" si="557"/>
        <v>Small</v>
      </c>
      <c r="T1589" t="str">
        <f t="shared" si="558"/>
        <v>High EV Adoption Corridor</v>
      </c>
      <c r="U1589" s="3">
        <f t="shared" si="559"/>
        <v>4680000</v>
      </c>
      <c r="V1589" s="4">
        <f t="shared" si="560"/>
        <v>1056000</v>
      </c>
      <c r="W1589" s="3">
        <f t="shared" si="561"/>
        <v>13200000.000000002</v>
      </c>
      <c r="X1589" s="3">
        <f t="shared" si="562"/>
        <v>9900000.0000000019</v>
      </c>
      <c r="Y1589">
        <f t="shared" si="563"/>
        <v>0.23999999999999996</v>
      </c>
      <c r="Z1589">
        <f t="shared" si="564"/>
        <v>0.77435897435897438</v>
      </c>
      <c r="AA1589" t="str">
        <f t="shared" si="565"/>
        <v>Tier 1 - Priority Fleet</v>
      </c>
      <c r="AB1589" s="3">
        <f t="shared" si="566"/>
        <v>132000</v>
      </c>
      <c r="AC1589" s="3">
        <f t="shared" si="567"/>
        <v>1650000.0000000002</v>
      </c>
      <c r="AD1589" s="3">
        <f t="shared" si="568"/>
        <v>585000</v>
      </c>
      <c r="AE1589" s="5">
        <f t="shared" si="569"/>
        <v>3.6423841059602653</v>
      </c>
      <c r="AF1589" s="10">
        <f t="shared" si="570"/>
        <v>654720</v>
      </c>
      <c r="AG1589" s="10">
        <f t="shared" si="571"/>
        <v>211200</v>
      </c>
      <c r="AH1589" s="10">
        <f t="shared" si="572"/>
        <v>105600</v>
      </c>
      <c r="AI1589" s="10">
        <f t="shared" si="573"/>
        <v>52800</v>
      </c>
      <c r="AJ1589" s="10">
        <f t="shared" si="574"/>
        <v>31680</v>
      </c>
    </row>
    <row r="1590" spans="1:36" x14ac:dyDescent="0.3">
      <c r="A1590" t="s">
        <v>6042</v>
      </c>
      <c r="B1590" t="s">
        <v>6043</v>
      </c>
      <c r="C1590" t="s">
        <v>6044</v>
      </c>
      <c r="D1590" t="s">
        <v>125</v>
      </c>
      <c r="E1590">
        <v>29172</v>
      </c>
      <c r="F1590" t="s">
        <v>15</v>
      </c>
      <c r="G1590">
        <v>12</v>
      </c>
      <c r="H1590">
        <v>250</v>
      </c>
      <c r="I1590" t="str" cm="1">
        <f t="array" ref="I1590">_xlfn.IFS(H1590&lt;=120,"V1",H1590&lt;=150,"V2",H1590&lt;=250,"V3", H1590&lt;=350, "V4")</f>
        <v>V3</v>
      </c>
      <c r="J1590" t="s">
        <v>6045</v>
      </c>
      <c r="K1590" t="str">
        <f t="shared" si="552"/>
        <v>33.928112</v>
      </c>
      <c r="L1590" t="str">
        <f t="shared" si="553"/>
        <v>-81.078255</v>
      </c>
      <c r="M1590">
        <v>67</v>
      </c>
      <c r="N1590" s="1">
        <v>44965</v>
      </c>
      <c r="O1590" s="1">
        <v>46099</v>
      </c>
      <c r="P1590" s="2">
        <f t="shared" si="554"/>
        <v>3.1047227926078027</v>
      </c>
      <c r="Q1590" s="2" t="str">
        <f t="shared" si="555"/>
        <v>Mid</v>
      </c>
      <c r="R1590">
        <f t="shared" si="556"/>
        <v>3000</v>
      </c>
      <c r="S1590" t="str">
        <f t="shared" si="557"/>
        <v>Small</v>
      </c>
      <c r="T1590" t="str">
        <f t="shared" si="558"/>
        <v>Lower EV Adoption Corridor</v>
      </c>
      <c r="U1590" s="3">
        <f t="shared" si="559"/>
        <v>5400000</v>
      </c>
      <c r="V1590" s="4">
        <f t="shared" si="560"/>
        <v>1320000</v>
      </c>
      <c r="W1590" s="3">
        <f t="shared" si="561"/>
        <v>18000000</v>
      </c>
      <c r="X1590" s="3">
        <f t="shared" si="562"/>
        <v>9900000</v>
      </c>
      <c r="Y1590">
        <f t="shared" si="563"/>
        <v>0.31515151515151513</v>
      </c>
      <c r="Z1590">
        <f t="shared" si="564"/>
        <v>0.75555555555555554</v>
      </c>
      <c r="AA1590" t="str">
        <f t="shared" si="565"/>
        <v>Tier 2 - Growth Markets</v>
      </c>
      <c r="AB1590" s="3">
        <f t="shared" si="566"/>
        <v>110000</v>
      </c>
      <c r="AC1590" s="3">
        <f t="shared" si="567"/>
        <v>1500000</v>
      </c>
      <c r="AD1590" s="3">
        <f t="shared" si="568"/>
        <v>450000</v>
      </c>
      <c r="AE1590" s="5">
        <f t="shared" si="569"/>
        <v>4.4117647058823533</v>
      </c>
      <c r="AF1590" s="10">
        <f t="shared" si="570"/>
        <v>818400</v>
      </c>
      <c r="AG1590" s="10">
        <f t="shared" si="571"/>
        <v>264000</v>
      </c>
      <c r="AH1590" s="10">
        <f t="shared" si="572"/>
        <v>132000</v>
      </c>
      <c r="AI1590" s="10">
        <f t="shared" si="573"/>
        <v>66000</v>
      </c>
      <c r="AJ1590" s="10">
        <f t="shared" si="574"/>
        <v>39600</v>
      </c>
    </row>
    <row r="1591" spans="1:36" x14ac:dyDescent="0.3">
      <c r="A1591" t="s">
        <v>6046</v>
      </c>
      <c r="B1591" t="s">
        <v>6047</v>
      </c>
      <c r="C1591" t="s">
        <v>6048</v>
      </c>
      <c r="D1591" t="s">
        <v>184</v>
      </c>
      <c r="E1591">
        <v>43570</v>
      </c>
      <c r="F1591" t="s">
        <v>15</v>
      </c>
      <c r="G1591">
        <v>8</v>
      </c>
      <c r="H1591">
        <v>250</v>
      </c>
      <c r="I1591" t="str" cm="1">
        <f t="array" ref="I1591">_xlfn.IFS(H1591&lt;=120,"V1",H1591&lt;=150,"V2",H1591&lt;=250,"V3", H1591&lt;=350, "V4")</f>
        <v>V3</v>
      </c>
      <c r="J1591" t="s">
        <v>6049</v>
      </c>
      <c r="K1591" t="str">
        <f t="shared" si="552"/>
        <v>41.603667</v>
      </c>
      <c r="L1591" t="str">
        <f t="shared" si="553"/>
        <v>-84.408721</v>
      </c>
      <c r="M1591">
        <v>240</v>
      </c>
      <c r="N1591" s="1">
        <v>45070</v>
      </c>
      <c r="O1591" s="1">
        <v>46099</v>
      </c>
      <c r="P1591" s="2">
        <f t="shared" si="554"/>
        <v>2.817248459958932</v>
      </c>
      <c r="Q1591" s="2" t="str">
        <f t="shared" si="555"/>
        <v>New</v>
      </c>
      <c r="R1591">
        <f t="shared" si="556"/>
        <v>2000</v>
      </c>
      <c r="S1591" t="str">
        <f t="shared" si="557"/>
        <v>Small</v>
      </c>
      <c r="T1591" t="str">
        <f t="shared" si="558"/>
        <v>Lower EV Adoption Corridor</v>
      </c>
      <c r="U1591" s="3">
        <f t="shared" si="559"/>
        <v>3600000</v>
      </c>
      <c r="V1591" s="4">
        <f t="shared" si="560"/>
        <v>880000.00000000012</v>
      </c>
      <c r="W1591" s="3">
        <f t="shared" si="561"/>
        <v>12000000</v>
      </c>
      <c r="X1591" s="3">
        <f t="shared" si="562"/>
        <v>6600000.0000000009</v>
      </c>
      <c r="Y1591">
        <f t="shared" si="563"/>
        <v>0.31515151515151513</v>
      </c>
      <c r="Z1591">
        <f t="shared" si="564"/>
        <v>0.75555555555555554</v>
      </c>
      <c r="AA1591" t="str">
        <f t="shared" si="565"/>
        <v>Tier 2 - Growth Markets</v>
      </c>
      <c r="AB1591" s="3">
        <f t="shared" si="566"/>
        <v>110000.00000000001</v>
      </c>
      <c r="AC1591" s="3">
        <f t="shared" si="567"/>
        <v>1500000</v>
      </c>
      <c r="AD1591" s="3">
        <f t="shared" si="568"/>
        <v>450000</v>
      </c>
      <c r="AE1591" s="5">
        <f t="shared" si="569"/>
        <v>4.4117647058823533</v>
      </c>
      <c r="AF1591" s="10">
        <f t="shared" si="570"/>
        <v>545600.00000000012</v>
      </c>
      <c r="AG1591" s="10">
        <f t="shared" si="571"/>
        <v>176000.00000000003</v>
      </c>
      <c r="AH1591" s="10">
        <f t="shared" si="572"/>
        <v>88000.000000000015</v>
      </c>
      <c r="AI1591" s="10">
        <f t="shared" si="573"/>
        <v>44000.000000000007</v>
      </c>
      <c r="AJ1591" s="10">
        <f t="shared" si="574"/>
        <v>26400.000000000004</v>
      </c>
    </row>
    <row r="1592" spans="1:36" x14ac:dyDescent="0.3">
      <c r="A1592" t="s">
        <v>6050</v>
      </c>
      <c r="B1592" t="s">
        <v>6051</v>
      </c>
      <c r="C1592" t="s">
        <v>6048</v>
      </c>
      <c r="D1592" t="s">
        <v>184</v>
      </c>
      <c r="E1592">
        <v>43570</v>
      </c>
      <c r="F1592" t="s">
        <v>15</v>
      </c>
      <c r="G1592">
        <v>8</v>
      </c>
      <c r="H1592">
        <v>250</v>
      </c>
      <c r="I1592" t="str" cm="1">
        <f t="array" ref="I1592">_xlfn.IFS(H1592&lt;=120,"V1",H1592&lt;=150,"V2",H1592&lt;=250,"V3", H1592&lt;=350, "V4")</f>
        <v>V3</v>
      </c>
      <c r="J1592" t="s">
        <v>6052</v>
      </c>
      <c r="K1592" t="str">
        <f t="shared" si="552"/>
        <v>41.605252</v>
      </c>
      <c r="L1592" t="str">
        <f t="shared" si="553"/>
        <v>-84.406468</v>
      </c>
      <c r="M1592">
        <v>240</v>
      </c>
      <c r="N1592" s="1">
        <v>45070</v>
      </c>
      <c r="O1592" s="1">
        <v>46099</v>
      </c>
      <c r="P1592" s="2">
        <f t="shared" si="554"/>
        <v>2.817248459958932</v>
      </c>
      <c r="Q1592" s="2" t="str">
        <f t="shared" si="555"/>
        <v>New</v>
      </c>
      <c r="R1592">
        <f t="shared" si="556"/>
        <v>2000</v>
      </c>
      <c r="S1592" t="str">
        <f t="shared" si="557"/>
        <v>Small</v>
      </c>
      <c r="T1592" t="str">
        <f t="shared" si="558"/>
        <v>Lower EV Adoption Corridor</v>
      </c>
      <c r="U1592" s="3">
        <f t="shared" si="559"/>
        <v>3600000</v>
      </c>
      <c r="V1592" s="4">
        <f t="shared" si="560"/>
        <v>880000.00000000012</v>
      </c>
      <c r="W1592" s="3">
        <f t="shared" si="561"/>
        <v>12000000</v>
      </c>
      <c r="X1592" s="3">
        <f t="shared" si="562"/>
        <v>6600000.0000000009</v>
      </c>
      <c r="Y1592">
        <f t="shared" si="563"/>
        <v>0.31515151515151513</v>
      </c>
      <c r="Z1592">
        <f t="shared" si="564"/>
        <v>0.75555555555555554</v>
      </c>
      <c r="AA1592" t="str">
        <f t="shared" si="565"/>
        <v>Tier 2 - Growth Markets</v>
      </c>
      <c r="AB1592" s="3">
        <f t="shared" si="566"/>
        <v>110000.00000000001</v>
      </c>
      <c r="AC1592" s="3">
        <f t="shared" si="567"/>
        <v>1500000</v>
      </c>
      <c r="AD1592" s="3">
        <f t="shared" si="568"/>
        <v>450000</v>
      </c>
      <c r="AE1592" s="5">
        <f t="shared" si="569"/>
        <v>4.4117647058823533</v>
      </c>
      <c r="AF1592" s="10">
        <f t="shared" si="570"/>
        <v>545600.00000000012</v>
      </c>
      <c r="AG1592" s="10">
        <f t="shared" si="571"/>
        <v>176000.00000000003</v>
      </c>
      <c r="AH1592" s="10">
        <f t="shared" si="572"/>
        <v>88000.000000000015</v>
      </c>
      <c r="AI1592" s="10">
        <f t="shared" si="573"/>
        <v>44000.000000000007</v>
      </c>
      <c r="AJ1592" s="10">
        <f t="shared" si="574"/>
        <v>26400.000000000004</v>
      </c>
    </row>
    <row r="1593" spans="1:36" x14ac:dyDescent="0.3">
      <c r="A1593" t="s">
        <v>6053</v>
      </c>
      <c r="B1593" t="s">
        <v>6054</v>
      </c>
      <c r="C1593" t="s">
        <v>6055</v>
      </c>
      <c r="D1593" t="s">
        <v>50</v>
      </c>
      <c r="E1593">
        <v>75454</v>
      </c>
      <c r="F1593" t="s">
        <v>15</v>
      </c>
      <c r="G1593">
        <v>8</v>
      </c>
      <c r="H1593">
        <v>250</v>
      </c>
      <c r="I1593" t="str" cm="1">
        <f t="array" ref="I1593">_xlfn.IFS(H1593&lt;=120,"V1",H1593&lt;=150,"V2",H1593&lt;=250,"V3", H1593&lt;=350, "V4")</f>
        <v>V3</v>
      </c>
      <c r="J1593" t="s">
        <v>6056</v>
      </c>
      <c r="K1593" t="str">
        <f t="shared" si="552"/>
        <v>33.270374</v>
      </c>
      <c r="L1593" t="str">
        <f t="shared" si="553"/>
        <v>-96.592973</v>
      </c>
      <c r="M1593">
        <v>196</v>
      </c>
      <c r="N1593" s="1">
        <v>44910</v>
      </c>
      <c r="O1593" s="1">
        <v>46099</v>
      </c>
      <c r="P1593" s="2">
        <f t="shared" si="554"/>
        <v>3.2553045859000687</v>
      </c>
      <c r="Q1593" s="2" t="str">
        <f t="shared" si="555"/>
        <v>Mid</v>
      </c>
      <c r="R1593">
        <f t="shared" si="556"/>
        <v>2000</v>
      </c>
      <c r="S1593" t="str">
        <f t="shared" si="557"/>
        <v>Small</v>
      </c>
      <c r="T1593" t="str">
        <f t="shared" si="558"/>
        <v>High EV Adoption Corridor</v>
      </c>
      <c r="U1593" s="3">
        <f t="shared" si="559"/>
        <v>4680000</v>
      </c>
      <c r="V1593" s="4">
        <f t="shared" si="560"/>
        <v>1056000</v>
      </c>
      <c r="W1593" s="3">
        <f t="shared" si="561"/>
        <v>13200000.000000002</v>
      </c>
      <c r="X1593" s="3">
        <f t="shared" si="562"/>
        <v>9900000.0000000019</v>
      </c>
      <c r="Y1593">
        <f t="shared" si="563"/>
        <v>0.23999999999999996</v>
      </c>
      <c r="Z1593">
        <f t="shared" si="564"/>
        <v>0.77435897435897438</v>
      </c>
      <c r="AA1593" t="str">
        <f t="shared" si="565"/>
        <v>Tier 1 - Priority Fleet</v>
      </c>
      <c r="AB1593" s="3">
        <f t="shared" si="566"/>
        <v>132000</v>
      </c>
      <c r="AC1593" s="3">
        <f t="shared" si="567"/>
        <v>1650000.0000000002</v>
      </c>
      <c r="AD1593" s="3">
        <f t="shared" si="568"/>
        <v>585000</v>
      </c>
      <c r="AE1593" s="5">
        <f t="shared" si="569"/>
        <v>3.6423841059602653</v>
      </c>
      <c r="AF1593" s="10">
        <f t="shared" si="570"/>
        <v>654720</v>
      </c>
      <c r="AG1593" s="10">
        <f t="shared" si="571"/>
        <v>211200</v>
      </c>
      <c r="AH1593" s="10">
        <f t="shared" si="572"/>
        <v>105600</v>
      </c>
      <c r="AI1593" s="10">
        <f t="shared" si="573"/>
        <v>52800</v>
      </c>
      <c r="AJ1593" s="10">
        <f t="shared" si="574"/>
        <v>31680</v>
      </c>
    </row>
    <row r="1594" spans="1:36" x14ac:dyDescent="0.3">
      <c r="A1594" t="s">
        <v>6057</v>
      </c>
      <c r="B1594" t="s">
        <v>6058</v>
      </c>
      <c r="C1594" t="s">
        <v>6059</v>
      </c>
      <c r="D1594" t="s">
        <v>77</v>
      </c>
      <c r="E1594">
        <v>28105</v>
      </c>
      <c r="F1594" t="s">
        <v>15</v>
      </c>
      <c r="G1594">
        <v>12</v>
      </c>
      <c r="H1594">
        <v>250</v>
      </c>
      <c r="I1594" t="str" cm="1">
        <f t="array" ref="I1594">_xlfn.IFS(H1594&lt;=120,"V1",H1594&lt;=150,"V2",H1594&lt;=250,"V3", H1594&lt;=350, "V4")</f>
        <v>V3</v>
      </c>
      <c r="J1594" t="s">
        <v>6060</v>
      </c>
      <c r="K1594" t="str">
        <f t="shared" si="552"/>
        <v>35.12847</v>
      </c>
      <c r="L1594" t="str">
        <f t="shared" si="553"/>
        <v>-80.700301</v>
      </c>
      <c r="M1594">
        <v>214</v>
      </c>
      <c r="N1594" s="1">
        <v>45013</v>
      </c>
      <c r="O1594" s="1">
        <v>46099</v>
      </c>
      <c r="P1594" s="2">
        <f t="shared" si="554"/>
        <v>2.9733059548254621</v>
      </c>
      <c r="Q1594" s="2" t="str">
        <f t="shared" si="555"/>
        <v>New</v>
      </c>
      <c r="R1594">
        <f t="shared" si="556"/>
        <v>3000</v>
      </c>
      <c r="S1594" t="str">
        <f t="shared" si="557"/>
        <v>Small</v>
      </c>
      <c r="T1594" t="str">
        <f t="shared" si="558"/>
        <v>Lower EV Adoption Corridor</v>
      </c>
      <c r="U1594" s="3">
        <f t="shared" si="559"/>
        <v>5400000</v>
      </c>
      <c r="V1594" s="4">
        <f t="shared" si="560"/>
        <v>1320000</v>
      </c>
      <c r="W1594" s="3">
        <f t="shared" si="561"/>
        <v>18000000</v>
      </c>
      <c r="X1594" s="3">
        <f t="shared" si="562"/>
        <v>9900000</v>
      </c>
      <c r="Y1594">
        <f t="shared" si="563"/>
        <v>0.31515151515151513</v>
      </c>
      <c r="Z1594">
        <f t="shared" si="564"/>
        <v>0.75555555555555554</v>
      </c>
      <c r="AA1594" t="str">
        <f t="shared" si="565"/>
        <v>Tier 2 - Growth Markets</v>
      </c>
      <c r="AB1594" s="3">
        <f t="shared" si="566"/>
        <v>110000</v>
      </c>
      <c r="AC1594" s="3">
        <f t="shared" si="567"/>
        <v>1500000</v>
      </c>
      <c r="AD1594" s="3">
        <f t="shared" si="568"/>
        <v>450000</v>
      </c>
      <c r="AE1594" s="5">
        <f t="shared" si="569"/>
        <v>4.4117647058823533</v>
      </c>
      <c r="AF1594" s="10">
        <f t="shared" si="570"/>
        <v>818400</v>
      </c>
      <c r="AG1594" s="10">
        <f t="shared" si="571"/>
        <v>264000</v>
      </c>
      <c r="AH1594" s="10">
        <f t="shared" si="572"/>
        <v>132000</v>
      </c>
      <c r="AI1594" s="10">
        <f t="shared" si="573"/>
        <v>66000</v>
      </c>
      <c r="AJ1594" s="10">
        <f t="shared" si="574"/>
        <v>39600</v>
      </c>
    </row>
    <row r="1595" spans="1:36" x14ac:dyDescent="0.3">
      <c r="A1595" t="s">
        <v>6061</v>
      </c>
      <c r="B1595" t="s">
        <v>6062</v>
      </c>
      <c r="C1595" t="s">
        <v>6063</v>
      </c>
      <c r="D1595" t="s">
        <v>230</v>
      </c>
      <c r="E1595">
        <v>98409</v>
      </c>
      <c r="F1595" t="s">
        <v>15</v>
      </c>
      <c r="G1595">
        <v>12</v>
      </c>
      <c r="H1595">
        <v>250</v>
      </c>
      <c r="I1595" t="str" cm="1">
        <f t="array" ref="I1595">_xlfn.IFS(H1595&lt;=120,"V1",H1595&lt;=150,"V2",H1595&lt;=250,"V3", H1595&lt;=350, "V4")</f>
        <v>V3</v>
      </c>
      <c r="J1595" t="s">
        <v>6064</v>
      </c>
      <c r="K1595" t="str">
        <f t="shared" si="552"/>
        <v>47.209113</v>
      </c>
      <c r="L1595" t="str">
        <f t="shared" si="553"/>
        <v>-122.462621</v>
      </c>
      <c r="M1595">
        <v>102</v>
      </c>
      <c r="N1595" s="1">
        <v>45000</v>
      </c>
      <c r="O1595" s="1">
        <v>46099</v>
      </c>
      <c r="P1595" s="2">
        <f t="shared" si="554"/>
        <v>3.0088980150581794</v>
      </c>
      <c r="Q1595" s="2" t="str">
        <f t="shared" si="555"/>
        <v>Mid</v>
      </c>
      <c r="R1595">
        <f t="shared" si="556"/>
        <v>3000</v>
      </c>
      <c r="S1595" t="str">
        <f t="shared" si="557"/>
        <v>Small</v>
      </c>
      <c r="T1595" t="str">
        <f t="shared" si="558"/>
        <v>High EV Adoption Corridor</v>
      </c>
      <c r="U1595" s="3">
        <f t="shared" si="559"/>
        <v>7020000</v>
      </c>
      <c r="V1595" s="4">
        <f t="shared" si="560"/>
        <v>1584000</v>
      </c>
      <c r="W1595" s="3">
        <f t="shared" si="561"/>
        <v>19800000</v>
      </c>
      <c r="X1595" s="3">
        <f t="shared" si="562"/>
        <v>14850000</v>
      </c>
      <c r="Y1595">
        <f t="shared" si="563"/>
        <v>0.24</v>
      </c>
      <c r="Z1595">
        <f t="shared" si="564"/>
        <v>0.77435897435897438</v>
      </c>
      <c r="AA1595" t="str">
        <f t="shared" si="565"/>
        <v>Tier 1 - Priority Fleet</v>
      </c>
      <c r="AB1595" s="3">
        <f t="shared" si="566"/>
        <v>132000</v>
      </c>
      <c r="AC1595" s="3">
        <f t="shared" si="567"/>
        <v>1650000</v>
      </c>
      <c r="AD1595" s="3">
        <f t="shared" si="568"/>
        <v>585000</v>
      </c>
      <c r="AE1595" s="5">
        <f t="shared" si="569"/>
        <v>3.6423841059602649</v>
      </c>
      <c r="AF1595" s="10">
        <f t="shared" si="570"/>
        <v>982080</v>
      </c>
      <c r="AG1595" s="10">
        <f t="shared" si="571"/>
        <v>316800</v>
      </c>
      <c r="AH1595" s="10">
        <f t="shared" si="572"/>
        <v>158400</v>
      </c>
      <c r="AI1595" s="10">
        <f t="shared" si="573"/>
        <v>79200</v>
      </c>
      <c r="AJ1595" s="10">
        <f t="shared" si="574"/>
        <v>47520</v>
      </c>
    </row>
    <row r="1596" spans="1:36" x14ac:dyDescent="0.3">
      <c r="A1596" t="s">
        <v>6065</v>
      </c>
      <c r="B1596" t="s">
        <v>6066</v>
      </c>
      <c r="C1596" t="s">
        <v>6067</v>
      </c>
      <c r="D1596" t="s">
        <v>433</v>
      </c>
      <c r="E1596">
        <v>89408</v>
      </c>
      <c r="F1596" t="s">
        <v>15</v>
      </c>
      <c r="G1596">
        <v>12</v>
      </c>
      <c r="H1596">
        <v>250</v>
      </c>
      <c r="I1596" t="str" cm="1">
        <f t="array" ref="I1596">_xlfn.IFS(H1596&lt;=120,"V1",H1596&lt;=150,"V2",H1596&lt;=250,"V3", H1596&lt;=350, "V4")</f>
        <v>V3</v>
      </c>
      <c r="J1596" t="s">
        <v>6068</v>
      </c>
      <c r="K1596" t="str">
        <f t="shared" si="552"/>
        <v>39.609596</v>
      </c>
      <c r="L1596" t="str">
        <f t="shared" si="553"/>
        <v>-119.220483</v>
      </c>
      <c r="M1596">
        <v>1259</v>
      </c>
      <c r="N1596" s="1">
        <v>44889</v>
      </c>
      <c r="O1596" s="1">
        <v>46099</v>
      </c>
      <c r="P1596" s="2">
        <f t="shared" si="554"/>
        <v>3.3127994524298425</v>
      </c>
      <c r="Q1596" s="2" t="str">
        <f t="shared" si="555"/>
        <v>Mid</v>
      </c>
      <c r="R1596">
        <f t="shared" si="556"/>
        <v>3000</v>
      </c>
      <c r="S1596" t="str">
        <f t="shared" si="557"/>
        <v>Small</v>
      </c>
      <c r="T1596" t="str">
        <f t="shared" si="558"/>
        <v>Lower EV Adoption Corridor</v>
      </c>
      <c r="U1596" s="3">
        <f t="shared" si="559"/>
        <v>5400000</v>
      </c>
      <c r="V1596" s="4">
        <f t="shared" si="560"/>
        <v>1320000</v>
      </c>
      <c r="W1596" s="3">
        <f t="shared" si="561"/>
        <v>18000000</v>
      </c>
      <c r="X1596" s="3">
        <f t="shared" si="562"/>
        <v>9900000</v>
      </c>
      <c r="Y1596">
        <f t="shared" si="563"/>
        <v>0.31515151515151513</v>
      </c>
      <c r="Z1596">
        <f t="shared" si="564"/>
        <v>0.75555555555555554</v>
      </c>
      <c r="AA1596" t="str">
        <f t="shared" si="565"/>
        <v>Tier 2 - Growth Markets</v>
      </c>
      <c r="AB1596" s="3">
        <f t="shared" si="566"/>
        <v>110000</v>
      </c>
      <c r="AC1596" s="3">
        <f t="shared" si="567"/>
        <v>1500000</v>
      </c>
      <c r="AD1596" s="3">
        <f t="shared" si="568"/>
        <v>450000</v>
      </c>
      <c r="AE1596" s="5">
        <f t="shared" si="569"/>
        <v>4.4117647058823533</v>
      </c>
      <c r="AF1596" s="10">
        <f t="shared" si="570"/>
        <v>818400</v>
      </c>
      <c r="AG1596" s="10">
        <f t="shared" si="571"/>
        <v>264000</v>
      </c>
      <c r="AH1596" s="10">
        <f t="shared" si="572"/>
        <v>132000</v>
      </c>
      <c r="AI1596" s="10">
        <f t="shared" si="573"/>
        <v>66000</v>
      </c>
      <c r="AJ1596" s="10">
        <f t="shared" si="574"/>
        <v>39600</v>
      </c>
    </row>
    <row r="1597" spans="1:36" x14ac:dyDescent="0.3">
      <c r="A1597" t="s">
        <v>6069</v>
      </c>
      <c r="B1597" t="s">
        <v>6070</v>
      </c>
      <c r="C1597" t="s">
        <v>6071</v>
      </c>
      <c r="D1597" t="s">
        <v>14</v>
      </c>
      <c r="E1597">
        <v>95937</v>
      </c>
      <c r="F1597" t="s">
        <v>15</v>
      </c>
      <c r="G1597">
        <v>8</v>
      </c>
      <c r="H1597">
        <v>250</v>
      </c>
      <c r="I1597" t="str" cm="1">
        <f t="array" ref="I1597">_xlfn.IFS(H1597&lt;=120,"V1",H1597&lt;=150,"V2",H1597&lt;=250,"V3", H1597&lt;=350, "V4")</f>
        <v>V3</v>
      </c>
      <c r="J1597" t="s">
        <v>6072</v>
      </c>
      <c r="K1597" t="str">
        <f t="shared" si="552"/>
        <v>38.862861</v>
      </c>
      <c r="L1597" t="str">
        <f t="shared" si="553"/>
        <v>-121.951538</v>
      </c>
      <c r="M1597">
        <v>17</v>
      </c>
      <c r="N1597" s="1">
        <v>44889</v>
      </c>
      <c r="O1597" s="1">
        <v>46099</v>
      </c>
      <c r="P1597" s="2">
        <f t="shared" si="554"/>
        <v>3.3127994524298425</v>
      </c>
      <c r="Q1597" s="2" t="str">
        <f t="shared" si="555"/>
        <v>Mid</v>
      </c>
      <c r="R1597">
        <f t="shared" si="556"/>
        <v>2000</v>
      </c>
      <c r="S1597" t="str">
        <f t="shared" si="557"/>
        <v>Small</v>
      </c>
      <c r="T1597" t="str">
        <f t="shared" si="558"/>
        <v>High EV Adoption Corridor</v>
      </c>
      <c r="U1597" s="3">
        <f t="shared" si="559"/>
        <v>4680000</v>
      </c>
      <c r="V1597" s="4">
        <f t="shared" si="560"/>
        <v>1056000</v>
      </c>
      <c r="W1597" s="3">
        <f t="shared" si="561"/>
        <v>13200000.000000002</v>
      </c>
      <c r="X1597" s="3">
        <f t="shared" si="562"/>
        <v>9900000.0000000019</v>
      </c>
      <c r="Y1597">
        <f t="shared" si="563"/>
        <v>0.23999999999999996</v>
      </c>
      <c r="Z1597">
        <f t="shared" si="564"/>
        <v>0.77435897435897438</v>
      </c>
      <c r="AA1597" t="str">
        <f t="shared" si="565"/>
        <v>Tier 1 - Priority Fleet</v>
      </c>
      <c r="AB1597" s="3">
        <f t="shared" si="566"/>
        <v>132000</v>
      </c>
      <c r="AC1597" s="3">
        <f t="shared" si="567"/>
        <v>1650000.0000000002</v>
      </c>
      <c r="AD1597" s="3">
        <f t="shared" si="568"/>
        <v>585000</v>
      </c>
      <c r="AE1597" s="5">
        <f t="shared" si="569"/>
        <v>3.6423841059602653</v>
      </c>
      <c r="AF1597" s="10">
        <f t="shared" si="570"/>
        <v>654720</v>
      </c>
      <c r="AG1597" s="10">
        <f t="shared" si="571"/>
        <v>211200</v>
      </c>
      <c r="AH1597" s="10">
        <f t="shared" si="572"/>
        <v>105600</v>
      </c>
      <c r="AI1597" s="10">
        <f t="shared" si="573"/>
        <v>52800</v>
      </c>
      <c r="AJ1597" s="10">
        <f t="shared" si="574"/>
        <v>31680</v>
      </c>
    </row>
    <row r="1598" spans="1:36" x14ac:dyDescent="0.3">
      <c r="A1598" t="s">
        <v>6073</v>
      </c>
      <c r="B1598" t="s">
        <v>6074</v>
      </c>
      <c r="C1598" t="s">
        <v>337</v>
      </c>
      <c r="D1598" t="s">
        <v>77</v>
      </c>
      <c r="E1598">
        <v>28277</v>
      </c>
      <c r="F1598" t="s">
        <v>15</v>
      </c>
      <c r="G1598">
        <v>12</v>
      </c>
      <c r="H1598">
        <v>250</v>
      </c>
      <c r="I1598" t="str" cm="1">
        <f t="array" ref="I1598">_xlfn.IFS(H1598&lt;=120,"V1",H1598&lt;=150,"V2",H1598&lt;=250,"V3", H1598&lt;=350, "V4")</f>
        <v>V3</v>
      </c>
      <c r="J1598" t="s">
        <v>6075</v>
      </c>
      <c r="K1598" t="str">
        <f t="shared" si="552"/>
        <v>35.062335</v>
      </c>
      <c r="L1598" t="str">
        <f t="shared" si="553"/>
        <v>-80.770842</v>
      </c>
      <c r="M1598">
        <v>211</v>
      </c>
      <c r="N1598" s="1">
        <v>44834</v>
      </c>
      <c r="O1598" s="1">
        <v>46099</v>
      </c>
      <c r="P1598" s="2">
        <f t="shared" si="554"/>
        <v>3.463381245722108</v>
      </c>
      <c r="Q1598" s="2" t="str">
        <f t="shared" si="555"/>
        <v>Mid</v>
      </c>
      <c r="R1598">
        <f t="shared" si="556"/>
        <v>3000</v>
      </c>
      <c r="S1598" t="str">
        <f t="shared" si="557"/>
        <v>Small</v>
      </c>
      <c r="T1598" t="str">
        <f t="shared" si="558"/>
        <v>Lower EV Adoption Corridor</v>
      </c>
      <c r="U1598" s="3">
        <f t="shared" si="559"/>
        <v>5400000</v>
      </c>
      <c r="V1598" s="4">
        <f t="shared" si="560"/>
        <v>1320000</v>
      </c>
      <c r="W1598" s="3">
        <f t="shared" si="561"/>
        <v>18000000</v>
      </c>
      <c r="X1598" s="3">
        <f t="shared" si="562"/>
        <v>9900000</v>
      </c>
      <c r="Y1598">
        <f t="shared" si="563"/>
        <v>0.31515151515151513</v>
      </c>
      <c r="Z1598">
        <f t="shared" si="564"/>
        <v>0.75555555555555554</v>
      </c>
      <c r="AA1598" t="str">
        <f t="shared" si="565"/>
        <v>Tier 2 - Growth Markets</v>
      </c>
      <c r="AB1598" s="3">
        <f t="shared" si="566"/>
        <v>110000</v>
      </c>
      <c r="AC1598" s="3">
        <f t="shared" si="567"/>
        <v>1500000</v>
      </c>
      <c r="AD1598" s="3">
        <f t="shared" si="568"/>
        <v>450000</v>
      </c>
      <c r="AE1598" s="5">
        <f t="shared" si="569"/>
        <v>4.4117647058823533</v>
      </c>
      <c r="AF1598" s="10">
        <f t="shared" si="570"/>
        <v>818400</v>
      </c>
      <c r="AG1598" s="10">
        <f t="shared" si="571"/>
        <v>264000</v>
      </c>
      <c r="AH1598" s="10">
        <f t="shared" si="572"/>
        <v>132000</v>
      </c>
      <c r="AI1598" s="10">
        <f t="shared" si="573"/>
        <v>66000</v>
      </c>
      <c r="AJ1598" s="10">
        <f t="shared" si="574"/>
        <v>39600</v>
      </c>
    </row>
    <row r="1599" spans="1:36" x14ac:dyDescent="0.3">
      <c r="A1599" t="s">
        <v>6076</v>
      </c>
      <c r="B1599" t="s">
        <v>6077</v>
      </c>
      <c r="C1599" t="s">
        <v>1234</v>
      </c>
      <c r="D1599" t="s">
        <v>14</v>
      </c>
      <c r="E1599">
        <v>95688</v>
      </c>
      <c r="F1599" t="s">
        <v>15</v>
      </c>
      <c r="G1599">
        <v>12</v>
      </c>
      <c r="H1599">
        <v>250</v>
      </c>
      <c r="I1599" t="str" cm="1">
        <f t="array" ref="I1599">_xlfn.IFS(H1599&lt;=120,"V1",H1599&lt;=150,"V2",H1599&lt;=250,"V3", H1599&lt;=350, "V4")</f>
        <v>V3</v>
      </c>
      <c r="J1599" t="s">
        <v>6078</v>
      </c>
      <c r="K1599" t="str">
        <f t="shared" si="552"/>
        <v>38.347268</v>
      </c>
      <c r="L1599" t="str">
        <f t="shared" si="553"/>
        <v>-121.999145</v>
      </c>
      <c r="M1599">
        <v>54</v>
      </c>
      <c r="N1599" s="1">
        <v>45034</v>
      </c>
      <c r="O1599" s="1">
        <v>46099</v>
      </c>
      <c r="P1599" s="2">
        <f t="shared" si="554"/>
        <v>2.9158110882956878</v>
      </c>
      <c r="Q1599" s="2" t="str">
        <f t="shared" si="555"/>
        <v>New</v>
      </c>
      <c r="R1599">
        <f t="shared" si="556"/>
        <v>3000</v>
      </c>
      <c r="S1599" t="str">
        <f t="shared" si="557"/>
        <v>Small</v>
      </c>
      <c r="T1599" t="str">
        <f t="shared" si="558"/>
        <v>High EV Adoption Corridor</v>
      </c>
      <c r="U1599" s="3">
        <f t="shared" si="559"/>
        <v>7020000</v>
      </c>
      <c r="V1599" s="4">
        <f t="shared" si="560"/>
        <v>1584000</v>
      </c>
      <c r="W1599" s="3">
        <f t="shared" si="561"/>
        <v>19800000</v>
      </c>
      <c r="X1599" s="3">
        <f t="shared" si="562"/>
        <v>14850000</v>
      </c>
      <c r="Y1599">
        <f t="shared" si="563"/>
        <v>0.24</v>
      </c>
      <c r="Z1599">
        <f t="shared" si="564"/>
        <v>0.77435897435897438</v>
      </c>
      <c r="AA1599" t="str">
        <f t="shared" si="565"/>
        <v>Tier 1 - Priority Fleet</v>
      </c>
      <c r="AB1599" s="3">
        <f t="shared" si="566"/>
        <v>132000</v>
      </c>
      <c r="AC1599" s="3">
        <f t="shared" si="567"/>
        <v>1650000</v>
      </c>
      <c r="AD1599" s="3">
        <f t="shared" si="568"/>
        <v>585000</v>
      </c>
      <c r="AE1599" s="5">
        <f t="shared" si="569"/>
        <v>3.6423841059602649</v>
      </c>
      <c r="AF1599" s="10">
        <f t="shared" si="570"/>
        <v>982080</v>
      </c>
      <c r="AG1599" s="10">
        <f t="shared" si="571"/>
        <v>316800</v>
      </c>
      <c r="AH1599" s="10">
        <f t="shared" si="572"/>
        <v>158400</v>
      </c>
      <c r="AI1599" s="10">
        <f t="shared" si="573"/>
        <v>79200</v>
      </c>
      <c r="AJ1599" s="10">
        <f t="shared" si="574"/>
        <v>47520</v>
      </c>
    </row>
    <row r="1600" spans="1:36" x14ac:dyDescent="0.3">
      <c r="A1600" t="s">
        <v>6079</v>
      </c>
      <c r="B1600" t="s">
        <v>6080</v>
      </c>
      <c r="C1600" t="s">
        <v>6081</v>
      </c>
      <c r="D1600" t="s">
        <v>14</v>
      </c>
      <c r="E1600">
        <v>91355</v>
      </c>
      <c r="F1600" t="s">
        <v>15</v>
      </c>
      <c r="G1600">
        <v>8</v>
      </c>
      <c r="H1600">
        <v>250</v>
      </c>
      <c r="I1600" t="str" cm="1">
        <f t="array" ref="I1600">_xlfn.IFS(H1600&lt;=120,"V1",H1600&lt;=150,"V2",H1600&lt;=250,"V3", H1600&lt;=350, "V4")</f>
        <v>V3</v>
      </c>
      <c r="J1600" t="s">
        <v>6082</v>
      </c>
      <c r="K1600" t="str">
        <f t="shared" si="552"/>
        <v>34.4237</v>
      </c>
      <c r="L1600" t="str">
        <f t="shared" si="553"/>
        <v>-118.5845</v>
      </c>
      <c r="M1600">
        <v>328</v>
      </c>
      <c r="N1600" s="1">
        <v>44910</v>
      </c>
      <c r="O1600" s="1">
        <v>46099</v>
      </c>
      <c r="P1600" s="2">
        <f t="shared" si="554"/>
        <v>3.2553045859000687</v>
      </c>
      <c r="Q1600" s="2" t="str">
        <f t="shared" si="555"/>
        <v>Mid</v>
      </c>
      <c r="R1600">
        <f t="shared" si="556"/>
        <v>2000</v>
      </c>
      <c r="S1600" t="str">
        <f t="shared" si="557"/>
        <v>Small</v>
      </c>
      <c r="T1600" t="str">
        <f t="shared" si="558"/>
        <v>High EV Adoption Corridor</v>
      </c>
      <c r="U1600" s="3">
        <f t="shared" si="559"/>
        <v>4680000</v>
      </c>
      <c r="V1600" s="4">
        <f t="shared" si="560"/>
        <v>1056000</v>
      </c>
      <c r="W1600" s="3">
        <f t="shared" si="561"/>
        <v>13200000.000000002</v>
      </c>
      <c r="X1600" s="3">
        <f t="shared" si="562"/>
        <v>9900000.0000000019</v>
      </c>
      <c r="Y1600">
        <f t="shared" si="563"/>
        <v>0.23999999999999996</v>
      </c>
      <c r="Z1600">
        <f t="shared" si="564"/>
        <v>0.77435897435897438</v>
      </c>
      <c r="AA1600" t="str">
        <f t="shared" si="565"/>
        <v>Tier 1 - Priority Fleet</v>
      </c>
      <c r="AB1600" s="3">
        <f t="shared" si="566"/>
        <v>132000</v>
      </c>
      <c r="AC1600" s="3">
        <f t="shared" si="567"/>
        <v>1650000.0000000002</v>
      </c>
      <c r="AD1600" s="3">
        <f t="shared" si="568"/>
        <v>585000</v>
      </c>
      <c r="AE1600" s="5">
        <f t="shared" si="569"/>
        <v>3.6423841059602653</v>
      </c>
      <c r="AF1600" s="10">
        <f t="shared" si="570"/>
        <v>654720</v>
      </c>
      <c r="AG1600" s="10">
        <f t="shared" si="571"/>
        <v>211200</v>
      </c>
      <c r="AH1600" s="10">
        <f t="shared" si="572"/>
        <v>105600</v>
      </c>
      <c r="AI1600" s="10">
        <f t="shared" si="573"/>
        <v>52800</v>
      </c>
      <c r="AJ1600" s="10">
        <f t="shared" si="574"/>
        <v>31680</v>
      </c>
    </row>
    <row r="1601" spans="1:36" x14ac:dyDescent="0.3">
      <c r="A1601" t="s">
        <v>6083</v>
      </c>
      <c r="B1601" t="s">
        <v>6084</v>
      </c>
      <c r="C1601" t="s">
        <v>1495</v>
      </c>
      <c r="D1601" t="s">
        <v>14</v>
      </c>
      <c r="E1601">
        <v>94534</v>
      </c>
      <c r="F1601" t="s">
        <v>15</v>
      </c>
      <c r="G1601">
        <v>12</v>
      </c>
      <c r="H1601">
        <v>250</v>
      </c>
      <c r="I1601" t="str" cm="1">
        <f t="array" ref="I1601">_xlfn.IFS(H1601&lt;=120,"V1",H1601&lt;=150,"V2",H1601&lt;=250,"V3", H1601&lt;=350, "V4")</f>
        <v>V3</v>
      </c>
      <c r="J1601" t="s">
        <v>6085</v>
      </c>
      <c r="K1601" t="str">
        <f t="shared" si="552"/>
        <v>38.257435</v>
      </c>
      <c r="L1601" t="str">
        <f t="shared" si="553"/>
        <v>-122.065449</v>
      </c>
      <c r="M1601">
        <v>13</v>
      </c>
      <c r="N1601" s="1">
        <v>44986</v>
      </c>
      <c r="O1601" s="1">
        <v>46099</v>
      </c>
      <c r="P1601" s="2">
        <f t="shared" si="554"/>
        <v>3.0472279260780288</v>
      </c>
      <c r="Q1601" s="2" t="str">
        <f t="shared" si="555"/>
        <v>Mid</v>
      </c>
      <c r="R1601">
        <f t="shared" si="556"/>
        <v>3000</v>
      </c>
      <c r="S1601" t="str">
        <f t="shared" si="557"/>
        <v>Small</v>
      </c>
      <c r="T1601" t="str">
        <f t="shared" si="558"/>
        <v>High EV Adoption Corridor</v>
      </c>
      <c r="U1601" s="3">
        <f t="shared" si="559"/>
        <v>7020000</v>
      </c>
      <c r="V1601" s="4">
        <f t="shared" si="560"/>
        <v>1584000</v>
      </c>
      <c r="W1601" s="3">
        <f t="shared" si="561"/>
        <v>19800000</v>
      </c>
      <c r="X1601" s="3">
        <f t="shared" si="562"/>
        <v>14850000</v>
      </c>
      <c r="Y1601">
        <f t="shared" si="563"/>
        <v>0.24</v>
      </c>
      <c r="Z1601">
        <f t="shared" si="564"/>
        <v>0.77435897435897438</v>
      </c>
      <c r="AA1601" t="str">
        <f t="shared" si="565"/>
        <v>Tier 1 - Priority Fleet</v>
      </c>
      <c r="AB1601" s="3">
        <f t="shared" si="566"/>
        <v>132000</v>
      </c>
      <c r="AC1601" s="3">
        <f t="shared" si="567"/>
        <v>1650000</v>
      </c>
      <c r="AD1601" s="3">
        <f t="shared" si="568"/>
        <v>585000</v>
      </c>
      <c r="AE1601" s="5">
        <f t="shared" si="569"/>
        <v>3.6423841059602649</v>
      </c>
      <c r="AF1601" s="10">
        <f t="shared" si="570"/>
        <v>982080</v>
      </c>
      <c r="AG1601" s="10">
        <f t="shared" si="571"/>
        <v>316800</v>
      </c>
      <c r="AH1601" s="10">
        <f t="shared" si="572"/>
        <v>158400</v>
      </c>
      <c r="AI1601" s="10">
        <f t="shared" si="573"/>
        <v>79200</v>
      </c>
      <c r="AJ1601" s="10">
        <f t="shared" si="574"/>
        <v>47520</v>
      </c>
    </row>
    <row r="1602" spans="1:36" x14ac:dyDescent="0.3">
      <c r="A1602" t="s">
        <v>6086</v>
      </c>
      <c r="B1602" t="s">
        <v>6087</v>
      </c>
      <c r="C1602" t="s">
        <v>1574</v>
      </c>
      <c r="D1602" t="s">
        <v>14</v>
      </c>
      <c r="E1602">
        <v>92805</v>
      </c>
      <c r="F1602" t="s">
        <v>15</v>
      </c>
      <c r="G1602">
        <v>16</v>
      </c>
      <c r="H1602">
        <v>250</v>
      </c>
      <c r="I1602" t="str" cm="1">
        <f t="array" ref="I1602">_xlfn.IFS(H1602&lt;=120,"V1",H1602&lt;=150,"V2",H1602&lt;=250,"V3", H1602&lt;=350, "V4")</f>
        <v>V3</v>
      </c>
      <c r="J1602" t="s">
        <v>6088</v>
      </c>
      <c r="K1602" t="str">
        <f t="shared" si="552"/>
        <v>33.8321991</v>
      </c>
      <c r="L1602" t="str">
        <f t="shared" si="553"/>
        <v>-117.9293952</v>
      </c>
      <c r="M1602">
        <v>44</v>
      </c>
      <c r="N1602" s="1">
        <v>44903</v>
      </c>
      <c r="O1602" s="1">
        <v>46099</v>
      </c>
      <c r="P1602" s="2">
        <f t="shared" si="554"/>
        <v>3.2744695414099931</v>
      </c>
      <c r="Q1602" s="2" t="str">
        <f t="shared" si="555"/>
        <v>Mid</v>
      </c>
      <c r="R1602">
        <f t="shared" si="556"/>
        <v>4000</v>
      </c>
      <c r="S1602" t="str">
        <f t="shared" si="557"/>
        <v>Small</v>
      </c>
      <c r="T1602" t="str">
        <f t="shared" si="558"/>
        <v>High EV Adoption Corridor</v>
      </c>
      <c r="U1602" s="3">
        <f t="shared" si="559"/>
        <v>9360000</v>
      </c>
      <c r="V1602" s="4">
        <f t="shared" si="560"/>
        <v>2112000</v>
      </c>
      <c r="W1602" s="3">
        <f t="shared" si="561"/>
        <v>26400000.000000004</v>
      </c>
      <c r="X1602" s="3">
        <f t="shared" si="562"/>
        <v>19800000.000000004</v>
      </c>
      <c r="Y1602">
        <f t="shared" si="563"/>
        <v>0.23999999999999996</v>
      </c>
      <c r="Z1602">
        <f t="shared" si="564"/>
        <v>0.77435897435897438</v>
      </c>
      <c r="AA1602" t="str">
        <f t="shared" si="565"/>
        <v>Tier 1 - Priority Fleet</v>
      </c>
      <c r="AB1602" s="3">
        <f t="shared" si="566"/>
        <v>132000</v>
      </c>
      <c r="AC1602" s="3">
        <f t="shared" si="567"/>
        <v>1650000.0000000002</v>
      </c>
      <c r="AD1602" s="3">
        <f t="shared" si="568"/>
        <v>585000</v>
      </c>
      <c r="AE1602" s="5">
        <f t="shared" si="569"/>
        <v>3.6423841059602653</v>
      </c>
      <c r="AF1602" s="10">
        <f t="shared" si="570"/>
        <v>1309440</v>
      </c>
      <c r="AG1602" s="10">
        <f t="shared" si="571"/>
        <v>422400</v>
      </c>
      <c r="AH1602" s="10">
        <f t="shared" si="572"/>
        <v>211200</v>
      </c>
      <c r="AI1602" s="10">
        <f t="shared" si="573"/>
        <v>105600</v>
      </c>
      <c r="AJ1602" s="10">
        <f t="shared" si="574"/>
        <v>63360</v>
      </c>
    </row>
    <row r="1603" spans="1:36" x14ac:dyDescent="0.3">
      <c r="A1603" t="s">
        <v>6089</v>
      </c>
      <c r="B1603" t="s">
        <v>6090</v>
      </c>
      <c r="C1603" t="s">
        <v>6091</v>
      </c>
      <c r="D1603" t="s">
        <v>14</v>
      </c>
      <c r="E1603">
        <v>92630</v>
      </c>
      <c r="F1603" t="s">
        <v>15</v>
      </c>
      <c r="G1603">
        <v>24</v>
      </c>
      <c r="H1603">
        <v>250</v>
      </c>
      <c r="I1603" t="str" cm="1">
        <f t="array" ref="I1603">_xlfn.IFS(H1603&lt;=120,"V1",H1603&lt;=150,"V2",H1603&lt;=250,"V3", H1603&lt;=350, "V4")</f>
        <v>V3</v>
      </c>
      <c r="J1603" t="s">
        <v>6092</v>
      </c>
      <c r="K1603" t="str">
        <f t="shared" ref="K1603:K1666" si="575">TRIM(LEFT(J1603, FIND(",", J1603) - 1))</f>
        <v>33.629413</v>
      </c>
      <c r="L1603" t="str">
        <f t="shared" ref="L1603:L1666" si="576">TRIM(MID(J1603, FIND(",", J1603) + 1, LEN(J1603)))</f>
        <v>-117.705886</v>
      </c>
      <c r="M1603">
        <v>113</v>
      </c>
      <c r="N1603" s="1">
        <v>44984</v>
      </c>
      <c r="O1603" s="1">
        <v>46099</v>
      </c>
      <c r="P1603" s="2">
        <f t="shared" ref="P1603:P1666" si="577">(O1603-N1603)/365.25</f>
        <v>3.052703627652293</v>
      </c>
      <c r="Q1603" s="2" t="str">
        <f t="shared" ref="Q1603:Q1666" si="578">IF(P1603&lt;3,"New",IF(P1603&lt;=8,"Mid","Old"))</f>
        <v>Mid</v>
      </c>
      <c r="R1603">
        <f t="shared" ref="R1603:R1666" si="579">G1603*H1603</f>
        <v>6000</v>
      </c>
      <c r="S1603" t="str">
        <f t="shared" ref="S1603:S1666" si="580">IF(G1603&lt;=30,"Small",IF(G1603&lt;=60,"Medium","Large"))</f>
        <v>Small</v>
      </c>
      <c r="T1603" t="str">
        <f t="shared" ref="T1603:T1666" si="581">IF(OR(D1603="CA",D1603="FL",D1603="WA",D1603="CO",D1603="TX",D1603="NJ"),"High EV Adoption Corridor","Lower EV Adoption Corridor")</f>
        <v>High EV Adoption Corridor</v>
      </c>
      <c r="U1603" s="3">
        <f t="shared" ref="U1603:U1666" si="582" xml:space="preserve"> R1603 * 1500 *
  IF(I1603="V1",1,
     IF(I1603="V2",1.1,1.2)) *
  IF(T1603="High EV Adoption Corridor",1.3,1)</f>
        <v>14040000</v>
      </c>
      <c r="V1603" s="4">
        <f t="shared" ref="V1603:V1666" si="583" xml:space="preserve"> R1603 * 400 *
  IF(I1603="V1",0.9,
     IF(I1603="V2",1,1.1)) *
  IF(T1603="High EV Adoption Corridor",1.2,1)</f>
        <v>3168000</v>
      </c>
      <c r="W1603" s="3">
        <f t="shared" ref="W1603:W1666" si="584" xml:space="preserve"> R1603 * 5000 *
  IF(I1603="V1",0.8,
     IF(I1603="V2",1,1.2)) *
  IF(T1603="High EV Adoption Corridor",1.1,1)</f>
        <v>39600000</v>
      </c>
      <c r="X1603" s="3">
        <f t="shared" ref="X1603:X1666" si="585" xml:space="preserve"> R1603 * 3000 *
  IF(I1603="V1",0.9,
     IF(I1603="V2",1,1.1)) *
  IF(T1603="High EV Adoption Corridor",1.5,1)</f>
        <v>29700000</v>
      </c>
      <c r="Y1603">
        <f t="shared" ref="Y1603:Y1666" si="586" xml:space="preserve"> ((W1603/10) + V1603) / X1603</f>
        <v>0.24</v>
      </c>
      <c r="Z1603">
        <f t="shared" ref="Z1603:Z1666" si="587">(U1603-V1603)/U1603</f>
        <v>0.77435897435897438</v>
      </c>
      <c r="AA1603" t="str">
        <f t="shared" ref="AA1603:AA1666" si="588">IF(AND(I1603="V3",T1603="High EV Adoption Corridor"),
"Tier 1 - Priority Fleet",
IF(AND(I1603="V3",T1603="Lower EV Adoption Corridor"),
"Tier 2 - Growth Markets",
IF(AND(OR(I1603="V1",I1603="V2"),T1603="High EV Adoption Corridor"),
"Tier 3 - Upgrade Pipeline",
IF(AND(I1603="V2",T1603="Lower EV Adoption Corridor"),
"Tier 4 - Stable Network",
"Tier 5 - Retirement Pipeline"))))</f>
        <v>Tier 1 - Priority Fleet</v>
      </c>
      <c r="AB1603" s="3">
        <f t="shared" ref="AB1603:AB1666" si="589">V1603/G1603</f>
        <v>132000</v>
      </c>
      <c r="AC1603" s="3">
        <f t="shared" ref="AC1603:AC1666" si="590">W1603/G1603</f>
        <v>1650000</v>
      </c>
      <c r="AD1603" s="3">
        <f t="shared" ref="AD1603:AD1666" si="591">U1603/G1603</f>
        <v>585000</v>
      </c>
      <c r="AE1603" s="5">
        <f t="shared" ref="AE1603:AE1666" si="592">W1603/(U1603-V1603)</f>
        <v>3.6423841059602649</v>
      </c>
      <c r="AF1603" s="10">
        <f t="shared" ref="AF1603:AF1666" si="593">V1603*0.62</f>
        <v>1964160</v>
      </c>
      <c r="AG1603" s="10">
        <f t="shared" ref="AG1603:AG1666" si="594">V1603*0.2</f>
        <v>633600</v>
      </c>
      <c r="AH1603" s="10">
        <f t="shared" ref="AH1603:AH1666" si="595">V1603*0.1</f>
        <v>316800</v>
      </c>
      <c r="AI1603" s="10">
        <f t="shared" ref="AI1603:AI1666" si="596">V1603*0.05</f>
        <v>158400</v>
      </c>
      <c r="AJ1603" s="10">
        <f t="shared" ref="AJ1603:AJ1666" si="597">V1603*0.03</f>
        <v>95040</v>
      </c>
    </row>
    <row r="1604" spans="1:36" x14ac:dyDescent="0.3">
      <c r="A1604" t="s">
        <v>6093</v>
      </c>
      <c r="B1604" t="s">
        <v>6094</v>
      </c>
      <c r="C1604" t="s">
        <v>2685</v>
      </c>
      <c r="D1604" t="s">
        <v>14</v>
      </c>
      <c r="E1604">
        <v>92691</v>
      </c>
      <c r="F1604" t="s">
        <v>15</v>
      </c>
      <c r="G1604">
        <v>8</v>
      </c>
      <c r="H1604">
        <v>72</v>
      </c>
      <c r="I1604" t="str" cm="1">
        <f t="array" ref="I1604">_xlfn.IFS(H1604&lt;=120,"V1",H1604&lt;=150,"V2",H1604&lt;=250,"V3", H1604&lt;=350, "V4")</f>
        <v>V1</v>
      </c>
      <c r="J1604" t="s">
        <v>6095</v>
      </c>
      <c r="K1604" t="str">
        <f t="shared" si="575"/>
        <v>33.5607</v>
      </c>
      <c r="L1604" t="str">
        <f t="shared" si="576"/>
        <v>-117.672028</v>
      </c>
      <c r="M1604">
        <v>90</v>
      </c>
      <c r="N1604" s="1">
        <v>44554</v>
      </c>
      <c r="O1604" s="1">
        <v>46099</v>
      </c>
      <c r="P1604" s="2">
        <f t="shared" si="577"/>
        <v>4.2299794661190964</v>
      </c>
      <c r="Q1604" s="2" t="str">
        <f t="shared" si="578"/>
        <v>Mid</v>
      </c>
      <c r="R1604">
        <f t="shared" si="579"/>
        <v>576</v>
      </c>
      <c r="S1604" t="str">
        <f t="shared" si="580"/>
        <v>Small</v>
      </c>
      <c r="T1604" t="str">
        <f t="shared" si="581"/>
        <v>High EV Adoption Corridor</v>
      </c>
      <c r="U1604" s="3">
        <f t="shared" si="582"/>
        <v>1123200</v>
      </c>
      <c r="V1604" s="4">
        <f t="shared" si="583"/>
        <v>248832</v>
      </c>
      <c r="W1604" s="3">
        <f t="shared" si="584"/>
        <v>2534400</v>
      </c>
      <c r="X1604" s="3">
        <f t="shared" si="585"/>
        <v>2332800</v>
      </c>
      <c r="Y1604">
        <f t="shared" si="586"/>
        <v>0.21530864197530863</v>
      </c>
      <c r="Z1604">
        <f t="shared" si="587"/>
        <v>0.77846153846153843</v>
      </c>
      <c r="AA1604" t="str">
        <f t="shared" si="588"/>
        <v>Tier 3 - Upgrade Pipeline</v>
      </c>
      <c r="AB1604" s="3">
        <f t="shared" si="589"/>
        <v>31104</v>
      </c>
      <c r="AC1604" s="3">
        <f t="shared" si="590"/>
        <v>316800</v>
      </c>
      <c r="AD1604" s="3">
        <f t="shared" si="591"/>
        <v>140400</v>
      </c>
      <c r="AE1604" s="5">
        <f t="shared" si="592"/>
        <v>2.8985507246376812</v>
      </c>
      <c r="AF1604" s="10">
        <f t="shared" si="593"/>
        <v>154275.84</v>
      </c>
      <c r="AG1604" s="10">
        <f t="shared" si="594"/>
        <v>49766.400000000001</v>
      </c>
      <c r="AH1604" s="10">
        <f t="shared" si="595"/>
        <v>24883.200000000001</v>
      </c>
      <c r="AI1604" s="10">
        <f t="shared" si="596"/>
        <v>12441.6</v>
      </c>
      <c r="AJ1604" s="10">
        <f t="shared" si="597"/>
        <v>7464.96</v>
      </c>
    </row>
    <row r="1605" spans="1:36" x14ac:dyDescent="0.3">
      <c r="A1605" t="s">
        <v>6096</v>
      </c>
      <c r="B1605" t="s">
        <v>6097</v>
      </c>
      <c r="C1605" t="s">
        <v>6098</v>
      </c>
      <c r="D1605" t="s">
        <v>14</v>
      </c>
      <c r="E1605">
        <v>95949</v>
      </c>
      <c r="F1605" t="s">
        <v>15</v>
      </c>
      <c r="G1605">
        <v>12</v>
      </c>
      <c r="H1605">
        <v>250</v>
      </c>
      <c r="I1605" t="str" cm="1">
        <f t="array" ref="I1605">_xlfn.IFS(H1605&lt;=120,"V1",H1605&lt;=150,"V2",H1605&lt;=250,"V3", H1605&lt;=350, "V4")</f>
        <v>V3</v>
      </c>
      <c r="J1605" t="s">
        <v>6099</v>
      </c>
      <c r="K1605" t="str">
        <f t="shared" si="575"/>
        <v>39.199798</v>
      </c>
      <c r="L1605" t="str">
        <f t="shared" si="576"/>
        <v>-121.064216</v>
      </c>
      <c r="M1605">
        <v>744</v>
      </c>
      <c r="N1605" s="1">
        <v>45071</v>
      </c>
      <c r="O1605" s="1">
        <v>46099</v>
      </c>
      <c r="P1605" s="2">
        <f t="shared" si="577"/>
        <v>2.8145106091718</v>
      </c>
      <c r="Q1605" s="2" t="str">
        <f t="shared" si="578"/>
        <v>New</v>
      </c>
      <c r="R1605">
        <f t="shared" si="579"/>
        <v>3000</v>
      </c>
      <c r="S1605" t="str">
        <f t="shared" si="580"/>
        <v>Small</v>
      </c>
      <c r="T1605" t="str">
        <f t="shared" si="581"/>
        <v>High EV Adoption Corridor</v>
      </c>
      <c r="U1605" s="3">
        <f t="shared" si="582"/>
        <v>7020000</v>
      </c>
      <c r="V1605" s="4">
        <f t="shared" si="583"/>
        <v>1584000</v>
      </c>
      <c r="W1605" s="3">
        <f t="shared" si="584"/>
        <v>19800000</v>
      </c>
      <c r="X1605" s="3">
        <f t="shared" si="585"/>
        <v>14850000</v>
      </c>
      <c r="Y1605">
        <f t="shared" si="586"/>
        <v>0.24</v>
      </c>
      <c r="Z1605">
        <f t="shared" si="587"/>
        <v>0.77435897435897438</v>
      </c>
      <c r="AA1605" t="str">
        <f t="shared" si="588"/>
        <v>Tier 1 - Priority Fleet</v>
      </c>
      <c r="AB1605" s="3">
        <f t="shared" si="589"/>
        <v>132000</v>
      </c>
      <c r="AC1605" s="3">
        <f t="shared" si="590"/>
        <v>1650000</v>
      </c>
      <c r="AD1605" s="3">
        <f t="shared" si="591"/>
        <v>585000</v>
      </c>
      <c r="AE1605" s="5">
        <f t="shared" si="592"/>
        <v>3.6423841059602649</v>
      </c>
      <c r="AF1605" s="10">
        <f t="shared" si="593"/>
        <v>982080</v>
      </c>
      <c r="AG1605" s="10">
        <f t="shared" si="594"/>
        <v>316800</v>
      </c>
      <c r="AH1605" s="10">
        <f t="shared" si="595"/>
        <v>158400</v>
      </c>
      <c r="AI1605" s="10">
        <f t="shared" si="596"/>
        <v>79200</v>
      </c>
      <c r="AJ1605" s="10">
        <f t="shared" si="597"/>
        <v>47520</v>
      </c>
    </row>
    <row r="1606" spans="1:36" x14ac:dyDescent="0.3">
      <c r="A1606" t="s">
        <v>6100</v>
      </c>
      <c r="B1606" t="s">
        <v>6101</v>
      </c>
      <c r="C1606" t="s">
        <v>2264</v>
      </c>
      <c r="D1606" t="s">
        <v>14</v>
      </c>
      <c r="E1606">
        <v>94301</v>
      </c>
      <c r="F1606" t="s">
        <v>15</v>
      </c>
      <c r="G1606">
        <v>19</v>
      </c>
      <c r="H1606">
        <v>250</v>
      </c>
      <c r="I1606" t="str" cm="1">
        <f t="array" ref="I1606">_xlfn.IFS(H1606&lt;=120,"V1",H1606&lt;=150,"V2",H1606&lt;=250,"V3", H1606&lt;=350, "V4")</f>
        <v>V3</v>
      </c>
      <c r="J1606" t="s">
        <v>6102</v>
      </c>
      <c r="K1606" t="str">
        <f t="shared" si="575"/>
        <v>37.446507</v>
      </c>
      <c r="L1606" t="str">
        <f t="shared" si="576"/>
        <v>-122.162028</v>
      </c>
      <c r="M1606">
        <v>18</v>
      </c>
      <c r="N1606" s="1">
        <v>44807</v>
      </c>
      <c r="O1606" s="1">
        <v>46099</v>
      </c>
      <c r="P1606" s="2">
        <f t="shared" si="577"/>
        <v>3.5373032169746748</v>
      </c>
      <c r="Q1606" s="2" t="str">
        <f t="shared" si="578"/>
        <v>Mid</v>
      </c>
      <c r="R1606">
        <f t="shared" si="579"/>
        <v>4750</v>
      </c>
      <c r="S1606" t="str">
        <f t="shared" si="580"/>
        <v>Small</v>
      </c>
      <c r="T1606" t="str">
        <f t="shared" si="581"/>
        <v>High EV Adoption Corridor</v>
      </c>
      <c r="U1606" s="3">
        <f t="shared" si="582"/>
        <v>11115000</v>
      </c>
      <c r="V1606" s="4">
        <f t="shared" si="583"/>
        <v>2508000</v>
      </c>
      <c r="W1606" s="3">
        <f t="shared" si="584"/>
        <v>31350000.000000004</v>
      </c>
      <c r="X1606" s="3">
        <f t="shared" si="585"/>
        <v>23512500.000000004</v>
      </c>
      <c r="Y1606">
        <f t="shared" si="586"/>
        <v>0.23999999999999996</v>
      </c>
      <c r="Z1606">
        <f t="shared" si="587"/>
        <v>0.77435897435897438</v>
      </c>
      <c r="AA1606" t="str">
        <f t="shared" si="588"/>
        <v>Tier 1 - Priority Fleet</v>
      </c>
      <c r="AB1606" s="3">
        <f t="shared" si="589"/>
        <v>132000</v>
      </c>
      <c r="AC1606" s="3">
        <f t="shared" si="590"/>
        <v>1650000.0000000002</v>
      </c>
      <c r="AD1606" s="3">
        <f t="shared" si="591"/>
        <v>585000</v>
      </c>
      <c r="AE1606" s="5">
        <f t="shared" si="592"/>
        <v>3.6423841059602653</v>
      </c>
      <c r="AF1606" s="10">
        <f t="shared" si="593"/>
        <v>1554960</v>
      </c>
      <c r="AG1606" s="10">
        <f t="shared" si="594"/>
        <v>501600</v>
      </c>
      <c r="AH1606" s="10">
        <f t="shared" si="595"/>
        <v>250800</v>
      </c>
      <c r="AI1606" s="10">
        <f t="shared" si="596"/>
        <v>125400</v>
      </c>
      <c r="AJ1606" s="10">
        <f t="shared" si="597"/>
        <v>75240</v>
      </c>
    </row>
    <row r="1607" spans="1:36" x14ac:dyDescent="0.3">
      <c r="A1607" t="s">
        <v>6103</v>
      </c>
      <c r="B1607" t="s">
        <v>6104</v>
      </c>
      <c r="C1607" t="s">
        <v>2717</v>
      </c>
      <c r="D1607" t="s">
        <v>14</v>
      </c>
      <c r="E1607">
        <v>94598</v>
      </c>
      <c r="F1607" t="s">
        <v>15</v>
      </c>
      <c r="G1607">
        <v>12</v>
      </c>
      <c r="H1607">
        <v>250</v>
      </c>
      <c r="I1607" t="str" cm="1">
        <f t="array" ref="I1607">_xlfn.IFS(H1607&lt;=120,"V1",H1607&lt;=150,"V2",H1607&lt;=250,"V3", H1607&lt;=350, "V4")</f>
        <v>V3</v>
      </c>
      <c r="J1607" t="s">
        <v>6105</v>
      </c>
      <c r="K1607" t="str">
        <f t="shared" si="575"/>
        <v>37.930078</v>
      </c>
      <c r="L1607" t="str">
        <f t="shared" si="576"/>
        <v>-122.014812</v>
      </c>
      <c r="M1607">
        <v>37</v>
      </c>
      <c r="N1607" s="1">
        <v>45079</v>
      </c>
      <c r="O1607" s="1">
        <v>46099</v>
      </c>
      <c r="P1607" s="2">
        <f t="shared" si="577"/>
        <v>2.7926078028747434</v>
      </c>
      <c r="Q1607" s="2" t="str">
        <f t="shared" si="578"/>
        <v>New</v>
      </c>
      <c r="R1607">
        <f t="shared" si="579"/>
        <v>3000</v>
      </c>
      <c r="S1607" t="str">
        <f t="shared" si="580"/>
        <v>Small</v>
      </c>
      <c r="T1607" t="str">
        <f t="shared" si="581"/>
        <v>High EV Adoption Corridor</v>
      </c>
      <c r="U1607" s="3">
        <f t="shared" si="582"/>
        <v>7020000</v>
      </c>
      <c r="V1607" s="4">
        <f t="shared" si="583"/>
        <v>1584000</v>
      </c>
      <c r="W1607" s="3">
        <f t="shared" si="584"/>
        <v>19800000</v>
      </c>
      <c r="X1607" s="3">
        <f t="shared" si="585"/>
        <v>14850000</v>
      </c>
      <c r="Y1607">
        <f t="shared" si="586"/>
        <v>0.24</v>
      </c>
      <c r="Z1607">
        <f t="shared" si="587"/>
        <v>0.77435897435897438</v>
      </c>
      <c r="AA1607" t="str">
        <f t="shared" si="588"/>
        <v>Tier 1 - Priority Fleet</v>
      </c>
      <c r="AB1607" s="3">
        <f t="shared" si="589"/>
        <v>132000</v>
      </c>
      <c r="AC1607" s="3">
        <f t="shared" si="590"/>
        <v>1650000</v>
      </c>
      <c r="AD1607" s="3">
        <f t="shared" si="591"/>
        <v>585000</v>
      </c>
      <c r="AE1607" s="5">
        <f t="shared" si="592"/>
        <v>3.6423841059602649</v>
      </c>
      <c r="AF1607" s="10">
        <f t="shared" si="593"/>
        <v>982080</v>
      </c>
      <c r="AG1607" s="10">
        <f t="shared" si="594"/>
        <v>316800</v>
      </c>
      <c r="AH1607" s="10">
        <f t="shared" si="595"/>
        <v>158400</v>
      </c>
      <c r="AI1607" s="10">
        <f t="shared" si="596"/>
        <v>79200</v>
      </c>
      <c r="AJ1607" s="10">
        <f t="shared" si="597"/>
        <v>47520</v>
      </c>
    </row>
    <row r="1608" spans="1:36" x14ac:dyDescent="0.3">
      <c r="A1608" t="s">
        <v>6106</v>
      </c>
      <c r="B1608" t="s">
        <v>6107</v>
      </c>
      <c r="C1608" t="s">
        <v>2233</v>
      </c>
      <c r="D1608" t="s">
        <v>14</v>
      </c>
      <c r="E1608">
        <v>90404</v>
      </c>
      <c r="F1608" t="s">
        <v>15</v>
      </c>
      <c r="G1608">
        <v>16</v>
      </c>
      <c r="H1608">
        <v>250</v>
      </c>
      <c r="I1608" t="str" cm="1">
        <f t="array" ref="I1608">_xlfn.IFS(H1608&lt;=120,"V1",H1608&lt;=150,"V2",H1608&lt;=250,"V3", H1608&lt;=350, "V4")</f>
        <v>V3</v>
      </c>
      <c r="J1608" t="s">
        <v>6108</v>
      </c>
      <c r="K1608" t="str">
        <f t="shared" si="575"/>
        <v>34.025098</v>
      </c>
      <c r="L1608" t="str">
        <f t="shared" si="576"/>
        <v>-118.469543</v>
      </c>
      <c r="M1608">
        <v>49</v>
      </c>
      <c r="N1608" s="1">
        <v>44855</v>
      </c>
      <c r="O1608" s="1">
        <v>46099</v>
      </c>
      <c r="P1608" s="2">
        <f t="shared" si="577"/>
        <v>3.4058863791923342</v>
      </c>
      <c r="Q1608" s="2" t="str">
        <f t="shared" si="578"/>
        <v>Mid</v>
      </c>
      <c r="R1608">
        <f t="shared" si="579"/>
        <v>4000</v>
      </c>
      <c r="S1608" t="str">
        <f t="shared" si="580"/>
        <v>Small</v>
      </c>
      <c r="T1608" t="str">
        <f t="shared" si="581"/>
        <v>High EV Adoption Corridor</v>
      </c>
      <c r="U1608" s="3">
        <f t="shared" si="582"/>
        <v>9360000</v>
      </c>
      <c r="V1608" s="4">
        <f t="shared" si="583"/>
        <v>2112000</v>
      </c>
      <c r="W1608" s="3">
        <f t="shared" si="584"/>
        <v>26400000.000000004</v>
      </c>
      <c r="X1608" s="3">
        <f t="shared" si="585"/>
        <v>19800000.000000004</v>
      </c>
      <c r="Y1608">
        <f t="shared" si="586"/>
        <v>0.23999999999999996</v>
      </c>
      <c r="Z1608">
        <f t="shared" si="587"/>
        <v>0.77435897435897438</v>
      </c>
      <c r="AA1608" t="str">
        <f t="shared" si="588"/>
        <v>Tier 1 - Priority Fleet</v>
      </c>
      <c r="AB1608" s="3">
        <f t="shared" si="589"/>
        <v>132000</v>
      </c>
      <c r="AC1608" s="3">
        <f t="shared" si="590"/>
        <v>1650000.0000000002</v>
      </c>
      <c r="AD1608" s="3">
        <f t="shared" si="591"/>
        <v>585000</v>
      </c>
      <c r="AE1608" s="5">
        <f t="shared" si="592"/>
        <v>3.6423841059602653</v>
      </c>
      <c r="AF1608" s="10">
        <f t="shared" si="593"/>
        <v>1309440</v>
      </c>
      <c r="AG1608" s="10">
        <f t="shared" si="594"/>
        <v>422400</v>
      </c>
      <c r="AH1608" s="10">
        <f t="shared" si="595"/>
        <v>211200</v>
      </c>
      <c r="AI1608" s="10">
        <f t="shared" si="596"/>
        <v>105600</v>
      </c>
      <c r="AJ1608" s="10">
        <f t="shared" si="597"/>
        <v>63360</v>
      </c>
    </row>
    <row r="1609" spans="1:36" x14ac:dyDescent="0.3">
      <c r="A1609" t="s">
        <v>6109</v>
      </c>
      <c r="B1609" t="s">
        <v>6110</v>
      </c>
      <c r="C1609" t="s">
        <v>6111</v>
      </c>
      <c r="D1609" t="s">
        <v>50</v>
      </c>
      <c r="E1609">
        <v>77840</v>
      </c>
      <c r="F1609" t="s">
        <v>15</v>
      </c>
      <c r="G1609">
        <v>8</v>
      </c>
      <c r="H1609">
        <v>250</v>
      </c>
      <c r="I1609" t="str" cm="1">
        <f t="array" ref="I1609">_xlfn.IFS(H1609&lt;=120,"V1",H1609&lt;=150,"V2",H1609&lt;=250,"V3", H1609&lt;=350, "V4")</f>
        <v>V3</v>
      </c>
      <c r="J1609" t="s">
        <v>6112</v>
      </c>
      <c r="K1609" t="str">
        <f t="shared" si="575"/>
        <v>30.612968</v>
      </c>
      <c r="L1609" t="str">
        <f t="shared" si="576"/>
        <v>-96.31709</v>
      </c>
      <c r="M1609">
        <v>93</v>
      </c>
      <c r="N1609" s="1">
        <v>44908</v>
      </c>
      <c r="O1609" s="1">
        <v>46099</v>
      </c>
      <c r="P1609" s="2">
        <f t="shared" si="577"/>
        <v>3.2607802874743328</v>
      </c>
      <c r="Q1609" s="2" t="str">
        <f t="shared" si="578"/>
        <v>Mid</v>
      </c>
      <c r="R1609">
        <f t="shared" si="579"/>
        <v>2000</v>
      </c>
      <c r="S1609" t="str">
        <f t="shared" si="580"/>
        <v>Small</v>
      </c>
      <c r="T1609" t="str">
        <f t="shared" si="581"/>
        <v>High EV Adoption Corridor</v>
      </c>
      <c r="U1609" s="3">
        <f t="shared" si="582"/>
        <v>4680000</v>
      </c>
      <c r="V1609" s="4">
        <f t="shared" si="583"/>
        <v>1056000</v>
      </c>
      <c r="W1609" s="3">
        <f t="shared" si="584"/>
        <v>13200000.000000002</v>
      </c>
      <c r="X1609" s="3">
        <f t="shared" si="585"/>
        <v>9900000.0000000019</v>
      </c>
      <c r="Y1609">
        <f t="shared" si="586"/>
        <v>0.23999999999999996</v>
      </c>
      <c r="Z1609">
        <f t="shared" si="587"/>
        <v>0.77435897435897438</v>
      </c>
      <c r="AA1609" t="str">
        <f t="shared" si="588"/>
        <v>Tier 1 - Priority Fleet</v>
      </c>
      <c r="AB1609" s="3">
        <f t="shared" si="589"/>
        <v>132000</v>
      </c>
      <c r="AC1609" s="3">
        <f t="shared" si="590"/>
        <v>1650000.0000000002</v>
      </c>
      <c r="AD1609" s="3">
        <f t="shared" si="591"/>
        <v>585000</v>
      </c>
      <c r="AE1609" s="5">
        <f t="shared" si="592"/>
        <v>3.6423841059602653</v>
      </c>
      <c r="AF1609" s="10">
        <f t="shared" si="593"/>
        <v>654720</v>
      </c>
      <c r="AG1609" s="10">
        <f t="shared" si="594"/>
        <v>211200</v>
      </c>
      <c r="AH1609" s="10">
        <f t="shared" si="595"/>
        <v>105600</v>
      </c>
      <c r="AI1609" s="10">
        <f t="shared" si="596"/>
        <v>52800</v>
      </c>
      <c r="AJ1609" s="10">
        <f t="shared" si="597"/>
        <v>31680</v>
      </c>
    </row>
    <row r="1610" spans="1:36" x14ac:dyDescent="0.3">
      <c r="A1610" t="s">
        <v>6113</v>
      </c>
      <c r="B1610" t="s">
        <v>6114</v>
      </c>
      <c r="C1610" t="s">
        <v>1720</v>
      </c>
      <c r="D1610" t="s">
        <v>14</v>
      </c>
      <c r="E1610">
        <v>92532</v>
      </c>
      <c r="F1610" t="s">
        <v>15</v>
      </c>
      <c r="G1610">
        <v>16</v>
      </c>
      <c r="H1610">
        <v>250</v>
      </c>
      <c r="I1610" t="str" cm="1">
        <f t="array" ref="I1610">_xlfn.IFS(H1610&lt;=120,"V1",H1610&lt;=150,"V2",H1610&lt;=250,"V3", H1610&lt;=350, "V4")</f>
        <v>V3</v>
      </c>
      <c r="J1610" t="s">
        <v>6115</v>
      </c>
      <c r="K1610" t="str">
        <f t="shared" si="575"/>
        <v>33.65937259957883</v>
      </c>
      <c r="L1610" t="str">
        <f t="shared" si="576"/>
        <v>-117.29450572076</v>
      </c>
      <c r="M1610">
        <v>416</v>
      </c>
      <c r="N1610" s="1">
        <v>44911</v>
      </c>
      <c r="O1610" s="1">
        <v>46099</v>
      </c>
      <c r="P1610" s="2">
        <f t="shared" si="577"/>
        <v>3.2525667351129361</v>
      </c>
      <c r="Q1610" s="2" t="str">
        <f t="shared" si="578"/>
        <v>Mid</v>
      </c>
      <c r="R1610">
        <f t="shared" si="579"/>
        <v>4000</v>
      </c>
      <c r="S1610" t="str">
        <f t="shared" si="580"/>
        <v>Small</v>
      </c>
      <c r="T1610" t="str">
        <f t="shared" si="581"/>
        <v>High EV Adoption Corridor</v>
      </c>
      <c r="U1610" s="3">
        <f t="shared" si="582"/>
        <v>9360000</v>
      </c>
      <c r="V1610" s="4">
        <f t="shared" si="583"/>
        <v>2112000</v>
      </c>
      <c r="W1610" s="3">
        <f t="shared" si="584"/>
        <v>26400000.000000004</v>
      </c>
      <c r="X1610" s="3">
        <f t="shared" si="585"/>
        <v>19800000.000000004</v>
      </c>
      <c r="Y1610">
        <f t="shared" si="586"/>
        <v>0.23999999999999996</v>
      </c>
      <c r="Z1610">
        <f t="shared" si="587"/>
        <v>0.77435897435897438</v>
      </c>
      <c r="AA1610" t="str">
        <f t="shared" si="588"/>
        <v>Tier 1 - Priority Fleet</v>
      </c>
      <c r="AB1610" s="3">
        <f t="shared" si="589"/>
        <v>132000</v>
      </c>
      <c r="AC1610" s="3">
        <f t="shared" si="590"/>
        <v>1650000.0000000002</v>
      </c>
      <c r="AD1610" s="3">
        <f t="shared" si="591"/>
        <v>585000</v>
      </c>
      <c r="AE1610" s="5">
        <f t="shared" si="592"/>
        <v>3.6423841059602653</v>
      </c>
      <c r="AF1610" s="10">
        <f t="shared" si="593"/>
        <v>1309440</v>
      </c>
      <c r="AG1610" s="10">
        <f t="shared" si="594"/>
        <v>422400</v>
      </c>
      <c r="AH1610" s="10">
        <f t="shared" si="595"/>
        <v>211200</v>
      </c>
      <c r="AI1610" s="10">
        <f t="shared" si="596"/>
        <v>105600</v>
      </c>
      <c r="AJ1610" s="10">
        <f t="shared" si="597"/>
        <v>63360</v>
      </c>
    </row>
    <row r="1611" spans="1:36" x14ac:dyDescent="0.3">
      <c r="A1611" t="s">
        <v>6116</v>
      </c>
      <c r="B1611" t="s">
        <v>6117</v>
      </c>
      <c r="C1611" t="s">
        <v>1608</v>
      </c>
      <c r="D1611" t="s">
        <v>14</v>
      </c>
      <c r="E1611">
        <v>93210</v>
      </c>
      <c r="F1611" t="s">
        <v>15</v>
      </c>
      <c r="G1611">
        <v>80</v>
      </c>
      <c r="H1611">
        <v>250</v>
      </c>
      <c r="I1611" t="str" cm="1">
        <f t="array" ref="I1611">_xlfn.IFS(H1611&lt;=120,"V1",H1611&lt;=150,"V2",H1611&lt;=250,"V3", H1611&lt;=350, "V4")</f>
        <v>V3</v>
      </c>
      <c r="J1611" t="s">
        <v>6118</v>
      </c>
      <c r="K1611" t="str">
        <f t="shared" si="575"/>
        <v>36.253519</v>
      </c>
      <c r="L1611" t="str">
        <f t="shared" si="576"/>
        <v>-120.240461</v>
      </c>
      <c r="M1611">
        <v>141</v>
      </c>
      <c r="N1611" s="1">
        <v>44910</v>
      </c>
      <c r="O1611" s="1">
        <v>46099</v>
      </c>
      <c r="P1611" s="2">
        <f t="shared" si="577"/>
        <v>3.2553045859000687</v>
      </c>
      <c r="Q1611" s="2" t="str">
        <f t="shared" si="578"/>
        <v>Mid</v>
      </c>
      <c r="R1611">
        <f t="shared" si="579"/>
        <v>20000</v>
      </c>
      <c r="S1611" t="str">
        <f t="shared" si="580"/>
        <v>Large</v>
      </c>
      <c r="T1611" t="str">
        <f t="shared" si="581"/>
        <v>High EV Adoption Corridor</v>
      </c>
      <c r="U1611" s="3">
        <f t="shared" si="582"/>
        <v>46800000</v>
      </c>
      <c r="V1611" s="4">
        <f t="shared" si="583"/>
        <v>10560000</v>
      </c>
      <c r="W1611" s="3">
        <f t="shared" si="584"/>
        <v>132000000.00000001</v>
      </c>
      <c r="X1611" s="3">
        <f t="shared" si="585"/>
        <v>99000000.000000015</v>
      </c>
      <c r="Y1611">
        <f t="shared" si="586"/>
        <v>0.23999999999999996</v>
      </c>
      <c r="Z1611">
        <f t="shared" si="587"/>
        <v>0.77435897435897438</v>
      </c>
      <c r="AA1611" t="str">
        <f t="shared" si="588"/>
        <v>Tier 1 - Priority Fleet</v>
      </c>
      <c r="AB1611" s="3">
        <f t="shared" si="589"/>
        <v>132000</v>
      </c>
      <c r="AC1611" s="3">
        <f t="shared" si="590"/>
        <v>1650000.0000000002</v>
      </c>
      <c r="AD1611" s="3">
        <f t="shared" si="591"/>
        <v>585000</v>
      </c>
      <c r="AE1611" s="5">
        <f t="shared" si="592"/>
        <v>3.6423841059602653</v>
      </c>
      <c r="AF1611" s="10">
        <f t="shared" si="593"/>
        <v>6547200</v>
      </c>
      <c r="AG1611" s="10">
        <f t="shared" si="594"/>
        <v>2112000</v>
      </c>
      <c r="AH1611" s="10">
        <f t="shared" si="595"/>
        <v>1056000</v>
      </c>
      <c r="AI1611" s="10">
        <f t="shared" si="596"/>
        <v>528000</v>
      </c>
      <c r="AJ1611" s="10">
        <f t="shared" si="597"/>
        <v>316800</v>
      </c>
    </row>
    <row r="1612" spans="1:36" x14ac:dyDescent="0.3">
      <c r="A1612" t="s">
        <v>6119</v>
      </c>
      <c r="B1612" t="s">
        <v>6120</v>
      </c>
      <c r="C1612" t="s">
        <v>6121</v>
      </c>
      <c r="D1612" t="s">
        <v>852</v>
      </c>
      <c r="E1612">
        <v>7643</v>
      </c>
      <c r="F1612" t="s">
        <v>15</v>
      </c>
      <c r="G1612">
        <v>12</v>
      </c>
      <c r="H1612">
        <v>250</v>
      </c>
      <c r="I1612" t="str" cm="1">
        <f t="array" ref="I1612">_xlfn.IFS(H1612&lt;=120,"V1",H1612&lt;=150,"V2",H1612&lt;=250,"V3", H1612&lt;=350, "V4")</f>
        <v>V3</v>
      </c>
      <c r="J1612" t="s">
        <v>6122</v>
      </c>
      <c r="K1612" t="str">
        <f t="shared" si="575"/>
        <v>40.855059</v>
      </c>
      <c r="L1612" t="str">
        <f t="shared" si="576"/>
        <v>-74.0333262</v>
      </c>
      <c r="M1612">
        <v>2</v>
      </c>
      <c r="N1612" s="1">
        <v>44911</v>
      </c>
      <c r="O1612" s="1">
        <v>46099</v>
      </c>
      <c r="P1612" s="2">
        <f t="shared" si="577"/>
        <v>3.2525667351129361</v>
      </c>
      <c r="Q1612" s="2" t="str">
        <f t="shared" si="578"/>
        <v>Mid</v>
      </c>
      <c r="R1612">
        <f t="shared" si="579"/>
        <v>3000</v>
      </c>
      <c r="S1612" t="str">
        <f t="shared" si="580"/>
        <v>Small</v>
      </c>
      <c r="T1612" t="str">
        <f t="shared" si="581"/>
        <v>High EV Adoption Corridor</v>
      </c>
      <c r="U1612" s="3">
        <f t="shared" si="582"/>
        <v>7020000</v>
      </c>
      <c r="V1612" s="4">
        <f t="shared" si="583"/>
        <v>1584000</v>
      </c>
      <c r="W1612" s="3">
        <f t="shared" si="584"/>
        <v>19800000</v>
      </c>
      <c r="X1612" s="3">
        <f t="shared" si="585"/>
        <v>14850000</v>
      </c>
      <c r="Y1612">
        <f t="shared" si="586"/>
        <v>0.24</v>
      </c>
      <c r="Z1612">
        <f t="shared" si="587"/>
        <v>0.77435897435897438</v>
      </c>
      <c r="AA1612" t="str">
        <f t="shared" si="588"/>
        <v>Tier 1 - Priority Fleet</v>
      </c>
      <c r="AB1612" s="3">
        <f t="shared" si="589"/>
        <v>132000</v>
      </c>
      <c r="AC1612" s="3">
        <f t="shared" si="590"/>
        <v>1650000</v>
      </c>
      <c r="AD1612" s="3">
        <f t="shared" si="591"/>
        <v>585000</v>
      </c>
      <c r="AE1612" s="5">
        <f t="shared" si="592"/>
        <v>3.6423841059602649</v>
      </c>
      <c r="AF1612" s="10">
        <f t="shared" si="593"/>
        <v>982080</v>
      </c>
      <c r="AG1612" s="10">
        <f t="shared" si="594"/>
        <v>316800</v>
      </c>
      <c r="AH1612" s="10">
        <f t="shared" si="595"/>
        <v>158400</v>
      </c>
      <c r="AI1612" s="10">
        <f t="shared" si="596"/>
        <v>79200</v>
      </c>
      <c r="AJ1612" s="10">
        <f t="shared" si="597"/>
        <v>47520</v>
      </c>
    </row>
    <row r="1613" spans="1:36" x14ac:dyDescent="0.3">
      <c r="A1613" t="s">
        <v>6123</v>
      </c>
      <c r="B1613" t="s">
        <v>6124</v>
      </c>
      <c r="C1613" t="s">
        <v>6125</v>
      </c>
      <c r="D1613" t="s">
        <v>41</v>
      </c>
      <c r="E1613">
        <v>34652</v>
      </c>
      <c r="F1613" t="s">
        <v>15</v>
      </c>
      <c r="G1613">
        <v>8</v>
      </c>
      <c r="H1613">
        <v>250</v>
      </c>
      <c r="I1613" t="str" cm="1">
        <f t="array" ref="I1613">_xlfn.IFS(H1613&lt;=120,"V1",H1613&lt;=150,"V2",H1613&lt;=250,"V3", H1613&lt;=350, "V4")</f>
        <v>V3</v>
      </c>
      <c r="J1613" t="s">
        <v>6126</v>
      </c>
      <c r="K1613" t="str">
        <f t="shared" si="575"/>
        <v>28.218029</v>
      </c>
      <c r="L1613" t="str">
        <f t="shared" si="576"/>
        <v>-82.736177</v>
      </c>
      <c r="M1613">
        <v>10</v>
      </c>
      <c r="N1613" s="1">
        <v>44924</v>
      </c>
      <c r="O1613" s="1">
        <v>46099</v>
      </c>
      <c r="P1613" s="2">
        <f t="shared" si="577"/>
        <v>3.2169746748802188</v>
      </c>
      <c r="Q1613" s="2" t="str">
        <f t="shared" si="578"/>
        <v>Mid</v>
      </c>
      <c r="R1613">
        <f t="shared" si="579"/>
        <v>2000</v>
      </c>
      <c r="S1613" t="str">
        <f t="shared" si="580"/>
        <v>Small</v>
      </c>
      <c r="T1613" t="str">
        <f t="shared" si="581"/>
        <v>High EV Adoption Corridor</v>
      </c>
      <c r="U1613" s="3">
        <f t="shared" si="582"/>
        <v>4680000</v>
      </c>
      <c r="V1613" s="4">
        <f t="shared" si="583"/>
        <v>1056000</v>
      </c>
      <c r="W1613" s="3">
        <f t="shared" si="584"/>
        <v>13200000.000000002</v>
      </c>
      <c r="X1613" s="3">
        <f t="shared" si="585"/>
        <v>9900000.0000000019</v>
      </c>
      <c r="Y1613">
        <f t="shared" si="586"/>
        <v>0.23999999999999996</v>
      </c>
      <c r="Z1613">
        <f t="shared" si="587"/>
        <v>0.77435897435897438</v>
      </c>
      <c r="AA1613" t="str">
        <f t="shared" si="588"/>
        <v>Tier 1 - Priority Fleet</v>
      </c>
      <c r="AB1613" s="3">
        <f t="shared" si="589"/>
        <v>132000</v>
      </c>
      <c r="AC1613" s="3">
        <f t="shared" si="590"/>
        <v>1650000.0000000002</v>
      </c>
      <c r="AD1613" s="3">
        <f t="shared" si="591"/>
        <v>585000</v>
      </c>
      <c r="AE1613" s="5">
        <f t="shared" si="592"/>
        <v>3.6423841059602653</v>
      </c>
      <c r="AF1613" s="10">
        <f t="shared" si="593"/>
        <v>654720</v>
      </c>
      <c r="AG1613" s="10">
        <f t="shared" si="594"/>
        <v>211200</v>
      </c>
      <c r="AH1613" s="10">
        <f t="shared" si="595"/>
        <v>105600</v>
      </c>
      <c r="AI1613" s="10">
        <f t="shared" si="596"/>
        <v>52800</v>
      </c>
      <c r="AJ1613" s="10">
        <f t="shared" si="597"/>
        <v>31680</v>
      </c>
    </row>
    <row r="1614" spans="1:36" x14ac:dyDescent="0.3">
      <c r="A1614" t="s">
        <v>6127</v>
      </c>
      <c r="B1614" t="s">
        <v>6128</v>
      </c>
      <c r="C1614" t="s">
        <v>5451</v>
      </c>
      <c r="D1614" t="s">
        <v>50</v>
      </c>
      <c r="E1614">
        <v>77385</v>
      </c>
      <c r="F1614" t="s">
        <v>15</v>
      </c>
      <c r="G1614">
        <v>8</v>
      </c>
      <c r="H1614">
        <v>250</v>
      </c>
      <c r="I1614" t="str" cm="1">
        <f t="array" ref="I1614">_xlfn.IFS(H1614&lt;=120,"V1",H1614&lt;=150,"V2",H1614&lt;=250,"V3", H1614&lt;=350, "V4")</f>
        <v>V3</v>
      </c>
      <c r="J1614" t="s">
        <v>6129</v>
      </c>
      <c r="K1614" t="str">
        <f t="shared" si="575"/>
        <v>30.194964</v>
      </c>
      <c r="L1614" t="str">
        <f t="shared" si="576"/>
        <v>-95.452548</v>
      </c>
      <c r="M1614">
        <v>39</v>
      </c>
      <c r="N1614" s="1">
        <v>44890</v>
      </c>
      <c r="O1614" s="1">
        <v>46099</v>
      </c>
      <c r="P1614" s="2">
        <f t="shared" si="577"/>
        <v>3.3100616016427105</v>
      </c>
      <c r="Q1614" s="2" t="str">
        <f t="shared" si="578"/>
        <v>Mid</v>
      </c>
      <c r="R1614">
        <f t="shared" si="579"/>
        <v>2000</v>
      </c>
      <c r="S1614" t="str">
        <f t="shared" si="580"/>
        <v>Small</v>
      </c>
      <c r="T1614" t="str">
        <f t="shared" si="581"/>
        <v>High EV Adoption Corridor</v>
      </c>
      <c r="U1614" s="3">
        <f t="shared" si="582"/>
        <v>4680000</v>
      </c>
      <c r="V1614" s="4">
        <f t="shared" si="583"/>
        <v>1056000</v>
      </c>
      <c r="W1614" s="3">
        <f t="shared" si="584"/>
        <v>13200000.000000002</v>
      </c>
      <c r="X1614" s="3">
        <f t="shared" si="585"/>
        <v>9900000.0000000019</v>
      </c>
      <c r="Y1614">
        <f t="shared" si="586"/>
        <v>0.23999999999999996</v>
      </c>
      <c r="Z1614">
        <f t="shared" si="587"/>
        <v>0.77435897435897438</v>
      </c>
      <c r="AA1614" t="str">
        <f t="shared" si="588"/>
        <v>Tier 1 - Priority Fleet</v>
      </c>
      <c r="AB1614" s="3">
        <f t="shared" si="589"/>
        <v>132000</v>
      </c>
      <c r="AC1614" s="3">
        <f t="shared" si="590"/>
        <v>1650000.0000000002</v>
      </c>
      <c r="AD1614" s="3">
        <f t="shared" si="591"/>
        <v>585000</v>
      </c>
      <c r="AE1614" s="5">
        <f t="shared" si="592"/>
        <v>3.6423841059602653</v>
      </c>
      <c r="AF1614" s="10">
        <f t="shared" si="593"/>
        <v>654720</v>
      </c>
      <c r="AG1614" s="10">
        <f t="shared" si="594"/>
        <v>211200</v>
      </c>
      <c r="AH1614" s="10">
        <f t="shared" si="595"/>
        <v>105600</v>
      </c>
      <c r="AI1614" s="10">
        <f t="shared" si="596"/>
        <v>52800</v>
      </c>
      <c r="AJ1614" s="10">
        <f t="shared" si="597"/>
        <v>31680</v>
      </c>
    </row>
    <row r="1615" spans="1:36" x14ac:dyDescent="0.3">
      <c r="A1615" t="s">
        <v>6130</v>
      </c>
      <c r="B1615" t="s">
        <v>6131</v>
      </c>
      <c r="C1615" t="s">
        <v>1619</v>
      </c>
      <c r="D1615" t="s">
        <v>50</v>
      </c>
      <c r="E1615">
        <v>78704</v>
      </c>
      <c r="F1615" t="s">
        <v>15</v>
      </c>
      <c r="G1615">
        <v>12</v>
      </c>
      <c r="H1615">
        <v>250</v>
      </c>
      <c r="I1615" t="str" cm="1">
        <f t="array" ref="I1615">_xlfn.IFS(H1615&lt;=120,"V1",H1615&lt;=150,"V2",H1615&lt;=250,"V3", H1615&lt;=350, "V4")</f>
        <v>V3</v>
      </c>
      <c r="J1615" t="s">
        <v>6132</v>
      </c>
      <c r="K1615" t="str">
        <f t="shared" si="575"/>
        <v>30.233293</v>
      </c>
      <c r="L1615" t="str">
        <f t="shared" si="576"/>
        <v>-97.793053</v>
      </c>
      <c r="M1615">
        <v>212</v>
      </c>
      <c r="N1615" s="1">
        <v>44560</v>
      </c>
      <c r="O1615" s="1">
        <v>46099</v>
      </c>
      <c r="P1615" s="2">
        <f t="shared" si="577"/>
        <v>4.213552361396304</v>
      </c>
      <c r="Q1615" s="2" t="str">
        <f t="shared" si="578"/>
        <v>Mid</v>
      </c>
      <c r="R1615">
        <f t="shared" si="579"/>
        <v>3000</v>
      </c>
      <c r="S1615" t="str">
        <f t="shared" si="580"/>
        <v>Small</v>
      </c>
      <c r="T1615" t="str">
        <f t="shared" si="581"/>
        <v>High EV Adoption Corridor</v>
      </c>
      <c r="U1615" s="3">
        <f t="shared" si="582"/>
        <v>7020000</v>
      </c>
      <c r="V1615" s="4">
        <f t="shared" si="583"/>
        <v>1584000</v>
      </c>
      <c r="W1615" s="3">
        <f t="shared" si="584"/>
        <v>19800000</v>
      </c>
      <c r="X1615" s="3">
        <f t="shared" si="585"/>
        <v>14850000</v>
      </c>
      <c r="Y1615">
        <f t="shared" si="586"/>
        <v>0.24</v>
      </c>
      <c r="Z1615">
        <f t="shared" si="587"/>
        <v>0.77435897435897438</v>
      </c>
      <c r="AA1615" t="str">
        <f t="shared" si="588"/>
        <v>Tier 1 - Priority Fleet</v>
      </c>
      <c r="AB1615" s="3">
        <f t="shared" si="589"/>
        <v>132000</v>
      </c>
      <c r="AC1615" s="3">
        <f t="shared" si="590"/>
        <v>1650000</v>
      </c>
      <c r="AD1615" s="3">
        <f t="shared" si="591"/>
        <v>585000</v>
      </c>
      <c r="AE1615" s="5">
        <f t="shared" si="592"/>
        <v>3.6423841059602649</v>
      </c>
      <c r="AF1615" s="10">
        <f t="shared" si="593"/>
        <v>982080</v>
      </c>
      <c r="AG1615" s="10">
        <f t="shared" si="594"/>
        <v>316800</v>
      </c>
      <c r="AH1615" s="10">
        <f t="shared" si="595"/>
        <v>158400</v>
      </c>
      <c r="AI1615" s="10">
        <f t="shared" si="596"/>
        <v>79200</v>
      </c>
      <c r="AJ1615" s="10">
        <f t="shared" si="597"/>
        <v>47520</v>
      </c>
    </row>
    <row r="1616" spans="1:36" x14ac:dyDescent="0.3">
      <c r="A1616" t="s">
        <v>6133</v>
      </c>
      <c r="B1616" t="s">
        <v>6134</v>
      </c>
      <c r="C1616" t="s">
        <v>6135</v>
      </c>
      <c r="D1616" t="s">
        <v>158</v>
      </c>
      <c r="E1616">
        <v>13159</v>
      </c>
      <c r="F1616" t="s">
        <v>15</v>
      </c>
      <c r="G1616">
        <v>12</v>
      </c>
      <c r="H1616">
        <v>250</v>
      </c>
      <c r="I1616" t="str" cm="1">
        <f t="array" ref="I1616">_xlfn.IFS(H1616&lt;=120,"V1",H1616&lt;=150,"V2",H1616&lt;=250,"V3", H1616&lt;=350, "V4")</f>
        <v>V3</v>
      </c>
      <c r="J1616" t="s">
        <v>6136</v>
      </c>
      <c r="K1616" t="str">
        <f t="shared" si="575"/>
        <v>42.800041</v>
      </c>
      <c r="L1616" t="str">
        <f t="shared" si="576"/>
        <v>-76.121849</v>
      </c>
      <c r="M1616">
        <v>384</v>
      </c>
      <c r="N1616" s="1">
        <v>44972</v>
      </c>
      <c r="O1616" s="1">
        <v>46099</v>
      </c>
      <c r="P1616" s="2">
        <f t="shared" si="577"/>
        <v>3.0855578370978782</v>
      </c>
      <c r="Q1616" s="2" t="str">
        <f t="shared" si="578"/>
        <v>Mid</v>
      </c>
      <c r="R1616">
        <f t="shared" si="579"/>
        <v>3000</v>
      </c>
      <c r="S1616" t="str">
        <f t="shared" si="580"/>
        <v>Small</v>
      </c>
      <c r="T1616" t="str">
        <f t="shared" si="581"/>
        <v>Lower EV Adoption Corridor</v>
      </c>
      <c r="U1616" s="3">
        <f t="shared" si="582"/>
        <v>5400000</v>
      </c>
      <c r="V1616" s="4">
        <f t="shared" si="583"/>
        <v>1320000</v>
      </c>
      <c r="W1616" s="3">
        <f t="shared" si="584"/>
        <v>18000000</v>
      </c>
      <c r="X1616" s="3">
        <f t="shared" si="585"/>
        <v>9900000</v>
      </c>
      <c r="Y1616">
        <f t="shared" si="586"/>
        <v>0.31515151515151513</v>
      </c>
      <c r="Z1616">
        <f t="shared" si="587"/>
        <v>0.75555555555555554</v>
      </c>
      <c r="AA1616" t="str">
        <f t="shared" si="588"/>
        <v>Tier 2 - Growth Markets</v>
      </c>
      <c r="AB1616" s="3">
        <f t="shared" si="589"/>
        <v>110000</v>
      </c>
      <c r="AC1616" s="3">
        <f t="shared" si="590"/>
        <v>1500000</v>
      </c>
      <c r="AD1616" s="3">
        <f t="shared" si="591"/>
        <v>450000</v>
      </c>
      <c r="AE1616" s="5">
        <f t="shared" si="592"/>
        <v>4.4117647058823533</v>
      </c>
      <c r="AF1616" s="10">
        <f t="shared" si="593"/>
        <v>818400</v>
      </c>
      <c r="AG1616" s="10">
        <f t="shared" si="594"/>
        <v>264000</v>
      </c>
      <c r="AH1616" s="10">
        <f t="shared" si="595"/>
        <v>132000</v>
      </c>
      <c r="AI1616" s="10">
        <f t="shared" si="596"/>
        <v>66000</v>
      </c>
      <c r="AJ1616" s="10">
        <f t="shared" si="597"/>
        <v>39600</v>
      </c>
    </row>
    <row r="1617" spans="1:36" x14ac:dyDescent="0.3">
      <c r="A1617" t="s">
        <v>6137</v>
      </c>
      <c r="B1617" t="s">
        <v>6138</v>
      </c>
      <c r="C1617" t="s">
        <v>2649</v>
      </c>
      <c r="D1617" t="s">
        <v>230</v>
      </c>
      <c r="E1617">
        <v>98661</v>
      </c>
      <c r="F1617" t="s">
        <v>15</v>
      </c>
      <c r="G1617">
        <v>12</v>
      </c>
      <c r="H1617">
        <v>250</v>
      </c>
      <c r="I1617" t="str" cm="1">
        <f t="array" ref="I1617">_xlfn.IFS(H1617&lt;=120,"V1",H1617&lt;=150,"V2",H1617&lt;=250,"V3", H1617&lt;=350, "V4")</f>
        <v>V3</v>
      </c>
      <c r="J1617" t="s">
        <v>6139</v>
      </c>
      <c r="K1617" t="str">
        <f t="shared" si="575"/>
        <v>45.645661</v>
      </c>
      <c r="L1617" t="str">
        <f t="shared" si="576"/>
        <v>-122.601249</v>
      </c>
      <c r="M1617">
        <v>65</v>
      </c>
      <c r="N1617" s="1">
        <v>44940</v>
      </c>
      <c r="O1617" s="1">
        <v>46099</v>
      </c>
      <c r="P1617" s="2">
        <f t="shared" si="577"/>
        <v>3.1731690622861053</v>
      </c>
      <c r="Q1617" s="2" t="str">
        <f t="shared" si="578"/>
        <v>Mid</v>
      </c>
      <c r="R1617">
        <f t="shared" si="579"/>
        <v>3000</v>
      </c>
      <c r="S1617" t="str">
        <f t="shared" si="580"/>
        <v>Small</v>
      </c>
      <c r="T1617" t="str">
        <f t="shared" si="581"/>
        <v>High EV Adoption Corridor</v>
      </c>
      <c r="U1617" s="3">
        <f t="shared" si="582"/>
        <v>7020000</v>
      </c>
      <c r="V1617" s="4">
        <f t="shared" si="583"/>
        <v>1584000</v>
      </c>
      <c r="W1617" s="3">
        <f t="shared" si="584"/>
        <v>19800000</v>
      </c>
      <c r="X1617" s="3">
        <f t="shared" si="585"/>
        <v>14850000</v>
      </c>
      <c r="Y1617">
        <f t="shared" si="586"/>
        <v>0.24</v>
      </c>
      <c r="Z1617">
        <f t="shared" si="587"/>
        <v>0.77435897435897438</v>
      </c>
      <c r="AA1617" t="str">
        <f t="shared" si="588"/>
        <v>Tier 1 - Priority Fleet</v>
      </c>
      <c r="AB1617" s="3">
        <f t="shared" si="589"/>
        <v>132000</v>
      </c>
      <c r="AC1617" s="3">
        <f t="shared" si="590"/>
        <v>1650000</v>
      </c>
      <c r="AD1617" s="3">
        <f t="shared" si="591"/>
        <v>585000</v>
      </c>
      <c r="AE1617" s="5">
        <f t="shared" si="592"/>
        <v>3.6423841059602649</v>
      </c>
      <c r="AF1617" s="10">
        <f t="shared" si="593"/>
        <v>982080</v>
      </c>
      <c r="AG1617" s="10">
        <f t="shared" si="594"/>
        <v>316800</v>
      </c>
      <c r="AH1617" s="10">
        <f t="shared" si="595"/>
        <v>158400</v>
      </c>
      <c r="AI1617" s="10">
        <f t="shared" si="596"/>
        <v>79200</v>
      </c>
      <c r="AJ1617" s="10">
        <f t="shared" si="597"/>
        <v>47520</v>
      </c>
    </row>
    <row r="1618" spans="1:36" x14ac:dyDescent="0.3">
      <c r="A1618" t="s">
        <v>6140</v>
      </c>
      <c r="B1618" t="s">
        <v>6141</v>
      </c>
      <c r="C1618" t="s">
        <v>6142</v>
      </c>
      <c r="D1618" t="s">
        <v>50</v>
      </c>
      <c r="E1618">
        <v>77388</v>
      </c>
      <c r="F1618" t="s">
        <v>15</v>
      </c>
      <c r="G1618">
        <v>8</v>
      </c>
      <c r="H1618">
        <v>250</v>
      </c>
      <c r="I1618" t="str" cm="1">
        <f t="array" ref="I1618">_xlfn.IFS(H1618&lt;=120,"V1",H1618&lt;=150,"V2",H1618&lt;=250,"V3", H1618&lt;=350, "V4")</f>
        <v>V3</v>
      </c>
      <c r="J1618" t="s">
        <v>6143</v>
      </c>
      <c r="K1618" t="str">
        <f t="shared" si="575"/>
        <v>30.050304</v>
      </c>
      <c r="L1618" t="str">
        <f t="shared" si="576"/>
        <v>-95.438361</v>
      </c>
      <c r="M1618">
        <v>31</v>
      </c>
      <c r="N1618" s="1">
        <v>44835</v>
      </c>
      <c r="O1618" s="1">
        <v>46099</v>
      </c>
      <c r="P1618" s="2">
        <f t="shared" si="577"/>
        <v>3.460643394934976</v>
      </c>
      <c r="Q1618" s="2" t="str">
        <f t="shared" si="578"/>
        <v>Mid</v>
      </c>
      <c r="R1618">
        <f t="shared" si="579"/>
        <v>2000</v>
      </c>
      <c r="S1618" t="str">
        <f t="shared" si="580"/>
        <v>Small</v>
      </c>
      <c r="T1618" t="str">
        <f t="shared" si="581"/>
        <v>High EV Adoption Corridor</v>
      </c>
      <c r="U1618" s="3">
        <f t="shared" si="582"/>
        <v>4680000</v>
      </c>
      <c r="V1618" s="4">
        <f t="shared" si="583"/>
        <v>1056000</v>
      </c>
      <c r="W1618" s="3">
        <f t="shared" si="584"/>
        <v>13200000.000000002</v>
      </c>
      <c r="X1618" s="3">
        <f t="shared" si="585"/>
        <v>9900000.0000000019</v>
      </c>
      <c r="Y1618">
        <f t="shared" si="586"/>
        <v>0.23999999999999996</v>
      </c>
      <c r="Z1618">
        <f t="shared" si="587"/>
        <v>0.77435897435897438</v>
      </c>
      <c r="AA1618" t="str">
        <f t="shared" si="588"/>
        <v>Tier 1 - Priority Fleet</v>
      </c>
      <c r="AB1618" s="3">
        <f t="shared" si="589"/>
        <v>132000</v>
      </c>
      <c r="AC1618" s="3">
        <f t="shared" si="590"/>
        <v>1650000.0000000002</v>
      </c>
      <c r="AD1618" s="3">
        <f t="shared" si="591"/>
        <v>585000</v>
      </c>
      <c r="AE1618" s="5">
        <f t="shared" si="592"/>
        <v>3.6423841059602653</v>
      </c>
      <c r="AF1618" s="10">
        <f t="shared" si="593"/>
        <v>654720</v>
      </c>
      <c r="AG1618" s="10">
        <f t="shared" si="594"/>
        <v>211200</v>
      </c>
      <c r="AH1618" s="10">
        <f t="shared" si="595"/>
        <v>105600</v>
      </c>
      <c r="AI1618" s="10">
        <f t="shared" si="596"/>
        <v>52800</v>
      </c>
      <c r="AJ1618" s="10">
        <f t="shared" si="597"/>
        <v>31680</v>
      </c>
    </row>
    <row r="1619" spans="1:36" x14ac:dyDescent="0.3">
      <c r="A1619" t="s">
        <v>6144</v>
      </c>
      <c r="B1619" t="s">
        <v>6145</v>
      </c>
      <c r="C1619" t="s">
        <v>4617</v>
      </c>
      <c r="D1619" t="s">
        <v>225</v>
      </c>
      <c r="E1619">
        <v>84532</v>
      </c>
      <c r="F1619" t="s">
        <v>15</v>
      </c>
      <c r="G1619">
        <v>8</v>
      </c>
      <c r="H1619">
        <v>250</v>
      </c>
      <c r="I1619" t="str" cm="1">
        <f t="array" ref="I1619">_xlfn.IFS(H1619&lt;=120,"V1",H1619&lt;=150,"V2",H1619&lt;=250,"V3", H1619&lt;=350, "V4")</f>
        <v>V3</v>
      </c>
      <c r="J1619" t="s">
        <v>6146</v>
      </c>
      <c r="K1619" t="str">
        <f t="shared" si="575"/>
        <v>38.585988</v>
      </c>
      <c r="L1619" t="str">
        <f t="shared" si="576"/>
        <v>-109.5566</v>
      </c>
      <c r="M1619">
        <v>1229</v>
      </c>
      <c r="N1619" s="1">
        <v>44937</v>
      </c>
      <c r="O1619" s="1">
        <v>46099</v>
      </c>
      <c r="P1619" s="2">
        <f t="shared" si="577"/>
        <v>3.1813826146475015</v>
      </c>
      <c r="Q1619" s="2" t="str">
        <f t="shared" si="578"/>
        <v>Mid</v>
      </c>
      <c r="R1619">
        <f t="shared" si="579"/>
        <v>2000</v>
      </c>
      <c r="S1619" t="str">
        <f t="shared" si="580"/>
        <v>Small</v>
      </c>
      <c r="T1619" t="str">
        <f t="shared" si="581"/>
        <v>Lower EV Adoption Corridor</v>
      </c>
      <c r="U1619" s="3">
        <f t="shared" si="582"/>
        <v>3600000</v>
      </c>
      <c r="V1619" s="4">
        <f t="shared" si="583"/>
        <v>880000.00000000012</v>
      </c>
      <c r="W1619" s="3">
        <f t="shared" si="584"/>
        <v>12000000</v>
      </c>
      <c r="X1619" s="3">
        <f t="shared" si="585"/>
        <v>6600000.0000000009</v>
      </c>
      <c r="Y1619">
        <f t="shared" si="586"/>
        <v>0.31515151515151513</v>
      </c>
      <c r="Z1619">
        <f t="shared" si="587"/>
        <v>0.75555555555555554</v>
      </c>
      <c r="AA1619" t="str">
        <f t="shared" si="588"/>
        <v>Tier 2 - Growth Markets</v>
      </c>
      <c r="AB1619" s="3">
        <f t="shared" si="589"/>
        <v>110000.00000000001</v>
      </c>
      <c r="AC1619" s="3">
        <f t="shared" si="590"/>
        <v>1500000</v>
      </c>
      <c r="AD1619" s="3">
        <f t="shared" si="591"/>
        <v>450000</v>
      </c>
      <c r="AE1619" s="5">
        <f t="shared" si="592"/>
        <v>4.4117647058823533</v>
      </c>
      <c r="AF1619" s="10">
        <f t="shared" si="593"/>
        <v>545600.00000000012</v>
      </c>
      <c r="AG1619" s="10">
        <f t="shared" si="594"/>
        <v>176000.00000000003</v>
      </c>
      <c r="AH1619" s="10">
        <f t="shared" si="595"/>
        <v>88000.000000000015</v>
      </c>
      <c r="AI1619" s="10">
        <f t="shared" si="596"/>
        <v>44000.000000000007</v>
      </c>
      <c r="AJ1619" s="10">
        <f t="shared" si="597"/>
        <v>26400.000000000004</v>
      </c>
    </row>
    <row r="1620" spans="1:36" x14ac:dyDescent="0.3">
      <c r="A1620" t="s">
        <v>6147</v>
      </c>
      <c r="B1620" t="s">
        <v>6148</v>
      </c>
      <c r="C1620" t="s">
        <v>6149</v>
      </c>
      <c r="D1620" t="s">
        <v>765</v>
      </c>
      <c r="E1620">
        <v>39180</v>
      </c>
      <c r="F1620" t="s">
        <v>15</v>
      </c>
      <c r="G1620">
        <v>12</v>
      </c>
      <c r="H1620">
        <v>250</v>
      </c>
      <c r="I1620" t="str" cm="1">
        <f t="array" ref="I1620">_xlfn.IFS(H1620&lt;=120,"V1",H1620&lt;=150,"V2",H1620&lt;=250,"V3", H1620&lt;=350, "V4")</f>
        <v>V3</v>
      </c>
      <c r="J1620" t="s">
        <v>6150</v>
      </c>
      <c r="K1620" t="str">
        <f t="shared" si="575"/>
        <v>32.313976</v>
      </c>
      <c r="L1620" t="str">
        <f t="shared" si="576"/>
        <v>-90.89987</v>
      </c>
      <c r="M1620">
        <v>44</v>
      </c>
      <c r="N1620" s="1">
        <v>44785</v>
      </c>
      <c r="O1620" s="1">
        <v>46099</v>
      </c>
      <c r="P1620" s="2">
        <f t="shared" si="577"/>
        <v>3.5975359342915811</v>
      </c>
      <c r="Q1620" s="2" t="str">
        <f t="shared" si="578"/>
        <v>Mid</v>
      </c>
      <c r="R1620">
        <f t="shared" si="579"/>
        <v>3000</v>
      </c>
      <c r="S1620" t="str">
        <f t="shared" si="580"/>
        <v>Small</v>
      </c>
      <c r="T1620" t="str">
        <f t="shared" si="581"/>
        <v>Lower EV Adoption Corridor</v>
      </c>
      <c r="U1620" s="3">
        <f t="shared" si="582"/>
        <v>5400000</v>
      </c>
      <c r="V1620" s="4">
        <f t="shared" si="583"/>
        <v>1320000</v>
      </c>
      <c r="W1620" s="3">
        <f t="shared" si="584"/>
        <v>18000000</v>
      </c>
      <c r="X1620" s="3">
        <f t="shared" si="585"/>
        <v>9900000</v>
      </c>
      <c r="Y1620">
        <f t="shared" si="586"/>
        <v>0.31515151515151513</v>
      </c>
      <c r="Z1620">
        <f t="shared" si="587"/>
        <v>0.75555555555555554</v>
      </c>
      <c r="AA1620" t="str">
        <f t="shared" si="588"/>
        <v>Tier 2 - Growth Markets</v>
      </c>
      <c r="AB1620" s="3">
        <f t="shared" si="589"/>
        <v>110000</v>
      </c>
      <c r="AC1620" s="3">
        <f t="shared" si="590"/>
        <v>1500000</v>
      </c>
      <c r="AD1620" s="3">
        <f t="shared" si="591"/>
        <v>450000</v>
      </c>
      <c r="AE1620" s="5">
        <f t="shared" si="592"/>
        <v>4.4117647058823533</v>
      </c>
      <c r="AF1620" s="10">
        <f t="shared" si="593"/>
        <v>818400</v>
      </c>
      <c r="AG1620" s="10">
        <f t="shared" si="594"/>
        <v>264000</v>
      </c>
      <c r="AH1620" s="10">
        <f t="shared" si="595"/>
        <v>132000</v>
      </c>
      <c r="AI1620" s="10">
        <f t="shared" si="596"/>
        <v>66000</v>
      </c>
      <c r="AJ1620" s="10">
        <f t="shared" si="597"/>
        <v>39600</v>
      </c>
    </row>
    <row r="1621" spans="1:36" x14ac:dyDescent="0.3">
      <c r="A1621" t="s">
        <v>6151</v>
      </c>
      <c r="B1621" t="s">
        <v>6152</v>
      </c>
      <c r="C1621" t="s">
        <v>6142</v>
      </c>
      <c r="D1621" t="s">
        <v>50</v>
      </c>
      <c r="E1621">
        <v>77389</v>
      </c>
      <c r="F1621" t="s">
        <v>15</v>
      </c>
      <c r="G1621">
        <v>15</v>
      </c>
      <c r="H1621">
        <v>250</v>
      </c>
      <c r="I1621" t="str" cm="1">
        <f t="array" ref="I1621">_xlfn.IFS(H1621&lt;=120,"V1",H1621&lt;=150,"V2",H1621&lt;=250,"V3", H1621&lt;=350, "V4")</f>
        <v>V3</v>
      </c>
      <c r="J1621" t="s">
        <v>6153</v>
      </c>
      <c r="K1621" t="str">
        <f t="shared" si="575"/>
        <v>30.085513</v>
      </c>
      <c r="L1621" t="str">
        <f t="shared" si="576"/>
        <v>-95.449924</v>
      </c>
      <c r="M1621">
        <v>40</v>
      </c>
      <c r="N1621" s="1">
        <v>45013</v>
      </c>
      <c r="O1621" s="1">
        <v>46099</v>
      </c>
      <c r="P1621" s="2">
        <f t="shared" si="577"/>
        <v>2.9733059548254621</v>
      </c>
      <c r="Q1621" s="2" t="str">
        <f t="shared" si="578"/>
        <v>New</v>
      </c>
      <c r="R1621">
        <f t="shared" si="579"/>
        <v>3750</v>
      </c>
      <c r="S1621" t="str">
        <f t="shared" si="580"/>
        <v>Small</v>
      </c>
      <c r="T1621" t="str">
        <f t="shared" si="581"/>
        <v>High EV Adoption Corridor</v>
      </c>
      <c r="U1621" s="3">
        <f t="shared" si="582"/>
        <v>8775000</v>
      </c>
      <c r="V1621" s="4">
        <f t="shared" si="583"/>
        <v>1980000.0000000002</v>
      </c>
      <c r="W1621" s="3">
        <f t="shared" si="584"/>
        <v>24750000.000000004</v>
      </c>
      <c r="X1621" s="3">
        <f t="shared" si="585"/>
        <v>18562500.000000004</v>
      </c>
      <c r="Y1621">
        <f t="shared" si="586"/>
        <v>0.24</v>
      </c>
      <c r="Z1621">
        <f t="shared" si="587"/>
        <v>0.77435897435897438</v>
      </c>
      <c r="AA1621" t="str">
        <f t="shared" si="588"/>
        <v>Tier 1 - Priority Fleet</v>
      </c>
      <c r="AB1621" s="3">
        <f t="shared" si="589"/>
        <v>132000.00000000003</v>
      </c>
      <c r="AC1621" s="3">
        <f t="shared" si="590"/>
        <v>1650000.0000000002</v>
      </c>
      <c r="AD1621" s="3">
        <f t="shared" si="591"/>
        <v>585000</v>
      </c>
      <c r="AE1621" s="5">
        <f t="shared" si="592"/>
        <v>3.6423841059602653</v>
      </c>
      <c r="AF1621" s="10">
        <f t="shared" si="593"/>
        <v>1227600.0000000002</v>
      </c>
      <c r="AG1621" s="10">
        <f t="shared" si="594"/>
        <v>396000.00000000006</v>
      </c>
      <c r="AH1621" s="10">
        <f t="shared" si="595"/>
        <v>198000.00000000003</v>
      </c>
      <c r="AI1621" s="10">
        <f t="shared" si="596"/>
        <v>99000.000000000015</v>
      </c>
      <c r="AJ1621" s="10">
        <f t="shared" si="597"/>
        <v>59400.000000000007</v>
      </c>
    </row>
    <row r="1622" spans="1:36" x14ac:dyDescent="0.3">
      <c r="A1622" t="s">
        <v>6154</v>
      </c>
      <c r="B1622" t="s">
        <v>6155</v>
      </c>
      <c r="C1622" t="s">
        <v>6156</v>
      </c>
      <c r="D1622" t="s">
        <v>50</v>
      </c>
      <c r="E1622">
        <v>79720</v>
      </c>
      <c r="F1622" t="s">
        <v>15</v>
      </c>
      <c r="G1622">
        <v>16</v>
      </c>
      <c r="H1622">
        <v>250</v>
      </c>
      <c r="I1622" t="str" cm="1">
        <f t="array" ref="I1622">_xlfn.IFS(H1622&lt;=120,"V1",H1622&lt;=150,"V2",H1622&lt;=250,"V3", H1622&lt;=350, "V4")</f>
        <v>V3</v>
      </c>
      <c r="J1622" t="s">
        <v>6157</v>
      </c>
      <c r="K1622" t="str">
        <f t="shared" si="575"/>
        <v>32.258114</v>
      </c>
      <c r="L1622" t="str">
        <f t="shared" si="576"/>
        <v>-101.453323</v>
      </c>
      <c r="M1622">
        <v>735</v>
      </c>
      <c r="N1622" s="1">
        <v>44904</v>
      </c>
      <c r="O1622" s="1">
        <v>46099</v>
      </c>
      <c r="P1622" s="2">
        <f t="shared" si="577"/>
        <v>3.2717316906228611</v>
      </c>
      <c r="Q1622" s="2" t="str">
        <f t="shared" si="578"/>
        <v>Mid</v>
      </c>
      <c r="R1622">
        <f t="shared" si="579"/>
        <v>4000</v>
      </c>
      <c r="S1622" t="str">
        <f t="shared" si="580"/>
        <v>Small</v>
      </c>
      <c r="T1622" t="str">
        <f t="shared" si="581"/>
        <v>High EV Adoption Corridor</v>
      </c>
      <c r="U1622" s="3">
        <f t="shared" si="582"/>
        <v>9360000</v>
      </c>
      <c r="V1622" s="4">
        <f t="shared" si="583"/>
        <v>2112000</v>
      </c>
      <c r="W1622" s="3">
        <f t="shared" si="584"/>
        <v>26400000.000000004</v>
      </c>
      <c r="X1622" s="3">
        <f t="shared" si="585"/>
        <v>19800000.000000004</v>
      </c>
      <c r="Y1622">
        <f t="shared" si="586"/>
        <v>0.23999999999999996</v>
      </c>
      <c r="Z1622">
        <f t="shared" si="587"/>
        <v>0.77435897435897438</v>
      </c>
      <c r="AA1622" t="str">
        <f t="shared" si="588"/>
        <v>Tier 1 - Priority Fleet</v>
      </c>
      <c r="AB1622" s="3">
        <f t="shared" si="589"/>
        <v>132000</v>
      </c>
      <c r="AC1622" s="3">
        <f t="shared" si="590"/>
        <v>1650000.0000000002</v>
      </c>
      <c r="AD1622" s="3">
        <f t="shared" si="591"/>
        <v>585000</v>
      </c>
      <c r="AE1622" s="5">
        <f t="shared" si="592"/>
        <v>3.6423841059602653</v>
      </c>
      <c r="AF1622" s="10">
        <f t="shared" si="593"/>
        <v>1309440</v>
      </c>
      <c r="AG1622" s="10">
        <f t="shared" si="594"/>
        <v>422400</v>
      </c>
      <c r="AH1622" s="10">
        <f t="shared" si="595"/>
        <v>211200</v>
      </c>
      <c r="AI1622" s="10">
        <f t="shared" si="596"/>
        <v>105600</v>
      </c>
      <c r="AJ1622" s="10">
        <f t="shared" si="597"/>
        <v>63360</v>
      </c>
    </row>
    <row r="1623" spans="1:36" x14ac:dyDescent="0.3">
      <c r="A1623" t="s">
        <v>6158</v>
      </c>
      <c r="B1623" t="s">
        <v>6159</v>
      </c>
      <c r="C1623" t="s">
        <v>5186</v>
      </c>
      <c r="D1623" t="s">
        <v>28</v>
      </c>
      <c r="E1623">
        <v>30103</v>
      </c>
      <c r="F1623" t="s">
        <v>15</v>
      </c>
      <c r="G1623">
        <v>12</v>
      </c>
      <c r="H1623">
        <v>250</v>
      </c>
      <c r="I1623" t="str" cm="1">
        <f t="array" ref="I1623">_xlfn.IFS(H1623&lt;=120,"V1",H1623&lt;=150,"V2",H1623&lt;=250,"V3", H1623&lt;=350, "V4")</f>
        <v>V3</v>
      </c>
      <c r="J1623" t="s">
        <v>6160</v>
      </c>
      <c r="K1623" t="str">
        <f t="shared" si="575"/>
        <v>34.440386</v>
      </c>
      <c r="L1623" t="str">
        <f t="shared" si="576"/>
        <v>-84.91532</v>
      </c>
      <c r="M1623">
        <v>210</v>
      </c>
      <c r="N1623" s="1">
        <v>44804</v>
      </c>
      <c r="O1623" s="1">
        <v>46099</v>
      </c>
      <c r="P1623" s="2">
        <f t="shared" si="577"/>
        <v>3.5455167693360714</v>
      </c>
      <c r="Q1623" s="2" t="str">
        <f t="shared" si="578"/>
        <v>Mid</v>
      </c>
      <c r="R1623">
        <f t="shared" si="579"/>
        <v>3000</v>
      </c>
      <c r="S1623" t="str">
        <f t="shared" si="580"/>
        <v>Small</v>
      </c>
      <c r="T1623" t="str">
        <f t="shared" si="581"/>
        <v>Lower EV Adoption Corridor</v>
      </c>
      <c r="U1623" s="3">
        <f t="shared" si="582"/>
        <v>5400000</v>
      </c>
      <c r="V1623" s="4">
        <f t="shared" si="583"/>
        <v>1320000</v>
      </c>
      <c r="W1623" s="3">
        <f t="shared" si="584"/>
        <v>18000000</v>
      </c>
      <c r="X1623" s="3">
        <f t="shared" si="585"/>
        <v>9900000</v>
      </c>
      <c r="Y1623">
        <f t="shared" si="586"/>
        <v>0.31515151515151513</v>
      </c>
      <c r="Z1623">
        <f t="shared" si="587"/>
        <v>0.75555555555555554</v>
      </c>
      <c r="AA1623" t="str">
        <f t="shared" si="588"/>
        <v>Tier 2 - Growth Markets</v>
      </c>
      <c r="AB1623" s="3">
        <f t="shared" si="589"/>
        <v>110000</v>
      </c>
      <c r="AC1623" s="3">
        <f t="shared" si="590"/>
        <v>1500000</v>
      </c>
      <c r="AD1623" s="3">
        <f t="shared" si="591"/>
        <v>450000</v>
      </c>
      <c r="AE1623" s="5">
        <f t="shared" si="592"/>
        <v>4.4117647058823533</v>
      </c>
      <c r="AF1623" s="10">
        <f t="shared" si="593"/>
        <v>818400</v>
      </c>
      <c r="AG1623" s="10">
        <f t="shared" si="594"/>
        <v>264000</v>
      </c>
      <c r="AH1623" s="10">
        <f t="shared" si="595"/>
        <v>132000</v>
      </c>
      <c r="AI1623" s="10">
        <f t="shared" si="596"/>
        <v>66000</v>
      </c>
      <c r="AJ1623" s="10">
        <f t="shared" si="597"/>
        <v>39600</v>
      </c>
    </row>
    <row r="1624" spans="1:36" x14ac:dyDescent="0.3">
      <c r="A1624" t="s">
        <v>6161</v>
      </c>
      <c r="B1624" t="s">
        <v>6162</v>
      </c>
      <c r="C1624" t="s">
        <v>2090</v>
      </c>
      <c r="D1624" t="s">
        <v>77</v>
      </c>
      <c r="E1624">
        <v>27513</v>
      </c>
      <c r="F1624" t="s">
        <v>15</v>
      </c>
      <c r="G1624">
        <v>12</v>
      </c>
      <c r="H1624">
        <v>250</v>
      </c>
      <c r="I1624" t="str" cm="1">
        <f t="array" ref="I1624">_xlfn.IFS(H1624&lt;=120,"V1",H1624&lt;=150,"V2",H1624&lt;=250,"V3", H1624&lt;=350, "V4")</f>
        <v>V3</v>
      </c>
      <c r="J1624" t="s">
        <v>6163</v>
      </c>
      <c r="K1624" t="str">
        <f t="shared" si="575"/>
        <v>35.831585</v>
      </c>
      <c r="L1624" t="str">
        <f t="shared" si="576"/>
        <v>-78.769044</v>
      </c>
      <c r="M1624">
        <v>135</v>
      </c>
      <c r="N1624" s="1">
        <v>44778</v>
      </c>
      <c r="O1624" s="1">
        <v>46099</v>
      </c>
      <c r="P1624" s="2">
        <f t="shared" si="577"/>
        <v>3.6167008898015056</v>
      </c>
      <c r="Q1624" s="2" t="str">
        <f t="shared" si="578"/>
        <v>Mid</v>
      </c>
      <c r="R1624">
        <f t="shared" si="579"/>
        <v>3000</v>
      </c>
      <c r="S1624" t="str">
        <f t="shared" si="580"/>
        <v>Small</v>
      </c>
      <c r="T1624" t="str">
        <f t="shared" si="581"/>
        <v>Lower EV Adoption Corridor</v>
      </c>
      <c r="U1624" s="3">
        <f t="shared" si="582"/>
        <v>5400000</v>
      </c>
      <c r="V1624" s="4">
        <f t="shared" si="583"/>
        <v>1320000</v>
      </c>
      <c r="W1624" s="3">
        <f t="shared" si="584"/>
        <v>18000000</v>
      </c>
      <c r="X1624" s="3">
        <f t="shared" si="585"/>
        <v>9900000</v>
      </c>
      <c r="Y1624">
        <f t="shared" si="586"/>
        <v>0.31515151515151513</v>
      </c>
      <c r="Z1624">
        <f t="shared" si="587"/>
        <v>0.75555555555555554</v>
      </c>
      <c r="AA1624" t="str">
        <f t="shared" si="588"/>
        <v>Tier 2 - Growth Markets</v>
      </c>
      <c r="AB1624" s="3">
        <f t="shared" si="589"/>
        <v>110000</v>
      </c>
      <c r="AC1624" s="3">
        <f t="shared" si="590"/>
        <v>1500000</v>
      </c>
      <c r="AD1624" s="3">
        <f t="shared" si="591"/>
        <v>450000</v>
      </c>
      <c r="AE1624" s="5">
        <f t="shared" si="592"/>
        <v>4.4117647058823533</v>
      </c>
      <c r="AF1624" s="10">
        <f t="shared" si="593"/>
        <v>818400</v>
      </c>
      <c r="AG1624" s="10">
        <f t="shared" si="594"/>
        <v>264000</v>
      </c>
      <c r="AH1624" s="10">
        <f t="shared" si="595"/>
        <v>132000</v>
      </c>
      <c r="AI1624" s="10">
        <f t="shared" si="596"/>
        <v>66000</v>
      </c>
      <c r="AJ1624" s="10">
        <f t="shared" si="597"/>
        <v>39600</v>
      </c>
    </row>
    <row r="1625" spans="1:36" x14ac:dyDescent="0.3">
      <c r="A1625" t="s">
        <v>6164</v>
      </c>
      <c r="B1625" t="s">
        <v>6165</v>
      </c>
      <c r="C1625" t="s">
        <v>6166</v>
      </c>
      <c r="D1625" t="s">
        <v>14</v>
      </c>
      <c r="E1625">
        <v>95338</v>
      </c>
      <c r="F1625" t="s">
        <v>15</v>
      </c>
      <c r="G1625">
        <v>12</v>
      </c>
      <c r="H1625">
        <v>250</v>
      </c>
      <c r="I1625" t="str" cm="1">
        <f t="array" ref="I1625">_xlfn.IFS(H1625&lt;=120,"V1",H1625&lt;=150,"V2",H1625&lt;=250,"V3", H1625&lt;=350, "V4")</f>
        <v>V3</v>
      </c>
      <c r="J1625" t="s">
        <v>6167</v>
      </c>
      <c r="K1625" t="str">
        <f t="shared" si="575"/>
        <v>37.488952</v>
      </c>
      <c r="L1625" t="str">
        <f t="shared" si="576"/>
        <v>-119.972428</v>
      </c>
      <c r="M1625">
        <v>605</v>
      </c>
      <c r="N1625" s="1">
        <v>45058</v>
      </c>
      <c r="O1625" s="1">
        <v>46099</v>
      </c>
      <c r="P1625" s="2">
        <f t="shared" si="577"/>
        <v>2.8501026694045173</v>
      </c>
      <c r="Q1625" s="2" t="str">
        <f t="shared" si="578"/>
        <v>New</v>
      </c>
      <c r="R1625">
        <f t="shared" si="579"/>
        <v>3000</v>
      </c>
      <c r="S1625" t="str">
        <f t="shared" si="580"/>
        <v>Small</v>
      </c>
      <c r="T1625" t="str">
        <f t="shared" si="581"/>
        <v>High EV Adoption Corridor</v>
      </c>
      <c r="U1625" s="3">
        <f t="shared" si="582"/>
        <v>7020000</v>
      </c>
      <c r="V1625" s="4">
        <f t="shared" si="583"/>
        <v>1584000</v>
      </c>
      <c r="W1625" s="3">
        <f t="shared" si="584"/>
        <v>19800000</v>
      </c>
      <c r="X1625" s="3">
        <f t="shared" si="585"/>
        <v>14850000</v>
      </c>
      <c r="Y1625">
        <f t="shared" si="586"/>
        <v>0.24</v>
      </c>
      <c r="Z1625">
        <f t="shared" si="587"/>
        <v>0.77435897435897438</v>
      </c>
      <c r="AA1625" t="str">
        <f t="shared" si="588"/>
        <v>Tier 1 - Priority Fleet</v>
      </c>
      <c r="AB1625" s="3">
        <f t="shared" si="589"/>
        <v>132000</v>
      </c>
      <c r="AC1625" s="3">
        <f t="shared" si="590"/>
        <v>1650000</v>
      </c>
      <c r="AD1625" s="3">
        <f t="shared" si="591"/>
        <v>585000</v>
      </c>
      <c r="AE1625" s="5">
        <f t="shared" si="592"/>
        <v>3.6423841059602649</v>
      </c>
      <c r="AF1625" s="10">
        <f t="shared" si="593"/>
        <v>982080</v>
      </c>
      <c r="AG1625" s="10">
        <f t="shared" si="594"/>
        <v>316800</v>
      </c>
      <c r="AH1625" s="10">
        <f t="shared" si="595"/>
        <v>158400</v>
      </c>
      <c r="AI1625" s="10">
        <f t="shared" si="596"/>
        <v>79200</v>
      </c>
      <c r="AJ1625" s="10">
        <f t="shared" si="597"/>
        <v>47520</v>
      </c>
    </row>
    <row r="1626" spans="1:36" x14ac:dyDescent="0.3">
      <c r="A1626" t="s">
        <v>6168</v>
      </c>
      <c r="B1626" t="s">
        <v>6169</v>
      </c>
      <c r="C1626" t="s">
        <v>1527</v>
      </c>
      <c r="D1626" t="s">
        <v>50</v>
      </c>
      <c r="E1626">
        <v>79093</v>
      </c>
      <c r="F1626" t="s">
        <v>15</v>
      </c>
      <c r="G1626">
        <v>12</v>
      </c>
      <c r="H1626">
        <v>250</v>
      </c>
      <c r="I1626" t="str" cm="1">
        <f t="array" ref="I1626">_xlfn.IFS(H1626&lt;=120,"V1",H1626&lt;=150,"V2",H1626&lt;=250,"V3", H1626&lt;=350, "V4")</f>
        <v>V3</v>
      </c>
      <c r="J1626" t="s">
        <v>6170</v>
      </c>
      <c r="K1626" t="str">
        <f t="shared" si="575"/>
        <v>33.05595</v>
      </c>
      <c r="L1626" t="str">
        <f t="shared" si="576"/>
        <v>-96.8308638</v>
      </c>
      <c r="M1626">
        <v>211</v>
      </c>
      <c r="N1626" s="1">
        <v>44855</v>
      </c>
      <c r="O1626" s="1">
        <v>46099</v>
      </c>
      <c r="P1626" s="2">
        <f t="shared" si="577"/>
        <v>3.4058863791923342</v>
      </c>
      <c r="Q1626" s="2" t="str">
        <f t="shared" si="578"/>
        <v>Mid</v>
      </c>
      <c r="R1626">
        <f t="shared" si="579"/>
        <v>3000</v>
      </c>
      <c r="S1626" t="str">
        <f t="shared" si="580"/>
        <v>Small</v>
      </c>
      <c r="T1626" t="str">
        <f t="shared" si="581"/>
        <v>High EV Adoption Corridor</v>
      </c>
      <c r="U1626" s="3">
        <f t="shared" si="582"/>
        <v>7020000</v>
      </c>
      <c r="V1626" s="4">
        <f t="shared" si="583"/>
        <v>1584000</v>
      </c>
      <c r="W1626" s="3">
        <f t="shared" si="584"/>
        <v>19800000</v>
      </c>
      <c r="X1626" s="3">
        <f t="shared" si="585"/>
        <v>14850000</v>
      </c>
      <c r="Y1626">
        <f t="shared" si="586"/>
        <v>0.24</v>
      </c>
      <c r="Z1626">
        <f t="shared" si="587"/>
        <v>0.77435897435897438</v>
      </c>
      <c r="AA1626" t="str">
        <f t="shared" si="588"/>
        <v>Tier 1 - Priority Fleet</v>
      </c>
      <c r="AB1626" s="3">
        <f t="shared" si="589"/>
        <v>132000</v>
      </c>
      <c r="AC1626" s="3">
        <f t="shared" si="590"/>
        <v>1650000</v>
      </c>
      <c r="AD1626" s="3">
        <f t="shared" si="591"/>
        <v>585000</v>
      </c>
      <c r="AE1626" s="5">
        <f t="shared" si="592"/>
        <v>3.6423841059602649</v>
      </c>
      <c r="AF1626" s="10">
        <f t="shared" si="593"/>
        <v>982080</v>
      </c>
      <c r="AG1626" s="10">
        <f t="shared" si="594"/>
        <v>316800</v>
      </c>
      <c r="AH1626" s="10">
        <f t="shared" si="595"/>
        <v>158400</v>
      </c>
      <c r="AI1626" s="10">
        <f t="shared" si="596"/>
        <v>79200</v>
      </c>
      <c r="AJ1626" s="10">
        <f t="shared" si="597"/>
        <v>47520</v>
      </c>
    </row>
    <row r="1627" spans="1:36" x14ac:dyDescent="0.3">
      <c r="A1627" t="s">
        <v>6171</v>
      </c>
      <c r="B1627" t="s">
        <v>6172</v>
      </c>
      <c r="C1627" t="s">
        <v>6173</v>
      </c>
      <c r="D1627" t="s">
        <v>184</v>
      </c>
      <c r="E1627">
        <v>44103</v>
      </c>
      <c r="F1627" t="s">
        <v>15</v>
      </c>
      <c r="G1627">
        <v>12</v>
      </c>
      <c r="H1627">
        <v>250</v>
      </c>
      <c r="I1627" t="str" cm="1">
        <f t="array" ref="I1627">_xlfn.IFS(H1627&lt;=120,"V1",H1627&lt;=150,"V2",H1627&lt;=250,"V3", H1627&lt;=350, "V4")</f>
        <v>V3</v>
      </c>
      <c r="J1627" t="s">
        <v>6174</v>
      </c>
      <c r="K1627" t="str">
        <f t="shared" si="575"/>
        <v>41.504182</v>
      </c>
      <c r="L1627" t="str">
        <f t="shared" si="576"/>
        <v>-81.63245</v>
      </c>
      <c r="M1627">
        <v>205</v>
      </c>
      <c r="N1627" s="1">
        <v>45005</v>
      </c>
      <c r="O1627" s="1">
        <v>46099</v>
      </c>
      <c r="P1627" s="2">
        <f t="shared" si="577"/>
        <v>2.9952087611225187</v>
      </c>
      <c r="Q1627" s="2" t="str">
        <f t="shared" si="578"/>
        <v>New</v>
      </c>
      <c r="R1627">
        <f t="shared" si="579"/>
        <v>3000</v>
      </c>
      <c r="S1627" t="str">
        <f t="shared" si="580"/>
        <v>Small</v>
      </c>
      <c r="T1627" t="str">
        <f t="shared" si="581"/>
        <v>Lower EV Adoption Corridor</v>
      </c>
      <c r="U1627" s="3">
        <f t="shared" si="582"/>
        <v>5400000</v>
      </c>
      <c r="V1627" s="4">
        <f t="shared" si="583"/>
        <v>1320000</v>
      </c>
      <c r="W1627" s="3">
        <f t="shared" si="584"/>
        <v>18000000</v>
      </c>
      <c r="X1627" s="3">
        <f t="shared" si="585"/>
        <v>9900000</v>
      </c>
      <c r="Y1627">
        <f t="shared" si="586"/>
        <v>0.31515151515151513</v>
      </c>
      <c r="Z1627">
        <f t="shared" si="587"/>
        <v>0.75555555555555554</v>
      </c>
      <c r="AA1627" t="str">
        <f t="shared" si="588"/>
        <v>Tier 2 - Growth Markets</v>
      </c>
      <c r="AB1627" s="3">
        <f t="shared" si="589"/>
        <v>110000</v>
      </c>
      <c r="AC1627" s="3">
        <f t="shared" si="590"/>
        <v>1500000</v>
      </c>
      <c r="AD1627" s="3">
        <f t="shared" si="591"/>
        <v>450000</v>
      </c>
      <c r="AE1627" s="5">
        <f t="shared" si="592"/>
        <v>4.4117647058823533</v>
      </c>
      <c r="AF1627" s="10">
        <f t="shared" si="593"/>
        <v>818400</v>
      </c>
      <c r="AG1627" s="10">
        <f t="shared" si="594"/>
        <v>264000</v>
      </c>
      <c r="AH1627" s="10">
        <f t="shared" si="595"/>
        <v>132000</v>
      </c>
      <c r="AI1627" s="10">
        <f t="shared" si="596"/>
        <v>66000</v>
      </c>
      <c r="AJ1627" s="10">
        <f t="shared" si="597"/>
        <v>39600</v>
      </c>
    </row>
    <row r="1628" spans="1:36" x14ac:dyDescent="0.3">
      <c r="A1628" t="s">
        <v>6175</v>
      </c>
      <c r="B1628" t="s">
        <v>6176</v>
      </c>
      <c r="C1628" t="s">
        <v>6177</v>
      </c>
      <c r="D1628" t="s">
        <v>98</v>
      </c>
      <c r="E1628">
        <v>6512</v>
      </c>
      <c r="F1628" t="s">
        <v>15</v>
      </c>
      <c r="G1628">
        <v>12</v>
      </c>
      <c r="H1628">
        <v>250</v>
      </c>
      <c r="I1628" t="str" cm="1">
        <f t="array" ref="I1628">_xlfn.IFS(H1628&lt;=120,"V1",H1628&lt;=150,"V2",H1628&lt;=250,"V3", H1628&lt;=350, "V4")</f>
        <v>V3</v>
      </c>
      <c r="J1628" t="s">
        <v>6178</v>
      </c>
      <c r="K1628" t="str">
        <f t="shared" si="575"/>
        <v>41.286296</v>
      </c>
      <c r="L1628" t="str">
        <f t="shared" si="576"/>
        <v>-72.877392</v>
      </c>
      <c r="M1628">
        <v>5</v>
      </c>
      <c r="N1628" s="1">
        <v>45013</v>
      </c>
      <c r="O1628" s="1">
        <v>46099</v>
      </c>
      <c r="P1628" s="2">
        <f t="shared" si="577"/>
        <v>2.9733059548254621</v>
      </c>
      <c r="Q1628" s="2" t="str">
        <f t="shared" si="578"/>
        <v>New</v>
      </c>
      <c r="R1628">
        <f t="shared" si="579"/>
        <v>3000</v>
      </c>
      <c r="S1628" t="str">
        <f t="shared" si="580"/>
        <v>Small</v>
      </c>
      <c r="T1628" t="str">
        <f t="shared" si="581"/>
        <v>Lower EV Adoption Corridor</v>
      </c>
      <c r="U1628" s="3">
        <f t="shared" si="582"/>
        <v>5400000</v>
      </c>
      <c r="V1628" s="4">
        <f t="shared" si="583"/>
        <v>1320000</v>
      </c>
      <c r="W1628" s="3">
        <f t="shared" si="584"/>
        <v>18000000</v>
      </c>
      <c r="X1628" s="3">
        <f t="shared" si="585"/>
        <v>9900000</v>
      </c>
      <c r="Y1628">
        <f t="shared" si="586"/>
        <v>0.31515151515151513</v>
      </c>
      <c r="Z1628">
        <f t="shared" si="587"/>
        <v>0.75555555555555554</v>
      </c>
      <c r="AA1628" t="str">
        <f t="shared" si="588"/>
        <v>Tier 2 - Growth Markets</v>
      </c>
      <c r="AB1628" s="3">
        <f t="shared" si="589"/>
        <v>110000</v>
      </c>
      <c r="AC1628" s="3">
        <f t="shared" si="590"/>
        <v>1500000</v>
      </c>
      <c r="AD1628" s="3">
        <f t="shared" si="591"/>
        <v>450000</v>
      </c>
      <c r="AE1628" s="5">
        <f t="shared" si="592"/>
        <v>4.4117647058823533</v>
      </c>
      <c r="AF1628" s="10">
        <f t="shared" si="593"/>
        <v>818400</v>
      </c>
      <c r="AG1628" s="10">
        <f t="shared" si="594"/>
        <v>264000</v>
      </c>
      <c r="AH1628" s="10">
        <f t="shared" si="595"/>
        <v>132000</v>
      </c>
      <c r="AI1628" s="10">
        <f t="shared" si="596"/>
        <v>66000</v>
      </c>
      <c r="AJ1628" s="10">
        <f t="shared" si="597"/>
        <v>39600</v>
      </c>
    </row>
    <row r="1629" spans="1:36" x14ac:dyDescent="0.3">
      <c r="A1629" t="s">
        <v>6179</v>
      </c>
      <c r="B1629" t="s">
        <v>6180</v>
      </c>
      <c r="C1629" t="s">
        <v>6181</v>
      </c>
      <c r="D1629" t="s">
        <v>50</v>
      </c>
      <c r="E1629">
        <v>79252</v>
      </c>
      <c r="F1629" t="s">
        <v>15</v>
      </c>
      <c r="G1629">
        <v>8</v>
      </c>
      <c r="H1629">
        <v>250</v>
      </c>
      <c r="I1629" t="str" cm="1">
        <f t="array" ref="I1629">_xlfn.IFS(H1629&lt;=120,"V1",H1629&lt;=150,"V2",H1629&lt;=250,"V3", H1629&lt;=350, "V4")</f>
        <v>V3</v>
      </c>
      <c r="J1629" t="s">
        <v>6182</v>
      </c>
      <c r="K1629" t="str">
        <f t="shared" si="575"/>
        <v>34.291728</v>
      </c>
      <c r="L1629" t="str">
        <f t="shared" si="576"/>
        <v>-99.755215</v>
      </c>
      <c r="M1629">
        <v>482</v>
      </c>
      <c r="N1629" s="1">
        <v>44917</v>
      </c>
      <c r="O1629" s="1">
        <v>46099</v>
      </c>
      <c r="P1629" s="2">
        <f t="shared" si="577"/>
        <v>3.2361396303901437</v>
      </c>
      <c r="Q1629" s="2" t="str">
        <f t="shared" si="578"/>
        <v>Mid</v>
      </c>
      <c r="R1629">
        <f t="shared" si="579"/>
        <v>2000</v>
      </c>
      <c r="S1629" t="str">
        <f t="shared" si="580"/>
        <v>Small</v>
      </c>
      <c r="T1629" t="str">
        <f t="shared" si="581"/>
        <v>High EV Adoption Corridor</v>
      </c>
      <c r="U1629" s="3">
        <f t="shared" si="582"/>
        <v>4680000</v>
      </c>
      <c r="V1629" s="4">
        <f t="shared" si="583"/>
        <v>1056000</v>
      </c>
      <c r="W1629" s="3">
        <f t="shared" si="584"/>
        <v>13200000.000000002</v>
      </c>
      <c r="X1629" s="3">
        <f t="shared" si="585"/>
        <v>9900000.0000000019</v>
      </c>
      <c r="Y1629">
        <f t="shared" si="586"/>
        <v>0.23999999999999996</v>
      </c>
      <c r="Z1629">
        <f t="shared" si="587"/>
        <v>0.77435897435897438</v>
      </c>
      <c r="AA1629" t="str">
        <f t="shared" si="588"/>
        <v>Tier 1 - Priority Fleet</v>
      </c>
      <c r="AB1629" s="3">
        <f t="shared" si="589"/>
        <v>132000</v>
      </c>
      <c r="AC1629" s="3">
        <f t="shared" si="590"/>
        <v>1650000.0000000002</v>
      </c>
      <c r="AD1629" s="3">
        <f t="shared" si="591"/>
        <v>585000</v>
      </c>
      <c r="AE1629" s="5">
        <f t="shared" si="592"/>
        <v>3.6423841059602653</v>
      </c>
      <c r="AF1629" s="10">
        <f t="shared" si="593"/>
        <v>654720</v>
      </c>
      <c r="AG1629" s="10">
        <f t="shared" si="594"/>
        <v>211200</v>
      </c>
      <c r="AH1629" s="10">
        <f t="shared" si="595"/>
        <v>105600</v>
      </c>
      <c r="AI1629" s="10">
        <f t="shared" si="596"/>
        <v>52800</v>
      </c>
      <c r="AJ1629" s="10">
        <f t="shared" si="597"/>
        <v>31680</v>
      </c>
    </row>
    <row r="1630" spans="1:36" x14ac:dyDescent="0.3">
      <c r="A1630" t="s">
        <v>6183</v>
      </c>
      <c r="B1630" t="s">
        <v>6184</v>
      </c>
      <c r="C1630" t="s">
        <v>6185</v>
      </c>
      <c r="D1630" t="s">
        <v>153</v>
      </c>
      <c r="E1630">
        <v>19382</v>
      </c>
      <c r="F1630" t="s">
        <v>15</v>
      </c>
      <c r="G1630">
        <v>8</v>
      </c>
      <c r="H1630">
        <v>250</v>
      </c>
      <c r="I1630" t="str" cm="1">
        <f t="array" ref="I1630">_xlfn.IFS(H1630&lt;=120,"V1",H1630&lt;=150,"V2",H1630&lt;=250,"V3", H1630&lt;=350, "V4")</f>
        <v>V3</v>
      </c>
      <c r="J1630" t="s">
        <v>6186</v>
      </c>
      <c r="K1630" t="str">
        <f t="shared" si="575"/>
        <v>39.967429</v>
      </c>
      <c r="L1630" t="str">
        <f t="shared" si="576"/>
        <v>-75.576678</v>
      </c>
      <c r="M1630">
        <v>136</v>
      </c>
      <c r="N1630" s="1">
        <v>44989</v>
      </c>
      <c r="O1630" s="1">
        <v>46099</v>
      </c>
      <c r="P1630" s="2">
        <f t="shared" si="577"/>
        <v>3.0390143737166326</v>
      </c>
      <c r="Q1630" s="2" t="str">
        <f t="shared" si="578"/>
        <v>Mid</v>
      </c>
      <c r="R1630">
        <f t="shared" si="579"/>
        <v>2000</v>
      </c>
      <c r="S1630" t="str">
        <f t="shared" si="580"/>
        <v>Small</v>
      </c>
      <c r="T1630" t="str">
        <f t="shared" si="581"/>
        <v>Lower EV Adoption Corridor</v>
      </c>
      <c r="U1630" s="3">
        <f t="shared" si="582"/>
        <v>3600000</v>
      </c>
      <c r="V1630" s="4">
        <f t="shared" si="583"/>
        <v>880000.00000000012</v>
      </c>
      <c r="W1630" s="3">
        <f t="shared" si="584"/>
        <v>12000000</v>
      </c>
      <c r="X1630" s="3">
        <f t="shared" si="585"/>
        <v>6600000.0000000009</v>
      </c>
      <c r="Y1630">
        <f t="shared" si="586"/>
        <v>0.31515151515151513</v>
      </c>
      <c r="Z1630">
        <f t="shared" si="587"/>
        <v>0.75555555555555554</v>
      </c>
      <c r="AA1630" t="str">
        <f t="shared" si="588"/>
        <v>Tier 2 - Growth Markets</v>
      </c>
      <c r="AB1630" s="3">
        <f t="shared" si="589"/>
        <v>110000.00000000001</v>
      </c>
      <c r="AC1630" s="3">
        <f t="shared" si="590"/>
        <v>1500000</v>
      </c>
      <c r="AD1630" s="3">
        <f t="shared" si="591"/>
        <v>450000</v>
      </c>
      <c r="AE1630" s="5">
        <f t="shared" si="592"/>
        <v>4.4117647058823533</v>
      </c>
      <c r="AF1630" s="10">
        <f t="shared" si="593"/>
        <v>545600.00000000012</v>
      </c>
      <c r="AG1630" s="10">
        <f t="shared" si="594"/>
        <v>176000.00000000003</v>
      </c>
      <c r="AH1630" s="10">
        <f t="shared" si="595"/>
        <v>88000.000000000015</v>
      </c>
      <c r="AI1630" s="10">
        <f t="shared" si="596"/>
        <v>44000.000000000007</v>
      </c>
      <c r="AJ1630" s="10">
        <f t="shared" si="597"/>
        <v>26400.000000000004</v>
      </c>
    </row>
    <row r="1631" spans="1:36" x14ac:dyDescent="0.3">
      <c r="A1631" t="s">
        <v>6187</v>
      </c>
      <c r="B1631" t="s">
        <v>6188</v>
      </c>
      <c r="C1631" t="s">
        <v>6189</v>
      </c>
      <c r="D1631" t="s">
        <v>50</v>
      </c>
      <c r="E1631">
        <v>76501</v>
      </c>
      <c r="F1631" t="s">
        <v>15</v>
      </c>
      <c r="G1631">
        <v>48</v>
      </c>
      <c r="H1631">
        <v>250</v>
      </c>
      <c r="I1631" t="str" cm="1">
        <f t="array" ref="I1631">_xlfn.IFS(H1631&lt;=120,"V1",H1631&lt;=150,"V2",H1631&lt;=250,"V3", H1631&lt;=350, "V4")</f>
        <v>V3</v>
      </c>
      <c r="J1631" t="s">
        <v>6190</v>
      </c>
      <c r="K1631" t="str">
        <f t="shared" si="575"/>
        <v>31.13776</v>
      </c>
      <c r="L1631" t="str">
        <f t="shared" si="576"/>
        <v>-97.329332</v>
      </c>
      <c r="M1631">
        <v>215</v>
      </c>
      <c r="N1631" s="1">
        <v>44959</v>
      </c>
      <c r="O1631" s="1">
        <v>46099</v>
      </c>
      <c r="P1631" s="2">
        <f t="shared" si="577"/>
        <v>3.1211498973305956</v>
      </c>
      <c r="Q1631" s="2" t="str">
        <f t="shared" si="578"/>
        <v>Mid</v>
      </c>
      <c r="R1631">
        <f t="shared" si="579"/>
        <v>12000</v>
      </c>
      <c r="S1631" t="str">
        <f t="shared" si="580"/>
        <v>Medium</v>
      </c>
      <c r="T1631" t="str">
        <f t="shared" si="581"/>
        <v>High EV Adoption Corridor</v>
      </c>
      <c r="U1631" s="3">
        <f t="shared" si="582"/>
        <v>28080000</v>
      </c>
      <c r="V1631" s="4">
        <f t="shared" si="583"/>
        <v>6336000</v>
      </c>
      <c r="W1631" s="3">
        <f t="shared" si="584"/>
        <v>79200000</v>
      </c>
      <c r="X1631" s="3">
        <f t="shared" si="585"/>
        <v>59400000</v>
      </c>
      <c r="Y1631">
        <f t="shared" si="586"/>
        <v>0.24</v>
      </c>
      <c r="Z1631">
        <f t="shared" si="587"/>
        <v>0.77435897435897438</v>
      </c>
      <c r="AA1631" t="str">
        <f t="shared" si="588"/>
        <v>Tier 1 - Priority Fleet</v>
      </c>
      <c r="AB1631" s="3">
        <f t="shared" si="589"/>
        <v>132000</v>
      </c>
      <c r="AC1631" s="3">
        <f t="shared" si="590"/>
        <v>1650000</v>
      </c>
      <c r="AD1631" s="3">
        <f t="shared" si="591"/>
        <v>585000</v>
      </c>
      <c r="AE1631" s="5">
        <f t="shared" si="592"/>
        <v>3.6423841059602649</v>
      </c>
      <c r="AF1631" s="10">
        <f t="shared" si="593"/>
        <v>3928320</v>
      </c>
      <c r="AG1631" s="10">
        <f t="shared" si="594"/>
        <v>1267200</v>
      </c>
      <c r="AH1631" s="10">
        <f t="shared" si="595"/>
        <v>633600</v>
      </c>
      <c r="AI1631" s="10">
        <f t="shared" si="596"/>
        <v>316800</v>
      </c>
      <c r="AJ1631" s="10">
        <f t="shared" si="597"/>
        <v>190080</v>
      </c>
    </row>
    <row r="1632" spans="1:36" x14ac:dyDescent="0.3">
      <c r="A1632" t="s">
        <v>6191</v>
      </c>
      <c r="B1632" t="s">
        <v>6192</v>
      </c>
      <c r="C1632" t="s">
        <v>6193</v>
      </c>
      <c r="D1632" t="s">
        <v>41</v>
      </c>
      <c r="E1632">
        <v>32563</v>
      </c>
      <c r="F1632" t="s">
        <v>15</v>
      </c>
      <c r="G1632">
        <v>12</v>
      </c>
      <c r="H1632">
        <v>250</v>
      </c>
      <c r="I1632" t="str" cm="1">
        <f t="array" ref="I1632">_xlfn.IFS(H1632&lt;=120,"V1",H1632&lt;=150,"V2",H1632&lt;=250,"V3", H1632&lt;=350, "V4")</f>
        <v>V3</v>
      </c>
      <c r="J1632" t="s">
        <v>6194</v>
      </c>
      <c r="K1632" t="str">
        <f t="shared" si="575"/>
        <v>30.389314</v>
      </c>
      <c r="L1632" t="str">
        <f t="shared" si="576"/>
        <v>-87.062227</v>
      </c>
      <c r="M1632">
        <v>5</v>
      </c>
      <c r="N1632" s="1">
        <v>45030</v>
      </c>
      <c r="O1632" s="1">
        <v>46099</v>
      </c>
      <c r="P1632" s="2">
        <f t="shared" si="577"/>
        <v>2.9267624914442161</v>
      </c>
      <c r="Q1632" s="2" t="str">
        <f t="shared" si="578"/>
        <v>New</v>
      </c>
      <c r="R1632">
        <f t="shared" si="579"/>
        <v>3000</v>
      </c>
      <c r="S1632" t="str">
        <f t="shared" si="580"/>
        <v>Small</v>
      </c>
      <c r="T1632" t="str">
        <f t="shared" si="581"/>
        <v>High EV Adoption Corridor</v>
      </c>
      <c r="U1632" s="3">
        <f t="shared" si="582"/>
        <v>7020000</v>
      </c>
      <c r="V1632" s="4">
        <f t="shared" si="583"/>
        <v>1584000</v>
      </c>
      <c r="W1632" s="3">
        <f t="shared" si="584"/>
        <v>19800000</v>
      </c>
      <c r="X1632" s="3">
        <f t="shared" si="585"/>
        <v>14850000</v>
      </c>
      <c r="Y1632">
        <f t="shared" si="586"/>
        <v>0.24</v>
      </c>
      <c r="Z1632">
        <f t="shared" si="587"/>
        <v>0.77435897435897438</v>
      </c>
      <c r="AA1632" t="str">
        <f t="shared" si="588"/>
        <v>Tier 1 - Priority Fleet</v>
      </c>
      <c r="AB1632" s="3">
        <f t="shared" si="589"/>
        <v>132000</v>
      </c>
      <c r="AC1632" s="3">
        <f t="shared" si="590"/>
        <v>1650000</v>
      </c>
      <c r="AD1632" s="3">
        <f t="shared" si="591"/>
        <v>585000</v>
      </c>
      <c r="AE1632" s="5">
        <f t="shared" si="592"/>
        <v>3.6423841059602649</v>
      </c>
      <c r="AF1632" s="10">
        <f t="shared" si="593"/>
        <v>982080</v>
      </c>
      <c r="AG1632" s="10">
        <f t="shared" si="594"/>
        <v>316800</v>
      </c>
      <c r="AH1632" s="10">
        <f t="shared" si="595"/>
        <v>158400</v>
      </c>
      <c r="AI1632" s="10">
        <f t="shared" si="596"/>
        <v>79200</v>
      </c>
      <c r="AJ1632" s="10">
        <f t="shared" si="597"/>
        <v>47520</v>
      </c>
    </row>
    <row r="1633" spans="1:36" x14ac:dyDescent="0.3">
      <c r="A1633" t="s">
        <v>6195</v>
      </c>
      <c r="B1633" t="s">
        <v>6196</v>
      </c>
      <c r="C1633" t="s">
        <v>6197</v>
      </c>
      <c r="D1633" t="s">
        <v>28</v>
      </c>
      <c r="E1633">
        <v>30269</v>
      </c>
      <c r="F1633" t="s">
        <v>15</v>
      </c>
      <c r="G1633">
        <v>8</v>
      </c>
      <c r="H1633">
        <v>250</v>
      </c>
      <c r="I1633" t="str" cm="1">
        <f t="array" ref="I1633">_xlfn.IFS(H1633&lt;=120,"V1",H1633&lt;=150,"V2",H1633&lt;=250,"V3", H1633&lt;=350, "V4")</f>
        <v>V3</v>
      </c>
      <c r="J1633" t="s">
        <v>6198</v>
      </c>
      <c r="K1633" t="str">
        <f t="shared" si="575"/>
        <v>33.396462</v>
      </c>
      <c r="L1633" t="str">
        <f t="shared" si="576"/>
        <v>-84.593126</v>
      </c>
      <c r="M1633">
        <v>274</v>
      </c>
      <c r="N1633" s="1">
        <v>44973</v>
      </c>
      <c r="O1633" s="1">
        <v>46099</v>
      </c>
      <c r="P1633" s="2">
        <f t="shared" si="577"/>
        <v>3.0828199863107462</v>
      </c>
      <c r="Q1633" s="2" t="str">
        <f t="shared" si="578"/>
        <v>Mid</v>
      </c>
      <c r="R1633">
        <f t="shared" si="579"/>
        <v>2000</v>
      </c>
      <c r="S1633" t="str">
        <f t="shared" si="580"/>
        <v>Small</v>
      </c>
      <c r="T1633" t="str">
        <f t="shared" si="581"/>
        <v>Lower EV Adoption Corridor</v>
      </c>
      <c r="U1633" s="3">
        <f t="shared" si="582"/>
        <v>3600000</v>
      </c>
      <c r="V1633" s="4">
        <f t="shared" si="583"/>
        <v>880000.00000000012</v>
      </c>
      <c r="W1633" s="3">
        <f t="shared" si="584"/>
        <v>12000000</v>
      </c>
      <c r="X1633" s="3">
        <f t="shared" si="585"/>
        <v>6600000.0000000009</v>
      </c>
      <c r="Y1633">
        <f t="shared" si="586"/>
        <v>0.31515151515151513</v>
      </c>
      <c r="Z1633">
        <f t="shared" si="587"/>
        <v>0.75555555555555554</v>
      </c>
      <c r="AA1633" t="str">
        <f t="shared" si="588"/>
        <v>Tier 2 - Growth Markets</v>
      </c>
      <c r="AB1633" s="3">
        <f t="shared" si="589"/>
        <v>110000.00000000001</v>
      </c>
      <c r="AC1633" s="3">
        <f t="shared" si="590"/>
        <v>1500000</v>
      </c>
      <c r="AD1633" s="3">
        <f t="shared" si="591"/>
        <v>450000</v>
      </c>
      <c r="AE1633" s="5">
        <f t="shared" si="592"/>
        <v>4.4117647058823533</v>
      </c>
      <c r="AF1633" s="10">
        <f t="shared" si="593"/>
        <v>545600.00000000012</v>
      </c>
      <c r="AG1633" s="10">
        <f t="shared" si="594"/>
        <v>176000.00000000003</v>
      </c>
      <c r="AH1633" s="10">
        <f t="shared" si="595"/>
        <v>88000.000000000015</v>
      </c>
      <c r="AI1633" s="10">
        <f t="shared" si="596"/>
        <v>44000.000000000007</v>
      </c>
      <c r="AJ1633" s="10">
        <f t="shared" si="597"/>
        <v>26400.000000000004</v>
      </c>
    </row>
    <row r="1634" spans="1:36" x14ac:dyDescent="0.3">
      <c r="A1634" t="s">
        <v>6199</v>
      </c>
      <c r="B1634" t="s">
        <v>6200</v>
      </c>
      <c r="C1634" t="s">
        <v>3323</v>
      </c>
      <c r="D1634" t="s">
        <v>14</v>
      </c>
      <c r="E1634">
        <v>92672</v>
      </c>
      <c r="F1634" t="s">
        <v>15</v>
      </c>
      <c r="G1634">
        <v>49</v>
      </c>
      <c r="H1634">
        <v>250</v>
      </c>
      <c r="I1634" t="str" cm="1">
        <f t="array" ref="I1634">_xlfn.IFS(H1634&lt;=120,"V1",H1634&lt;=150,"V2",H1634&lt;=250,"V3", H1634&lt;=350, "V4")</f>
        <v>V3</v>
      </c>
      <c r="J1634" t="s">
        <v>6201</v>
      </c>
      <c r="K1634" t="str">
        <f t="shared" si="575"/>
        <v>33.437177</v>
      </c>
      <c r="L1634" t="str">
        <f t="shared" si="576"/>
        <v>-117.62712</v>
      </c>
      <c r="M1634">
        <v>46</v>
      </c>
      <c r="N1634" s="1">
        <v>43056</v>
      </c>
      <c r="O1634" s="1">
        <v>46099</v>
      </c>
      <c r="P1634" s="2">
        <f t="shared" si="577"/>
        <v>8.3312799452429847</v>
      </c>
      <c r="Q1634" s="2" t="str">
        <f t="shared" si="578"/>
        <v>Old</v>
      </c>
      <c r="R1634">
        <f t="shared" si="579"/>
        <v>12250</v>
      </c>
      <c r="S1634" t="str">
        <f t="shared" si="580"/>
        <v>Medium</v>
      </c>
      <c r="T1634" t="str">
        <f t="shared" si="581"/>
        <v>High EV Adoption Corridor</v>
      </c>
      <c r="U1634" s="3">
        <f t="shared" si="582"/>
        <v>28665000</v>
      </c>
      <c r="V1634" s="4">
        <f t="shared" si="583"/>
        <v>6468000</v>
      </c>
      <c r="W1634" s="3">
        <f t="shared" si="584"/>
        <v>80850000</v>
      </c>
      <c r="X1634" s="3">
        <f t="shared" si="585"/>
        <v>60637500</v>
      </c>
      <c r="Y1634">
        <f t="shared" si="586"/>
        <v>0.24</v>
      </c>
      <c r="Z1634">
        <f t="shared" si="587"/>
        <v>0.77435897435897438</v>
      </c>
      <c r="AA1634" t="str">
        <f t="shared" si="588"/>
        <v>Tier 1 - Priority Fleet</v>
      </c>
      <c r="AB1634" s="3">
        <f t="shared" si="589"/>
        <v>132000</v>
      </c>
      <c r="AC1634" s="3">
        <f t="shared" si="590"/>
        <v>1650000</v>
      </c>
      <c r="AD1634" s="3">
        <f t="shared" si="591"/>
        <v>585000</v>
      </c>
      <c r="AE1634" s="5">
        <f t="shared" si="592"/>
        <v>3.6423841059602649</v>
      </c>
      <c r="AF1634" s="10">
        <f t="shared" si="593"/>
        <v>4010160</v>
      </c>
      <c r="AG1634" s="10">
        <f t="shared" si="594"/>
        <v>1293600</v>
      </c>
      <c r="AH1634" s="10">
        <f t="shared" si="595"/>
        <v>646800</v>
      </c>
      <c r="AI1634" s="10">
        <f t="shared" si="596"/>
        <v>323400</v>
      </c>
      <c r="AJ1634" s="10">
        <f t="shared" si="597"/>
        <v>194040</v>
      </c>
    </row>
    <row r="1635" spans="1:36" x14ac:dyDescent="0.3">
      <c r="A1635" t="s">
        <v>6202</v>
      </c>
      <c r="B1635" t="s">
        <v>6203</v>
      </c>
      <c r="C1635" t="s">
        <v>5915</v>
      </c>
      <c r="D1635" t="s">
        <v>50</v>
      </c>
      <c r="E1635">
        <v>76051</v>
      </c>
      <c r="F1635" t="s">
        <v>15</v>
      </c>
      <c r="G1635">
        <v>8</v>
      </c>
      <c r="H1635">
        <v>250</v>
      </c>
      <c r="I1635" t="str" cm="1">
        <f t="array" ref="I1635">_xlfn.IFS(H1635&lt;=120,"V1",H1635&lt;=150,"V2",H1635&lt;=250,"V3", H1635&lt;=350, "V4")</f>
        <v>V3</v>
      </c>
      <c r="J1635" t="s">
        <v>6204</v>
      </c>
      <c r="K1635" t="str">
        <f t="shared" si="575"/>
        <v>32.941334</v>
      </c>
      <c r="L1635" t="str">
        <f t="shared" si="576"/>
        <v>-97.073611</v>
      </c>
      <c r="M1635">
        <v>186</v>
      </c>
      <c r="N1635" s="1">
        <v>45028</v>
      </c>
      <c r="O1635" s="1">
        <v>46099</v>
      </c>
      <c r="P1635" s="2">
        <f t="shared" si="577"/>
        <v>2.9322381930184807</v>
      </c>
      <c r="Q1635" s="2" t="str">
        <f t="shared" si="578"/>
        <v>New</v>
      </c>
      <c r="R1635">
        <f t="shared" si="579"/>
        <v>2000</v>
      </c>
      <c r="S1635" t="str">
        <f t="shared" si="580"/>
        <v>Small</v>
      </c>
      <c r="T1635" t="str">
        <f t="shared" si="581"/>
        <v>High EV Adoption Corridor</v>
      </c>
      <c r="U1635" s="3">
        <f t="shared" si="582"/>
        <v>4680000</v>
      </c>
      <c r="V1635" s="4">
        <f t="shared" si="583"/>
        <v>1056000</v>
      </c>
      <c r="W1635" s="3">
        <f t="shared" si="584"/>
        <v>13200000.000000002</v>
      </c>
      <c r="X1635" s="3">
        <f t="shared" si="585"/>
        <v>9900000.0000000019</v>
      </c>
      <c r="Y1635">
        <f t="shared" si="586"/>
        <v>0.23999999999999996</v>
      </c>
      <c r="Z1635">
        <f t="shared" si="587"/>
        <v>0.77435897435897438</v>
      </c>
      <c r="AA1635" t="str">
        <f t="shared" si="588"/>
        <v>Tier 1 - Priority Fleet</v>
      </c>
      <c r="AB1635" s="3">
        <f t="shared" si="589"/>
        <v>132000</v>
      </c>
      <c r="AC1635" s="3">
        <f t="shared" si="590"/>
        <v>1650000.0000000002</v>
      </c>
      <c r="AD1635" s="3">
        <f t="shared" si="591"/>
        <v>585000</v>
      </c>
      <c r="AE1635" s="5">
        <f t="shared" si="592"/>
        <v>3.6423841059602653</v>
      </c>
      <c r="AF1635" s="10">
        <f t="shared" si="593"/>
        <v>654720</v>
      </c>
      <c r="AG1635" s="10">
        <f t="shared" si="594"/>
        <v>211200</v>
      </c>
      <c r="AH1635" s="10">
        <f t="shared" si="595"/>
        <v>105600</v>
      </c>
      <c r="AI1635" s="10">
        <f t="shared" si="596"/>
        <v>52800</v>
      </c>
      <c r="AJ1635" s="10">
        <f t="shared" si="597"/>
        <v>31680</v>
      </c>
    </row>
    <row r="1636" spans="1:36" x14ac:dyDescent="0.3">
      <c r="A1636" t="s">
        <v>6205</v>
      </c>
      <c r="B1636" t="s">
        <v>6206</v>
      </c>
      <c r="C1636" t="s">
        <v>1188</v>
      </c>
      <c r="D1636" t="s">
        <v>125</v>
      </c>
      <c r="E1636">
        <v>29407</v>
      </c>
      <c r="F1636" t="s">
        <v>15</v>
      </c>
      <c r="G1636">
        <v>12</v>
      </c>
      <c r="H1636">
        <v>250</v>
      </c>
      <c r="I1636" t="str" cm="1">
        <f t="array" ref="I1636">_xlfn.IFS(H1636&lt;=120,"V1",H1636&lt;=150,"V2",H1636&lt;=250,"V3", H1636&lt;=350, "V4")</f>
        <v>V3</v>
      </c>
      <c r="J1636" t="s">
        <v>6207</v>
      </c>
      <c r="K1636" t="str">
        <f t="shared" si="575"/>
        <v>32.798239</v>
      </c>
      <c r="L1636" t="str">
        <f t="shared" si="576"/>
        <v>-80.029175</v>
      </c>
      <c r="M1636">
        <v>4</v>
      </c>
      <c r="N1636" s="1">
        <v>45047</v>
      </c>
      <c r="O1636" s="1">
        <v>46099</v>
      </c>
      <c r="P1636" s="2">
        <f t="shared" si="577"/>
        <v>2.8802190280629705</v>
      </c>
      <c r="Q1636" s="2" t="str">
        <f t="shared" si="578"/>
        <v>New</v>
      </c>
      <c r="R1636">
        <f t="shared" si="579"/>
        <v>3000</v>
      </c>
      <c r="S1636" t="str">
        <f t="shared" si="580"/>
        <v>Small</v>
      </c>
      <c r="T1636" t="str">
        <f t="shared" si="581"/>
        <v>Lower EV Adoption Corridor</v>
      </c>
      <c r="U1636" s="3">
        <f t="shared" si="582"/>
        <v>5400000</v>
      </c>
      <c r="V1636" s="4">
        <f t="shared" si="583"/>
        <v>1320000</v>
      </c>
      <c r="W1636" s="3">
        <f t="shared" si="584"/>
        <v>18000000</v>
      </c>
      <c r="X1636" s="3">
        <f t="shared" si="585"/>
        <v>9900000</v>
      </c>
      <c r="Y1636">
        <f t="shared" si="586"/>
        <v>0.31515151515151513</v>
      </c>
      <c r="Z1636">
        <f t="shared" si="587"/>
        <v>0.75555555555555554</v>
      </c>
      <c r="AA1636" t="str">
        <f t="shared" si="588"/>
        <v>Tier 2 - Growth Markets</v>
      </c>
      <c r="AB1636" s="3">
        <f t="shared" si="589"/>
        <v>110000</v>
      </c>
      <c r="AC1636" s="3">
        <f t="shared" si="590"/>
        <v>1500000</v>
      </c>
      <c r="AD1636" s="3">
        <f t="shared" si="591"/>
        <v>450000</v>
      </c>
      <c r="AE1636" s="5">
        <f t="shared" si="592"/>
        <v>4.4117647058823533</v>
      </c>
      <c r="AF1636" s="10">
        <f t="shared" si="593"/>
        <v>818400</v>
      </c>
      <c r="AG1636" s="10">
        <f t="shared" si="594"/>
        <v>264000</v>
      </c>
      <c r="AH1636" s="10">
        <f t="shared" si="595"/>
        <v>132000</v>
      </c>
      <c r="AI1636" s="10">
        <f t="shared" si="596"/>
        <v>66000</v>
      </c>
      <c r="AJ1636" s="10">
        <f t="shared" si="597"/>
        <v>39600</v>
      </c>
    </row>
    <row r="1637" spans="1:36" x14ac:dyDescent="0.3">
      <c r="A1637" t="s">
        <v>6208</v>
      </c>
      <c r="B1637" t="s">
        <v>6209</v>
      </c>
      <c r="C1637" t="s">
        <v>5096</v>
      </c>
      <c r="D1637" t="s">
        <v>41</v>
      </c>
      <c r="E1637">
        <v>33064</v>
      </c>
      <c r="F1637" t="s">
        <v>15</v>
      </c>
      <c r="G1637">
        <v>7</v>
      </c>
      <c r="H1637">
        <v>250</v>
      </c>
      <c r="I1637" t="str" cm="1">
        <f t="array" ref="I1637">_xlfn.IFS(H1637&lt;=120,"V1",H1637&lt;=150,"V2",H1637&lt;=250,"V3", H1637&lt;=350, "V4")</f>
        <v>V3</v>
      </c>
      <c r="J1637" t="s">
        <v>6210</v>
      </c>
      <c r="K1637" t="str">
        <f t="shared" si="575"/>
        <v>26.276244</v>
      </c>
      <c r="L1637" t="str">
        <f t="shared" si="576"/>
        <v>-80.098192</v>
      </c>
      <c r="M1637">
        <v>3</v>
      </c>
      <c r="N1637" s="1">
        <v>44954</v>
      </c>
      <c r="O1637" s="1">
        <v>46099</v>
      </c>
      <c r="P1637" s="2">
        <f t="shared" si="577"/>
        <v>3.1348391512662559</v>
      </c>
      <c r="Q1637" s="2" t="str">
        <f t="shared" si="578"/>
        <v>Mid</v>
      </c>
      <c r="R1637">
        <f t="shared" si="579"/>
        <v>1750</v>
      </c>
      <c r="S1637" t="str">
        <f t="shared" si="580"/>
        <v>Small</v>
      </c>
      <c r="T1637" t="str">
        <f t="shared" si="581"/>
        <v>High EV Adoption Corridor</v>
      </c>
      <c r="U1637" s="3">
        <f t="shared" si="582"/>
        <v>4095000</v>
      </c>
      <c r="V1637" s="4">
        <f t="shared" si="583"/>
        <v>924000.00000000012</v>
      </c>
      <c r="W1637" s="3">
        <f t="shared" si="584"/>
        <v>11550000.000000002</v>
      </c>
      <c r="X1637" s="3">
        <f t="shared" si="585"/>
        <v>8662500.0000000019</v>
      </c>
      <c r="Y1637">
        <f t="shared" si="586"/>
        <v>0.24</v>
      </c>
      <c r="Z1637">
        <f t="shared" si="587"/>
        <v>0.77435897435897438</v>
      </c>
      <c r="AA1637" t="str">
        <f t="shared" si="588"/>
        <v>Tier 1 - Priority Fleet</v>
      </c>
      <c r="AB1637" s="3">
        <f t="shared" si="589"/>
        <v>132000.00000000003</v>
      </c>
      <c r="AC1637" s="3">
        <f t="shared" si="590"/>
        <v>1650000.0000000002</v>
      </c>
      <c r="AD1637" s="3">
        <f t="shared" si="591"/>
        <v>585000</v>
      </c>
      <c r="AE1637" s="5">
        <f t="shared" si="592"/>
        <v>3.6423841059602653</v>
      </c>
      <c r="AF1637" s="10">
        <f t="shared" si="593"/>
        <v>572880.00000000012</v>
      </c>
      <c r="AG1637" s="10">
        <f t="shared" si="594"/>
        <v>184800.00000000003</v>
      </c>
      <c r="AH1637" s="10">
        <f t="shared" si="595"/>
        <v>92400.000000000015</v>
      </c>
      <c r="AI1637" s="10">
        <f t="shared" si="596"/>
        <v>46200.000000000007</v>
      </c>
      <c r="AJ1637" s="10">
        <f t="shared" si="597"/>
        <v>27720.000000000004</v>
      </c>
    </row>
    <row r="1638" spans="1:36" x14ac:dyDescent="0.3">
      <c r="A1638" t="s">
        <v>6211</v>
      </c>
      <c r="B1638" t="s">
        <v>6212</v>
      </c>
      <c r="C1638" t="s">
        <v>402</v>
      </c>
      <c r="D1638" t="s">
        <v>268</v>
      </c>
      <c r="E1638">
        <v>80239</v>
      </c>
      <c r="F1638" t="s">
        <v>15</v>
      </c>
      <c r="G1638">
        <v>8</v>
      </c>
      <c r="H1638">
        <v>250</v>
      </c>
      <c r="I1638" t="str" cm="1">
        <f t="array" ref="I1638">_xlfn.IFS(H1638&lt;=120,"V1",H1638&lt;=150,"V2",H1638&lt;=250,"V3", H1638&lt;=350, "V4")</f>
        <v>V3</v>
      </c>
      <c r="J1638" t="s">
        <v>6213</v>
      </c>
      <c r="K1638" t="str">
        <f t="shared" si="575"/>
        <v>39.778341</v>
      </c>
      <c r="L1638" t="str">
        <f t="shared" si="576"/>
        <v>-104.848415</v>
      </c>
      <c r="M1638">
        <v>1622</v>
      </c>
      <c r="N1638" s="1">
        <v>45023</v>
      </c>
      <c r="O1638" s="1">
        <v>46099</v>
      </c>
      <c r="P1638" s="2">
        <f t="shared" si="577"/>
        <v>2.945927446954141</v>
      </c>
      <c r="Q1638" s="2" t="str">
        <f t="shared" si="578"/>
        <v>New</v>
      </c>
      <c r="R1638">
        <f t="shared" si="579"/>
        <v>2000</v>
      </c>
      <c r="S1638" t="str">
        <f t="shared" si="580"/>
        <v>Small</v>
      </c>
      <c r="T1638" t="str">
        <f t="shared" si="581"/>
        <v>High EV Adoption Corridor</v>
      </c>
      <c r="U1638" s="3">
        <f t="shared" si="582"/>
        <v>4680000</v>
      </c>
      <c r="V1638" s="4">
        <f t="shared" si="583"/>
        <v>1056000</v>
      </c>
      <c r="W1638" s="3">
        <f t="shared" si="584"/>
        <v>13200000.000000002</v>
      </c>
      <c r="X1638" s="3">
        <f t="shared" si="585"/>
        <v>9900000.0000000019</v>
      </c>
      <c r="Y1638">
        <f t="shared" si="586"/>
        <v>0.23999999999999996</v>
      </c>
      <c r="Z1638">
        <f t="shared" si="587"/>
        <v>0.77435897435897438</v>
      </c>
      <c r="AA1638" t="str">
        <f t="shared" si="588"/>
        <v>Tier 1 - Priority Fleet</v>
      </c>
      <c r="AB1638" s="3">
        <f t="shared" si="589"/>
        <v>132000</v>
      </c>
      <c r="AC1638" s="3">
        <f t="shared" si="590"/>
        <v>1650000.0000000002</v>
      </c>
      <c r="AD1638" s="3">
        <f t="shared" si="591"/>
        <v>585000</v>
      </c>
      <c r="AE1638" s="5">
        <f t="shared" si="592"/>
        <v>3.6423841059602653</v>
      </c>
      <c r="AF1638" s="10">
        <f t="shared" si="593"/>
        <v>654720</v>
      </c>
      <c r="AG1638" s="10">
        <f t="shared" si="594"/>
        <v>211200</v>
      </c>
      <c r="AH1638" s="10">
        <f t="shared" si="595"/>
        <v>105600</v>
      </c>
      <c r="AI1638" s="10">
        <f t="shared" si="596"/>
        <v>52800</v>
      </c>
      <c r="AJ1638" s="10">
        <f t="shared" si="597"/>
        <v>31680</v>
      </c>
    </row>
    <row r="1639" spans="1:36" x14ac:dyDescent="0.3">
      <c r="A1639" t="s">
        <v>6214</v>
      </c>
      <c r="B1639" t="s">
        <v>6215</v>
      </c>
      <c r="C1639" t="s">
        <v>6216</v>
      </c>
      <c r="D1639" t="s">
        <v>299</v>
      </c>
      <c r="E1639">
        <v>34311</v>
      </c>
      <c r="F1639" t="s">
        <v>15</v>
      </c>
      <c r="G1639">
        <v>8</v>
      </c>
      <c r="H1639">
        <v>250</v>
      </c>
      <c r="I1639" t="str" cm="1">
        <f t="array" ref="I1639">_xlfn.IFS(H1639&lt;=120,"V1",H1639&lt;=150,"V2",H1639&lt;=250,"V3", H1639&lt;=350, "V4")</f>
        <v>V3</v>
      </c>
      <c r="J1639" t="s">
        <v>6217</v>
      </c>
      <c r="K1639" t="str">
        <f t="shared" si="575"/>
        <v>36.86455</v>
      </c>
      <c r="L1639" t="str">
        <f t="shared" si="576"/>
        <v>-81.433527</v>
      </c>
      <c r="M1639">
        <v>699</v>
      </c>
      <c r="N1639" s="1">
        <v>44917</v>
      </c>
      <c r="O1639" s="1">
        <v>46099</v>
      </c>
      <c r="P1639" s="2">
        <f t="shared" si="577"/>
        <v>3.2361396303901437</v>
      </c>
      <c r="Q1639" s="2" t="str">
        <f t="shared" si="578"/>
        <v>Mid</v>
      </c>
      <c r="R1639">
        <f t="shared" si="579"/>
        <v>2000</v>
      </c>
      <c r="S1639" t="str">
        <f t="shared" si="580"/>
        <v>Small</v>
      </c>
      <c r="T1639" t="str">
        <f t="shared" si="581"/>
        <v>Lower EV Adoption Corridor</v>
      </c>
      <c r="U1639" s="3">
        <f t="shared" si="582"/>
        <v>3600000</v>
      </c>
      <c r="V1639" s="4">
        <f t="shared" si="583"/>
        <v>880000.00000000012</v>
      </c>
      <c r="W1639" s="3">
        <f t="shared" si="584"/>
        <v>12000000</v>
      </c>
      <c r="X1639" s="3">
        <f t="shared" si="585"/>
        <v>6600000.0000000009</v>
      </c>
      <c r="Y1639">
        <f t="shared" si="586"/>
        <v>0.31515151515151513</v>
      </c>
      <c r="Z1639">
        <f t="shared" si="587"/>
        <v>0.75555555555555554</v>
      </c>
      <c r="AA1639" t="str">
        <f t="shared" si="588"/>
        <v>Tier 2 - Growth Markets</v>
      </c>
      <c r="AB1639" s="3">
        <f t="shared" si="589"/>
        <v>110000.00000000001</v>
      </c>
      <c r="AC1639" s="3">
        <f t="shared" si="590"/>
        <v>1500000</v>
      </c>
      <c r="AD1639" s="3">
        <f t="shared" si="591"/>
        <v>450000</v>
      </c>
      <c r="AE1639" s="5">
        <f t="shared" si="592"/>
        <v>4.4117647058823533</v>
      </c>
      <c r="AF1639" s="10">
        <f t="shared" si="593"/>
        <v>545600.00000000012</v>
      </c>
      <c r="AG1639" s="10">
        <f t="shared" si="594"/>
        <v>176000.00000000003</v>
      </c>
      <c r="AH1639" s="10">
        <f t="shared" si="595"/>
        <v>88000.000000000015</v>
      </c>
      <c r="AI1639" s="10">
        <f t="shared" si="596"/>
        <v>44000.000000000007</v>
      </c>
      <c r="AJ1639" s="10">
        <f t="shared" si="597"/>
        <v>26400.000000000004</v>
      </c>
    </row>
    <row r="1640" spans="1:36" x14ac:dyDescent="0.3">
      <c r="A1640" t="s">
        <v>6218</v>
      </c>
      <c r="B1640" t="s">
        <v>6219</v>
      </c>
      <c r="C1640" t="s">
        <v>3098</v>
      </c>
      <c r="D1640" t="s">
        <v>14</v>
      </c>
      <c r="E1640">
        <v>92223</v>
      </c>
      <c r="F1640" t="s">
        <v>15</v>
      </c>
      <c r="G1640">
        <v>24</v>
      </c>
      <c r="H1640">
        <v>250</v>
      </c>
      <c r="I1640" t="str" cm="1">
        <f t="array" ref="I1640">_xlfn.IFS(H1640&lt;=120,"V1",H1640&lt;=150,"V2",H1640&lt;=250,"V3", H1640&lt;=350, "V4")</f>
        <v>V3</v>
      </c>
      <c r="J1640" t="s">
        <v>6220</v>
      </c>
      <c r="K1640" t="str">
        <f t="shared" si="575"/>
        <v>33.946913</v>
      </c>
      <c r="L1640" t="str">
        <f t="shared" si="576"/>
        <v>-117.00056</v>
      </c>
      <c r="M1640">
        <v>762</v>
      </c>
      <c r="N1640" s="1">
        <v>44911</v>
      </c>
      <c r="O1640" s="1">
        <v>46099</v>
      </c>
      <c r="P1640" s="2">
        <f t="shared" si="577"/>
        <v>3.2525667351129361</v>
      </c>
      <c r="Q1640" s="2" t="str">
        <f t="shared" si="578"/>
        <v>Mid</v>
      </c>
      <c r="R1640">
        <f t="shared" si="579"/>
        <v>6000</v>
      </c>
      <c r="S1640" t="str">
        <f t="shared" si="580"/>
        <v>Small</v>
      </c>
      <c r="T1640" t="str">
        <f t="shared" si="581"/>
        <v>High EV Adoption Corridor</v>
      </c>
      <c r="U1640" s="3">
        <f t="shared" si="582"/>
        <v>14040000</v>
      </c>
      <c r="V1640" s="4">
        <f t="shared" si="583"/>
        <v>3168000</v>
      </c>
      <c r="W1640" s="3">
        <f t="shared" si="584"/>
        <v>39600000</v>
      </c>
      <c r="X1640" s="3">
        <f t="shared" si="585"/>
        <v>29700000</v>
      </c>
      <c r="Y1640">
        <f t="shared" si="586"/>
        <v>0.24</v>
      </c>
      <c r="Z1640">
        <f t="shared" si="587"/>
        <v>0.77435897435897438</v>
      </c>
      <c r="AA1640" t="str">
        <f t="shared" si="588"/>
        <v>Tier 1 - Priority Fleet</v>
      </c>
      <c r="AB1640" s="3">
        <f t="shared" si="589"/>
        <v>132000</v>
      </c>
      <c r="AC1640" s="3">
        <f t="shared" si="590"/>
        <v>1650000</v>
      </c>
      <c r="AD1640" s="3">
        <f t="shared" si="591"/>
        <v>585000</v>
      </c>
      <c r="AE1640" s="5">
        <f t="shared" si="592"/>
        <v>3.6423841059602649</v>
      </c>
      <c r="AF1640" s="10">
        <f t="shared" si="593"/>
        <v>1964160</v>
      </c>
      <c r="AG1640" s="10">
        <f t="shared" si="594"/>
        <v>633600</v>
      </c>
      <c r="AH1640" s="10">
        <f t="shared" si="595"/>
        <v>316800</v>
      </c>
      <c r="AI1640" s="10">
        <f t="shared" si="596"/>
        <v>158400</v>
      </c>
      <c r="AJ1640" s="10">
        <f t="shared" si="597"/>
        <v>95040</v>
      </c>
    </row>
    <row r="1641" spans="1:36" x14ac:dyDescent="0.3">
      <c r="A1641" t="s">
        <v>6221</v>
      </c>
      <c r="B1641" t="s">
        <v>6222</v>
      </c>
      <c r="C1641" t="s">
        <v>6223</v>
      </c>
      <c r="D1641" t="s">
        <v>77</v>
      </c>
      <c r="E1641">
        <v>27012</v>
      </c>
      <c r="F1641" t="s">
        <v>15</v>
      </c>
      <c r="G1641">
        <v>12</v>
      </c>
      <c r="H1641">
        <v>250</v>
      </c>
      <c r="I1641" t="str" cm="1">
        <f t="array" ref="I1641">_xlfn.IFS(H1641&lt;=120,"V1",H1641&lt;=150,"V2",H1641&lt;=250,"V3", H1641&lt;=350, "V4")</f>
        <v>V3</v>
      </c>
      <c r="J1641" t="s">
        <v>6224</v>
      </c>
      <c r="K1641" t="str">
        <f t="shared" si="575"/>
        <v>36.030526</v>
      </c>
      <c r="L1641" t="str">
        <f t="shared" si="576"/>
        <v>-80.381435</v>
      </c>
      <c r="M1641">
        <v>247</v>
      </c>
      <c r="N1641" s="1">
        <v>44930</v>
      </c>
      <c r="O1641" s="1">
        <v>46099</v>
      </c>
      <c r="P1641" s="2">
        <f t="shared" si="577"/>
        <v>3.2005475701574264</v>
      </c>
      <c r="Q1641" s="2" t="str">
        <f t="shared" si="578"/>
        <v>Mid</v>
      </c>
      <c r="R1641">
        <f t="shared" si="579"/>
        <v>3000</v>
      </c>
      <c r="S1641" t="str">
        <f t="shared" si="580"/>
        <v>Small</v>
      </c>
      <c r="T1641" t="str">
        <f t="shared" si="581"/>
        <v>Lower EV Adoption Corridor</v>
      </c>
      <c r="U1641" s="3">
        <f t="shared" si="582"/>
        <v>5400000</v>
      </c>
      <c r="V1641" s="4">
        <f t="shared" si="583"/>
        <v>1320000</v>
      </c>
      <c r="W1641" s="3">
        <f t="shared" si="584"/>
        <v>18000000</v>
      </c>
      <c r="X1641" s="3">
        <f t="shared" si="585"/>
        <v>9900000</v>
      </c>
      <c r="Y1641">
        <f t="shared" si="586"/>
        <v>0.31515151515151513</v>
      </c>
      <c r="Z1641">
        <f t="shared" si="587"/>
        <v>0.75555555555555554</v>
      </c>
      <c r="AA1641" t="str">
        <f t="shared" si="588"/>
        <v>Tier 2 - Growth Markets</v>
      </c>
      <c r="AB1641" s="3">
        <f t="shared" si="589"/>
        <v>110000</v>
      </c>
      <c r="AC1641" s="3">
        <f t="shared" si="590"/>
        <v>1500000</v>
      </c>
      <c r="AD1641" s="3">
        <f t="shared" si="591"/>
        <v>450000</v>
      </c>
      <c r="AE1641" s="5">
        <f t="shared" si="592"/>
        <v>4.4117647058823533</v>
      </c>
      <c r="AF1641" s="10">
        <f t="shared" si="593"/>
        <v>818400</v>
      </c>
      <c r="AG1641" s="10">
        <f t="shared" si="594"/>
        <v>264000</v>
      </c>
      <c r="AH1641" s="10">
        <f t="shared" si="595"/>
        <v>132000</v>
      </c>
      <c r="AI1641" s="10">
        <f t="shared" si="596"/>
        <v>66000</v>
      </c>
      <c r="AJ1641" s="10">
        <f t="shared" si="597"/>
        <v>39600</v>
      </c>
    </row>
    <row r="1642" spans="1:36" x14ac:dyDescent="0.3">
      <c r="A1642" t="s">
        <v>6225</v>
      </c>
      <c r="B1642" t="s">
        <v>6226</v>
      </c>
      <c r="C1642" t="s">
        <v>605</v>
      </c>
      <c r="D1642" t="s">
        <v>50</v>
      </c>
      <c r="E1642">
        <v>77070</v>
      </c>
      <c r="F1642" t="s">
        <v>15</v>
      </c>
      <c r="G1642">
        <v>14</v>
      </c>
      <c r="H1642">
        <v>250</v>
      </c>
      <c r="I1642" t="str" cm="1">
        <f t="array" ref="I1642">_xlfn.IFS(H1642&lt;=120,"V1",H1642&lt;=150,"V2",H1642&lt;=250,"V3", H1642&lt;=350, "V4")</f>
        <v>V3</v>
      </c>
      <c r="J1642" t="s">
        <v>6227</v>
      </c>
      <c r="K1642" t="str">
        <f t="shared" si="575"/>
        <v>29.997117</v>
      </c>
      <c r="L1642" t="str">
        <f t="shared" si="576"/>
        <v>-95.575736</v>
      </c>
      <c r="M1642">
        <v>40</v>
      </c>
      <c r="N1642" s="1">
        <v>44959</v>
      </c>
      <c r="O1642" s="1">
        <v>46099</v>
      </c>
      <c r="P1642" s="2">
        <f t="shared" si="577"/>
        <v>3.1211498973305956</v>
      </c>
      <c r="Q1642" s="2" t="str">
        <f t="shared" si="578"/>
        <v>Mid</v>
      </c>
      <c r="R1642">
        <f t="shared" si="579"/>
        <v>3500</v>
      </c>
      <c r="S1642" t="str">
        <f t="shared" si="580"/>
        <v>Small</v>
      </c>
      <c r="T1642" t="str">
        <f t="shared" si="581"/>
        <v>High EV Adoption Corridor</v>
      </c>
      <c r="U1642" s="3">
        <f t="shared" si="582"/>
        <v>8190000</v>
      </c>
      <c r="V1642" s="4">
        <f t="shared" si="583"/>
        <v>1848000.0000000002</v>
      </c>
      <c r="W1642" s="3">
        <f t="shared" si="584"/>
        <v>23100000.000000004</v>
      </c>
      <c r="X1642" s="3">
        <f t="shared" si="585"/>
        <v>17325000.000000004</v>
      </c>
      <c r="Y1642">
        <f t="shared" si="586"/>
        <v>0.24</v>
      </c>
      <c r="Z1642">
        <f t="shared" si="587"/>
        <v>0.77435897435897438</v>
      </c>
      <c r="AA1642" t="str">
        <f t="shared" si="588"/>
        <v>Tier 1 - Priority Fleet</v>
      </c>
      <c r="AB1642" s="3">
        <f t="shared" si="589"/>
        <v>132000.00000000003</v>
      </c>
      <c r="AC1642" s="3">
        <f t="shared" si="590"/>
        <v>1650000.0000000002</v>
      </c>
      <c r="AD1642" s="3">
        <f t="shared" si="591"/>
        <v>585000</v>
      </c>
      <c r="AE1642" s="5">
        <f t="shared" si="592"/>
        <v>3.6423841059602653</v>
      </c>
      <c r="AF1642" s="10">
        <f t="shared" si="593"/>
        <v>1145760.0000000002</v>
      </c>
      <c r="AG1642" s="10">
        <f t="shared" si="594"/>
        <v>369600.00000000006</v>
      </c>
      <c r="AH1642" s="10">
        <f t="shared" si="595"/>
        <v>184800.00000000003</v>
      </c>
      <c r="AI1642" s="10">
        <f t="shared" si="596"/>
        <v>92400.000000000015</v>
      </c>
      <c r="AJ1642" s="10">
        <f t="shared" si="597"/>
        <v>55440.000000000007</v>
      </c>
    </row>
    <row r="1643" spans="1:36" x14ac:dyDescent="0.3">
      <c r="A1643" t="s">
        <v>6228</v>
      </c>
      <c r="B1643" t="s">
        <v>6229</v>
      </c>
      <c r="C1643" t="s">
        <v>6230</v>
      </c>
      <c r="D1643" t="s">
        <v>14</v>
      </c>
      <c r="E1643">
        <v>92626</v>
      </c>
      <c r="F1643" t="s">
        <v>15</v>
      </c>
      <c r="G1643">
        <v>8</v>
      </c>
      <c r="H1643">
        <v>250</v>
      </c>
      <c r="I1643" t="str" cm="1">
        <f t="array" ref="I1643">_xlfn.IFS(H1643&lt;=120,"V1",H1643&lt;=150,"V2",H1643&lt;=250,"V3", H1643&lt;=350, "V4")</f>
        <v>V3</v>
      </c>
      <c r="J1643" t="s">
        <v>6231</v>
      </c>
      <c r="K1643" t="str">
        <f t="shared" si="575"/>
        <v>33.692874</v>
      </c>
      <c r="L1643" t="str">
        <f t="shared" si="576"/>
        <v>-117.92514</v>
      </c>
      <c r="M1643">
        <v>9</v>
      </c>
      <c r="N1643" s="1">
        <v>45026</v>
      </c>
      <c r="O1643" s="1">
        <v>46099</v>
      </c>
      <c r="P1643" s="2">
        <f t="shared" si="577"/>
        <v>2.9377138945927448</v>
      </c>
      <c r="Q1643" s="2" t="str">
        <f t="shared" si="578"/>
        <v>New</v>
      </c>
      <c r="R1643">
        <f t="shared" si="579"/>
        <v>2000</v>
      </c>
      <c r="S1643" t="str">
        <f t="shared" si="580"/>
        <v>Small</v>
      </c>
      <c r="T1643" t="str">
        <f t="shared" si="581"/>
        <v>High EV Adoption Corridor</v>
      </c>
      <c r="U1643" s="3">
        <f t="shared" si="582"/>
        <v>4680000</v>
      </c>
      <c r="V1643" s="4">
        <f t="shared" si="583"/>
        <v>1056000</v>
      </c>
      <c r="W1643" s="3">
        <f t="shared" si="584"/>
        <v>13200000.000000002</v>
      </c>
      <c r="X1643" s="3">
        <f t="shared" si="585"/>
        <v>9900000.0000000019</v>
      </c>
      <c r="Y1643">
        <f t="shared" si="586"/>
        <v>0.23999999999999996</v>
      </c>
      <c r="Z1643">
        <f t="shared" si="587"/>
        <v>0.77435897435897438</v>
      </c>
      <c r="AA1643" t="str">
        <f t="shared" si="588"/>
        <v>Tier 1 - Priority Fleet</v>
      </c>
      <c r="AB1643" s="3">
        <f t="shared" si="589"/>
        <v>132000</v>
      </c>
      <c r="AC1643" s="3">
        <f t="shared" si="590"/>
        <v>1650000.0000000002</v>
      </c>
      <c r="AD1643" s="3">
        <f t="shared" si="591"/>
        <v>585000</v>
      </c>
      <c r="AE1643" s="5">
        <f t="shared" si="592"/>
        <v>3.6423841059602653</v>
      </c>
      <c r="AF1643" s="10">
        <f t="shared" si="593"/>
        <v>654720</v>
      </c>
      <c r="AG1643" s="10">
        <f t="shared" si="594"/>
        <v>211200</v>
      </c>
      <c r="AH1643" s="10">
        <f t="shared" si="595"/>
        <v>105600</v>
      </c>
      <c r="AI1643" s="10">
        <f t="shared" si="596"/>
        <v>52800</v>
      </c>
      <c r="AJ1643" s="10">
        <f t="shared" si="597"/>
        <v>31680</v>
      </c>
    </row>
    <row r="1644" spans="1:36" x14ac:dyDescent="0.3">
      <c r="A1644" t="s">
        <v>6232</v>
      </c>
      <c r="B1644" t="s">
        <v>6233</v>
      </c>
      <c r="C1644" t="s">
        <v>1570</v>
      </c>
      <c r="D1644" t="s">
        <v>14</v>
      </c>
      <c r="E1644">
        <v>92398</v>
      </c>
      <c r="F1644" t="s">
        <v>15</v>
      </c>
      <c r="G1644">
        <v>40</v>
      </c>
      <c r="H1644">
        <v>250</v>
      </c>
      <c r="I1644" t="str" cm="1">
        <f t="array" ref="I1644">_xlfn.IFS(H1644&lt;=120,"V1",H1644&lt;=150,"V2",H1644&lt;=250,"V3", H1644&lt;=350, "V4")</f>
        <v>V3</v>
      </c>
      <c r="J1644" t="s">
        <v>6234</v>
      </c>
      <c r="K1644" t="str">
        <f t="shared" si="575"/>
        <v>34.919528</v>
      </c>
      <c r="L1644" t="str">
        <f t="shared" si="576"/>
        <v>-116.769185</v>
      </c>
      <c r="M1644">
        <v>577</v>
      </c>
      <c r="N1644" s="1">
        <v>45070</v>
      </c>
      <c r="O1644" s="1">
        <v>46099</v>
      </c>
      <c r="P1644" s="2">
        <f t="shared" si="577"/>
        <v>2.817248459958932</v>
      </c>
      <c r="Q1644" s="2" t="str">
        <f t="shared" si="578"/>
        <v>New</v>
      </c>
      <c r="R1644">
        <f t="shared" si="579"/>
        <v>10000</v>
      </c>
      <c r="S1644" t="str">
        <f t="shared" si="580"/>
        <v>Medium</v>
      </c>
      <c r="T1644" t="str">
        <f t="shared" si="581"/>
        <v>High EV Adoption Corridor</v>
      </c>
      <c r="U1644" s="3">
        <f t="shared" si="582"/>
        <v>23400000</v>
      </c>
      <c r="V1644" s="4">
        <f t="shared" si="583"/>
        <v>5280000</v>
      </c>
      <c r="W1644" s="3">
        <f t="shared" si="584"/>
        <v>66000000.000000007</v>
      </c>
      <c r="X1644" s="3">
        <f t="shared" si="585"/>
        <v>49500000.000000007</v>
      </c>
      <c r="Y1644">
        <f t="shared" si="586"/>
        <v>0.23999999999999996</v>
      </c>
      <c r="Z1644">
        <f t="shared" si="587"/>
        <v>0.77435897435897438</v>
      </c>
      <c r="AA1644" t="str">
        <f t="shared" si="588"/>
        <v>Tier 1 - Priority Fleet</v>
      </c>
      <c r="AB1644" s="3">
        <f t="shared" si="589"/>
        <v>132000</v>
      </c>
      <c r="AC1644" s="3">
        <f t="shared" si="590"/>
        <v>1650000.0000000002</v>
      </c>
      <c r="AD1644" s="3">
        <f t="shared" si="591"/>
        <v>585000</v>
      </c>
      <c r="AE1644" s="5">
        <f t="shared" si="592"/>
        <v>3.6423841059602653</v>
      </c>
      <c r="AF1644" s="10">
        <f t="shared" si="593"/>
        <v>3273600</v>
      </c>
      <c r="AG1644" s="10">
        <f t="shared" si="594"/>
        <v>1056000</v>
      </c>
      <c r="AH1644" s="10">
        <f t="shared" si="595"/>
        <v>528000</v>
      </c>
      <c r="AI1644" s="10">
        <f t="shared" si="596"/>
        <v>264000</v>
      </c>
      <c r="AJ1644" s="10">
        <f t="shared" si="597"/>
        <v>158400</v>
      </c>
    </row>
    <row r="1645" spans="1:36" x14ac:dyDescent="0.3">
      <c r="A1645" t="s">
        <v>6235</v>
      </c>
      <c r="B1645" t="s">
        <v>6236</v>
      </c>
      <c r="C1645" t="s">
        <v>6237</v>
      </c>
      <c r="D1645" t="s">
        <v>14</v>
      </c>
      <c r="E1645">
        <v>91791</v>
      </c>
      <c r="F1645" t="s">
        <v>15</v>
      </c>
      <c r="G1645">
        <v>16</v>
      </c>
      <c r="H1645">
        <v>250</v>
      </c>
      <c r="I1645" t="str" cm="1">
        <f t="array" ref="I1645">_xlfn.IFS(H1645&lt;=120,"V1",H1645&lt;=150,"V2",H1645&lt;=250,"V3", H1645&lt;=350, "V4")</f>
        <v>V3</v>
      </c>
      <c r="J1645" t="s">
        <v>6238</v>
      </c>
      <c r="K1645" t="str">
        <f t="shared" si="575"/>
        <v>34.070663</v>
      </c>
      <c r="L1645" t="str">
        <f t="shared" si="576"/>
        <v>-117.889053</v>
      </c>
      <c r="M1645">
        <v>147</v>
      </c>
      <c r="N1645" s="1">
        <v>44865</v>
      </c>
      <c r="O1645" s="1">
        <v>46099</v>
      </c>
      <c r="P1645" s="2">
        <f t="shared" si="577"/>
        <v>3.378507871321013</v>
      </c>
      <c r="Q1645" s="2" t="str">
        <f t="shared" si="578"/>
        <v>Mid</v>
      </c>
      <c r="R1645">
        <f t="shared" si="579"/>
        <v>4000</v>
      </c>
      <c r="S1645" t="str">
        <f t="shared" si="580"/>
        <v>Small</v>
      </c>
      <c r="T1645" t="str">
        <f t="shared" si="581"/>
        <v>High EV Adoption Corridor</v>
      </c>
      <c r="U1645" s="3">
        <f t="shared" si="582"/>
        <v>9360000</v>
      </c>
      <c r="V1645" s="4">
        <f t="shared" si="583"/>
        <v>2112000</v>
      </c>
      <c r="W1645" s="3">
        <f t="shared" si="584"/>
        <v>26400000.000000004</v>
      </c>
      <c r="X1645" s="3">
        <f t="shared" si="585"/>
        <v>19800000.000000004</v>
      </c>
      <c r="Y1645">
        <f t="shared" si="586"/>
        <v>0.23999999999999996</v>
      </c>
      <c r="Z1645">
        <f t="shared" si="587"/>
        <v>0.77435897435897438</v>
      </c>
      <c r="AA1645" t="str">
        <f t="shared" si="588"/>
        <v>Tier 1 - Priority Fleet</v>
      </c>
      <c r="AB1645" s="3">
        <f t="shared" si="589"/>
        <v>132000</v>
      </c>
      <c r="AC1645" s="3">
        <f t="shared" si="590"/>
        <v>1650000.0000000002</v>
      </c>
      <c r="AD1645" s="3">
        <f t="shared" si="591"/>
        <v>585000</v>
      </c>
      <c r="AE1645" s="5">
        <f t="shared" si="592"/>
        <v>3.6423841059602653</v>
      </c>
      <c r="AF1645" s="10">
        <f t="shared" si="593"/>
        <v>1309440</v>
      </c>
      <c r="AG1645" s="10">
        <f t="shared" si="594"/>
        <v>422400</v>
      </c>
      <c r="AH1645" s="10">
        <f t="shared" si="595"/>
        <v>211200</v>
      </c>
      <c r="AI1645" s="10">
        <f t="shared" si="596"/>
        <v>105600</v>
      </c>
      <c r="AJ1645" s="10">
        <f t="shared" si="597"/>
        <v>63360</v>
      </c>
    </row>
    <row r="1646" spans="1:36" x14ac:dyDescent="0.3">
      <c r="A1646" t="s">
        <v>6239</v>
      </c>
      <c r="B1646" t="s">
        <v>6240</v>
      </c>
      <c r="C1646" t="s">
        <v>6241</v>
      </c>
      <c r="D1646" t="s">
        <v>14</v>
      </c>
      <c r="E1646">
        <v>92832</v>
      </c>
      <c r="F1646" t="s">
        <v>15</v>
      </c>
      <c r="G1646">
        <v>16</v>
      </c>
      <c r="H1646">
        <v>250</v>
      </c>
      <c r="I1646" t="str" cm="1">
        <f t="array" ref="I1646">_xlfn.IFS(H1646&lt;=120,"V1",H1646&lt;=150,"V2",H1646&lt;=250,"V3", H1646&lt;=350, "V4")</f>
        <v>V3</v>
      </c>
      <c r="J1646" t="s">
        <v>6242</v>
      </c>
      <c r="K1646" t="str">
        <f t="shared" si="575"/>
        <v>33.859694</v>
      </c>
      <c r="L1646" t="str">
        <f t="shared" si="576"/>
        <v>-117.921706</v>
      </c>
      <c r="M1646">
        <v>47</v>
      </c>
      <c r="N1646" s="1">
        <v>44840</v>
      </c>
      <c r="O1646" s="1">
        <v>46099</v>
      </c>
      <c r="P1646" s="2">
        <f t="shared" si="577"/>
        <v>3.4469541409993156</v>
      </c>
      <c r="Q1646" s="2" t="str">
        <f t="shared" si="578"/>
        <v>Mid</v>
      </c>
      <c r="R1646">
        <f t="shared" si="579"/>
        <v>4000</v>
      </c>
      <c r="S1646" t="str">
        <f t="shared" si="580"/>
        <v>Small</v>
      </c>
      <c r="T1646" t="str">
        <f t="shared" si="581"/>
        <v>High EV Adoption Corridor</v>
      </c>
      <c r="U1646" s="3">
        <f t="shared" si="582"/>
        <v>9360000</v>
      </c>
      <c r="V1646" s="4">
        <f t="shared" si="583"/>
        <v>2112000</v>
      </c>
      <c r="W1646" s="3">
        <f t="shared" si="584"/>
        <v>26400000.000000004</v>
      </c>
      <c r="X1646" s="3">
        <f t="shared" si="585"/>
        <v>19800000.000000004</v>
      </c>
      <c r="Y1646">
        <f t="shared" si="586"/>
        <v>0.23999999999999996</v>
      </c>
      <c r="Z1646">
        <f t="shared" si="587"/>
        <v>0.77435897435897438</v>
      </c>
      <c r="AA1646" t="str">
        <f t="shared" si="588"/>
        <v>Tier 1 - Priority Fleet</v>
      </c>
      <c r="AB1646" s="3">
        <f t="shared" si="589"/>
        <v>132000</v>
      </c>
      <c r="AC1646" s="3">
        <f t="shared" si="590"/>
        <v>1650000.0000000002</v>
      </c>
      <c r="AD1646" s="3">
        <f t="shared" si="591"/>
        <v>585000</v>
      </c>
      <c r="AE1646" s="5">
        <f t="shared" si="592"/>
        <v>3.6423841059602653</v>
      </c>
      <c r="AF1646" s="10">
        <f t="shared" si="593"/>
        <v>1309440</v>
      </c>
      <c r="AG1646" s="10">
        <f t="shared" si="594"/>
        <v>422400</v>
      </c>
      <c r="AH1646" s="10">
        <f t="shared" si="595"/>
        <v>211200</v>
      </c>
      <c r="AI1646" s="10">
        <f t="shared" si="596"/>
        <v>105600</v>
      </c>
      <c r="AJ1646" s="10">
        <f t="shared" si="597"/>
        <v>63360</v>
      </c>
    </row>
    <row r="1647" spans="1:36" x14ac:dyDescent="0.3">
      <c r="A1647" t="s">
        <v>6243</v>
      </c>
      <c r="B1647" t="s">
        <v>6244</v>
      </c>
      <c r="C1647" t="s">
        <v>6245</v>
      </c>
      <c r="D1647" t="s">
        <v>50</v>
      </c>
      <c r="E1647">
        <v>75189</v>
      </c>
      <c r="F1647" t="s">
        <v>15</v>
      </c>
      <c r="G1647">
        <v>8</v>
      </c>
      <c r="H1647">
        <v>250</v>
      </c>
      <c r="I1647" t="str" cm="1">
        <f t="array" ref="I1647">_xlfn.IFS(H1647&lt;=120,"V1",H1647&lt;=150,"V2",H1647&lt;=250,"V3", H1647&lt;=350, "V4")</f>
        <v>V3</v>
      </c>
      <c r="J1647" t="s">
        <v>6246</v>
      </c>
      <c r="K1647" t="str">
        <f t="shared" si="575"/>
        <v>32.979184</v>
      </c>
      <c r="L1647" t="str">
        <f t="shared" si="576"/>
        <v>-96.296371</v>
      </c>
      <c r="M1647">
        <v>169</v>
      </c>
      <c r="N1647" s="1">
        <v>44994</v>
      </c>
      <c r="O1647" s="1">
        <v>46099</v>
      </c>
      <c r="P1647" s="2">
        <f t="shared" si="577"/>
        <v>3.0253251197809718</v>
      </c>
      <c r="Q1647" s="2" t="str">
        <f t="shared" si="578"/>
        <v>Mid</v>
      </c>
      <c r="R1647">
        <f t="shared" si="579"/>
        <v>2000</v>
      </c>
      <c r="S1647" t="str">
        <f t="shared" si="580"/>
        <v>Small</v>
      </c>
      <c r="T1647" t="str">
        <f t="shared" si="581"/>
        <v>High EV Adoption Corridor</v>
      </c>
      <c r="U1647" s="3">
        <f t="shared" si="582"/>
        <v>4680000</v>
      </c>
      <c r="V1647" s="4">
        <f t="shared" si="583"/>
        <v>1056000</v>
      </c>
      <c r="W1647" s="3">
        <f t="shared" si="584"/>
        <v>13200000.000000002</v>
      </c>
      <c r="X1647" s="3">
        <f t="shared" si="585"/>
        <v>9900000.0000000019</v>
      </c>
      <c r="Y1647">
        <f t="shared" si="586"/>
        <v>0.23999999999999996</v>
      </c>
      <c r="Z1647">
        <f t="shared" si="587"/>
        <v>0.77435897435897438</v>
      </c>
      <c r="AA1647" t="str">
        <f t="shared" si="588"/>
        <v>Tier 1 - Priority Fleet</v>
      </c>
      <c r="AB1647" s="3">
        <f t="shared" si="589"/>
        <v>132000</v>
      </c>
      <c r="AC1647" s="3">
        <f t="shared" si="590"/>
        <v>1650000.0000000002</v>
      </c>
      <c r="AD1647" s="3">
        <f t="shared" si="591"/>
        <v>585000</v>
      </c>
      <c r="AE1647" s="5">
        <f t="shared" si="592"/>
        <v>3.6423841059602653</v>
      </c>
      <c r="AF1647" s="10">
        <f t="shared" si="593"/>
        <v>654720</v>
      </c>
      <c r="AG1647" s="10">
        <f t="shared" si="594"/>
        <v>211200</v>
      </c>
      <c r="AH1647" s="10">
        <f t="shared" si="595"/>
        <v>105600</v>
      </c>
      <c r="AI1647" s="10">
        <f t="shared" si="596"/>
        <v>52800</v>
      </c>
      <c r="AJ1647" s="10">
        <f t="shared" si="597"/>
        <v>31680</v>
      </c>
    </row>
    <row r="1648" spans="1:36" x14ac:dyDescent="0.3">
      <c r="A1648" t="s">
        <v>6247</v>
      </c>
      <c r="B1648" t="s">
        <v>6248</v>
      </c>
      <c r="C1648" t="s">
        <v>6249</v>
      </c>
      <c r="D1648" t="s">
        <v>153</v>
      </c>
      <c r="E1648">
        <v>18610</v>
      </c>
      <c r="F1648" t="s">
        <v>15</v>
      </c>
      <c r="G1648">
        <v>12</v>
      </c>
      <c r="H1648">
        <v>250</v>
      </c>
      <c r="I1648" t="str" cm="1">
        <f t="array" ref="I1648">_xlfn.IFS(H1648&lt;=120,"V1",H1648&lt;=150,"V2",H1648&lt;=250,"V3", H1648&lt;=350, "V4")</f>
        <v>V3</v>
      </c>
      <c r="J1648" t="s">
        <v>6250</v>
      </c>
      <c r="K1648" t="str">
        <f t="shared" si="575"/>
        <v>41.092297</v>
      </c>
      <c r="L1648" t="str">
        <f t="shared" si="576"/>
        <v>-75.591828</v>
      </c>
      <c r="M1648">
        <v>511</v>
      </c>
      <c r="N1648" s="1">
        <v>44891</v>
      </c>
      <c r="O1648" s="1">
        <v>46099</v>
      </c>
      <c r="P1648" s="2">
        <f t="shared" si="577"/>
        <v>3.3073237508555784</v>
      </c>
      <c r="Q1648" s="2" t="str">
        <f t="shared" si="578"/>
        <v>Mid</v>
      </c>
      <c r="R1648">
        <f t="shared" si="579"/>
        <v>3000</v>
      </c>
      <c r="S1648" t="str">
        <f t="shared" si="580"/>
        <v>Small</v>
      </c>
      <c r="T1648" t="str">
        <f t="shared" si="581"/>
        <v>Lower EV Adoption Corridor</v>
      </c>
      <c r="U1648" s="3">
        <f t="shared" si="582"/>
        <v>5400000</v>
      </c>
      <c r="V1648" s="4">
        <f t="shared" si="583"/>
        <v>1320000</v>
      </c>
      <c r="W1648" s="3">
        <f t="shared" si="584"/>
        <v>18000000</v>
      </c>
      <c r="X1648" s="3">
        <f t="shared" si="585"/>
        <v>9900000</v>
      </c>
      <c r="Y1648">
        <f t="shared" si="586"/>
        <v>0.31515151515151513</v>
      </c>
      <c r="Z1648">
        <f t="shared" si="587"/>
        <v>0.75555555555555554</v>
      </c>
      <c r="AA1648" t="str">
        <f t="shared" si="588"/>
        <v>Tier 2 - Growth Markets</v>
      </c>
      <c r="AB1648" s="3">
        <f t="shared" si="589"/>
        <v>110000</v>
      </c>
      <c r="AC1648" s="3">
        <f t="shared" si="590"/>
        <v>1500000</v>
      </c>
      <c r="AD1648" s="3">
        <f t="shared" si="591"/>
        <v>450000</v>
      </c>
      <c r="AE1648" s="5">
        <f t="shared" si="592"/>
        <v>4.4117647058823533</v>
      </c>
      <c r="AF1648" s="10">
        <f t="shared" si="593"/>
        <v>818400</v>
      </c>
      <c r="AG1648" s="10">
        <f t="shared" si="594"/>
        <v>264000</v>
      </c>
      <c r="AH1648" s="10">
        <f t="shared" si="595"/>
        <v>132000</v>
      </c>
      <c r="AI1648" s="10">
        <f t="shared" si="596"/>
        <v>66000</v>
      </c>
      <c r="AJ1648" s="10">
        <f t="shared" si="597"/>
        <v>39600</v>
      </c>
    </row>
    <row r="1649" spans="1:36" x14ac:dyDescent="0.3">
      <c r="A1649" t="s">
        <v>6251</v>
      </c>
      <c r="B1649" t="s">
        <v>6252</v>
      </c>
      <c r="C1649" t="s">
        <v>2693</v>
      </c>
      <c r="D1649" t="s">
        <v>14</v>
      </c>
      <c r="E1649">
        <v>90713</v>
      </c>
      <c r="F1649" t="s">
        <v>15</v>
      </c>
      <c r="G1649">
        <v>20</v>
      </c>
      <c r="H1649">
        <v>250</v>
      </c>
      <c r="I1649" t="str" cm="1">
        <f t="array" ref="I1649">_xlfn.IFS(H1649&lt;=120,"V1",H1649&lt;=150,"V2",H1649&lt;=250,"V3", H1649&lt;=350, "V4")</f>
        <v>V3</v>
      </c>
      <c r="J1649" t="s">
        <v>6253</v>
      </c>
      <c r="K1649" t="str">
        <f t="shared" si="575"/>
        <v>33.858572</v>
      </c>
      <c r="L1649" t="str">
        <f t="shared" si="576"/>
        <v>-118.116389</v>
      </c>
      <c r="M1649">
        <v>16</v>
      </c>
      <c r="N1649" s="1">
        <v>44901</v>
      </c>
      <c r="O1649" s="1">
        <v>46099</v>
      </c>
      <c r="P1649" s="2">
        <f t="shared" si="577"/>
        <v>3.2799452429842573</v>
      </c>
      <c r="Q1649" s="2" t="str">
        <f t="shared" si="578"/>
        <v>Mid</v>
      </c>
      <c r="R1649">
        <f t="shared" si="579"/>
        <v>5000</v>
      </c>
      <c r="S1649" t="str">
        <f t="shared" si="580"/>
        <v>Small</v>
      </c>
      <c r="T1649" t="str">
        <f t="shared" si="581"/>
        <v>High EV Adoption Corridor</v>
      </c>
      <c r="U1649" s="3">
        <f t="shared" si="582"/>
        <v>11700000</v>
      </c>
      <c r="V1649" s="4">
        <f t="shared" si="583"/>
        <v>2640000</v>
      </c>
      <c r="W1649" s="3">
        <f t="shared" si="584"/>
        <v>33000000.000000004</v>
      </c>
      <c r="X1649" s="3">
        <f t="shared" si="585"/>
        <v>24750000.000000004</v>
      </c>
      <c r="Y1649">
        <f t="shared" si="586"/>
        <v>0.23999999999999996</v>
      </c>
      <c r="Z1649">
        <f t="shared" si="587"/>
        <v>0.77435897435897438</v>
      </c>
      <c r="AA1649" t="str">
        <f t="shared" si="588"/>
        <v>Tier 1 - Priority Fleet</v>
      </c>
      <c r="AB1649" s="3">
        <f t="shared" si="589"/>
        <v>132000</v>
      </c>
      <c r="AC1649" s="3">
        <f t="shared" si="590"/>
        <v>1650000.0000000002</v>
      </c>
      <c r="AD1649" s="3">
        <f t="shared" si="591"/>
        <v>585000</v>
      </c>
      <c r="AE1649" s="5">
        <f t="shared" si="592"/>
        <v>3.6423841059602653</v>
      </c>
      <c r="AF1649" s="10">
        <f t="shared" si="593"/>
        <v>1636800</v>
      </c>
      <c r="AG1649" s="10">
        <f t="shared" si="594"/>
        <v>528000</v>
      </c>
      <c r="AH1649" s="10">
        <f t="shared" si="595"/>
        <v>264000</v>
      </c>
      <c r="AI1649" s="10">
        <f t="shared" si="596"/>
        <v>132000</v>
      </c>
      <c r="AJ1649" s="10">
        <f t="shared" si="597"/>
        <v>79200</v>
      </c>
    </row>
    <row r="1650" spans="1:36" x14ac:dyDescent="0.3">
      <c r="A1650" t="s">
        <v>6254</v>
      </c>
      <c r="B1650" t="s">
        <v>6255</v>
      </c>
      <c r="C1650" t="s">
        <v>6256</v>
      </c>
      <c r="D1650" t="s">
        <v>41</v>
      </c>
      <c r="E1650">
        <v>33025</v>
      </c>
      <c r="F1650" t="s">
        <v>15</v>
      </c>
      <c r="G1650">
        <v>16</v>
      </c>
      <c r="H1650">
        <v>250</v>
      </c>
      <c r="I1650" t="str" cm="1">
        <f t="array" ref="I1650">_xlfn.IFS(H1650&lt;=120,"V1",H1650&lt;=150,"V2",H1650&lt;=250,"V3", H1650&lt;=350, "V4")</f>
        <v>V3</v>
      </c>
      <c r="J1650" t="s">
        <v>6257</v>
      </c>
      <c r="K1650" t="str">
        <f t="shared" si="575"/>
        <v>25.976412</v>
      </c>
      <c r="L1650" t="str">
        <f t="shared" si="576"/>
        <v>-80.310779</v>
      </c>
      <c r="M1650">
        <v>0</v>
      </c>
      <c r="N1650" s="1">
        <v>44966</v>
      </c>
      <c r="O1650" s="1">
        <v>46099</v>
      </c>
      <c r="P1650" s="2">
        <f t="shared" si="577"/>
        <v>3.1019849418206706</v>
      </c>
      <c r="Q1650" s="2" t="str">
        <f t="shared" si="578"/>
        <v>Mid</v>
      </c>
      <c r="R1650">
        <f t="shared" si="579"/>
        <v>4000</v>
      </c>
      <c r="S1650" t="str">
        <f t="shared" si="580"/>
        <v>Small</v>
      </c>
      <c r="T1650" t="str">
        <f t="shared" si="581"/>
        <v>High EV Adoption Corridor</v>
      </c>
      <c r="U1650" s="3">
        <f t="shared" si="582"/>
        <v>9360000</v>
      </c>
      <c r="V1650" s="4">
        <f t="shared" si="583"/>
        <v>2112000</v>
      </c>
      <c r="W1650" s="3">
        <f t="shared" si="584"/>
        <v>26400000.000000004</v>
      </c>
      <c r="X1650" s="3">
        <f t="shared" si="585"/>
        <v>19800000.000000004</v>
      </c>
      <c r="Y1650">
        <f t="shared" si="586"/>
        <v>0.23999999999999996</v>
      </c>
      <c r="Z1650">
        <f t="shared" si="587"/>
        <v>0.77435897435897438</v>
      </c>
      <c r="AA1650" t="str">
        <f t="shared" si="588"/>
        <v>Tier 1 - Priority Fleet</v>
      </c>
      <c r="AB1650" s="3">
        <f t="shared" si="589"/>
        <v>132000</v>
      </c>
      <c r="AC1650" s="3">
        <f t="shared" si="590"/>
        <v>1650000.0000000002</v>
      </c>
      <c r="AD1650" s="3">
        <f t="shared" si="591"/>
        <v>585000</v>
      </c>
      <c r="AE1650" s="5">
        <f t="shared" si="592"/>
        <v>3.6423841059602653</v>
      </c>
      <c r="AF1650" s="10">
        <f t="shared" si="593"/>
        <v>1309440</v>
      </c>
      <c r="AG1650" s="10">
        <f t="shared" si="594"/>
        <v>422400</v>
      </c>
      <c r="AH1650" s="10">
        <f t="shared" si="595"/>
        <v>211200</v>
      </c>
      <c r="AI1650" s="10">
        <f t="shared" si="596"/>
        <v>105600</v>
      </c>
      <c r="AJ1650" s="10">
        <f t="shared" si="597"/>
        <v>63360</v>
      </c>
    </row>
    <row r="1651" spans="1:36" x14ac:dyDescent="0.3">
      <c r="A1651" t="s">
        <v>6258</v>
      </c>
      <c r="B1651" t="s">
        <v>6259</v>
      </c>
      <c r="C1651" t="s">
        <v>1495</v>
      </c>
      <c r="D1651" t="s">
        <v>184</v>
      </c>
      <c r="E1651">
        <v>45014</v>
      </c>
      <c r="F1651" t="s">
        <v>15</v>
      </c>
      <c r="G1651">
        <v>12</v>
      </c>
      <c r="H1651">
        <v>250</v>
      </c>
      <c r="I1651" t="str" cm="1">
        <f t="array" ref="I1651">_xlfn.IFS(H1651&lt;=120,"V1",H1651&lt;=150,"V2",H1651&lt;=250,"V3", H1651&lt;=350, "V4")</f>
        <v>V3</v>
      </c>
      <c r="J1651" t="s">
        <v>6260</v>
      </c>
      <c r="K1651" t="str">
        <f t="shared" si="575"/>
        <v>39.303803</v>
      </c>
      <c r="L1651" t="str">
        <f t="shared" si="576"/>
        <v>-84.525312</v>
      </c>
      <c r="M1651">
        <v>246</v>
      </c>
      <c r="N1651" s="1">
        <v>45015</v>
      </c>
      <c r="O1651" s="1">
        <v>46099</v>
      </c>
      <c r="P1651" s="2">
        <f t="shared" si="577"/>
        <v>2.967830253251198</v>
      </c>
      <c r="Q1651" s="2" t="str">
        <f t="shared" si="578"/>
        <v>New</v>
      </c>
      <c r="R1651">
        <f t="shared" si="579"/>
        <v>3000</v>
      </c>
      <c r="S1651" t="str">
        <f t="shared" si="580"/>
        <v>Small</v>
      </c>
      <c r="T1651" t="str">
        <f t="shared" si="581"/>
        <v>Lower EV Adoption Corridor</v>
      </c>
      <c r="U1651" s="3">
        <f t="shared" si="582"/>
        <v>5400000</v>
      </c>
      <c r="V1651" s="4">
        <f t="shared" si="583"/>
        <v>1320000</v>
      </c>
      <c r="W1651" s="3">
        <f t="shared" si="584"/>
        <v>18000000</v>
      </c>
      <c r="X1651" s="3">
        <f t="shared" si="585"/>
        <v>9900000</v>
      </c>
      <c r="Y1651">
        <f t="shared" si="586"/>
        <v>0.31515151515151513</v>
      </c>
      <c r="Z1651">
        <f t="shared" si="587"/>
        <v>0.75555555555555554</v>
      </c>
      <c r="AA1651" t="str">
        <f t="shared" si="588"/>
        <v>Tier 2 - Growth Markets</v>
      </c>
      <c r="AB1651" s="3">
        <f t="shared" si="589"/>
        <v>110000</v>
      </c>
      <c r="AC1651" s="3">
        <f t="shared" si="590"/>
        <v>1500000</v>
      </c>
      <c r="AD1651" s="3">
        <f t="shared" si="591"/>
        <v>450000</v>
      </c>
      <c r="AE1651" s="5">
        <f t="shared" si="592"/>
        <v>4.4117647058823533</v>
      </c>
      <c r="AF1651" s="10">
        <f t="shared" si="593"/>
        <v>818400</v>
      </c>
      <c r="AG1651" s="10">
        <f t="shared" si="594"/>
        <v>264000</v>
      </c>
      <c r="AH1651" s="10">
        <f t="shared" si="595"/>
        <v>132000</v>
      </c>
      <c r="AI1651" s="10">
        <f t="shared" si="596"/>
        <v>66000</v>
      </c>
      <c r="AJ1651" s="10">
        <f t="shared" si="597"/>
        <v>39600</v>
      </c>
    </row>
    <row r="1652" spans="1:36" x14ac:dyDescent="0.3">
      <c r="A1652" t="s">
        <v>6261</v>
      </c>
      <c r="B1652" t="s">
        <v>6262</v>
      </c>
      <c r="C1652" t="s">
        <v>6263</v>
      </c>
      <c r="D1652" t="s">
        <v>158</v>
      </c>
      <c r="E1652">
        <v>12306</v>
      </c>
      <c r="F1652" t="s">
        <v>15</v>
      </c>
      <c r="G1652">
        <v>8</v>
      </c>
      <c r="H1652">
        <v>250</v>
      </c>
      <c r="I1652" t="str" cm="1">
        <f t="array" ref="I1652">_xlfn.IFS(H1652&lt;=120,"V1",H1652&lt;=150,"V2",H1652&lt;=250,"V3", H1652&lt;=350, "V4")</f>
        <v>V3</v>
      </c>
      <c r="J1652" t="s">
        <v>6264</v>
      </c>
      <c r="K1652" t="str">
        <f t="shared" si="575"/>
        <v>42.793371</v>
      </c>
      <c r="L1652" t="str">
        <f t="shared" si="576"/>
        <v>-74.004721</v>
      </c>
      <c r="M1652">
        <v>108</v>
      </c>
      <c r="N1652" s="1">
        <v>45013</v>
      </c>
      <c r="O1652" s="1">
        <v>46099</v>
      </c>
      <c r="P1652" s="2">
        <f t="shared" si="577"/>
        <v>2.9733059548254621</v>
      </c>
      <c r="Q1652" s="2" t="str">
        <f t="shared" si="578"/>
        <v>New</v>
      </c>
      <c r="R1652">
        <f t="shared" si="579"/>
        <v>2000</v>
      </c>
      <c r="S1652" t="str">
        <f t="shared" si="580"/>
        <v>Small</v>
      </c>
      <c r="T1652" t="str">
        <f t="shared" si="581"/>
        <v>Lower EV Adoption Corridor</v>
      </c>
      <c r="U1652" s="3">
        <f t="shared" si="582"/>
        <v>3600000</v>
      </c>
      <c r="V1652" s="4">
        <f t="shared" si="583"/>
        <v>880000.00000000012</v>
      </c>
      <c r="W1652" s="3">
        <f t="shared" si="584"/>
        <v>12000000</v>
      </c>
      <c r="X1652" s="3">
        <f t="shared" si="585"/>
        <v>6600000.0000000009</v>
      </c>
      <c r="Y1652">
        <f t="shared" si="586"/>
        <v>0.31515151515151513</v>
      </c>
      <c r="Z1652">
        <f t="shared" si="587"/>
        <v>0.75555555555555554</v>
      </c>
      <c r="AA1652" t="str">
        <f t="shared" si="588"/>
        <v>Tier 2 - Growth Markets</v>
      </c>
      <c r="AB1652" s="3">
        <f t="shared" si="589"/>
        <v>110000.00000000001</v>
      </c>
      <c r="AC1652" s="3">
        <f t="shared" si="590"/>
        <v>1500000</v>
      </c>
      <c r="AD1652" s="3">
        <f t="shared" si="591"/>
        <v>450000</v>
      </c>
      <c r="AE1652" s="5">
        <f t="shared" si="592"/>
        <v>4.4117647058823533</v>
      </c>
      <c r="AF1652" s="10">
        <f t="shared" si="593"/>
        <v>545600.00000000012</v>
      </c>
      <c r="AG1652" s="10">
        <f t="shared" si="594"/>
        <v>176000.00000000003</v>
      </c>
      <c r="AH1652" s="10">
        <f t="shared" si="595"/>
        <v>88000.000000000015</v>
      </c>
      <c r="AI1652" s="10">
        <f t="shared" si="596"/>
        <v>44000.000000000007</v>
      </c>
      <c r="AJ1652" s="10">
        <f t="shared" si="597"/>
        <v>26400.000000000004</v>
      </c>
    </row>
    <row r="1653" spans="1:36" x14ac:dyDescent="0.3">
      <c r="A1653" t="s">
        <v>6265</v>
      </c>
      <c r="B1653" t="s">
        <v>6266</v>
      </c>
      <c r="C1653" t="s">
        <v>6185</v>
      </c>
      <c r="D1653" t="s">
        <v>184</v>
      </c>
      <c r="E1653">
        <v>45069</v>
      </c>
      <c r="F1653" t="s">
        <v>15</v>
      </c>
      <c r="G1653">
        <v>12</v>
      </c>
      <c r="H1653">
        <v>250</v>
      </c>
      <c r="I1653" t="str" cm="1">
        <f t="array" ref="I1653">_xlfn.IFS(H1653&lt;=120,"V1",H1653&lt;=150,"V2",H1653&lt;=250,"V3", H1653&lt;=350, "V4")</f>
        <v>V3</v>
      </c>
      <c r="J1653" t="s">
        <v>6267</v>
      </c>
      <c r="K1653" t="str">
        <f t="shared" si="575"/>
        <v>39.35612</v>
      </c>
      <c r="L1653" t="str">
        <f t="shared" si="576"/>
        <v>-84.374546</v>
      </c>
      <c r="M1653">
        <v>261</v>
      </c>
      <c r="N1653" s="1">
        <v>45013</v>
      </c>
      <c r="O1653" s="1">
        <v>46099</v>
      </c>
      <c r="P1653" s="2">
        <f t="shared" si="577"/>
        <v>2.9733059548254621</v>
      </c>
      <c r="Q1653" s="2" t="str">
        <f t="shared" si="578"/>
        <v>New</v>
      </c>
      <c r="R1653">
        <f t="shared" si="579"/>
        <v>3000</v>
      </c>
      <c r="S1653" t="str">
        <f t="shared" si="580"/>
        <v>Small</v>
      </c>
      <c r="T1653" t="str">
        <f t="shared" si="581"/>
        <v>Lower EV Adoption Corridor</v>
      </c>
      <c r="U1653" s="3">
        <f t="shared" si="582"/>
        <v>5400000</v>
      </c>
      <c r="V1653" s="4">
        <f t="shared" si="583"/>
        <v>1320000</v>
      </c>
      <c r="W1653" s="3">
        <f t="shared" si="584"/>
        <v>18000000</v>
      </c>
      <c r="X1653" s="3">
        <f t="shared" si="585"/>
        <v>9900000</v>
      </c>
      <c r="Y1653">
        <f t="shared" si="586"/>
        <v>0.31515151515151513</v>
      </c>
      <c r="Z1653">
        <f t="shared" si="587"/>
        <v>0.75555555555555554</v>
      </c>
      <c r="AA1653" t="str">
        <f t="shared" si="588"/>
        <v>Tier 2 - Growth Markets</v>
      </c>
      <c r="AB1653" s="3">
        <f t="shared" si="589"/>
        <v>110000</v>
      </c>
      <c r="AC1653" s="3">
        <f t="shared" si="590"/>
        <v>1500000</v>
      </c>
      <c r="AD1653" s="3">
        <f t="shared" si="591"/>
        <v>450000</v>
      </c>
      <c r="AE1653" s="5">
        <f t="shared" si="592"/>
        <v>4.4117647058823533</v>
      </c>
      <c r="AF1653" s="10">
        <f t="shared" si="593"/>
        <v>818400</v>
      </c>
      <c r="AG1653" s="10">
        <f t="shared" si="594"/>
        <v>264000</v>
      </c>
      <c r="AH1653" s="10">
        <f t="shared" si="595"/>
        <v>132000</v>
      </c>
      <c r="AI1653" s="10">
        <f t="shared" si="596"/>
        <v>66000</v>
      </c>
      <c r="AJ1653" s="10">
        <f t="shared" si="597"/>
        <v>39600</v>
      </c>
    </row>
    <row r="1654" spans="1:36" x14ac:dyDescent="0.3">
      <c r="A1654" t="s">
        <v>6268</v>
      </c>
      <c r="B1654" t="s">
        <v>6269</v>
      </c>
      <c r="C1654" t="s">
        <v>6270</v>
      </c>
      <c r="D1654" t="s">
        <v>130</v>
      </c>
      <c r="E1654">
        <v>46360</v>
      </c>
      <c r="F1654" t="s">
        <v>15</v>
      </c>
      <c r="G1654">
        <v>20</v>
      </c>
      <c r="H1654">
        <v>250</v>
      </c>
      <c r="I1654" t="str" cm="1">
        <f t="array" ref="I1654">_xlfn.IFS(H1654&lt;=120,"V1",H1654&lt;=150,"V2",H1654&lt;=250,"V3", H1654&lt;=350, "V4")</f>
        <v>V3</v>
      </c>
      <c r="J1654" t="s">
        <v>6271</v>
      </c>
      <c r="K1654" t="str">
        <f t="shared" si="575"/>
        <v>41.673833</v>
      </c>
      <c r="L1654" t="str">
        <f t="shared" si="576"/>
        <v>-86.891234</v>
      </c>
      <c r="M1654">
        <v>201</v>
      </c>
      <c r="N1654" s="1">
        <v>43914</v>
      </c>
      <c r="O1654" s="1">
        <v>46099</v>
      </c>
      <c r="P1654" s="2">
        <f t="shared" si="577"/>
        <v>5.9822039698836411</v>
      </c>
      <c r="Q1654" s="2" t="str">
        <f t="shared" si="578"/>
        <v>Mid</v>
      </c>
      <c r="R1654">
        <f t="shared" si="579"/>
        <v>5000</v>
      </c>
      <c r="S1654" t="str">
        <f t="shared" si="580"/>
        <v>Small</v>
      </c>
      <c r="T1654" t="str">
        <f t="shared" si="581"/>
        <v>Lower EV Adoption Corridor</v>
      </c>
      <c r="U1654" s="3">
        <f t="shared" si="582"/>
        <v>9000000</v>
      </c>
      <c r="V1654" s="4">
        <f t="shared" si="583"/>
        <v>2200000</v>
      </c>
      <c r="W1654" s="3">
        <f t="shared" si="584"/>
        <v>30000000</v>
      </c>
      <c r="X1654" s="3">
        <f t="shared" si="585"/>
        <v>16500000.000000002</v>
      </c>
      <c r="Y1654">
        <f t="shared" si="586"/>
        <v>0.31515151515151513</v>
      </c>
      <c r="Z1654">
        <f t="shared" si="587"/>
        <v>0.75555555555555554</v>
      </c>
      <c r="AA1654" t="str">
        <f t="shared" si="588"/>
        <v>Tier 2 - Growth Markets</v>
      </c>
      <c r="AB1654" s="3">
        <f t="shared" si="589"/>
        <v>110000</v>
      </c>
      <c r="AC1654" s="3">
        <f t="shared" si="590"/>
        <v>1500000</v>
      </c>
      <c r="AD1654" s="3">
        <f t="shared" si="591"/>
        <v>450000</v>
      </c>
      <c r="AE1654" s="5">
        <f t="shared" si="592"/>
        <v>4.4117647058823533</v>
      </c>
      <c r="AF1654" s="10">
        <f t="shared" si="593"/>
        <v>1364000</v>
      </c>
      <c r="AG1654" s="10">
        <f t="shared" si="594"/>
        <v>440000</v>
      </c>
      <c r="AH1654" s="10">
        <f t="shared" si="595"/>
        <v>220000</v>
      </c>
      <c r="AI1654" s="10">
        <f t="shared" si="596"/>
        <v>110000</v>
      </c>
      <c r="AJ1654" s="10">
        <f t="shared" si="597"/>
        <v>66000</v>
      </c>
    </row>
    <row r="1655" spans="1:36" x14ac:dyDescent="0.3">
      <c r="A1655" t="s">
        <v>6272</v>
      </c>
      <c r="B1655" t="s">
        <v>6273</v>
      </c>
      <c r="C1655" t="s">
        <v>6274</v>
      </c>
      <c r="D1655" t="s">
        <v>179</v>
      </c>
      <c r="E1655">
        <v>2903</v>
      </c>
      <c r="F1655" t="s">
        <v>15</v>
      </c>
      <c r="G1655">
        <v>8</v>
      </c>
      <c r="H1655">
        <v>250</v>
      </c>
      <c r="I1655" t="str" cm="1">
        <f t="array" ref="I1655">_xlfn.IFS(H1655&lt;=120,"V1",H1655&lt;=150,"V2",H1655&lt;=250,"V3", H1655&lt;=350, "V4")</f>
        <v>V3</v>
      </c>
      <c r="J1655" t="s">
        <v>6275</v>
      </c>
      <c r="K1655" t="str">
        <f t="shared" si="575"/>
        <v>41.828441</v>
      </c>
      <c r="L1655" t="str">
        <f t="shared" si="576"/>
        <v>-71.42697</v>
      </c>
      <c r="M1655">
        <v>4</v>
      </c>
      <c r="N1655" s="1">
        <v>44916</v>
      </c>
      <c r="O1655" s="1">
        <v>46099</v>
      </c>
      <c r="P1655" s="2">
        <f t="shared" si="577"/>
        <v>3.2388774811772758</v>
      </c>
      <c r="Q1655" s="2" t="str">
        <f t="shared" si="578"/>
        <v>Mid</v>
      </c>
      <c r="R1655">
        <f t="shared" si="579"/>
        <v>2000</v>
      </c>
      <c r="S1655" t="str">
        <f t="shared" si="580"/>
        <v>Small</v>
      </c>
      <c r="T1655" t="str">
        <f t="shared" si="581"/>
        <v>Lower EV Adoption Corridor</v>
      </c>
      <c r="U1655" s="3">
        <f t="shared" si="582"/>
        <v>3600000</v>
      </c>
      <c r="V1655" s="4">
        <f t="shared" si="583"/>
        <v>880000.00000000012</v>
      </c>
      <c r="W1655" s="3">
        <f t="shared" si="584"/>
        <v>12000000</v>
      </c>
      <c r="X1655" s="3">
        <f t="shared" si="585"/>
        <v>6600000.0000000009</v>
      </c>
      <c r="Y1655">
        <f t="shared" si="586"/>
        <v>0.31515151515151513</v>
      </c>
      <c r="Z1655">
        <f t="shared" si="587"/>
        <v>0.75555555555555554</v>
      </c>
      <c r="AA1655" t="str">
        <f t="shared" si="588"/>
        <v>Tier 2 - Growth Markets</v>
      </c>
      <c r="AB1655" s="3">
        <f t="shared" si="589"/>
        <v>110000.00000000001</v>
      </c>
      <c r="AC1655" s="3">
        <f t="shared" si="590"/>
        <v>1500000</v>
      </c>
      <c r="AD1655" s="3">
        <f t="shared" si="591"/>
        <v>450000</v>
      </c>
      <c r="AE1655" s="5">
        <f t="shared" si="592"/>
        <v>4.4117647058823533</v>
      </c>
      <c r="AF1655" s="10">
        <f t="shared" si="593"/>
        <v>545600.00000000012</v>
      </c>
      <c r="AG1655" s="10">
        <f t="shared" si="594"/>
        <v>176000.00000000003</v>
      </c>
      <c r="AH1655" s="10">
        <f t="shared" si="595"/>
        <v>88000.000000000015</v>
      </c>
      <c r="AI1655" s="10">
        <f t="shared" si="596"/>
        <v>44000.000000000007</v>
      </c>
      <c r="AJ1655" s="10">
        <f t="shared" si="597"/>
        <v>26400.000000000004</v>
      </c>
    </row>
    <row r="1656" spans="1:36" x14ac:dyDescent="0.3">
      <c r="A1656" t="s">
        <v>6276</v>
      </c>
      <c r="B1656" t="s">
        <v>6277</v>
      </c>
      <c r="C1656" t="s">
        <v>1921</v>
      </c>
      <c r="D1656" t="s">
        <v>14</v>
      </c>
      <c r="E1656">
        <v>92008</v>
      </c>
      <c r="F1656" t="s">
        <v>15</v>
      </c>
      <c r="G1656">
        <v>8</v>
      </c>
      <c r="H1656">
        <v>250</v>
      </c>
      <c r="I1656" t="str" cm="1">
        <f t="array" ref="I1656">_xlfn.IFS(H1656&lt;=120,"V1",H1656&lt;=150,"V2",H1656&lt;=250,"V3", H1656&lt;=350, "V4")</f>
        <v>V3</v>
      </c>
      <c r="J1656" t="s">
        <v>6278</v>
      </c>
      <c r="K1656" t="str">
        <f t="shared" si="575"/>
        <v>33.13507</v>
      </c>
      <c r="L1656" t="str">
        <f t="shared" si="576"/>
        <v>-117.288012</v>
      </c>
      <c r="M1656">
        <v>75</v>
      </c>
      <c r="N1656" s="1">
        <v>45050</v>
      </c>
      <c r="O1656" s="1">
        <v>46099</v>
      </c>
      <c r="P1656" s="2">
        <f t="shared" si="577"/>
        <v>2.8720054757015743</v>
      </c>
      <c r="Q1656" s="2" t="str">
        <f t="shared" si="578"/>
        <v>New</v>
      </c>
      <c r="R1656">
        <f t="shared" si="579"/>
        <v>2000</v>
      </c>
      <c r="S1656" t="str">
        <f t="shared" si="580"/>
        <v>Small</v>
      </c>
      <c r="T1656" t="str">
        <f t="shared" si="581"/>
        <v>High EV Adoption Corridor</v>
      </c>
      <c r="U1656" s="3">
        <f t="shared" si="582"/>
        <v>4680000</v>
      </c>
      <c r="V1656" s="4">
        <f t="shared" si="583"/>
        <v>1056000</v>
      </c>
      <c r="W1656" s="3">
        <f t="shared" si="584"/>
        <v>13200000.000000002</v>
      </c>
      <c r="X1656" s="3">
        <f t="shared" si="585"/>
        <v>9900000.0000000019</v>
      </c>
      <c r="Y1656">
        <f t="shared" si="586"/>
        <v>0.23999999999999996</v>
      </c>
      <c r="Z1656">
        <f t="shared" si="587"/>
        <v>0.77435897435897438</v>
      </c>
      <c r="AA1656" t="str">
        <f t="shared" si="588"/>
        <v>Tier 1 - Priority Fleet</v>
      </c>
      <c r="AB1656" s="3">
        <f t="shared" si="589"/>
        <v>132000</v>
      </c>
      <c r="AC1656" s="3">
        <f t="shared" si="590"/>
        <v>1650000.0000000002</v>
      </c>
      <c r="AD1656" s="3">
        <f t="shared" si="591"/>
        <v>585000</v>
      </c>
      <c r="AE1656" s="5">
        <f t="shared" si="592"/>
        <v>3.6423841059602653</v>
      </c>
      <c r="AF1656" s="10">
        <f t="shared" si="593"/>
        <v>654720</v>
      </c>
      <c r="AG1656" s="10">
        <f t="shared" si="594"/>
        <v>211200</v>
      </c>
      <c r="AH1656" s="10">
        <f t="shared" si="595"/>
        <v>105600</v>
      </c>
      <c r="AI1656" s="10">
        <f t="shared" si="596"/>
        <v>52800</v>
      </c>
      <c r="AJ1656" s="10">
        <f t="shared" si="597"/>
        <v>31680</v>
      </c>
    </row>
    <row r="1657" spans="1:36" x14ac:dyDescent="0.3">
      <c r="A1657" t="s">
        <v>6279</v>
      </c>
      <c r="B1657" t="s">
        <v>6280</v>
      </c>
      <c r="C1657" t="s">
        <v>5985</v>
      </c>
      <c r="D1657" t="s">
        <v>14</v>
      </c>
      <c r="E1657">
        <v>90805</v>
      </c>
      <c r="F1657" t="s">
        <v>15</v>
      </c>
      <c r="G1657">
        <v>8</v>
      </c>
      <c r="H1657">
        <v>250</v>
      </c>
      <c r="I1657" t="str" cm="1">
        <f t="array" ref="I1657">_xlfn.IFS(H1657&lt;=120,"V1",H1657&lt;=150,"V2",H1657&lt;=250,"V3", H1657&lt;=350, "V4")</f>
        <v>V3</v>
      </c>
      <c r="J1657" t="s">
        <v>6281</v>
      </c>
      <c r="K1657" t="str">
        <f t="shared" si="575"/>
        <v>33.87396</v>
      </c>
      <c r="L1657" t="str">
        <f t="shared" si="576"/>
        <v>-118.202413</v>
      </c>
      <c r="M1657">
        <v>18</v>
      </c>
      <c r="N1657" s="1">
        <v>45055</v>
      </c>
      <c r="O1657" s="1">
        <v>46099</v>
      </c>
      <c r="P1657" s="2">
        <f t="shared" si="577"/>
        <v>2.8583162217659139</v>
      </c>
      <c r="Q1657" s="2" t="str">
        <f t="shared" si="578"/>
        <v>New</v>
      </c>
      <c r="R1657">
        <f t="shared" si="579"/>
        <v>2000</v>
      </c>
      <c r="S1657" t="str">
        <f t="shared" si="580"/>
        <v>Small</v>
      </c>
      <c r="T1657" t="str">
        <f t="shared" si="581"/>
        <v>High EV Adoption Corridor</v>
      </c>
      <c r="U1657" s="3">
        <f t="shared" si="582"/>
        <v>4680000</v>
      </c>
      <c r="V1657" s="4">
        <f t="shared" si="583"/>
        <v>1056000</v>
      </c>
      <c r="W1657" s="3">
        <f t="shared" si="584"/>
        <v>13200000.000000002</v>
      </c>
      <c r="X1657" s="3">
        <f t="shared" si="585"/>
        <v>9900000.0000000019</v>
      </c>
      <c r="Y1657">
        <f t="shared" si="586"/>
        <v>0.23999999999999996</v>
      </c>
      <c r="Z1657">
        <f t="shared" si="587"/>
        <v>0.77435897435897438</v>
      </c>
      <c r="AA1657" t="str">
        <f t="shared" si="588"/>
        <v>Tier 1 - Priority Fleet</v>
      </c>
      <c r="AB1657" s="3">
        <f t="shared" si="589"/>
        <v>132000</v>
      </c>
      <c r="AC1657" s="3">
        <f t="shared" si="590"/>
        <v>1650000.0000000002</v>
      </c>
      <c r="AD1657" s="3">
        <f t="shared" si="591"/>
        <v>585000</v>
      </c>
      <c r="AE1657" s="5">
        <f t="shared" si="592"/>
        <v>3.6423841059602653</v>
      </c>
      <c r="AF1657" s="10">
        <f t="shared" si="593"/>
        <v>654720</v>
      </c>
      <c r="AG1657" s="10">
        <f t="shared" si="594"/>
        <v>211200</v>
      </c>
      <c r="AH1657" s="10">
        <f t="shared" si="595"/>
        <v>105600</v>
      </c>
      <c r="AI1657" s="10">
        <f t="shared" si="596"/>
        <v>52800</v>
      </c>
      <c r="AJ1657" s="10">
        <f t="shared" si="597"/>
        <v>31680</v>
      </c>
    </row>
    <row r="1658" spans="1:36" x14ac:dyDescent="0.3">
      <c r="A1658" t="s">
        <v>6282</v>
      </c>
      <c r="B1658" t="s">
        <v>6283</v>
      </c>
      <c r="C1658" t="s">
        <v>6284</v>
      </c>
      <c r="D1658" t="s">
        <v>130</v>
      </c>
      <c r="E1658">
        <v>46304</v>
      </c>
      <c r="F1658" t="s">
        <v>15</v>
      </c>
      <c r="G1658">
        <v>12</v>
      </c>
      <c r="H1658">
        <v>250</v>
      </c>
      <c r="I1658" t="str" cm="1">
        <f t="array" ref="I1658">_xlfn.IFS(H1658&lt;=120,"V1",H1658&lt;=150,"V2",H1658&lt;=250,"V3", H1658&lt;=350, "V4")</f>
        <v>V3</v>
      </c>
      <c r="J1658" t="s">
        <v>6285</v>
      </c>
      <c r="K1658" t="str">
        <f t="shared" si="575"/>
        <v>41.617607</v>
      </c>
      <c r="L1658" t="str">
        <f t="shared" si="576"/>
        <v>-87.044702</v>
      </c>
      <c r="M1658">
        <v>194</v>
      </c>
      <c r="N1658" s="1">
        <v>45000</v>
      </c>
      <c r="O1658" s="1">
        <v>46099</v>
      </c>
      <c r="P1658" s="2">
        <f t="shared" si="577"/>
        <v>3.0088980150581794</v>
      </c>
      <c r="Q1658" s="2" t="str">
        <f t="shared" si="578"/>
        <v>Mid</v>
      </c>
      <c r="R1658">
        <f t="shared" si="579"/>
        <v>3000</v>
      </c>
      <c r="S1658" t="str">
        <f t="shared" si="580"/>
        <v>Small</v>
      </c>
      <c r="T1658" t="str">
        <f t="shared" si="581"/>
        <v>Lower EV Adoption Corridor</v>
      </c>
      <c r="U1658" s="3">
        <f t="shared" si="582"/>
        <v>5400000</v>
      </c>
      <c r="V1658" s="4">
        <f t="shared" si="583"/>
        <v>1320000</v>
      </c>
      <c r="W1658" s="3">
        <f t="shared" si="584"/>
        <v>18000000</v>
      </c>
      <c r="X1658" s="3">
        <f t="shared" si="585"/>
        <v>9900000</v>
      </c>
      <c r="Y1658">
        <f t="shared" si="586"/>
        <v>0.31515151515151513</v>
      </c>
      <c r="Z1658">
        <f t="shared" si="587"/>
        <v>0.75555555555555554</v>
      </c>
      <c r="AA1658" t="str">
        <f t="shared" si="588"/>
        <v>Tier 2 - Growth Markets</v>
      </c>
      <c r="AB1658" s="3">
        <f t="shared" si="589"/>
        <v>110000</v>
      </c>
      <c r="AC1658" s="3">
        <f t="shared" si="590"/>
        <v>1500000</v>
      </c>
      <c r="AD1658" s="3">
        <f t="shared" si="591"/>
        <v>450000</v>
      </c>
      <c r="AE1658" s="5">
        <f t="shared" si="592"/>
        <v>4.4117647058823533</v>
      </c>
      <c r="AF1658" s="10">
        <f t="shared" si="593"/>
        <v>818400</v>
      </c>
      <c r="AG1658" s="10">
        <f t="shared" si="594"/>
        <v>264000</v>
      </c>
      <c r="AH1658" s="10">
        <f t="shared" si="595"/>
        <v>132000</v>
      </c>
      <c r="AI1658" s="10">
        <f t="shared" si="596"/>
        <v>66000</v>
      </c>
      <c r="AJ1658" s="10">
        <f t="shared" si="597"/>
        <v>39600</v>
      </c>
    </row>
    <row r="1659" spans="1:36" x14ac:dyDescent="0.3">
      <c r="A1659" t="s">
        <v>6286</v>
      </c>
      <c r="B1659" t="s">
        <v>6287</v>
      </c>
      <c r="C1659" t="s">
        <v>6288</v>
      </c>
      <c r="D1659" t="s">
        <v>630</v>
      </c>
      <c r="E1659">
        <v>49423</v>
      </c>
      <c r="F1659" t="s">
        <v>15</v>
      </c>
      <c r="G1659">
        <v>12</v>
      </c>
      <c r="H1659">
        <v>250</v>
      </c>
      <c r="I1659" t="str" cm="1">
        <f t="array" ref="I1659">_xlfn.IFS(H1659&lt;=120,"V1",H1659&lt;=150,"V2",H1659&lt;=250,"V3", H1659&lt;=350, "V4")</f>
        <v>V3</v>
      </c>
      <c r="J1659" t="s">
        <v>6289</v>
      </c>
      <c r="K1659" t="str">
        <f t="shared" si="575"/>
        <v>42.781417</v>
      </c>
      <c r="L1659" t="str">
        <f t="shared" si="576"/>
        <v>-86.077194</v>
      </c>
      <c r="M1659">
        <v>208</v>
      </c>
      <c r="N1659" s="1">
        <v>44805</v>
      </c>
      <c r="O1659" s="1">
        <v>46099</v>
      </c>
      <c r="P1659" s="2">
        <f t="shared" si="577"/>
        <v>3.5427789185489389</v>
      </c>
      <c r="Q1659" s="2" t="str">
        <f t="shared" si="578"/>
        <v>Mid</v>
      </c>
      <c r="R1659">
        <f t="shared" si="579"/>
        <v>3000</v>
      </c>
      <c r="S1659" t="str">
        <f t="shared" si="580"/>
        <v>Small</v>
      </c>
      <c r="T1659" t="str">
        <f t="shared" si="581"/>
        <v>Lower EV Adoption Corridor</v>
      </c>
      <c r="U1659" s="3">
        <f t="shared" si="582"/>
        <v>5400000</v>
      </c>
      <c r="V1659" s="4">
        <f t="shared" si="583"/>
        <v>1320000</v>
      </c>
      <c r="W1659" s="3">
        <f t="shared" si="584"/>
        <v>18000000</v>
      </c>
      <c r="X1659" s="3">
        <f t="shared" si="585"/>
        <v>9900000</v>
      </c>
      <c r="Y1659">
        <f t="shared" si="586"/>
        <v>0.31515151515151513</v>
      </c>
      <c r="Z1659">
        <f t="shared" si="587"/>
        <v>0.75555555555555554</v>
      </c>
      <c r="AA1659" t="str">
        <f t="shared" si="588"/>
        <v>Tier 2 - Growth Markets</v>
      </c>
      <c r="AB1659" s="3">
        <f t="shared" si="589"/>
        <v>110000</v>
      </c>
      <c r="AC1659" s="3">
        <f t="shared" si="590"/>
        <v>1500000</v>
      </c>
      <c r="AD1659" s="3">
        <f t="shared" si="591"/>
        <v>450000</v>
      </c>
      <c r="AE1659" s="5">
        <f t="shared" si="592"/>
        <v>4.4117647058823533</v>
      </c>
      <c r="AF1659" s="10">
        <f t="shared" si="593"/>
        <v>818400</v>
      </c>
      <c r="AG1659" s="10">
        <f t="shared" si="594"/>
        <v>264000</v>
      </c>
      <c r="AH1659" s="10">
        <f t="shared" si="595"/>
        <v>132000</v>
      </c>
      <c r="AI1659" s="10">
        <f t="shared" si="596"/>
        <v>66000</v>
      </c>
      <c r="AJ1659" s="10">
        <f t="shared" si="597"/>
        <v>39600</v>
      </c>
    </row>
    <row r="1660" spans="1:36" x14ac:dyDescent="0.3">
      <c r="A1660" t="s">
        <v>6290</v>
      </c>
      <c r="B1660" t="s">
        <v>6291</v>
      </c>
      <c r="C1660" t="s">
        <v>6292</v>
      </c>
      <c r="D1660" t="s">
        <v>50</v>
      </c>
      <c r="E1660">
        <v>76182</v>
      </c>
      <c r="F1660" t="s">
        <v>15</v>
      </c>
      <c r="G1660">
        <v>8</v>
      </c>
      <c r="H1660">
        <v>250</v>
      </c>
      <c r="I1660" t="str" cm="1">
        <f t="array" ref="I1660">_xlfn.IFS(H1660&lt;=120,"V1",H1660&lt;=150,"V2",H1660&lt;=250,"V3", H1660&lt;=350, "V4")</f>
        <v>V3</v>
      </c>
      <c r="J1660" t="s">
        <v>6293</v>
      </c>
      <c r="K1660" t="str">
        <f t="shared" si="575"/>
        <v>32.906757</v>
      </c>
      <c r="L1660" t="str">
        <f t="shared" si="576"/>
        <v>-97.187269</v>
      </c>
      <c r="M1660">
        <v>207</v>
      </c>
      <c r="N1660" s="1">
        <v>44916</v>
      </c>
      <c r="O1660" s="1">
        <v>46099</v>
      </c>
      <c r="P1660" s="2">
        <f t="shared" si="577"/>
        <v>3.2388774811772758</v>
      </c>
      <c r="Q1660" s="2" t="str">
        <f t="shared" si="578"/>
        <v>Mid</v>
      </c>
      <c r="R1660">
        <f t="shared" si="579"/>
        <v>2000</v>
      </c>
      <c r="S1660" t="str">
        <f t="shared" si="580"/>
        <v>Small</v>
      </c>
      <c r="T1660" t="str">
        <f t="shared" si="581"/>
        <v>High EV Adoption Corridor</v>
      </c>
      <c r="U1660" s="3">
        <f t="shared" si="582"/>
        <v>4680000</v>
      </c>
      <c r="V1660" s="4">
        <f t="shared" si="583"/>
        <v>1056000</v>
      </c>
      <c r="W1660" s="3">
        <f t="shared" si="584"/>
        <v>13200000.000000002</v>
      </c>
      <c r="X1660" s="3">
        <f t="shared" si="585"/>
        <v>9900000.0000000019</v>
      </c>
      <c r="Y1660">
        <f t="shared" si="586"/>
        <v>0.23999999999999996</v>
      </c>
      <c r="Z1660">
        <f t="shared" si="587"/>
        <v>0.77435897435897438</v>
      </c>
      <c r="AA1660" t="str">
        <f t="shared" si="588"/>
        <v>Tier 1 - Priority Fleet</v>
      </c>
      <c r="AB1660" s="3">
        <f t="shared" si="589"/>
        <v>132000</v>
      </c>
      <c r="AC1660" s="3">
        <f t="shared" si="590"/>
        <v>1650000.0000000002</v>
      </c>
      <c r="AD1660" s="3">
        <f t="shared" si="591"/>
        <v>585000</v>
      </c>
      <c r="AE1660" s="5">
        <f t="shared" si="592"/>
        <v>3.6423841059602653</v>
      </c>
      <c r="AF1660" s="10">
        <f t="shared" si="593"/>
        <v>654720</v>
      </c>
      <c r="AG1660" s="10">
        <f t="shared" si="594"/>
        <v>211200</v>
      </c>
      <c r="AH1660" s="10">
        <f t="shared" si="595"/>
        <v>105600</v>
      </c>
      <c r="AI1660" s="10">
        <f t="shared" si="596"/>
        <v>52800</v>
      </c>
      <c r="AJ1660" s="10">
        <f t="shared" si="597"/>
        <v>31680</v>
      </c>
    </row>
    <row r="1661" spans="1:36" x14ac:dyDescent="0.3">
      <c r="A1661" t="s">
        <v>6294</v>
      </c>
      <c r="B1661" t="s">
        <v>6295</v>
      </c>
      <c r="C1661" t="s">
        <v>49</v>
      </c>
      <c r="D1661" t="s">
        <v>50</v>
      </c>
      <c r="E1661">
        <v>75207</v>
      </c>
      <c r="F1661" t="s">
        <v>15</v>
      </c>
      <c r="G1661">
        <v>10</v>
      </c>
      <c r="H1661">
        <v>250</v>
      </c>
      <c r="I1661" t="str" cm="1">
        <f t="array" ref="I1661">_xlfn.IFS(H1661&lt;=120,"V1",H1661&lt;=150,"V2",H1661&lt;=250,"V3", H1661&lt;=350, "V4")</f>
        <v>V3</v>
      </c>
      <c r="J1661" t="s">
        <v>6296</v>
      </c>
      <c r="K1661" t="str">
        <f t="shared" si="575"/>
        <v>32.767263</v>
      </c>
      <c r="L1661" t="str">
        <f t="shared" si="576"/>
        <v>-96.807846</v>
      </c>
      <c r="M1661">
        <v>121</v>
      </c>
      <c r="N1661" s="1">
        <v>44804</v>
      </c>
      <c r="O1661" s="1">
        <v>46099</v>
      </c>
      <c r="P1661" s="2">
        <f t="shared" si="577"/>
        <v>3.5455167693360714</v>
      </c>
      <c r="Q1661" s="2" t="str">
        <f t="shared" si="578"/>
        <v>Mid</v>
      </c>
      <c r="R1661">
        <f t="shared" si="579"/>
        <v>2500</v>
      </c>
      <c r="S1661" t="str">
        <f t="shared" si="580"/>
        <v>Small</v>
      </c>
      <c r="T1661" t="str">
        <f t="shared" si="581"/>
        <v>High EV Adoption Corridor</v>
      </c>
      <c r="U1661" s="3">
        <f t="shared" si="582"/>
        <v>5850000</v>
      </c>
      <c r="V1661" s="4">
        <f t="shared" si="583"/>
        <v>1320000</v>
      </c>
      <c r="W1661" s="3">
        <f t="shared" si="584"/>
        <v>16500000.000000002</v>
      </c>
      <c r="X1661" s="3">
        <f t="shared" si="585"/>
        <v>12375000.000000002</v>
      </c>
      <c r="Y1661">
        <f t="shared" si="586"/>
        <v>0.23999999999999996</v>
      </c>
      <c r="Z1661">
        <f t="shared" si="587"/>
        <v>0.77435897435897438</v>
      </c>
      <c r="AA1661" t="str">
        <f t="shared" si="588"/>
        <v>Tier 1 - Priority Fleet</v>
      </c>
      <c r="AB1661" s="3">
        <f t="shared" si="589"/>
        <v>132000</v>
      </c>
      <c r="AC1661" s="3">
        <f t="shared" si="590"/>
        <v>1650000.0000000002</v>
      </c>
      <c r="AD1661" s="3">
        <f t="shared" si="591"/>
        <v>585000</v>
      </c>
      <c r="AE1661" s="5">
        <f t="shared" si="592"/>
        <v>3.6423841059602653</v>
      </c>
      <c r="AF1661" s="10">
        <f t="shared" si="593"/>
        <v>818400</v>
      </c>
      <c r="AG1661" s="10">
        <f t="shared" si="594"/>
        <v>264000</v>
      </c>
      <c r="AH1661" s="10">
        <f t="shared" si="595"/>
        <v>132000</v>
      </c>
      <c r="AI1661" s="10">
        <f t="shared" si="596"/>
        <v>66000</v>
      </c>
      <c r="AJ1661" s="10">
        <f t="shared" si="597"/>
        <v>39600</v>
      </c>
    </row>
    <row r="1662" spans="1:36" x14ac:dyDescent="0.3">
      <c r="A1662" t="s">
        <v>6297</v>
      </c>
      <c r="B1662" t="s">
        <v>6298</v>
      </c>
      <c r="C1662" t="s">
        <v>6299</v>
      </c>
      <c r="D1662" t="s">
        <v>433</v>
      </c>
      <c r="E1662">
        <v>89019</v>
      </c>
      <c r="F1662" t="s">
        <v>15</v>
      </c>
      <c r="G1662">
        <v>42</v>
      </c>
      <c r="H1662">
        <v>250</v>
      </c>
      <c r="I1662" t="str" cm="1">
        <f t="array" ref="I1662">_xlfn.IFS(H1662&lt;=120,"V1",H1662&lt;=150,"V2",H1662&lt;=250,"V3", H1662&lt;=350, "V4")</f>
        <v>V3</v>
      </c>
      <c r="J1662" t="s">
        <v>6300</v>
      </c>
      <c r="K1662" t="str">
        <f t="shared" si="575"/>
        <v>35.610687</v>
      </c>
      <c r="L1662" t="str">
        <f t="shared" si="576"/>
        <v>-115.388028</v>
      </c>
      <c r="M1662">
        <v>795</v>
      </c>
      <c r="N1662" s="1">
        <v>41969</v>
      </c>
      <c r="O1662" s="1">
        <v>46099</v>
      </c>
      <c r="P1662" s="2">
        <f t="shared" si="577"/>
        <v>11.307323750855579</v>
      </c>
      <c r="Q1662" s="2" t="str">
        <f t="shared" si="578"/>
        <v>Old</v>
      </c>
      <c r="R1662">
        <f t="shared" si="579"/>
        <v>10500</v>
      </c>
      <c r="S1662" t="str">
        <f t="shared" si="580"/>
        <v>Medium</v>
      </c>
      <c r="T1662" t="str">
        <f t="shared" si="581"/>
        <v>Lower EV Adoption Corridor</v>
      </c>
      <c r="U1662" s="3">
        <f t="shared" si="582"/>
        <v>18900000</v>
      </c>
      <c r="V1662" s="4">
        <f t="shared" si="583"/>
        <v>4620000</v>
      </c>
      <c r="W1662" s="3">
        <f t="shared" si="584"/>
        <v>63000000</v>
      </c>
      <c r="X1662" s="3">
        <f t="shared" si="585"/>
        <v>34650000</v>
      </c>
      <c r="Y1662">
        <f t="shared" si="586"/>
        <v>0.31515151515151513</v>
      </c>
      <c r="Z1662">
        <f t="shared" si="587"/>
        <v>0.75555555555555554</v>
      </c>
      <c r="AA1662" t="str">
        <f t="shared" si="588"/>
        <v>Tier 2 - Growth Markets</v>
      </c>
      <c r="AB1662" s="3">
        <f t="shared" si="589"/>
        <v>110000</v>
      </c>
      <c r="AC1662" s="3">
        <f t="shared" si="590"/>
        <v>1500000</v>
      </c>
      <c r="AD1662" s="3">
        <f t="shared" si="591"/>
        <v>450000</v>
      </c>
      <c r="AE1662" s="5">
        <f t="shared" si="592"/>
        <v>4.4117647058823533</v>
      </c>
      <c r="AF1662" s="10">
        <f t="shared" si="593"/>
        <v>2864400</v>
      </c>
      <c r="AG1662" s="10">
        <f t="shared" si="594"/>
        <v>924000</v>
      </c>
      <c r="AH1662" s="10">
        <f t="shared" si="595"/>
        <v>462000</v>
      </c>
      <c r="AI1662" s="10">
        <f t="shared" si="596"/>
        <v>231000</v>
      </c>
      <c r="AJ1662" s="10">
        <f t="shared" si="597"/>
        <v>138600</v>
      </c>
    </row>
    <row r="1663" spans="1:36" x14ac:dyDescent="0.3">
      <c r="A1663" t="s">
        <v>6301</v>
      </c>
      <c r="B1663" t="s">
        <v>6302</v>
      </c>
      <c r="C1663" t="s">
        <v>6303</v>
      </c>
      <c r="D1663" t="s">
        <v>158</v>
      </c>
      <c r="E1663">
        <v>13676</v>
      </c>
      <c r="F1663" t="s">
        <v>15</v>
      </c>
      <c r="G1663">
        <v>4</v>
      </c>
      <c r="H1663">
        <v>250</v>
      </c>
      <c r="I1663" t="str" cm="1">
        <f t="array" ref="I1663">_xlfn.IFS(H1663&lt;=120,"V1",H1663&lt;=150,"V2",H1663&lt;=250,"V3", H1663&lt;=350, "V4")</f>
        <v>V3</v>
      </c>
      <c r="J1663" t="s">
        <v>6304</v>
      </c>
      <c r="K1663" t="str">
        <f t="shared" si="575"/>
        <v>44.667002</v>
      </c>
      <c r="L1663" t="str">
        <f t="shared" si="576"/>
        <v>-74.990238</v>
      </c>
      <c r="M1663">
        <v>124</v>
      </c>
      <c r="N1663" s="1">
        <v>44832</v>
      </c>
      <c r="O1663" s="1">
        <v>46099</v>
      </c>
      <c r="P1663" s="2">
        <f t="shared" si="577"/>
        <v>3.4688569472963722</v>
      </c>
      <c r="Q1663" s="2" t="str">
        <f t="shared" si="578"/>
        <v>Mid</v>
      </c>
      <c r="R1663">
        <f t="shared" si="579"/>
        <v>1000</v>
      </c>
      <c r="S1663" t="str">
        <f t="shared" si="580"/>
        <v>Small</v>
      </c>
      <c r="T1663" t="str">
        <f t="shared" si="581"/>
        <v>Lower EV Adoption Corridor</v>
      </c>
      <c r="U1663" s="3">
        <f t="shared" si="582"/>
        <v>1800000</v>
      </c>
      <c r="V1663" s="4">
        <f t="shared" si="583"/>
        <v>440000.00000000006</v>
      </c>
      <c r="W1663" s="3">
        <f t="shared" si="584"/>
        <v>6000000</v>
      </c>
      <c r="X1663" s="3">
        <f t="shared" si="585"/>
        <v>3300000.0000000005</v>
      </c>
      <c r="Y1663">
        <f t="shared" si="586"/>
        <v>0.31515151515151513</v>
      </c>
      <c r="Z1663">
        <f t="shared" si="587"/>
        <v>0.75555555555555554</v>
      </c>
      <c r="AA1663" t="str">
        <f t="shared" si="588"/>
        <v>Tier 2 - Growth Markets</v>
      </c>
      <c r="AB1663" s="3">
        <f t="shared" si="589"/>
        <v>110000.00000000001</v>
      </c>
      <c r="AC1663" s="3">
        <f t="shared" si="590"/>
        <v>1500000</v>
      </c>
      <c r="AD1663" s="3">
        <f t="shared" si="591"/>
        <v>450000</v>
      </c>
      <c r="AE1663" s="5">
        <f t="shared" si="592"/>
        <v>4.4117647058823533</v>
      </c>
      <c r="AF1663" s="10">
        <f t="shared" si="593"/>
        <v>272800.00000000006</v>
      </c>
      <c r="AG1663" s="10">
        <f t="shared" si="594"/>
        <v>88000.000000000015</v>
      </c>
      <c r="AH1663" s="10">
        <f t="shared" si="595"/>
        <v>44000.000000000007</v>
      </c>
      <c r="AI1663" s="10">
        <f t="shared" si="596"/>
        <v>22000.000000000004</v>
      </c>
      <c r="AJ1663" s="10">
        <f t="shared" si="597"/>
        <v>13200.000000000002</v>
      </c>
    </row>
    <row r="1664" spans="1:36" x14ac:dyDescent="0.3">
      <c r="A1664" t="s">
        <v>6305</v>
      </c>
      <c r="B1664" t="s">
        <v>6306</v>
      </c>
      <c r="C1664" t="s">
        <v>6307</v>
      </c>
      <c r="D1664" t="s">
        <v>14</v>
      </c>
      <c r="E1664">
        <v>95318</v>
      </c>
      <c r="F1664" t="s">
        <v>15</v>
      </c>
      <c r="G1664">
        <v>8</v>
      </c>
      <c r="H1664">
        <v>250</v>
      </c>
      <c r="I1664" t="str" cm="1">
        <f t="array" ref="I1664">_xlfn.IFS(H1664&lt;=120,"V1",H1664&lt;=150,"V2",H1664&lt;=250,"V3", H1664&lt;=350, "V4")</f>
        <v>V3</v>
      </c>
      <c r="J1664" t="s">
        <v>6308</v>
      </c>
      <c r="K1664" t="str">
        <f t="shared" si="575"/>
        <v>37.679047</v>
      </c>
      <c r="L1664" t="str">
        <f t="shared" si="576"/>
        <v>-119.763477</v>
      </c>
      <c r="M1664">
        <v>639</v>
      </c>
      <c r="N1664" s="1">
        <v>44866</v>
      </c>
      <c r="O1664" s="1">
        <v>46099</v>
      </c>
      <c r="P1664" s="2">
        <f t="shared" si="577"/>
        <v>3.375770020533881</v>
      </c>
      <c r="Q1664" s="2" t="str">
        <f t="shared" si="578"/>
        <v>Mid</v>
      </c>
      <c r="R1664">
        <f t="shared" si="579"/>
        <v>2000</v>
      </c>
      <c r="S1664" t="str">
        <f t="shared" si="580"/>
        <v>Small</v>
      </c>
      <c r="T1664" t="str">
        <f t="shared" si="581"/>
        <v>High EV Adoption Corridor</v>
      </c>
      <c r="U1664" s="3">
        <f t="shared" si="582"/>
        <v>4680000</v>
      </c>
      <c r="V1664" s="4">
        <f t="shared" si="583"/>
        <v>1056000</v>
      </c>
      <c r="W1664" s="3">
        <f t="shared" si="584"/>
        <v>13200000.000000002</v>
      </c>
      <c r="X1664" s="3">
        <f t="shared" si="585"/>
        <v>9900000.0000000019</v>
      </c>
      <c r="Y1664">
        <f t="shared" si="586"/>
        <v>0.23999999999999996</v>
      </c>
      <c r="Z1664">
        <f t="shared" si="587"/>
        <v>0.77435897435897438</v>
      </c>
      <c r="AA1664" t="str">
        <f t="shared" si="588"/>
        <v>Tier 1 - Priority Fleet</v>
      </c>
      <c r="AB1664" s="3">
        <f t="shared" si="589"/>
        <v>132000</v>
      </c>
      <c r="AC1664" s="3">
        <f t="shared" si="590"/>
        <v>1650000.0000000002</v>
      </c>
      <c r="AD1664" s="3">
        <f t="shared" si="591"/>
        <v>585000</v>
      </c>
      <c r="AE1664" s="5">
        <f t="shared" si="592"/>
        <v>3.6423841059602653</v>
      </c>
      <c r="AF1664" s="10">
        <f t="shared" si="593"/>
        <v>654720</v>
      </c>
      <c r="AG1664" s="10">
        <f t="shared" si="594"/>
        <v>211200</v>
      </c>
      <c r="AH1664" s="10">
        <f t="shared" si="595"/>
        <v>105600</v>
      </c>
      <c r="AI1664" s="10">
        <f t="shared" si="596"/>
        <v>52800</v>
      </c>
      <c r="AJ1664" s="10">
        <f t="shared" si="597"/>
        <v>31680</v>
      </c>
    </row>
    <row r="1665" spans="1:36" x14ac:dyDescent="0.3">
      <c r="A1665" t="s">
        <v>6309</v>
      </c>
      <c r="B1665" t="s">
        <v>6310</v>
      </c>
      <c r="C1665" t="s">
        <v>6311</v>
      </c>
      <c r="D1665" t="s">
        <v>14</v>
      </c>
      <c r="E1665">
        <v>93291</v>
      </c>
      <c r="F1665" t="s">
        <v>15</v>
      </c>
      <c r="G1665">
        <v>19</v>
      </c>
      <c r="H1665">
        <v>250</v>
      </c>
      <c r="I1665" t="str" cm="1">
        <f t="array" ref="I1665">_xlfn.IFS(H1665&lt;=120,"V1",H1665&lt;=150,"V2",H1665&lt;=250,"V3", H1665&lt;=350, "V4")</f>
        <v>V3</v>
      </c>
      <c r="J1665" t="s">
        <v>6312</v>
      </c>
      <c r="K1665" t="str">
        <f t="shared" si="575"/>
        <v>36.350804</v>
      </c>
      <c r="L1665" t="str">
        <f t="shared" si="576"/>
        <v>-119.4247</v>
      </c>
      <c r="M1665">
        <v>86</v>
      </c>
      <c r="N1665" s="1">
        <v>44849</v>
      </c>
      <c r="O1665" s="1">
        <v>46099</v>
      </c>
      <c r="P1665" s="2">
        <f t="shared" si="577"/>
        <v>3.4223134839151266</v>
      </c>
      <c r="Q1665" s="2" t="str">
        <f t="shared" si="578"/>
        <v>Mid</v>
      </c>
      <c r="R1665">
        <f t="shared" si="579"/>
        <v>4750</v>
      </c>
      <c r="S1665" t="str">
        <f t="shared" si="580"/>
        <v>Small</v>
      </c>
      <c r="T1665" t="str">
        <f t="shared" si="581"/>
        <v>High EV Adoption Corridor</v>
      </c>
      <c r="U1665" s="3">
        <f t="shared" si="582"/>
        <v>11115000</v>
      </c>
      <c r="V1665" s="4">
        <f t="shared" si="583"/>
        <v>2508000</v>
      </c>
      <c r="W1665" s="3">
        <f t="shared" si="584"/>
        <v>31350000.000000004</v>
      </c>
      <c r="X1665" s="3">
        <f t="shared" si="585"/>
        <v>23512500.000000004</v>
      </c>
      <c r="Y1665">
        <f t="shared" si="586"/>
        <v>0.23999999999999996</v>
      </c>
      <c r="Z1665">
        <f t="shared" si="587"/>
        <v>0.77435897435897438</v>
      </c>
      <c r="AA1665" t="str">
        <f t="shared" si="588"/>
        <v>Tier 1 - Priority Fleet</v>
      </c>
      <c r="AB1665" s="3">
        <f t="shared" si="589"/>
        <v>132000</v>
      </c>
      <c r="AC1665" s="3">
        <f t="shared" si="590"/>
        <v>1650000.0000000002</v>
      </c>
      <c r="AD1665" s="3">
        <f t="shared" si="591"/>
        <v>585000</v>
      </c>
      <c r="AE1665" s="5">
        <f t="shared" si="592"/>
        <v>3.6423841059602653</v>
      </c>
      <c r="AF1665" s="10">
        <f t="shared" si="593"/>
        <v>1554960</v>
      </c>
      <c r="AG1665" s="10">
        <f t="shared" si="594"/>
        <v>501600</v>
      </c>
      <c r="AH1665" s="10">
        <f t="shared" si="595"/>
        <v>250800</v>
      </c>
      <c r="AI1665" s="10">
        <f t="shared" si="596"/>
        <v>125400</v>
      </c>
      <c r="AJ1665" s="10">
        <f t="shared" si="597"/>
        <v>75240</v>
      </c>
    </row>
    <row r="1666" spans="1:36" x14ac:dyDescent="0.3">
      <c r="A1666" t="s">
        <v>6313</v>
      </c>
      <c r="B1666" t="s">
        <v>6314</v>
      </c>
      <c r="C1666" t="s">
        <v>557</v>
      </c>
      <c r="D1666" t="s">
        <v>433</v>
      </c>
      <c r="E1666">
        <v>89149</v>
      </c>
      <c r="F1666" t="s">
        <v>15</v>
      </c>
      <c r="G1666">
        <v>8</v>
      </c>
      <c r="H1666">
        <v>250</v>
      </c>
      <c r="I1666" t="str" cm="1">
        <f t="array" ref="I1666">_xlfn.IFS(H1666&lt;=120,"V1",H1666&lt;=150,"V2",H1666&lt;=250,"V3", H1666&lt;=350, "V4")</f>
        <v>V3</v>
      </c>
      <c r="J1666" t="s">
        <v>6315</v>
      </c>
      <c r="K1666" t="str">
        <f t="shared" si="575"/>
        <v>36.271532</v>
      </c>
      <c r="L1666" t="str">
        <f t="shared" si="576"/>
        <v>-115.265931</v>
      </c>
      <c r="M1666">
        <v>732</v>
      </c>
      <c r="N1666" s="1">
        <v>44883</v>
      </c>
      <c r="O1666" s="1">
        <v>46099</v>
      </c>
      <c r="P1666" s="2">
        <f t="shared" si="577"/>
        <v>3.3292265571526354</v>
      </c>
      <c r="Q1666" s="2" t="str">
        <f t="shared" si="578"/>
        <v>Mid</v>
      </c>
      <c r="R1666">
        <f t="shared" si="579"/>
        <v>2000</v>
      </c>
      <c r="S1666" t="str">
        <f t="shared" si="580"/>
        <v>Small</v>
      </c>
      <c r="T1666" t="str">
        <f t="shared" si="581"/>
        <v>Lower EV Adoption Corridor</v>
      </c>
      <c r="U1666" s="3">
        <f t="shared" si="582"/>
        <v>3600000</v>
      </c>
      <c r="V1666" s="4">
        <f t="shared" si="583"/>
        <v>880000.00000000012</v>
      </c>
      <c r="W1666" s="3">
        <f t="shared" si="584"/>
        <v>12000000</v>
      </c>
      <c r="X1666" s="3">
        <f t="shared" si="585"/>
        <v>6600000.0000000009</v>
      </c>
      <c r="Y1666">
        <f t="shared" si="586"/>
        <v>0.31515151515151513</v>
      </c>
      <c r="Z1666">
        <f t="shared" si="587"/>
        <v>0.75555555555555554</v>
      </c>
      <c r="AA1666" t="str">
        <f t="shared" si="588"/>
        <v>Tier 2 - Growth Markets</v>
      </c>
      <c r="AB1666" s="3">
        <f t="shared" si="589"/>
        <v>110000.00000000001</v>
      </c>
      <c r="AC1666" s="3">
        <f t="shared" si="590"/>
        <v>1500000</v>
      </c>
      <c r="AD1666" s="3">
        <f t="shared" si="591"/>
        <v>450000</v>
      </c>
      <c r="AE1666" s="5">
        <f t="shared" si="592"/>
        <v>4.4117647058823533</v>
      </c>
      <c r="AF1666" s="10">
        <f t="shared" si="593"/>
        <v>545600.00000000012</v>
      </c>
      <c r="AG1666" s="10">
        <f t="shared" si="594"/>
        <v>176000.00000000003</v>
      </c>
      <c r="AH1666" s="10">
        <f t="shared" si="595"/>
        <v>88000.000000000015</v>
      </c>
      <c r="AI1666" s="10">
        <f t="shared" si="596"/>
        <v>44000.000000000007</v>
      </c>
      <c r="AJ1666" s="10">
        <f t="shared" si="597"/>
        <v>26400.000000000004</v>
      </c>
    </row>
    <row r="1667" spans="1:36" x14ac:dyDescent="0.3">
      <c r="A1667" t="s">
        <v>6316</v>
      </c>
      <c r="B1667" t="s">
        <v>6317</v>
      </c>
      <c r="C1667" t="s">
        <v>1950</v>
      </c>
      <c r="D1667" t="s">
        <v>77</v>
      </c>
      <c r="E1667">
        <v>27330</v>
      </c>
      <c r="F1667" t="s">
        <v>15</v>
      </c>
      <c r="G1667">
        <v>12</v>
      </c>
      <c r="H1667">
        <v>250</v>
      </c>
      <c r="I1667" t="str" cm="1">
        <f t="array" ref="I1667">_xlfn.IFS(H1667&lt;=120,"V1",H1667&lt;=150,"V2",H1667&lt;=250,"V3", H1667&lt;=350, "V4")</f>
        <v>V3</v>
      </c>
      <c r="J1667" t="s">
        <v>6318</v>
      </c>
      <c r="K1667" t="str">
        <f t="shared" ref="K1667:K1730" si="598">TRIM(LEFT(J1667, FIND(",", J1667) - 1))</f>
        <v>35.488112</v>
      </c>
      <c r="L1667" t="str">
        <f t="shared" ref="L1667:L1730" si="599">TRIM(MID(J1667, FIND(",", J1667) + 1, LEN(J1667)))</f>
        <v>-79.193398</v>
      </c>
      <c r="M1667">
        <v>98</v>
      </c>
      <c r="N1667" s="1">
        <v>44895</v>
      </c>
      <c r="O1667" s="1">
        <v>46099</v>
      </c>
      <c r="P1667" s="2">
        <f t="shared" ref="P1667:P1730" si="600">(O1667-N1667)/365.25</f>
        <v>3.2963723477070501</v>
      </c>
      <c r="Q1667" s="2" t="str">
        <f t="shared" ref="Q1667:Q1730" si="601">IF(P1667&lt;3,"New",IF(P1667&lt;=8,"Mid","Old"))</f>
        <v>Mid</v>
      </c>
      <c r="R1667">
        <f t="shared" ref="R1667:R1730" si="602">G1667*H1667</f>
        <v>3000</v>
      </c>
      <c r="S1667" t="str">
        <f t="shared" ref="S1667:S1730" si="603">IF(G1667&lt;=30,"Small",IF(G1667&lt;=60,"Medium","Large"))</f>
        <v>Small</v>
      </c>
      <c r="T1667" t="str">
        <f t="shared" ref="T1667:T1730" si="604">IF(OR(D1667="CA",D1667="FL",D1667="WA",D1667="CO",D1667="TX",D1667="NJ"),"High EV Adoption Corridor","Lower EV Adoption Corridor")</f>
        <v>Lower EV Adoption Corridor</v>
      </c>
      <c r="U1667" s="3">
        <f t="shared" ref="U1667:U1730" si="605" xml:space="preserve"> R1667 * 1500 *
  IF(I1667="V1",1,
     IF(I1667="V2",1.1,1.2)) *
  IF(T1667="High EV Adoption Corridor",1.3,1)</f>
        <v>5400000</v>
      </c>
      <c r="V1667" s="4">
        <f t="shared" ref="V1667:V1730" si="606" xml:space="preserve"> R1667 * 400 *
  IF(I1667="V1",0.9,
     IF(I1667="V2",1,1.1)) *
  IF(T1667="High EV Adoption Corridor",1.2,1)</f>
        <v>1320000</v>
      </c>
      <c r="W1667" s="3">
        <f t="shared" ref="W1667:W1730" si="607" xml:space="preserve"> R1667 * 5000 *
  IF(I1667="V1",0.8,
     IF(I1667="V2",1,1.2)) *
  IF(T1667="High EV Adoption Corridor",1.1,1)</f>
        <v>18000000</v>
      </c>
      <c r="X1667" s="3">
        <f t="shared" ref="X1667:X1730" si="608" xml:space="preserve"> R1667 * 3000 *
  IF(I1667="V1",0.9,
     IF(I1667="V2",1,1.1)) *
  IF(T1667="High EV Adoption Corridor",1.5,1)</f>
        <v>9900000</v>
      </c>
      <c r="Y1667">
        <f t="shared" ref="Y1667:Y1730" si="609" xml:space="preserve"> ((W1667/10) + V1667) / X1667</f>
        <v>0.31515151515151513</v>
      </c>
      <c r="Z1667">
        <f t="shared" ref="Z1667:Z1730" si="610">(U1667-V1667)/U1667</f>
        <v>0.75555555555555554</v>
      </c>
      <c r="AA1667" t="str">
        <f t="shared" ref="AA1667:AA1730" si="611">IF(AND(I1667="V3",T1667="High EV Adoption Corridor"),
"Tier 1 - Priority Fleet",
IF(AND(I1667="V3",T1667="Lower EV Adoption Corridor"),
"Tier 2 - Growth Markets",
IF(AND(OR(I1667="V1",I1667="V2"),T1667="High EV Adoption Corridor"),
"Tier 3 - Upgrade Pipeline",
IF(AND(I1667="V2",T1667="Lower EV Adoption Corridor"),
"Tier 4 - Stable Network",
"Tier 5 - Retirement Pipeline"))))</f>
        <v>Tier 2 - Growth Markets</v>
      </c>
      <c r="AB1667" s="3">
        <f t="shared" ref="AB1667:AB1730" si="612">V1667/G1667</f>
        <v>110000</v>
      </c>
      <c r="AC1667" s="3">
        <f t="shared" ref="AC1667:AC1730" si="613">W1667/G1667</f>
        <v>1500000</v>
      </c>
      <c r="AD1667" s="3">
        <f t="shared" ref="AD1667:AD1730" si="614">U1667/G1667</f>
        <v>450000</v>
      </c>
      <c r="AE1667" s="5">
        <f t="shared" ref="AE1667:AE1730" si="615">W1667/(U1667-V1667)</f>
        <v>4.4117647058823533</v>
      </c>
      <c r="AF1667" s="10">
        <f t="shared" ref="AF1667:AF1730" si="616">V1667*0.62</f>
        <v>818400</v>
      </c>
      <c r="AG1667" s="10">
        <f t="shared" ref="AG1667:AG1730" si="617">V1667*0.2</f>
        <v>264000</v>
      </c>
      <c r="AH1667" s="10">
        <f t="shared" ref="AH1667:AH1730" si="618">V1667*0.1</f>
        <v>132000</v>
      </c>
      <c r="AI1667" s="10">
        <f t="shared" ref="AI1667:AI1730" si="619">V1667*0.05</f>
        <v>66000</v>
      </c>
      <c r="AJ1667" s="10">
        <f t="shared" ref="AJ1667:AJ1730" si="620">V1667*0.03</f>
        <v>39600</v>
      </c>
    </row>
    <row r="1668" spans="1:36" x14ac:dyDescent="0.3">
      <c r="A1668" t="s">
        <v>6319</v>
      </c>
      <c r="B1668" t="s">
        <v>6320</v>
      </c>
      <c r="C1668" t="s">
        <v>6321</v>
      </c>
      <c r="D1668" t="s">
        <v>77</v>
      </c>
      <c r="E1668">
        <v>27301</v>
      </c>
      <c r="F1668" t="s">
        <v>15</v>
      </c>
      <c r="G1668">
        <v>8</v>
      </c>
      <c r="H1668">
        <v>250</v>
      </c>
      <c r="I1668" t="str" cm="1">
        <f t="array" ref="I1668">_xlfn.IFS(H1668&lt;=120,"V1",H1668&lt;=150,"V2",H1668&lt;=250,"V3", H1668&lt;=350, "V4")</f>
        <v>V3</v>
      </c>
      <c r="J1668" t="s">
        <v>6322</v>
      </c>
      <c r="K1668" t="str">
        <f t="shared" si="598"/>
        <v>36.056164</v>
      </c>
      <c r="L1668" t="str">
        <f t="shared" si="599"/>
        <v>-79.660102</v>
      </c>
      <c r="M1668">
        <v>215</v>
      </c>
      <c r="N1668" s="1">
        <v>44992</v>
      </c>
      <c r="O1668" s="1">
        <v>46099</v>
      </c>
      <c r="P1668" s="2">
        <f t="shared" si="600"/>
        <v>3.030800821355236</v>
      </c>
      <c r="Q1668" s="2" t="str">
        <f t="shared" si="601"/>
        <v>Mid</v>
      </c>
      <c r="R1668">
        <f t="shared" si="602"/>
        <v>2000</v>
      </c>
      <c r="S1668" t="str">
        <f t="shared" si="603"/>
        <v>Small</v>
      </c>
      <c r="T1668" t="str">
        <f t="shared" si="604"/>
        <v>Lower EV Adoption Corridor</v>
      </c>
      <c r="U1668" s="3">
        <f t="shared" si="605"/>
        <v>3600000</v>
      </c>
      <c r="V1668" s="4">
        <f t="shared" si="606"/>
        <v>880000.00000000012</v>
      </c>
      <c r="W1668" s="3">
        <f t="shared" si="607"/>
        <v>12000000</v>
      </c>
      <c r="X1668" s="3">
        <f t="shared" si="608"/>
        <v>6600000.0000000009</v>
      </c>
      <c r="Y1668">
        <f t="shared" si="609"/>
        <v>0.31515151515151513</v>
      </c>
      <c r="Z1668">
        <f t="shared" si="610"/>
        <v>0.75555555555555554</v>
      </c>
      <c r="AA1668" t="str">
        <f t="shared" si="611"/>
        <v>Tier 2 - Growth Markets</v>
      </c>
      <c r="AB1668" s="3">
        <f t="shared" si="612"/>
        <v>110000.00000000001</v>
      </c>
      <c r="AC1668" s="3">
        <f t="shared" si="613"/>
        <v>1500000</v>
      </c>
      <c r="AD1668" s="3">
        <f t="shared" si="614"/>
        <v>450000</v>
      </c>
      <c r="AE1668" s="5">
        <f t="shared" si="615"/>
        <v>4.4117647058823533</v>
      </c>
      <c r="AF1668" s="10">
        <f t="shared" si="616"/>
        <v>545600.00000000012</v>
      </c>
      <c r="AG1668" s="10">
        <f t="shared" si="617"/>
        <v>176000.00000000003</v>
      </c>
      <c r="AH1668" s="10">
        <f t="shared" si="618"/>
        <v>88000.000000000015</v>
      </c>
      <c r="AI1668" s="10">
        <f t="shared" si="619"/>
        <v>44000.000000000007</v>
      </c>
      <c r="AJ1668" s="10">
        <f t="shared" si="620"/>
        <v>26400.000000000004</v>
      </c>
    </row>
    <row r="1669" spans="1:36" x14ac:dyDescent="0.3">
      <c r="A1669" t="s">
        <v>6323</v>
      </c>
      <c r="B1669" t="s">
        <v>6324</v>
      </c>
      <c r="C1669" t="s">
        <v>6325</v>
      </c>
      <c r="D1669" t="s">
        <v>299</v>
      </c>
      <c r="E1669">
        <v>23704</v>
      </c>
      <c r="F1669" t="s">
        <v>15</v>
      </c>
      <c r="G1669">
        <v>8</v>
      </c>
      <c r="H1669">
        <v>250</v>
      </c>
      <c r="I1669" t="str" cm="1">
        <f t="array" ref="I1669">_xlfn.IFS(H1669&lt;=120,"V1",H1669&lt;=150,"V2",H1669&lt;=250,"V3", H1669&lt;=350, "V4")</f>
        <v>V3</v>
      </c>
      <c r="J1669" t="s">
        <v>6326</v>
      </c>
      <c r="K1669" t="str">
        <f t="shared" si="598"/>
        <v>36.837402</v>
      </c>
      <c r="L1669" t="str">
        <f t="shared" si="599"/>
        <v>-76.306478</v>
      </c>
      <c r="M1669">
        <v>2</v>
      </c>
      <c r="N1669" s="1">
        <v>45001</v>
      </c>
      <c r="O1669" s="1">
        <v>46099</v>
      </c>
      <c r="P1669" s="2">
        <f t="shared" si="600"/>
        <v>3.0061601642710474</v>
      </c>
      <c r="Q1669" s="2" t="str">
        <f t="shared" si="601"/>
        <v>Mid</v>
      </c>
      <c r="R1669">
        <f t="shared" si="602"/>
        <v>2000</v>
      </c>
      <c r="S1669" t="str">
        <f t="shared" si="603"/>
        <v>Small</v>
      </c>
      <c r="T1669" t="str">
        <f t="shared" si="604"/>
        <v>Lower EV Adoption Corridor</v>
      </c>
      <c r="U1669" s="3">
        <f t="shared" si="605"/>
        <v>3600000</v>
      </c>
      <c r="V1669" s="4">
        <f t="shared" si="606"/>
        <v>880000.00000000012</v>
      </c>
      <c r="W1669" s="3">
        <f t="shared" si="607"/>
        <v>12000000</v>
      </c>
      <c r="X1669" s="3">
        <f t="shared" si="608"/>
        <v>6600000.0000000009</v>
      </c>
      <c r="Y1669">
        <f t="shared" si="609"/>
        <v>0.31515151515151513</v>
      </c>
      <c r="Z1669">
        <f t="shared" si="610"/>
        <v>0.75555555555555554</v>
      </c>
      <c r="AA1669" t="str">
        <f t="shared" si="611"/>
        <v>Tier 2 - Growth Markets</v>
      </c>
      <c r="AB1669" s="3">
        <f t="shared" si="612"/>
        <v>110000.00000000001</v>
      </c>
      <c r="AC1669" s="3">
        <f t="shared" si="613"/>
        <v>1500000</v>
      </c>
      <c r="AD1669" s="3">
        <f t="shared" si="614"/>
        <v>450000</v>
      </c>
      <c r="AE1669" s="5">
        <f t="shared" si="615"/>
        <v>4.4117647058823533</v>
      </c>
      <c r="AF1669" s="10">
        <f t="shared" si="616"/>
        <v>545600.00000000012</v>
      </c>
      <c r="AG1669" s="10">
        <f t="shared" si="617"/>
        <v>176000.00000000003</v>
      </c>
      <c r="AH1669" s="10">
        <f t="shared" si="618"/>
        <v>88000.000000000015</v>
      </c>
      <c r="AI1669" s="10">
        <f t="shared" si="619"/>
        <v>44000.000000000007</v>
      </c>
      <c r="AJ1669" s="10">
        <f t="shared" si="620"/>
        <v>26400.000000000004</v>
      </c>
    </row>
    <row r="1670" spans="1:36" x14ac:dyDescent="0.3">
      <c r="A1670" t="s">
        <v>6327</v>
      </c>
      <c r="B1670" t="s">
        <v>6328</v>
      </c>
      <c r="C1670" t="s">
        <v>4258</v>
      </c>
      <c r="D1670" t="s">
        <v>14</v>
      </c>
      <c r="E1670">
        <v>92782</v>
      </c>
      <c r="F1670" t="s">
        <v>15</v>
      </c>
      <c r="G1670">
        <v>7</v>
      </c>
      <c r="H1670">
        <v>250</v>
      </c>
      <c r="I1670" t="str" cm="1">
        <f t="array" ref="I1670">_xlfn.IFS(H1670&lt;=120,"V1",H1670&lt;=150,"V2",H1670&lt;=250,"V3", H1670&lt;=350, "V4")</f>
        <v>V3</v>
      </c>
      <c r="J1670" t="s">
        <v>6329</v>
      </c>
      <c r="K1670" t="str">
        <f t="shared" si="598"/>
        <v>33.704288</v>
      </c>
      <c r="L1670" t="str">
        <f t="shared" si="599"/>
        <v>-117.836881</v>
      </c>
      <c r="M1670">
        <v>15</v>
      </c>
      <c r="N1670" s="1">
        <v>44915</v>
      </c>
      <c r="O1670" s="1">
        <v>46099</v>
      </c>
      <c r="P1670" s="2">
        <f t="shared" si="600"/>
        <v>3.2416153319644079</v>
      </c>
      <c r="Q1670" s="2" t="str">
        <f t="shared" si="601"/>
        <v>Mid</v>
      </c>
      <c r="R1670">
        <f t="shared" si="602"/>
        <v>1750</v>
      </c>
      <c r="S1670" t="str">
        <f t="shared" si="603"/>
        <v>Small</v>
      </c>
      <c r="T1670" t="str">
        <f t="shared" si="604"/>
        <v>High EV Adoption Corridor</v>
      </c>
      <c r="U1670" s="3">
        <f t="shared" si="605"/>
        <v>4095000</v>
      </c>
      <c r="V1670" s="4">
        <f t="shared" si="606"/>
        <v>924000.00000000012</v>
      </c>
      <c r="W1670" s="3">
        <f t="shared" si="607"/>
        <v>11550000.000000002</v>
      </c>
      <c r="X1670" s="3">
        <f t="shared" si="608"/>
        <v>8662500.0000000019</v>
      </c>
      <c r="Y1670">
        <f t="shared" si="609"/>
        <v>0.24</v>
      </c>
      <c r="Z1670">
        <f t="shared" si="610"/>
        <v>0.77435897435897438</v>
      </c>
      <c r="AA1670" t="str">
        <f t="shared" si="611"/>
        <v>Tier 1 - Priority Fleet</v>
      </c>
      <c r="AB1670" s="3">
        <f t="shared" si="612"/>
        <v>132000.00000000003</v>
      </c>
      <c r="AC1670" s="3">
        <f t="shared" si="613"/>
        <v>1650000.0000000002</v>
      </c>
      <c r="AD1670" s="3">
        <f t="shared" si="614"/>
        <v>585000</v>
      </c>
      <c r="AE1670" s="5">
        <f t="shared" si="615"/>
        <v>3.6423841059602653</v>
      </c>
      <c r="AF1670" s="10">
        <f t="shared" si="616"/>
        <v>572880.00000000012</v>
      </c>
      <c r="AG1670" s="10">
        <f t="shared" si="617"/>
        <v>184800.00000000003</v>
      </c>
      <c r="AH1670" s="10">
        <f t="shared" si="618"/>
        <v>92400.000000000015</v>
      </c>
      <c r="AI1670" s="10">
        <f t="shared" si="619"/>
        <v>46200.000000000007</v>
      </c>
      <c r="AJ1670" s="10">
        <f t="shared" si="620"/>
        <v>27720.000000000004</v>
      </c>
    </row>
    <row r="1671" spans="1:36" x14ac:dyDescent="0.3">
      <c r="A1671" t="s">
        <v>6330</v>
      </c>
      <c r="B1671" t="s">
        <v>6331</v>
      </c>
      <c r="C1671" t="s">
        <v>6332</v>
      </c>
      <c r="D1671" t="s">
        <v>153</v>
      </c>
      <c r="E1671">
        <v>19355</v>
      </c>
      <c r="F1671" t="s">
        <v>15</v>
      </c>
      <c r="G1671">
        <v>8</v>
      </c>
      <c r="H1671">
        <v>250</v>
      </c>
      <c r="I1671" t="str" cm="1">
        <f t="array" ref="I1671">_xlfn.IFS(H1671&lt;=120,"V1",H1671&lt;=150,"V2",H1671&lt;=250,"V3", H1671&lt;=350, "V4")</f>
        <v>V3</v>
      </c>
      <c r="J1671" t="s">
        <v>6333</v>
      </c>
      <c r="K1671" t="str">
        <f t="shared" si="598"/>
        <v>40.050647</v>
      </c>
      <c r="L1671" t="str">
        <f t="shared" si="599"/>
        <v>-75.525104</v>
      </c>
      <c r="M1671">
        <v>92</v>
      </c>
      <c r="N1671" s="1">
        <v>45001</v>
      </c>
      <c r="O1671" s="1">
        <v>46099</v>
      </c>
      <c r="P1671" s="2">
        <f t="shared" si="600"/>
        <v>3.0061601642710474</v>
      </c>
      <c r="Q1671" s="2" t="str">
        <f t="shared" si="601"/>
        <v>Mid</v>
      </c>
      <c r="R1671">
        <f t="shared" si="602"/>
        <v>2000</v>
      </c>
      <c r="S1671" t="str">
        <f t="shared" si="603"/>
        <v>Small</v>
      </c>
      <c r="T1671" t="str">
        <f t="shared" si="604"/>
        <v>Lower EV Adoption Corridor</v>
      </c>
      <c r="U1671" s="3">
        <f t="shared" si="605"/>
        <v>3600000</v>
      </c>
      <c r="V1671" s="4">
        <f t="shared" si="606"/>
        <v>880000.00000000012</v>
      </c>
      <c r="W1671" s="3">
        <f t="shared" si="607"/>
        <v>12000000</v>
      </c>
      <c r="X1671" s="3">
        <f t="shared" si="608"/>
        <v>6600000.0000000009</v>
      </c>
      <c r="Y1671">
        <f t="shared" si="609"/>
        <v>0.31515151515151513</v>
      </c>
      <c r="Z1671">
        <f t="shared" si="610"/>
        <v>0.75555555555555554</v>
      </c>
      <c r="AA1671" t="str">
        <f t="shared" si="611"/>
        <v>Tier 2 - Growth Markets</v>
      </c>
      <c r="AB1671" s="3">
        <f t="shared" si="612"/>
        <v>110000.00000000001</v>
      </c>
      <c r="AC1671" s="3">
        <f t="shared" si="613"/>
        <v>1500000</v>
      </c>
      <c r="AD1671" s="3">
        <f t="shared" si="614"/>
        <v>450000</v>
      </c>
      <c r="AE1671" s="5">
        <f t="shared" si="615"/>
        <v>4.4117647058823533</v>
      </c>
      <c r="AF1671" s="10">
        <f t="shared" si="616"/>
        <v>545600.00000000012</v>
      </c>
      <c r="AG1671" s="10">
        <f t="shared" si="617"/>
        <v>176000.00000000003</v>
      </c>
      <c r="AH1671" s="10">
        <f t="shared" si="618"/>
        <v>88000.000000000015</v>
      </c>
      <c r="AI1671" s="10">
        <f t="shared" si="619"/>
        <v>44000.000000000007</v>
      </c>
      <c r="AJ1671" s="10">
        <f t="shared" si="620"/>
        <v>26400.000000000004</v>
      </c>
    </row>
    <row r="1672" spans="1:36" x14ac:dyDescent="0.3">
      <c r="A1672" t="s">
        <v>6334</v>
      </c>
      <c r="B1672" t="s">
        <v>6335</v>
      </c>
      <c r="C1672" t="s">
        <v>6336</v>
      </c>
      <c r="D1672" t="s">
        <v>153</v>
      </c>
      <c r="E1672">
        <v>19335</v>
      </c>
      <c r="F1672" t="s">
        <v>15</v>
      </c>
      <c r="G1672">
        <v>8</v>
      </c>
      <c r="H1672">
        <v>250</v>
      </c>
      <c r="I1672" t="str" cm="1">
        <f t="array" ref="I1672">_xlfn.IFS(H1672&lt;=120,"V1",H1672&lt;=150,"V2",H1672&lt;=250,"V3", H1672&lt;=350, "V4")</f>
        <v>V3</v>
      </c>
      <c r="J1672" t="s">
        <v>6337</v>
      </c>
      <c r="K1672" t="str">
        <f t="shared" si="598"/>
        <v>40.012206</v>
      </c>
      <c r="L1672" t="str">
        <f t="shared" si="599"/>
        <v>-75.721504</v>
      </c>
      <c r="M1672">
        <v>78</v>
      </c>
      <c r="N1672" s="1">
        <v>44908</v>
      </c>
      <c r="O1672" s="1">
        <v>46099</v>
      </c>
      <c r="P1672" s="2">
        <f t="shared" si="600"/>
        <v>3.2607802874743328</v>
      </c>
      <c r="Q1672" s="2" t="str">
        <f t="shared" si="601"/>
        <v>Mid</v>
      </c>
      <c r="R1672">
        <f t="shared" si="602"/>
        <v>2000</v>
      </c>
      <c r="S1672" t="str">
        <f t="shared" si="603"/>
        <v>Small</v>
      </c>
      <c r="T1672" t="str">
        <f t="shared" si="604"/>
        <v>Lower EV Adoption Corridor</v>
      </c>
      <c r="U1672" s="3">
        <f t="shared" si="605"/>
        <v>3600000</v>
      </c>
      <c r="V1672" s="4">
        <f t="shared" si="606"/>
        <v>880000.00000000012</v>
      </c>
      <c r="W1672" s="3">
        <f t="shared" si="607"/>
        <v>12000000</v>
      </c>
      <c r="X1672" s="3">
        <f t="shared" si="608"/>
        <v>6600000.0000000009</v>
      </c>
      <c r="Y1672">
        <f t="shared" si="609"/>
        <v>0.31515151515151513</v>
      </c>
      <c r="Z1672">
        <f t="shared" si="610"/>
        <v>0.75555555555555554</v>
      </c>
      <c r="AA1672" t="str">
        <f t="shared" si="611"/>
        <v>Tier 2 - Growth Markets</v>
      </c>
      <c r="AB1672" s="3">
        <f t="shared" si="612"/>
        <v>110000.00000000001</v>
      </c>
      <c r="AC1672" s="3">
        <f t="shared" si="613"/>
        <v>1500000</v>
      </c>
      <c r="AD1672" s="3">
        <f t="shared" si="614"/>
        <v>450000</v>
      </c>
      <c r="AE1672" s="5">
        <f t="shared" si="615"/>
        <v>4.4117647058823533</v>
      </c>
      <c r="AF1672" s="10">
        <f t="shared" si="616"/>
        <v>545600.00000000012</v>
      </c>
      <c r="AG1672" s="10">
        <f t="shared" si="617"/>
        <v>176000.00000000003</v>
      </c>
      <c r="AH1672" s="10">
        <f t="shared" si="618"/>
        <v>88000.000000000015</v>
      </c>
      <c r="AI1672" s="10">
        <f t="shared" si="619"/>
        <v>44000.000000000007</v>
      </c>
      <c r="AJ1672" s="10">
        <f t="shared" si="620"/>
        <v>26400.000000000004</v>
      </c>
    </row>
    <row r="1673" spans="1:36" x14ac:dyDescent="0.3">
      <c r="A1673" t="s">
        <v>6338</v>
      </c>
      <c r="B1673" t="s">
        <v>6339</v>
      </c>
      <c r="C1673" t="s">
        <v>557</v>
      </c>
      <c r="D1673" t="s">
        <v>433</v>
      </c>
      <c r="E1673">
        <v>89169</v>
      </c>
      <c r="F1673" t="s">
        <v>15</v>
      </c>
      <c r="G1673">
        <v>8</v>
      </c>
      <c r="H1673">
        <v>250</v>
      </c>
      <c r="I1673" t="str" cm="1">
        <f t="array" ref="I1673">_xlfn.IFS(H1673&lt;=120,"V1",H1673&lt;=150,"V2",H1673&lt;=250,"V3", H1673&lt;=350, "V4")</f>
        <v>V3</v>
      </c>
      <c r="J1673" t="s">
        <v>6340</v>
      </c>
      <c r="K1673" t="str">
        <f t="shared" si="598"/>
        <v>36.12875</v>
      </c>
      <c r="L1673" t="str">
        <f t="shared" si="599"/>
        <v>-115.143823</v>
      </c>
      <c r="M1673">
        <v>617</v>
      </c>
      <c r="N1673" s="1">
        <v>45072</v>
      </c>
      <c r="O1673" s="1">
        <v>46099</v>
      </c>
      <c r="P1673" s="2">
        <f t="shared" si="600"/>
        <v>2.8117727583846679</v>
      </c>
      <c r="Q1673" s="2" t="str">
        <f t="shared" si="601"/>
        <v>New</v>
      </c>
      <c r="R1673">
        <f t="shared" si="602"/>
        <v>2000</v>
      </c>
      <c r="S1673" t="str">
        <f t="shared" si="603"/>
        <v>Small</v>
      </c>
      <c r="T1673" t="str">
        <f t="shared" si="604"/>
        <v>Lower EV Adoption Corridor</v>
      </c>
      <c r="U1673" s="3">
        <f t="shared" si="605"/>
        <v>3600000</v>
      </c>
      <c r="V1673" s="4">
        <f t="shared" si="606"/>
        <v>880000.00000000012</v>
      </c>
      <c r="W1673" s="3">
        <f t="shared" si="607"/>
        <v>12000000</v>
      </c>
      <c r="X1673" s="3">
        <f t="shared" si="608"/>
        <v>6600000.0000000009</v>
      </c>
      <c r="Y1673">
        <f t="shared" si="609"/>
        <v>0.31515151515151513</v>
      </c>
      <c r="Z1673">
        <f t="shared" si="610"/>
        <v>0.75555555555555554</v>
      </c>
      <c r="AA1673" t="str">
        <f t="shared" si="611"/>
        <v>Tier 2 - Growth Markets</v>
      </c>
      <c r="AB1673" s="3">
        <f t="shared" si="612"/>
        <v>110000.00000000001</v>
      </c>
      <c r="AC1673" s="3">
        <f t="shared" si="613"/>
        <v>1500000</v>
      </c>
      <c r="AD1673" s="3">
        <f t="shared" si="614"/>
        <v>450000</v>
      </c>
      <c r="AE1673" s="5">
        <f t="shared" si="615"/>
        <v>4.4117647058823533</v>
      </c>
      <c r="AF1673" s="10">
        <f t="shared" si="616"/>
        <v>545600.00000000012</v>
      </c>
      <c r="AG1673" s="10">
        <f t="shared" si="617"/>
        <v>176000.00000000003</v>
      </c>
      <c r="AH1673" s="10">
        <f t="shared" si="618"/>
        <v>88000.000000000015</v>
      </c>
      <c r="AI1673" s="10">
        <f t="shared" si="619"/>
        <v>44000.000000000007</v>
      </c>
      <c r="AJ1673" s="10">
        <f t="shared" si="620"/>
        <v>26400.000000000004</v>
      </c>
    </row>
    <row r="1674" spans="1:36" x14ac:dyDescent="0.3">
      <c r="A1674" t="s">
        <v>6341</v>
      </c>
      <c r="B1674" t="s">
        <v>6342</v>
      </c>
      <c r="C1674" t="s">
        <v>6343</v>
      </c>
      <c r="D1674" t="s">
        <v>41</v>
      </c>
      <c r="E1674">
        <v>32958</v>
      </c>
      <c r="F1674" t="s">
        <v>15</v>
      </c>
      <c r="G1674">
        <v>8</v>
      </c>
      <c r="H1674">
        <v>250</v>
      </c>
      <c r="I1674" t="str" cm="1">
        <f t="array" ref="I1674">_xlfn.IFS(H1674&lt;=120,"V1",H1674&lt;=150,"V2",H1674&lt;=250,"V3", H1674&lt;=350, "V4")</f>
        <v>V3</v>
      </c>
      <c r="J1674" t="s">
        <v>6344</v>
      </c>
      <c r="K1674" t="str">
        <f t="shared" si="598"/>
        <v>27.767877</v>
      </c>
      <c r="L1674" t="str">
        <f t="shared" si="599"/>
        <v>-80.549569</v>
      </c>
      <c r="M1674">
        <v>8</v>
      </c>
      <c r="N1674" s="1">
        <v>44904</v>
      </c>
      <c r="O1674" s="1">
        <v>46099</v>
      </c>
      <c r="P1674" s="2">
        <f t="shared" si="600"/>
        <v>3.2717316906228611</v>
      </c>
      <c r="Q1674" s="2" t="str">
        <f t="shared" si="601"/>
        <v>Mid</v>
      </c>
      <c r="R1674">
        <f t="shared" si="602"/>
        <v>2000</v>
      </c>
      <c r="S1674" t="str">
        <f t="shared" si="603"/>
        <v>Small</v>
      </c>
      <c r="T1674" t="str">
        <f t="shared" si="604"/>
        <v>High EV Adoption Corridor</v>
      </c>
      <c r="U1674" s="3">
        <f t="shared" si="605"/>
        <v>4680000</v>
      </c>
      <c r="V1674" s="4">
        <f t="shared" si="606"/>
        <v>1056000</v>
      </c>
      <c r="W1674" s="3">
        <f t="shared" si="607"/>
        <v>13200000.000000002</v>
      </c>
      <c r="X1674" s="3">
        <f t="shared" si="608"/>
        <v>9900000.0000000019</v>
      </c>
      <c r="Y1674">
        <f t="shared" si="609"/>
        <v>0.23999999999999996</v>
      </c>
      <c r="Z1674">
        <f t="shared" si="610"/>
        <v>0.77435897435897438</v>
      </c>
      <c r="AA1674" t="str">
        <f t="shared" si="611"/>
        <v>Tier 1 - Priority Fleet</v>
      </c>
      <c r="AB1674" s="3">
        <f t="shared" si="612"/>
        <v>132000</v>
      </c>
      <c r="AC1674" s="3">
        <f t="shared" si="613"/>
        <v>1650000.0000000002</v>
      </c>
      <c r="AD1674" s="3">
        <f t="shared" si="614"/>
        <v>585000</v>
      </c>
      <c r="AE1674" s="5">
        <f t="shared" si="615"/>
        <v>3.6423841059602653</v>
      </c>
      <c r="AF1674" s="10">
        <f t="shared" si="616"/>
        <v>654720</v>
      </c>
      <c r="AG1674" s="10">
        <f t="shared" si="617"/>
        <v>211200</v>
      </c>
      <c r="AH1674" s="10">
        <f t="shared" si="618"/>
        <v>105600</v>
      </c>
      <c r="AI1674" s="10">
        <f t="shared" si="619"/>
        <v>52800</v>
      </c>
      <c r="AJ1674" s="10">
        <f t="shared" si="620"/>
        <v>31680</v>
      </c>
    </row>
    <row r="1675" spans="1:36" x14ac:dyDescent="0.3">
      <c r="A1675" t="s">
        <v>6345</v>
      </c>
      <c r="B1675" t="s">
        <v>6346</v>
      </c>
      <c r="C1675" t="s">
        <v>6347</v>
      </c>
      <c r="D1675" t="s">
        <v>268</v>
      </c>
      <c r="E1675">
        <v>81635</v>
      </c>
      <c r="F1675" t="s">
        <v>15</v>
      </c>
      <c r="G1675">
        <v>12</v>
      </c>
      <c r="H1675">
        <v>250</v>
      </c>
      <c r="I1675" t="str" cm="1">
        <f t="array" ref="I1675">_xlfn.IFS(H1675&lt;=120,"V1",H1675&lt;=150,"V2",H1675&lt;=250,"V3", H1675&lt;=350, "V4")</f>
        <v>V3</v>
      </c>
      <c r="J1675" t="s">
        <v>6348</v>
      </c>
      <c r="K1675" t="str">
        <f t="shared" si="598"/>
        <v>39.45242</v>
      </c>
      <c r="L1675" t="str">
        <f t="shared" si="599"/>
        <v>-108.04582</v>
      </c>
      <c r="M1675">
        <v>1549</v>
      </c>
      <c r="N1675" s="1">
        <v>44835</v>
      </c>
      <c r="O1675" s="1">
        <v>46099</v>
      </c>
      <c r="P1675" s="2">
        <f t="shared" si="600"/>
        <v>3.460643394934976</v>
      </c>
      <c r="Q1675" s="2" t="str">
        <f t="shared" si="601"/>
        <v>Mid</v>
      </c>
      <c r="R1675">
        <f t="shared" si="602"/>
        <v>3000</v>
      </c>
      <c r="S1675" t="str">
        <f t="shared" si="603"/>
        <v>Small</v>
      </c>
      <c r="T1675" t="str">
        <f t="shared" si="604"/>
        <v>High EV Adoption Corridor</v>
      </c>
      <c r="U1675" s="3">
        <f t="shared" si="605"/>
        <v>7020000</v>
      </c>
      <c r="V1675" s="4">
        <f t="shared" si="606"/>
        <v>1584000</v>
      </c>
      <c r="W1675" s="3">
        <f t="shared" si="607"/>
        <v>19800000</v>
      </c>
      <c r="X1675" s="3">
        <f t="shared" si="608"/>
        <v>14850000</v>
      </c>
      <c r="Y1675">
        <f t="shared" si="609"/>
        <v>0.24</v>
      </c>
      <c r="Z1675">
        <f t="shared" si="610"/>
        <v>0.77435897435897438</v>
      </c>
      <c r="AA1675" t="str">
        <f t="shared" si="611"/>
        <v>Tier 1 - Priority Fleet</v>
      </c>
      <c r="AB1675" s="3">
        <f t="shared" si="612"/>
        <v>132000</v>
      </c>
      <c r="AC1675" s="3">
        <f t="shared" si="613"/>
        <v>1650000</v>
      </c>
      <c r="AD1675" s="3">
        <f t="shared" si="614"/>
        <v>585000</v>
      </c>
      <c r="AE1675" s="5">
        <f t="shared" si="615"/>
        <v>3.6423841059602649</v>
      </c>
      <c r="AF1675" s="10">
        <f t="shared" si="616"/>
        <v>982080</v>
      </c>
      <c r="AG1675" s="10">
        <f t="shared" si="617"/>
        <v>316800</v>
      </c>
      <c r="AH1675" s="10">
        <f t="shared" si="618"/>
        <v>158400</v>
      </c>
      <c r="AI1675" s="10">
        <f t="shared" si="619"/>
        <v>79200</v>
      </c>
      <c r="AJ1675" s="10">
        <f t="shared" si="620"/>
        <v>47520</v>
      </c>
    </row>
    <row r="1676" spans="1:36" x14ac:dyDescent="0.3">
      <c r="A1676" t="s">
        <v>6349</v>
      </c>
      <c r="B1676" t="s">
        <v>6350</v>
      </c>
      <c r="C1676" t="s">
        <v>6351</v>
      </c>
      <c r="D1676" t="s">
        <v>72</v>
      </c>
      <c r="E1676">
        <v>85333</v>
      </c>
      <c r="F1676" t="s">
        <v>15</v>
      </c>
      <c r="G1676">
        <v>40</v>
      </c>
      <c r="H1676">
        <v>250</v>
      </c>
      <c r="I1676" t="str" cm="1">
        <f t="array" ref="I1676">_xlfn.IFS(H1676&lt;=120,"V1",H1676&lt;=150,"V2",H1676&lt;=250,"V3", H1676&lt;=350, "V4")</f>
        <v>V3</v>
      </c>
      <c r="J1676" t="s">
        <v>6352</v>
      </c>
      <c r="K1676" t="str">
        <f t="shared" si="598"/>
        <v>32.798797</v>
      </c>
      <c r="L1676" t="str">
        <f t="shared" si="599"/>
        <v>-113.540003</v>
      </c>
      <c r="M1676">
        <v>137</v>
      </c>
      <c r="N1676" s="1">
        <v>45017</v>
      </c>
      <c r="O1676" s="1">
        <v>46099</v>
      </c>
      <c r="P1676" s="2">
        <f t="shared" si="600"/>
        <v>2.9623545516769334</v>
      </c>
      <c r="Q1676" s="2" t="str">
        <f t="shared" si="601"/>
        <v>New</v>
      </c>
      <c r="R1676">
        <f t="shared" si="602"/>
        <v>10000</v>
      </c>
      <c r="S1676" t="str">
        <f t="shared" si="603"/>
        <v>Medium</v>
      </c>
      <c r="T1676" t="str">
        <f t="shared" si="604"/>
        <v>Lower EV Adoption Corridor</v>
      </c>
      <c r="U1676" s="3">
        <f t="shared" si="605"/>
        <v>18000000</v>
      </c>
      <c r="V1676" s="4">
        <f t="shared" si="606"/>
        <v>4400000</v>
      </c>
      <c r="W1676" s="3">
        <f t="shared" si="607"/>
        <v>60000000</v>
      </c>
      <c r="X1676" s="3">
        <f t="shared" si="608"/>
        <v>33000000.000000004</v>
      </c>
      <c r="Y1676">
        <f t="shared" si="609"/>
        <v>0.31515151515151513</v>
      </c>
      <c r="Z1676">
        <f t="shared" si="610"/>
        <v>0.75555555555555554</v>
      </c>
      <c r="AA1676" t="str">
        <f t="shared" si="611"/>
        <v>Tier 2 - Growth Markets</v>
      </c>
      <c r="AB1676" s="3">
        <f t="shared" si="612"/>
        <v>110000</v>
      </c>
      <c r="AC1676" s="3">
        <f t="shared" si="613"/>
        <v>1500000</v>
      </c>
      <c r="AD1676" s="3">
        <f t="shared" si="614"/>
        <v>450000</v>
      </c>
      <c r="AE1676" s="5">
        <f t="shared" si="615"/>
        <v>4.4117647058823533</v>
      </c>
      <c r="AF1676" s="10">
        <f t="shared" si="616"/>
        <v>2728000</v>
      </c>
      <c r="AG1676" s="10">
        <f t="shared" si="617"/>
        <v>880000</v>
      </c>
      <c r="AH1676" s="10">
        <f t="shared" si="618"/>
        <v>440000</v>
      </c>
      <c r="AI1676" s="10">
        <f t="shared" si="619"/>
        <v>220000</v>
      </c>
      <c r="AJ1676" s="10">
        <f t="shared" si="620"/>
        <v>132000</v>
      </c>
    </row>
    <row r="1677" spans="1:36" x14ac:dyDescent="0.3">
      <c r="A1677" t="s">
        <v>6353</v>
      </c>
      <c r="B1677" t="s">
        <v>6354</v>
      </c>
      <c r="C1677" t="s">
        <v>1507</v>
      </c>
      <c r="D1677" t="s">
        <v>630</v>
      </c>
      <c r="E1677">
        <v>48911</v>
      </c>
      <c r="F1677" t="s">
        <v>15</v>
      </c>
      <c r="G1677">
        <v>12</v>
      </c>
      <c r="H1677">
        <v>250</v>
      </c>
      <c r="I1677" t="str" cm="1">
        <f t="array" ref="I1677">_xlfn.IFS(H1677&lt;=120,"V1",H1677&lt;=150,"V2",H1677&lt;=250,"V3", H1677&lt;=350, "V4")</f>
        <v>V3</v>
      </c>
      <c r="J1677" t="s">
        <v>6355</v>
      </c>
      <c r="K1677" t="str">
        <f t="shared" si="598"/>
        <v>42.66705</v>
      </c>
      <c r="L1677" t="str">
        <f t="shared" si="599"/>
        <v>-84.54091</v>
      </c>
      <c r="M1677">
        <v>264</v>
      </c>
      <c r="N1677" s="1">
        <v>44854</v>
      </c>
      <c r="O1677" s="1">
        <v>46099</v>
      </c>
      <c r="P1677" s="2">
        <f t="shared" si="600"/>
        <v>3.4086242299794662</v>
      </c>
      <c r="Q1677" s="2" t="str">
        <f t="shared" si="601"/>
        <v>Mid</v>
      </c>
      <c r="R1677">
        <f t="shared" si="602"/>
        <v>3000</v>
      </c>
      <c r="S1677" t="str">
        <f t="shared" si="603"/>
        <v>Small</v>
      </c>
      <c r="T1677" t="str">
        <f t="shared" si="604"/>
        <v>Lower EV Adoption Corridor</v>
      </c>
      <c r="U1677" s="3">
        <f t="shared" si="605"/>
        <v>5400000</v>
      </c>
      <c r="V1677" s="4">
        <f t="shared" si="606"/>
        <v>1320000</v>
      </c>
      <c r="W1677" s="3">
        <f t="shared" si="607"/>
        <v>18000000</v>
      </c>
      <c r="X1677" s="3">
        <f t="shared" si="608"/>
        <v>9900000</v>
      </c>
      <c r="Y1677">
        <f t="shared" si="609"/>
        <v>0.31515151515151513</v>
      </c>
      <c r="Z1677">
        <f t="shared" si="610"/>
        <v>0.75555555555555554</v>
      </c>
      <c r="AA1677" t="str">
        <f t="shared" si="611"/>
        <v>Tier 2 - Growth Markets</v>
      </c>
      <c r="AB1677" s="3">
        <f t="shared" si="612"/>
        <v>110000</v>
      </c>
      <c r="AC1677" s="3">
        <f t="shared" si="613"/>
        <v>1500000</v>
      </c>
      <c r="AD1677" s="3">
        <f t="shared" si="614"/>
        <v>450000</v>
      </c>
      <c r="AE1677" s="5">
        <f t="shared" si="615"/>
        <v>4.4117647058823533</v>
      </c>
      <c r="AF1677" s="10">
        <f t="shared" si="616"/>
        <v>818400</v>
      </c>
      <c r="AG1677" s="10">
        <f t="shared" si="617"/>
        <v>264000</v>
      </c>
      <c r="AH1677" s="10">
        <f t="shared" si="618"/>
        <v>132000</v>
      </c>
      <c r="AI1677" s="10">
        <f t="shared" si="619"/>
        <v>66000</v>
      </c>
      <c r="AJ1677" s="10">
        <f t="shared" si="620"/>
        <v>39600</v>
      </c>
    </row>
    <row r="1678" spans="1:36" x14ac:dyDescent="0.3">
      <c r="A1678" t="s">
        <v>6356</v>
      </c>
      <c r="B1678" t="s">
        <v>6357</v>
      </c>
      <c r="C1678" t="s">
        <v>97</v>
      </c>
      <c r="D1678" t="s">
        <v>98</v>
      </c>
      <c r="E1678">
        <v>6830</v>
      </c>
      <c r="F1678" t="s">
        <v>15</v>
      </c>
      <c r="G1678">
        <v>4</v>
      </c>
      <c r="H1678">
        <v>150</v>
      </c>
      <c r="I1678" t="str" cm="1">
        <f t="array" ref="I1678">_xlfn.IFS(H1678&lt;=120,"V1",H1678&lt;=150,"V2",H1678&lt;=250,"V3", H1678&lt;=350, "V4")</f>
        <v>V2</v>
      </c>
      <c r="J1678" t="s">
        <v>6358</v>
      </c>
      <c r="K1678" t="str">
        <f t="shared" si="598"/>
        <v>41.040555</v>
      </c>
      <c r="L1678" t="str">
        <f t="shared" si="599"/>
        <v>-73.673445</v>
      </c>
      <c r="M1678">
        <v>81</v>
      </c>
      <c r="N1678" s="1">
        <v>41682</v>
      </c>
      <c r="O1678" s="1">
        <v>46099</v>
      </c>
      <c r="P1678" s="2">
        <f t="shared" si="600"/>
        <v>12.093086926762492</v>
      </c>
      <c r="Q1678" s="2" t="str">
        <f t="shared" si="601"/>
        <v>Old</v>
      </c>
      <c r="R1678">
        <f t="shared" si="602"/>
        <v>600</v>
      </c>
      <c r="S1678" t="str">
        <f t="shared" si="603"/>
        <v>Small</v>
      </c>
      <c r="T1678" t="str">
        <f t="shared" si="604"/>
        <v>Lower EV Adoption Corridor</v>
      </c>
      <c r="U1678" s="3">
        <f t="shared" si="605"/>
        <v>990000.00000000012</v>
      </c>
      <c r="V1678" s="4">
        <f t="shared" si="606"/>
        <v>240000</v>
      </c>
      <c r="W1678" s="3">
        <f t="shared" si="607"/>
        <v>3000000</v>
      </c>
      <c r="X1678" s="3">
        <f t="shared" si="608"/>
        <v>1800000</v>
      </c>
      <c r="Y1678">
        <f t="shared" si="609"/>
        <v>0.3</v>
      </c>
      <c r="Z1678">
        <f t="shared" si="610"/>
        <v>0.75757575757575757</v>
      </c>
      <c r="AA1678" t="str">
        <f t="shared" si="611"/>
        <v>Tier 4 - Stable Network</v>
      </c>
      <c r="AB1678" s="3">
        <f t="shared" si="612"/>
        <v>60000</v>
      </c>
      <c r="AC1678" s="3">
        <f t="shared" si="613"/>
        <v>750000</v>
      </c>
      <c r="AD1678" s="3">
        <f t="shared" si="614"/>
        <v>247500.00000000003</v>
      </c>
      <c r="AE1678" s="5">
        <f t="shared" si="615"/>
        <v>3.9999999999999996</v>
      </c>
      <c r="AF1678" s="10">
        <f t="shared" si="616"/>
        <v>148800</v>
      </c>
      <c r="AG1678" s="10">
        <f t="shared" si="617"/>
        <v>48000</v>
      </c>
      <c r="AH1678" s="10">
        <f t="shared" si="618"/>
        <v>24000</v>
      </c>
      <c r="AI1678" s="10">
        <f t="shared" si="619"/>
        <v>12000</v>
      </c>
      <c r="AJ1678" s="10">
        <f t="shared" si="620"/>
        <v>7200</v>
      </c>
    </row>
    <row r="1679" spans="1:36" x14ac:dyDescent="0.3">
      <c r="A1679" t="s">
        <v>6359</v>
      </c>
      <c r="B1679" t="s">
        <v>6360</v>
      </c>
      <c r="C1679" t="s">
        <v>6361</v>
      </c>
      <c r="D1679" t="s">
        <v>1189</v>
      </c>
      <c r="E1679">
        <v>26601</v>
      </c>
      <c r="F1679" t="s">
        <v>15</v>
      </c>
      <c r="G1679">
        <v>8</v>
      </c>
      <c r="H1679">
        <v>250</v>
      </c>
      <c r="I1679" t="str" cm="1">
        <f t="array" ref="I1679">_xlfn.IFS(H1679&lt;=120,"V1",H1679&lt;=150,"V2",H1679&lt;=250,"V3", H1679&lt;=350, "V4")</f>
        <v>V3</v>
      </c>
      <c r="J1679" t="s">
        <v>6362</v>
      </c>
      <c r="K1679" t="str">
        <f t="shared" si="598"/>
        <v>38.700389</v>
      </c>
      <c r="L1679" t="str">
        <f t="shared" si="599"/>
        <v>-80.664472</v>
      </c>
      <c r="M1679">
        <v>324</v>
      </c>
      <c r="N1679" s="1">
        <v>44837</v>
      </c>
      <c r="O1679" s="1">
        <v>46099</v>
      </c>
      <c r="P1679" s="2">
        <f t="shared" si="600"/>
        <v>3.4551676933607118</v>
      </c>
      <c r="Q1679" s="2" t="str">
        <f t="shared" si="601"/>
        <v>Mid</v>
      </c>
      <c r="R1679">
        <f t="shared" si="602"/>
        <v>2000</v>
      </c>
      <c r="S1679" t="str">
        <f t="shared" si="603"/>
        <v>Small</v>
      </c>
      <c r="T1679" t="str">
        <f t="shared" si="604"/>
        <v>Lower EV Adoption Corridor</v>
      </c>
      <c r="U1679" s="3">
        <f t="shared" si="605"/>
        <v>3600000</v>
      </c>
      <c r="V1679" s="4">
        <f t="shared" si="606"/>
        <v>880000.00000000012</v>
      </c>
      <c r="W1679" s="3">
        <f t="shared" si="607"/>
        <v>12000000</v>
      </c>
      <c r="X1679" s="3">
        <f t="shared" si="608"/>
        <v>6600000.0000000009</v>
      </c>
      <c r="Y1679">
        <f t="shared" si="609"/>
        <v>0.31515151515151513</v>
      </c>
      <c r="Z1679">
        <f t="shared" si="610"/>
        <v>0.75555555555555554</v>
      </c>
      <c r="AA1679" t="str">
        <f t="shared" si="611"/>
        <v>Tier 2 - Growth Markets</v>
      </c>
      <c r="AB1679" s="3">
        <f t="shared" si="612"/>
        <v>110000.00000000001</v>
      </c>
      <c r="AC1679" s="3">
        <f t="shared" si="613"/>
        <v>1500000</v>
      </c>
      <c r="AD1679" s="3">
        <f t="shared" si="614"/>
        <v>450000</v>
      </c>
      <c r="AE1679" s="5">
        <f t="shared" si="615"/>
        <v>4.4117647058823533</v>
      </c>
      <c r="AF1679" s="10">
        <f t="shared" si="616"/>
        <v>545600.00000000012</v>
      </c>
      <c r="AG1679" s="10">
        <f t="shared" si="617"/>
        <v>176000.00000000003</v>
      </c>
      <c r="AH1679" s="10">
        <f t="shared" si="618"/>
        <v>88000.000000000015</v>
      </c>
      <c r="AI1679" s="10">
        <f t="shared" si="619"/>
        <v>44000.000000000007</v>
      </c>
      <c r="AJ1679" s="10">
        <f t="shared" si="620"/>
        <v>26400.000000000004</v>
      </c>
    </row>
    <row r="1680" spans="1:36" x14ac:dyDescent="0.3">
      <c r="A1680" t="s">
        <v>6363</v>
      </c>
      <c r="B1680" t="s">
        <v>6364</v>
      </c>
      <c r="C1680" t="s">
        <v>2463</v>
      </c>
      <c r="D1680" t="s">
        <v>77</v>
      </c>
      <c r="E1680">
        <v>27030</v>
      </c>
      <c r="F1680" t="s">
        <v>15</v>
      </c>
      <c r="G1680">
        <v>8</v>
      </c>
      <c r="H1680">
        <v>250</v>
      </c>
      <c r="I1680" t="str" cm="1">
        <f t="array" ref="I1680">_xlfn.IFS(H1680&lt;=120,"V1",H1680&lt;=150,"V2",H1680&lt;=250,"V3", H1680&lt;=350, "V4")</f>
        <v>V3</v>
      </c>
      <c r="J1680" t="s">
        <v>6365</v>
      </c>
      <c r="K1680" t="str">
        <f t="shared" si="598"/>
        <v>36.485545</v>
      </c>
      <c r="L1680" t="str">
        <f t="shared" si="599"/>
        <v>-80.744773</v>
      </c>
      <c r="M1680">
        <v>348</v>
      </c>
      <c r="N1680" s="1">
        <v>44842</v>
      </c>
      <c r="O1680" s="1">
        <v>46099</v>
      </c>
      <c r="P1680" s="2">
        <f t="shared" si="600"/>
        <v>3.4414784394250515</v>
      </c>
      <c r="Q1680" s="2" t="str">
        <f t="shared" si="601"/>
        <v>Mid</v>
      </c>
      <c r="R1680">
        <f t="shared" si="602"/>
        <v>2000</v>
      </c>
      <c r="S1680" t="str">
        <f t="shared" si="603"/>
        <v>Small</v>
      </c>
      <c r="T1680" t="str">
        <f t="shared" si="604"/>
        <v>Lower EV Adoption Corridor</v>
      </c>
      <c r="U1680" s="3">
        <f t="shared" si="605"/>
        <v>3600000</v>
      </c>
      <c r="V1680" s="4">
        <f t="shared" si="606"/>
        <v>880000.00000000012</v>
      </c>
      <c r="W1680" s="3">
        <f t="shared" si="607"/>
        <v>12000000</v>
      </c>
      <c r="X1680" s="3">
        <f t="shared" si="608"/>
        <v>6600000.0000000009</v>
      </c>
      <c r="Y1680">
        <f t="shared" si="609"/>
        <v>0.31515151515151513</v>
      </c>
      <c r="Z1680">
        <f t="shared" si="610"/>
        <v>0.75555555555555554</v>
      </c>
      <c r="AA1680" t="str">
        <f t="shared" si="611"/>
        <v>Tier 2 - Growth Markets</v>
      </c>
      <c r="AB1680" s="3">
        <f t="shared" si="612"/>
        <v>110000.00000000001</v>
      </c>
      <c r="AC1680" s="3">
        <f t="shared" si="613"/>
        <v>1500000</v>
      </c>
      <c r="AD1680" s="3">
        <f t="shared" si="614"/>
        <v>450000</v>
      </c>
      <c r="AE1680" s="5">
        <f t="shared" si="615"/>
        <v>4.4117647058823533</v>
      </c>
      <c r="AF1680" s="10">
        <f t="shared" si="616"/>
        <v>545600.00000000012</v>
      </c>
      <c r="AG1680" s="10">
        <f t="shared" si="617"/>
        <v>176000.00000000003</v>
      </c>
      <c r="AH1680" s="10">
        <f t="shared" si="618"/>
        <v>88000.000000000015</v>
      </c>
      <c r="AI1680" s="10">
        <f t="shared" si="619"/>
        <v>44000.000000000007</v>
      </c>
      <c r="AJ1680" s="10">
        <f t="shared" si="620"/>
        <v>26400.000000000004</v>
      </c>
    </row>
    <row r="1681" spans="1:36" x14ac:dyDescent="0.3">
      <c r="A1681" t="s">
        <v>6366</v>
      </c>
      <c r="B1681" t="s">
        <v>6367</v>
      </c>
      <c r="C1681" t="s">
        <v>6368</v>
      </c>
      <c r="D1681" t="s">
        <v>41</v>
      </c>
      <c r="E1681">
        <v>32327</v>
      </c>
      <c r="F1681" t="s">
        <v>15</v>
      </c>
      <c r="G1681">
        <v>8</v>
      </c>
      <c r="H1681">
        <v>250</v>
      </c>
      <c r="I1681" t="str" cm="1">
        <f t="array" ref="I1681">_xlfn.IFS(H1681&lt;=120,"V1",H1681&lt;=150,"V2",H1681&lt;=250,"V3", H1681&lt;=350, "V4")</f>
        <v>V3</v>
      </c>
      <c r="J1681" t="s">
        <v>6369</v>
      </c>
      <c r="K1681" t="str">
        <f t="shared" si="598"/>
        <v>30.106972</v>
      </c>
      <c r="L1681" t="str">
        <f t="shared" si="599"/>
        <v>-84.379597</v>
      </c>
      <c r="M1681">
        <v>11</v>
      </c>
      <c r="N1681" s="1">
        <v>45008</v>
      </c>
      <c r="O1681" s="1">
        <v>46099</v>
      </c>
      <c r="P1681" s="2">
        <f t="shared" si="600"/>
        <v>2.9869952087611225</v>
      </c>
      <c r="Q1681" s="2" t="str">
        <f t="shared" si="601"/>
        <v>New</v>
      </c>
      <c r="R1681">
        <f t="shared" si="602"/>
        <v>2000</v>
      </c>
      <c r="S1681" t="str">
        <f t="shared" si="603"/>
        <v>Small</v>
      </c>
      <c r="T1681" t="str">
        <f t="shared" si="604"/>
        <v>High EV Adoption Corridor</v>
      </c>
      <c r="U1681" s="3">
        <f t="shared" si="605"/>
        <v>4680000</v>
      </c>
      <c r="V1681" s="4">
        <f t="shared" si="606"/>
        <v>1056000</v>
      </c>
      <c r="W1681" s="3">
        <f t="shared" si="607"/>
        <v>13200000.000000002</v>
      </c>
      <c r="X1681" s="3">
        <f t="shared" si="608"/>
        <v>9900000.0000000019</v>
      </c>
      <c r="Y1681">
        <f t="shared" si="609"/>
        <v>0.23999999999999996</v>
      </c>
      <c r="Z1681">
        <f t="shared" si="610"/>
        <v>0.77435897435897438</v>
      </c>
      <c r="AA1681" t="str">
        <f t="shared" si="611"/>
        <v>Tier 1 - Priority Fleet</v>
      </c>
      <c r="AB1681" s="3">
        <f t="shared" si="612"/>
        <v>132000</v>
      </c>
      <c r="AC1681" s="3">
        <f t="shared" si="613"/>
        <v>1650000.0000000002</v>
      </c>
      <c r="AD1681" s="3">
        <f t="shared" si="614"/>
        <v>585000</v>
      </c>
      <c r="AE1681" s="5">
        <f t="shared" si="615"/>
        <v>3.6423841059602653</v>
      </c>
      <c r="AF1681" s="10">
        <f t="shared" si="616"/>
        <v>654720</v>
      </c>
      <c r="AG1681" s="10">
        <f t="shared" si="617"/>
        <v>211200</v>
      </c>
      <c r="AH1681" s="10">
        <f t="shared" si="618"/>
        <v>105600</v>
      </c>
      <c r="AI1681" s="10">
        <f t="shared" si="619"/>
        <v>52800</v>
      </c>
      <c r="AJ1681" s="10">
        <f t="shared" si="620"/>
        <v>31680</v>
      </c>
    </row>
    <row r="1682" spans="1:36" x14ac:dyDescent="0.3">
      <c r="A1682" t="s">
        <v>6370</v>
      </c>
      <c r="B1682" t="s">
        <v>6371</v>
      </c>
      <c r="C1682" t="s">
        <v>6372</v>
      </c>
      <c r="D1682" t="s">
        <v>14</v>
      </c>
      <c r="E1682">
        <v>95330</v>
      </c>
      <c r="F1682" t="s">
        <v>15</v>
      </c>
      <c r="G1682">
        <v>11</v>
      </c>
      <c r="H1682">
        <v>250</v>
      </c>
      <c r="I1682" t="str" cm="1">
        <f t="array" ref="I1682">_xlfn.IFS(H1682&lt;=120,"V1",H1682&lt;=150,"V2",H1682&lt;=250,"V3", H1682&lt;=350, "V4")</f>
        <v>V3</v>
      </c>
      <c r="J1682" t="s">
        <v>6373</v>
      </c>
      <c r="K1682" t="str">
        <f t="shared" si="598"/>
        <v>37.826148</v>
      </c>
      <c r="L1682" t="str">
        <f t="shared" si="599"/>
        <v>-121.285965</v>
      </c>
      <c r="M1682">
        <v>6</v>
      </c>
      <c r="N1682" s="1">
        <v>44818</v>
      </c>
      <c r="O1682" s="1">
        <v>46099</v>
      </c>
      <c r="P1682" s="2">
        <f t="shared" si="600"/>
        <v>3.5071868583162216</v>
      </c>
      <c r="Q1682" s="2" t="str">
        <f t="shared" si="601"/>
        <v>Mid</v>
      </c>
      <c r="R1682">
        <f t="shared" si="602"/>
        <v>2750</v>
      </c>
      <c r="S1682" t="str">
        <f t="shared" si="603"/>
        <v>Small</v>
      </c>
      <c r="T1682" t="str">
        <f t="shared" si="604"/>
        <v>High EV Adoption Corridor</v>
      </c>
      <c r="U1682" s="3">
        <f t="shared" si="605"/>
        <v>6435000</v>
      </c>
      <c r="V1682" s="4">
        <f t="shared" si="606"/>
        <v>1452000</v>
      </c>
      <c r="W1682" s="3">
        <f t="shared" si="607"/>
        <v>18150000</v>
      </c>
      <c r="X1682" s="3">
        <f t="shared" si="608"/>
        <v>13612500</v>
      </c>
      <c r="Y1682">
        <f t="shared" si="609"/>
        <v>0.24</v>
      </c>
      <c r="Z1682">
        <f t="shared" si="610"/>
        <v>0.77435897435897438</v>
      </c>
      <c r="AA1682" t="str">
        <f t="shared" si="611"/>
        <v>Tier 1 - Priority Fleet</v>
      </c>
      <c r="AB1682" s="3">
        <f t="shared" si="612"/>
        <v>132000</v>
      </c>
      <c r="AC1682" s="3">
        <f t="shared" si="613"/>
        <v>1650000</v>
      </c>
      <c r="AD1682" s="3">
        <f t="shared" si="614"/>
        <v>585000</v>
      </c>
      <c r="AE1682" s="5">
        <f t="shared" si="615"/>
        <v>3.6423841059602649</v>
      </c>
      <c r="AF1682" s="10">
        <f t="shared" si="616"/>
        <v>900240</v>
      </c>
      <c r="AG1682" s="10">
        <f t="shared" si="617"/>
        <v>290400</v>
      </c>
      <c r="AH1682" s="10">
        <f t="shared" si="618"/>
        <v>145200</v>
      </c>
      <c r="AI1682" s="10">
        <f t="shared" si="619"/>
        <v>72600</v>
      </c>
      <c r="AJ1682" s="10">
        <f t="shared" si="620"/>
        <v>43560</v>
      </c>
    </row>
    <row r="1683" spans="1:36" x14ac:dyDescent="0.3">
      <c r="A1683" t="s">
        <v>6374</v>
      </c>
      <c r="B1683" t="s">
        <v>6375</v>
      </c>
      <c r="C1683" t="s">
        <v>6376</v>
      </c>
      <c r="D1683" t="s">
        <v>913</v>
      </c>
      <c r="E1683">
        <v>20747</v>
      </c>
      <c r="F1683" t="s">
        <v>15</v>
      </c>
      <c r="G1683">
        <v>8</v>
      </c>
      <c r="H1683">
        <v>250</v>
      </c>
      <c r="I1683" t="str" cm="1">
        <f t="array" ref="I1683">_xlfn.IFS(H1683&lt;=120,"V1",H1683&lt;=150,"V2",H1683&lt;=250,"V3", H1683&lt;=350, "V4")</f>
        <v>V3</v>
      </c>
      <c r="J1683" t="s">
        <v>6377</v>
      </c>
      <c r="K1683" t="str">
        <f t="shared" si="598"/>
        <v>38.861631</v>
      </c>
      <c r="L1683" t="str">
        <f t="shared" si="599"/>
        <v>-76.918594</v>
      </c>
      <c r="M1683">
        <v>78</v>
      </c>
      <c r="N1683" s="1">
        <v>45062</v>
      </c>
      <c r="O1683" s="1">
        <v>46099</v>
      </c>
      <c r="P1683" s="2">
        <f t="shared" si="600"/>
        <v>2.839151266255989</v>
      </c>
      <c r="Q1683" s="2" t="str">
        <f t="shared" si="601"/>
        <v>New</v>
      </c>
      <c r="R1683">
        <f t="shared" si="602"/>
        <v>2000</v>
      </c>
      <c r="S1683" t="str">
        <f t="shared" si="603"/>
        <v>Small</v>
      </c>
      <c r="T1683" t="str">
        <f t="shared" si="604"/>
        <v>Lower EV Adoption Corridor</v>
      </c>
      <c r="U1683" s="3">
        <f t="shared" si="605"/>
        <v>3600000</v>
      </c>
      <c r="V1683" s="4">
        <f t="shared" si="606"/>
        <v>880000.00000000012</v>
      </c>
      <c r="W1683" s="3">
        <f t="shared" si="607"/>
        <v>12000000</v>
      </c>
      <c r="X1683" s="3">
        <f t="shared" si="608"/>
        <v>6600000.0000000009</v>
      </c>
      <c r="Y1683">
        <f t="shared" si="609"/>
        <v>0.31515151515151513</v>
      </c>
      <c r="Z1683">
        <f t="shared" si="610"/>
        <v>0.75555555555555554</v>
      </c>
      <c r="AA1683" t="str">
        <f t="shared" si="611"/>
        <v>Tier 2 - Growth Markets</v>
      </c>
      <c r="AB1683" s="3">
        <f t="shared" si="612"/>
        <v>110000.00000000001</v>
      </c>
      <c r="AC1683" s="3">
        <f t="shared" si="613"/>
        <v>1500000</v>
      </c>
      <c r="AD1683" s="3">
        <f t="shared" si="614"/>
        <v>450000</v>
      </c>
      <c r="AE1683" s="5">
        <f t="shared" si="615"/>
        <v>4.4117647058823533</v>
      </c>
      <c r="AF1683" s="10">
        <f t="shared" si="616"/>
        <v>545600.00000000012</v>
      </c>
      <c r="AG1683" s="10">
        <f t="shared" si="617"/>
        <v>176000.00000000003</v>
      </c>
      <c r="AH1683" s="10">
        <f t="shared" si="618"/>
        <v>88000.000000000015</v>
      </c>
      <c r="AI1683" s="10">
        <f t="shared" si="619"/>
        <v>44000.000000000007</v>
      </c>
      <c r="AJ1683" s="10">
        <f t="shared" si="620"/>
        <v>26400.000000000004</v>
      </c>
    </row>
    <row r="1684" spans="1:36" x14ac:dyDescent="0.3">
      <c r="A1684" t="s">
        <v>6378</v>
      </c>
      <c r="B1684" t="s">
        <v>6379</v>
      </c>
      <c r="C1684" t="s">
        <v>557</v>
      </c>
      <c r="D1684" t="s">
        <v>433</v>
      </c>
      <c r="E1684">
        <v>89145</v>
      </c>
      <c r="F1684" t="s">
        <v>15</v>
      </c>
      <c r="G1684">
        <v>6</v>
      </c>
      <c r="H1684">
        <v>72</v>
      </c>
      <c r="I1684" t="str" cm="1">
        <f t="array" ref="I1684">_xlfn.IFS(H1684&lt;=120,"V1",H1684&lt;=150,"V2",H1684&lt;=250,"V3", H1684&lt;=350, "V4")</f>
        <v>V1</v>
      </c>
      <c r="J1684" t="s">
        <v>6380</v>
      </c>
      <c r="K1684" t="str">
        <f t="shared" si="598"/>
        <v>36.168897</v>
      </c>
      <c r="L1684" t="str">
        <f t="shared" si="599"/>
        <v>-115.286579</v>
      </c>
      <c r="M1684">
        <v>820</v>
      </c>
      <c r="N1684" s="1">
        <v>43609</v>
      </c>
      <c r="O1684" s="1">
        <v>46099</v>
      </c>
      <c r="P1684" s="2">
        <f t="shared" si="600"/>
        <v>6.8172484599589325</v>
      </c>
      <c r="Q1684" s="2" t="str">
        <f t="shared" si="601"/>
        <v>Mid</v>
      </c>
      <c r="R1684">
        <f t="shared" si="602"/>
        <v>432</v>
      </c>
      <c r="S1684" t="str">
        <f t="shared" si="603"/>
        <v>Small</v>
      </c>
      <c r="T1684" t="str">
        <f t="shared" si="604"/>
        <v>Lower EV Adoption Corridor</v>
      </c>
      <c r="U1684" s="3">
        <f t="shared" si="605"/>
        <v>648000</v>
      </c>
      <c r="V1684" s="4">
        <f t="shared" si="606"/>
        <v>155520</v>
      </c>
      <c r="W1684" s="3">
        <f t="shared" si="607"/>
        <v>1728000</v>
      </c>
      <c r="X1684" s="3">
        <f t="shared" si="608"/>
        <v>1166400</v>
      </c>
      <c r="Y1684">
        <f t="shared" si="609"/>
        <v>0.2814814814814815</v>
      </c>
      <c r="Z1684">
        <f t="shared" si="610"/>
        <v>0.76</v>
      </c>
      <c r="AA1684" t="str">
        <f t="shared" si="611"/>
        <v>Tier 5 - Retirement Pipeline</v>
      </c>
      <c r="AB1684" s="3">
        <f t="shared" si="612"/>
        <v>25920</v>
      </c>
      <c r="AC1684" s="3">
        <f t="shared" si="613"/>
        <v>288000</v>
      </c>
      <c r="AD1684" s="3">
        <f t="shared" si="614"/>
        <v>108000</v>
      </c>
      <c r="AE1684" s="5">
        <f t="shared" si="615"/>
        <v>3.5087719298245612</v>
      </c>
      <c r="AF1684" s="10">
        <f t="shared" si="616"/>
        <v>96422.399999999994</v>
      </c>
      <c r="AG1684" s="10">
        <f t="shared" si="617"/>
        <v>31104</v>
      </c>
      <c r="AH1684" s="10">
        <f t="shared" si="618"/>
        <v>15552</v>
      </c>
      <c r="AI1684" s="10">
        <f t="shared" si="619"/>
        <v>7776</v>
      </c>
      <c r="AJ1684" s="10">
        <f t="shared" si="620"/>
        <v>4665.5999999999995</v>
      </c>
    </row>
    <row r="1685" spans="1:36" x14ac:dyDescent="0.3">
      <c r="A1685" t="s">
        <v>6381</v>
      </c>
      <c r="B1685" t="s">
        <v>6382</v>
      </c>
      <c r="C1685" t="s">
        <v>557</v>
      </c>
      <c r="D1685" t="s">
        <v>433</v>
      </c>
      <c r="E1685">
        <v>89145</v>
      </c>
      <c r="F1685" t="s">
        <v>15</v>
      </c>
      <c r="G1685">
        <v>2</v>
      </c>
      <c r="H1685">
        <v>150</v>
      </c>
      <c r="I1685" t="str" cm="1">
        <f t="array" ref="I1685">_xlfn.IFS(H1685&lt;=120,"V1",H1685&lt;=150,"V2",H1685&lt;=250,"V3", H1685&lt;=350, "V4")</f>
        <v>V2</v>
      </c>
      <c r="J1685" t="s">
        <v>6383</v>
      </c>
      <c r="K1685" t="str">
        <f t="shared" si="598"/>
        <v>36.168474</v>
      </c>
      <c r="L1685" t="str">
        <f t="shared" si="599"/>
        <v>-115.286829</v>
      </c>
      <c r="M1685">
        <v>819</v>
      </c>
      <c r="N1685" s="1">
        <v>43610</v>
      </c>
      <c r="O1685" s="1">
        <v>46099</v>
      </c>
      <c r="P1685" s="2">
        <f t="shared" si="600"/>
        <v>6.8145106091718004</v>
      </c>
      <c r="Q1685" s="2" t="str">
        <f t="shared" si="601"/>
        <v>Mid</v>
      </c>
      <c r="R1685">
        <f t="shared" si="602"/>
        <v>300</v>
      </c>
      <c r="S1685" t="str">
        <f t="shared" si="603"/>
        <v>Small</v>
      </c>
      <c r="T1685" t="str">
        <f t="shared" si="604"/>
        <v>Lower EV Adoption Corridor</v>
      </c>
      <c r="U1685" s="3">
        <f t="shared" si="605"/>
        <v>495000.00000000006</v>
      </c>
      <c r="V1685" s="4">
        <f t="shared" si="606"/>
        <v>120000</v>
      </c>
      <c r="W1685" s="3">
        <f t="shared" si="607"/>
        <v>1500000</v>
      </c>
      <c r="X1685" s="3">
        <f t="shared" si="608"/>
        <v>900000</v>
      </c>
      <c r="Y1685">
        <f t="shared" si="609"/>
        <v>0.3</v>
      </c>
      <c r="Z1685">
        <f t="shared" si="610"/>
        <v>0.75757575757575757</v>
      </c>
      <c r="AA1685" t="str">
        <f t="shared" si="611"/>
        <v>Tier 4 - Stable Network</v>
      </c>
      <c r="AB1685" s="3">
        <f t="shared" si="612"/>
        <v>60000</v>
      </c>
      <c r="AC1685" s="3">
        <f t="shared" si="613"/>
        <v>750000</v>
      </c>
      <c r="AD1685" s="3">
        <f t="shared" si="614"/>
        <v>247500.00000000003</v>
      </c>
      <c r="AE1685" s="5">
        <f t="shared" si="615"/>
        <v>3.9999999999999996</v>
      </c>
      <c r="AF1685" s="10">
        <f t="shared" si="616"/>
        <v>74400</v>
      </c>
      <c r="AG1685" s="10">
        <f t="shared" si="617"/>
        <v>24000</v>
      </c>
      <c r="AH1685" s="10">
        <f t="shared" si="618"/>
        <v>12000</v>
      </c>
      <c r="AI1685" s="10">
        <f t="shared" si="619"/>
        <v>6000</v>
      </c>
      <c r="AJ1685" s="10">
        <f t="shared" si="620"/>
        <v>3600</v>
      </c>
    </row>
    <row r="1686" spans="1:36" x14ac:dyDescent="0.3">
      <c r="A1686" t="s">
        <v>6384</v>
      </c>
      <c r="B1686" t="s">
        <v>6385</v>
      </c>
      <c r="C1686" t="s">
        <v>6386</v>
      </c>
      <c r="D1686" t="s">
        <v>230</v>
      </c>
      <c r="E1686">
        <v>98188</v>
      </c>
      <c r="F1686" t="s">
        <v>15</v>
      </c>
      <c r="G1686">
        <v>16</v>
      </c>
      <c r="H1686">
        <v>250</v>
      </c>
      <c r="I1686" t="str" cm="1">
        <f t="array" ref="I1686">_xlfn.IFS(H1686&lt;=120,"V1",H1686&lt;=150,"V2",H1686&lt;=250,"V3", H1686&lt;=350, "V4")</f>
        <v>V3</v>
      </c>
      <c r="J1686" t="s">
        <v>6387</v>
      </c>
      <c r="K1686" t="str">
        <f t="shared" si="598"/>
        <v>47.455273</v>
      </c>
      <c r="L1686" t="str">
        <f t="shared" si="599"/>
        <v>-122.256631</v>
      </c>
      <c r="M1686">
        <v>8</v>
      </c>
      <c r="N1686" s="1">
        <v>44874</v>
      </c>
      <c r="O1686" s="1">
        <v>46099</v>
      </c>
      <c r="P1686" s="2">
        <f t="shared" si="600"/>
        <v>3.353867214236824</v>
      </c>
      <c r="Q1686" s="2" t="str">
        <f t="shared" si="601"/>
        <v>Mid</v>
      </c>
      <c r="R1686">
        <f t="shared" si="602"/>
        <v>4000</v>
      </c>
      <c r="S1686" t="str">
        <f t="shared" si="603"/>
        <v>Small</v>
      </c>
      <c r="T1686" t="str">
        <f t="shared" si="604"/>
        <v>High EV Adoption Corridor</v>
      </c>
      <c r="U1686" s="3">
        <f t="shared" si="605"/>
        <v>9360000</v>
      </c>
      <c r="V1686" s="4">
        <f t="shared" si="606"/>
        <v>2112000</v>
      </c>
      <c r="W1686" s="3">
        <f t="shared" si="607"/>
        <v>26400000.000000004</v>
      </c>
      <c r="X1686" s="3">
        <f t="shared" si="608"/>
        <v>19800000.000000004</v>
      </c>
      <c r="Y1686">
        <f t="shared" si="609"/>
        <v>0.23999999999999996</v>
      </c>
      <c r="Z1686">
        <f t="shared" si="610"/>
        <v>0.77435897435897438</v>
      </c>
      <c r="AA1686" t="str">
        <f t="shared" si="611"/>
        <v>Tier 1 - Priority Fleet</v>
      </c>
      <c r="AB1686" s="3">
        <f t="shared" si="612"/>
        <v>132000</v>
      </c>
      <c r="AC1686" s="3">
        <f t="shared" si="613"/>
        <v>1650000.0000000002</v>
      </c>
      <c r="AD1686" s="3">
        <f t="shared" si="614"/>
        <v>585000</v>
      </c>
      <c r="AE1686" s="5">
        <f t="shared" si="615"/>
        <v>3.6423841059602653</v>
      </c>
      <c r="AF1686" s="10">
        <f t="shared" si="616"/>
        <v>1309440</v>
      </c>
      <c r="AG1686" s="10">
        <f t="shared" si="617"/>
        <v>422400</v>
      </c>
      <c r="AH1686" s="10">
        <f t="shared" si="618"/>
        <v>211200</v>
      </c>
      <c r="AI1686" s="10">
        <f t="shared" si="619"/>
        <v>105600</v>
      </c>
      <c r="AJ1686" s="10">
        <f t="shared" si="620"/>
        <v>63360</v>
      </c>
    </row>
    <row r="1687" spans="1:36" x14ac:dyDescent="0.3">
      <c r="A1687" t="s">
        <v>6388</v>
      </c>
      <c r="B1687" t="s">
        <v>6389</v>
      </c>
      <c r="C1687" t="s">
        <v>6390</v>
      </c>
      <c r="D1687" t="s">
        <v>852</v>
      </c>
      <c r="E1687">
        <v>7731</v>
      </c>
      <c r="F1687" t="s">
        <v>15</v>
      </c>
      <c r="G1687">
        <v>12</v>
      </c>
      <c r="H1687">
        <v>250</v>
      </c>
      <c r="I1687" t="str" cm="1">
        <f t="array" ref="I1687">_xlfn.IFS(H1687&lt;=120,"V1",H1687&lt;=150,"V2",H1687&lt;=250,"V3", H1687&lt;=350, "V4")</f>
        <v>V3</v>
      </c>
      <c r="J1687" t="s">
        <v>6391</v>
      </c>
      <c r="K1687" t="str">
        <f t="shared" si="598"/>
        <v>40.137212</v>
      </c>
      <c r="L1687" t="str">
        <f t="shared" si="599"/>
        <v>-74.225678</v>
      </c>
      <c r="M1687">
        <v>35</v>
      </c>
      <c r="N1687" s="1">
        <v>44917</v>
      </c>
      <c r="O1687" s="1">
        <v>46099</v>
      </c>
      <c r="P1687" s="2">
        <f t="shared" si="600"/>
        <v>3.2361396303901437</v>
      </c>
      <c r="Q1687" s="2" t="str">
        <f t="shared" si="601"/>
        <v>Mid</v>
      </c>
      <c r="R1687">
        <f t="shared" si="602"/>
        <v>3000</v>
      </c>
      <c r="S1687" t="str">
        <f t="shared" si="603"/>
        <v>Small</v>
      </c>
      <c r="T1687" t="str">
        <f t="shared" si="604"/>
        <v>High EV Adoption Corridor</v>
      </c>
      <c r="U1687" s="3">
        <f t="shared" si="605"/>
        <v>7020000</v>
      </c>
      <c r="V1687" s="4">
        <f t="shared" si="606"/>
        <v>1584000</v>
      </c>
      <c r="W1687" s="3">
        <f t="shared" si="607"/>
        <v>19800000</v>
      </c>
      <c r="X1687" s="3">
        <f t="shared" si="608"/>
        <v>14850000</v>
      </c>
      <c r="Y1687">
        <f t="shared" si="609"/>
        <v>0.24</v>
      </c>
      <c r="Z1687">
        <f t="shared" si="610"/>
        <v>0.77435897435897438</v>
      </c>
      <c r="AA1687" t="str">
        <f t="shared" si="611"/>
        <v>Tier 1 - Priority Fleet</v>
      </c>
      <c r="AB1687" s="3">
        <f t="shared" si="612"/>
        <v>132000</v>
      </c>
      <c r="AC1687" s="3">
        <f t="shared" si="613"/>
        <v>1650000</v>
      </c>
      <c r="AD1687" s="3">
        <f t="shared" si="614"/>
        <v>585000</v>
      </c>
      <c r="AE1687" s="5">
        <f t="shared" si="615"/>
        <v>3.6423841059602649</v>
      </c>
      <c r="AF1687" s="10">
        <f t="shared" si="616"/>
        <v>982080</v>
      </c>
      <c r="AG1687" s="10">
        <f t="shared" si="617"/>
        <v>316800</v>
      </c>
      <c r="AH1687" s="10">
        <f t="shared" si="618"/>
        <v>158400</v>
      </c>
      <c r="AI1687" s="10">
        <f t="shared" si="619"/>
        <v>79200</v>
      </c>
      <c r="AJ1687" s="10">
        <f t="shared" si="620"/>
        <v>47520</v>
      </c>
    </row>
    <row r="1688" spans="1:36" x14ac:dyDescent="0.3">
      <c r="A1688" t="s">
        <v>6392</v>
      </c>
      <c r="B1688" t="s">
        <v>6393</v>
      </c>
      <c r="C1688" t="s">
        <v>5803</v>
      </c>
      <c r="D1688" t="s">
        <v>852</v>
      </c>
      <c r="E1688">
        <v>7652</v>
      </c>
      <c r="F1688" t="s">
        <v>15</v>
      </c>
      <c r="G1688">
        <v>8</v>
      </c>
      <c r="H1688">
        <v>150</v>
      </c>
      <c r="I1688" t="str" cm="1">
        <f t="array" ref="I1688">_xlfn.IFS(H1688&lt;=120,"V1",H1688&lt;=150,"V2",H1688&lt;=250,"V3", H1688&lt;=350, "V4")</f>
        <v>V2</v>
      </c>
      <c r="J1688" t="s">
        <v>6394</v>
      </c>
      <c r="K1688" t="str">
        <f t="shared" si="598"/>
        <v>40.957429</v>
      </c>
      <c r="L1688" t="str">
        <f t="shared" si="599"/>
        <v>-74.07408</v>
      </c>
      <c r="M1688">
        <v>15</v>
      </c>
      <c r="N1688" s="1">
        <v>41969</v>
      </c>
      <c r="O1688" s="1">
        <v>46099</v>
      </c>
      <c r="P1688" s="2">
        <f t="shared" si="600"/>
        <v>11.307323750855579</v>
      </c>
      <c r="Q1688" s="2" t="str">
        <f t="shared" si="601"/>
        <v>Old</v>
      </c>
      <c r="R1688">
        <f t="shared" si="602"/>
        <v>1200</v>
      </c>
      <c r="S1688" t="str">
        <f t="shared" si="603"/>
        <v>Small</v>
      </c>
      <c r="T1688" t="str">
        <f t="shared" si="604"/>
        <v>High EV Adoption Corridor</v>
      </c>
      <c r="U1688" s="3">
        <f t="shared" si="605"/>
        <v>2574000.0000000005</v>
      </c>
      <c r="V1688" s="4">
        <f t="shared" si="606"/>
        <v>576000</v>
      </c>
      <c r="W1688" s="3">
        <f t="shared" si="607"/>
        <v>6600000.0000000009</v>
      </c>
      <c r="X1688" s="3">
        <f t="shared" si="608"/>
        <v>5400000</v>
      </c>
      <c r="Y1688">
        <f t="shared" si="609"/>
        <v>0.22888888888888889</v>
      </c>
      <c r="Z1688">
        <f t="shared" si="610"/>
        <v>0.77622377622377625</v>
      </c>
      <c r="AA1688" t="str">
        <f t="shared" si="611"/>
        <v>Tier 3 - Upgrade Pipeline</v>
      </c>
      <c r="AB1688" s="3">
        <f t="shared" si="612"/>
        <v>72000</v>
      </c>
      <c r="AC1688" s="3">
        <f t="shared" si="613"/>
        <v>825000.00000000012</v>
      </c>
      <c r="AD1688" s="3">
        <f t="shared" si="614"/>
        <v>321750.00000000006</v>
      </c>
      <c r="AE1688" s="5">
        <f t="shared" si="615"/>
        <v>3.303303303303303</v>
      </c>
      <c r="AF1688" s="10">
        <f t="shared" si="616"/>
        <v>357120</v>
      </c>
      <c r="AG1688" s="10">
        <f t="shared" si="617"/>
        <v>115200</v>
      </c>
      <c r="AH1688" s="10">
        <f t="shared" si="618"/>
        <v>57600</v>
      </c>
      <c r="AI1688" s="10">
        <f t="shared" si="619"/>
        <v>28800</v>
      </c>
      <c r="AJ1688" s="10">
        <f t="shared" si="620"/>
        <v>17280</v>
      </c>
    </row>
    <row r="1689" spans="1:36" x14ac:dyDescent="0.3">
      <c r="A1689" t="s">
        <v>6395</v>
      </c>
      <c r="B1689" t="s">
        <v>6396</v>
      </c>
      <c r="C1689" t="s">
        <v>2709</v>
      </c>
      <c r="D1689" t="s">
        <v>125</v>
      </c>
      <c r="E1689">
        <v>29607</v>
      </c>
      <c r="F1689" t="s">
        <v>15</v>
      </c>
      <c r="G1689">
        <v>12</v>
      </c>
      <c r="H1689">
        <v>250</v>
      </c>
      <c r="I1689" t="str" cm="1">
        <f t="array" ref="I1689">_xlfn.IFS(H1689&lt;=120,"V1",H1689&lt;=150,"V2",H1689&lt;=250,"V3", H1689&lt;=350, "V4")</f>
        <v>V3</v>
      </c>
      <c r="J1689" t="s">
        <v>6397</v>
      </c>
      <c r="K1689" t="str">
        <f t="shared" si="598"/>
        <v>34.848232</v>
      </c>
      <c r="L1689" t="str">
        <f t="shared" si="599"/>
        <v>-82.339496</v>
      </c>
      <c r="M1689">
        <v>306</v>
      </c>
      <c r="N1689" s="1">
        <v>45045</v>
      </c>
      <c r="O1689" s="1">
        <v>46099</v>
      </c>
      <c r="P1689" s="2">
        <f t="shared" si="600"/>
        <v>2.8856947296372346</v>
      </c>
      <c r="Q1689" s="2" t="str">
        <f t="shared" si="601"/>
        <v>New</v>
      </c>
      <c r="R1689">
        <f t="shared" si="602"/>
        <v>3000</v>
      </c>
      <c r="S1689" t="str">
        <f t="shared" si="603"/>
        <v>Small</v>
      </c>
      <c r="T1689" t="str">
        <f t="shared" si="604"/>
        <v>Lower EV Adoption Corridor</v>
      </c>
      <c r="U1689" s="3">
        <f t="shared" si="605"/>
        <v>5400000</v>
      </c>
      <c r="V1689" s="4">
        <f t="shared" si="606"/>
        <v>1320000</v>
      </c>
      <c r="W1689" s="3">
        <f t="shared" si="607"/>
        <v>18000000</v>
      </c>
      <c r="X1689" s="3">
        <f t="shared" si="608"/>
        <v>9900000</v>
      </c>
      <c r="Y1689">
        <f t="shared" si="609"/>
        <v>0.31515151515151513</v>
      </c>
      <c r="Z1689">
        <f t="shared" si="610"/>
        <v>0.75555555555555554</v>
      </c>
      <c r="AA1689" t="str">
        <f t="shared" si="611"/>
        <v>Tier 2 - Growth Markets</v>
      </c>
      <c r="AB1689" s="3">
        <f t="shared" si="612"/>
        <v>110000</v>
      </c>
      <c r="AC1689" s="3">
        <f t="shared" si="613"/>
        <v>1500000</v>
      </c>
      <c r="AD1689" s="3">
        <f t="shared" si="614"/>
        <v>450000</v>
      </c>
      <c r="AE1689" s="5">
        <f t="shared" si="615"/>
        <v>4.4117647058823533</v>
      </c>
      <c r="AF1689" s="10">
        <f t="shared" si="616"/>
        <v>818400</v>
      </c>
      <c r="AG1689" s="10">
        <f t="shared" si="617"/>
        <v>264000</v>
      </c>
      <c r="AH1689" s="10">
        <f t="shared" si="618"/>
        <v>132000</v>
      </c>
      <c r="AI1689" s="10">
        <f t="shared" si="619"/>
        <v>66000</v>
      </c>
      <c r="AJ1689" s="10">
        <f t="shared" si="620"/>
        <v>39600</v>
      </c>
    </row>
    <row r="1690" spans="1:36" x14ac:dyDescent="0.3">
      <c r="A1690" t="s">
        <v>6398</v>
      </c>
      <c r="B1690" t="s">
        <v>6399</v>
      </c>
      <c r="C1690" t="s">
        <v>6400</v>
      </c>
      <c r="D1690" t="s">
        <v>41</v>
      </c>
      <c r="E1690">
        <v>34222</v>
      </c>
      <c r="F1690" t="s">
        <v>15</v>
      </c>
      <c r="G1690">
        <v>16</v>
      </c>
      <c r="H1690">
        <v>250</v>
      </c>
      <c r="I1690" t="str" cm="1">
        <f t="array" ref="I1690">_xlfn.IFS(H1690&lt;=120,"V1",H1690&lt;=150,"V2",H1690&lt;=250,"V3", H1690&lt;=350, "V4")</f>
        <v>V3</v>
      </c>
      <c r="J1690" t="s">
        <v>6401</v>
      </c>
      <c r="K1690" t="str">
        <f t="shared" si="598"/>
        <v>27.537933</v>
      </c>
      <c r="L1690" t="str">
        <f t="shared" si="599"/>
        <v>-82.507363</v>
      </c>
      <c r="M1690">
        <v>5</v>
      </c>
      <c r="N1690" s="1">
        <v>44923</v>
      </c>
      <c r="O1690" s="1">
        <v>46099</v>
      </c>
      <c r="P1690" s="2">
        <f t="shared" si="600"/>
        <v>3.2197125256673513</v>
      </c>
      <c r="Q1690" s="2" t="str">
        <f t="shared" si="601"/>
        <v>Mid</v>
      </c>
      <c r="R1690">
        <f t="shared" si="602"/>
        <v>4000</v>
      </c>
      <c r="S1690" t="str">
        <f t="shared" si="603"/>
        <v>Small</v>
      </c>
      <c r="T1690" t="str">
        <f t="shared" si="604"/>
        <v>High EV Adoption Corridor</v>
      </c>
      <c r="U1690" s="3">
        <f t="shared" si="605"/>
        <v>9360000</v>
      </c>
      <c r="V1690" s="4">
        <f t="shared" si="606"/>
        <v>2112000</v>
      </c>
      <c r="W1690" s="3">
        <f t="shared" si="607"/>
        <v>26400000.000000004</v>
      </c>
      <c r="X1690" s="3">
        <f t="shared" si="608"/>
        <v>19800000.000000004</v>
      </c>
      <c r="Y1690">
        <f t="shared" si="609"/>
        <v>0.23999999999999996</v>
      </c>
      <c r="Z1690">
        <f t="shared" si="610"/>
        <v>0.77435897435897438</v>
      </c>
      <c r="AA1690" t="str">
        <f t="shared" si="611"/>
        <v>Tier 1 - Priority Fleet</v>
      </c>
      <c r="AB1690" s="3">
        <f t="shared" si="612"/>
        <v>132000</v>
      </c>
      <c r="AC1690" s="3">
        <f t="shared" si="613"/>
        <v>1650000.0000000002</v>
      </c>
      <c r="AD1690" s="3">
        <f t="shared" si="614"/>
        <v>585000</v>
      </c>
      <c r="AE1690" s="5">
        <f t="shared" si="615"/>
        <v>3.6423841059602653</v>
      </c>
      <c r="AF1690" s="10">
        <f t="shared" si="616"/>
        <v>1309440</v>
      </c>
      <c r="AG1690" s="10">
        <f t="shared" si="617"/>
        <v>422400</v>
      </c>
      <c r="AH1690" s="10">
        <f t="shared" si="618"/>
        <v>211200</v>
      </c>
      <c r="AI1690" s="10">
        <f t="shared" si="619"/>
        <v>105600</v>
      </c>
      <c r="AJ1690" s="10">
        <f t="shared" si="620"/>
        <v>63360</v>
      </c>
    </row>
    <row r="1691" spans="1:36" x14ac:dyDescent="0.3">
      <c r="A1691" t="s">
        <v>6402</v>
      </c>
      <c r="B1691" t="s">
        <v>6403</v>
      </c>
      <c r="C1691" t="s">
        <v>6404</v>
      </c>
      <c r="D1691" t="s">
        <v>28</v>
      </c>
      <c r="E1691">
        <v>31322</v>
      </c>
      <c r="F1691" t="s">
        <v>15</v>
      </c>
      <c r="G1691">
        <v>11</v>
      </c>
      <c r="H1691">
        <v>250</v>
      </c>
      <c r="I1691" t="str" cm="1">
        <f t="array" ref="I1691">_xlfn.IFS(H1691&lt;=120,"V1",H1691&lt;=150,"V2",H1691&lt;=250,"V3", H1691&lt;=350, "V4")</f>
        <v>V3</v>
      </c>
      <c r="J1691" t="s">
        <v>6405</v>
      </c>
      <c r="K1691" t="str">
        <f t="shared" si="598"/>
        <v>32.110766</v>
      </c>
      <c r="L1691" t="str">
        <f t="shared" si="599"/>
        <v>-81.235803</v>
      </c>
      <c r="M1691">
        <v>8</v>
      </c>
      <c r="N1691" s="1">
        <v>44925</v>
      </c>
      <c r="O1691" s="1">
        <v>46099</v>
      </c>
      <c r="P1691" s="2">
        <f t="shared" si="600"/>
        <v>3.2142368240930868</v>
      </c>
      <c r="Q1691" s="2" t="str">
        <f t="shared" si="601"/>
        <v>Mid</v>
      </c>
      <c r="R1691">
        <f t="shared" si="602"/>
        <v>2750</v>
      </c>
      <c r="S1691" t="str">
        <f t="shared" si="603"/>
        <v>Small</v>
      </c>
      <c r="T1691" t="str">
        <f t="shared" si="604"/>
        <v>Lower EV Adoption Corridor</v>
      </c>
      <c r="U1691" s="3">
        <f t="shared" si="605"/>
        <v>4950000</v>
      </c>
      <c r="V1691" s="4">
        <f t="shared" si="606"/>
        <v>1210000</v>
      </c>
      <c r="W1691" s="3">
        <f t="shared" si="607"/>
        <v>16500000</v>
      </c>
      <c r="X1691" s="3">
        <f t="shared" si="608"/>
        <v>9075000</v>
      </c>
      <c r="Y1691">
        <f t="shared" si="609"/>
        <v>0.31515151515151513</v>
      </c>
      <c r="Z1691">
        <f t="shared" si="610"/>
        <v>0.75555555555555554</v>
      </c>
      <c r="AA1691" t="str">
        <f t="shared" si="611"/>
        <v>Tier 2 - Growth Markets</v>
      </c>
      <c r="AB1691" s="3">
        <f t="shared" si="612"/>
        <v>110000</v>
      </c>
      <c r="AC1691" s="3">
        <f t="shared" si="613"/>
        <v>1500000</v>
      </c>
      <c r="AD1691" s="3">
        <f t="shared" si="614"/>
        <v>450000</v>
      </c>
      <c r="AE1691" s="5">
        <f t="shared" si="615"/>
        <v>4.4117647058823533</v>
      </c>
      <c r="AF1691" s="10">
        <f t="shared" si="616"/>
        <v>750200</v>
      </c>
      <c r="AG1691" s="10">
        <f t="shared" si="617"/>
        <v>242000</v>
      </c>
      <c r="AH1691" s="10">
        <f t="shared" si="618"/>
        <v>121000</v>
      </c>
      <c r="AI1691" s="10">
        <f t="shared" si="619"/>
        <v>60500</v>
      </c>
      <c r="AJ1691" s="10">
        <f t="shared" si="620"/>
        <v>36300</v>
      </c>
    </row>
    <row r="1692" spans="1:36" x14ac:dyDescent="0.3">
      <c r="A1692" t="s">
        <v>6406</v>
      </c>
      <c r="B1692" t="s">
        <v>6407</v>
      </c>
      <c r="C1692" t="s">
        <v>4385</v>
      </c>
      <c r="D1692" t="s">
        <v>14</v>
      </c>
      <c r="E1692">
        <v>94591</v>
      </c>
      <c r="F1692" t="s">
        <v>15</v>
      </c>
      <c r="G1692">
        <v>18</v>
      </c>
      <c r="H1692">
        <v>150</v>
      </c>
      <c r="I1692" t="str" cm="1">
        <f t="array" ref="I1692">_xlfn.IFS(H1692&lt;=120,"V1",H1692&lt;=150,"V2",H1692&lt;=250,"V3", H1692&lt;=350, "V4")</f>
        <v>V2</v>
      </c>
      <c r="J1692" t="s">
        <v>6408</v>
      </c>
      <c r="K1692" t="str">
        <f t="shared" si="598"/>
        <v>38.131215</v>
      </c>
      <c r="L1692" t="str">
        <f t="shared" si="599"/>
        <v>-122.223369</v>
      </c>
      <c r="M1692">
        <v>30</v>
      </c>
      <c r="N1692" s="1">
        <v>43637</v>
      </c>
      <c r="O1692" s="1">
        <v>46099</v>
      </c>
      <c r="P1692" s="2">
        <f t="shared" si="600"/>
        <v>6.7405886379192337</v>
      </c>
      <c r="Q1692" s="2" t="str">
        <f t="shared" si="601"/>
        <v>Mid</v>
      </c>
      <c r="R1692">
        <f t="shared" si="602"/>
        <v>2700</v>
      </c>
      <c r="S1692" t="str">
        <f t="shared" si="603"/>
        <v>Small</v>
      </c>
      <c r="T1692" t="str">
        <f t="shared" si="604"/>
        <v>High EV Adoption Corridor</v>
      </c>
      <c r="U1692" s="3">
        <f t="shared" si="605"/>
        <v>5791500</v>
      </c>
      <c r="V1692" s="4">
        <f t="shared" si="606"/>
        <v>1296000</v>
      </c>
      <c r="W1692" s="3">
        <f t="shared" si="607"/>
        <v>14850000.000000002</v>
      </c>
      <c r="X1692" s="3">
        <f t="shared" si="608"/>
        <v>12150000</v>
      </c>
      <c r="Y1692">
        <f t="shared" si="609"/>
        <v>0.22888888888888889</v>
      </c>
      <c r="Z1692">
        <f t="shared" si="610"/>
        <v>0.77622377622377625</v>
      </c>
      <c r="AA1692" t="str">
        <f t="shared" si="611"/>
        <v>Tier 3 - Upgrade Pipeline</v>
      </c>
      <c r="AB1692" s="3">
        <f t="shared" si="612"/>
        <v>72000</v>
      </c>
      <c r="AC1692" s="3">
        <f t="shared" si="613"/>
        <v>825000.00000000012</v>
      </c>
      <c r="AD1692" s="3">
        <f t="shared" si="614"/>
        <v>321750</v>
      </c>
      <c r="AE1692" s="5">
        <f t="shared" si="615"/>
        <v>3.3033033033033039</v>
      </c>
      <c r="AF1692" s="10">
        <f t="shared" si="616"/>
        <v>803520</v>
      </c>
      <c r="AG1692" s="10">
        <f t="shared" si="617"/>
        <v>259200</v>
      </c>
      <c r="AH1692" s="10">
        <f t="shared" si="618"/>
        <v>129600</v>
      </c>
      <c r="AI1692" s="10">
        <f t="shared" si="619"/>
        <v>64800</v>
      </c>
      <c r="AJ1692" s="10">
        <f t="shared" si="620"/>
        <v>38880</v>
      </c>
    </row>
    <row r="1693" spans="1:36" x14ac:dyDescent="0.3">
      <c r="A1693" t="s">
        <v>6409</v>
      </c>
      <c r="B1693" t="s">
        <v>6410</v>
      </c>
      <c r="C1693" t="s">
        <v>6411</v>
      </c>
      <c r="D1693" t="s">
        <v>41</v>
      </c>
      <c r="E1693">
        <v>34141</v>
      </c>
      <c r="F1693" t="s">
        <v>15</v>
      </c>
      <c r="G1693">
        <v>12</v>
      </c>
      <c r="H1693">
        <v>250</v>
      </c>
      <c r="I1693" t="str" cm="1">
        <f t="array" ref="I1693">_xlfn.IFS(H1693&lt;=120,"V1",H1693&lt;=150,"V2",H1693&lt;=250,"V3", H1693&lt;=350, "V4")</f>
        <v>V3</v>
      </c>
      <c r="J1693" t="s">
        <v>6412</v>
      </c>
      <c r="K1693" t="str">
        <f t="shared" si="598"/>
        <v>26.174361</v>
      </c>
      <c r="L1693" t="str">
        <f t="shared" si="599"/>
        <v>-80.855694</v>
      </c>
      <c r="M1693">
        <v>4</v>
      </c>
      <c r="N1693" s="1">
        <v>43875</v>
      </c>
      <c r="O1693" s="1">
        <v>46099</v>
      </c>
      <c r="P1693" s="2">
        <f t="shared" si="600"/>
        <v>6.0889801505817935</v>
      </c>
      <c r="Q1693" s="2" t="str">
        <f t="shared" si="601"/>
        <v>Mid</v>
      </c>
      <c r="R1693">
        <f t="shared" si="602"/>
        <v>3000</v>
      </c>
      <c r="S1693" t="str">
        <f t="shared" si="603"/>
        <v>Small</v>
      </c>
      <c r="T1693" t="str">
        <f t="shared" si="604"/>
        <v>High EV Adoption Corridor</v>
      </c>
      <c r="U1693" s="3">
        <f t="shared" si="605"/>
        <v>7020000</v>
      </c>
      <c r="V1693" s="4">
        <f t="shared" si="606"/>
        <v>1584000</v>
      </c>
      <c r="W1693" s="3">
        <f t="shared" si="607"/>
        <v>19800000</v>
      </c>
      <c r="X1693" s="3">
        <f t="shared" si="608"/>
        <v>14850000</v>
      </c>
      <c r="Y1693">
        <f t="shared" si="609"/>
        <v>0.24</v>
      </c>
      <c r="Z1693">
        <f t="shared" si="610"/>
        <v>0.77435897435897438</v>
      </c>
      <c r="AA1693" t="str">
        <f t="shared" si="611"/>
        <v>Tier 1 - Priority Fleet</v>
      </c>
      <c r="AB1693" s="3">
        <f t="shared" si="612"/>
        <v>132000</v>
      </c>
      <c r="AC1693" s="3">
        <f t="shared" si="613"/>
        <v>1650000</v>
      </c>
      <c r="AD1693" s="3">
        <f t="shared" si="614"/>
        <v>585000</v>
      </c>
      <c r="AE1693" s="5">
        <f t="shared" si="615"/>
        <v>3.6423841059602649</v>
      </c>
      <c r="AF1693" s="10">
        <f t="shared" si="616"/>
        <v>982080</v>
      </c>
      <c r="AG1693" s="10">
        <f t="shared" si="617"/>
        <v>316800</v>
      </c>
      <c r="AH1693" s="10">
        <f t="shared" si="618"/>
        <v>158400</v>
      </c>
      <c r="AI1693" s="10">
        <f t="shared" si="619"/>
        <v>79200</v>
      </c>
      <c r="AJ1693" s="10">
        <f t="shared" si="620"/>
        <v>47520</v>
      </c>
    </row>
    <row r="1694" spans="1:36" x14ac:dyDescent="0.3">
      <c r="A1694" t="s">
        <v>6413</v>
      </c>
      <c r="B1694" t="s">
        <v>6414</v>
      </c>
      <c r="C1694" t="s">
        <v>2584</v>
      </c>
      <c r="D1694" t="s">
        <v>130</v>
      </c>
      <c r="E1694">
        <v>47905</v>
      </c>
      <c r="F1694" t="s">
        <v>15</v>
      </c>
      <c r="G1694">
        <v>24</v>
      </c>
      <c r="H1694">
        <v>250</v>
      </c>
      <c r="I1694" t="str" cm="1">
        <f t="array" ref="I1694">_xlfn.IFS(H1694&lt;=120,"V1",H1694&lt;=150,"V2",H1694&lt;=250,"V3", H1694&lt;=350, "V4")</f>
        <v>V3</v>
      </c>
      <c r="J1694" t="s">
        <v>6415</v>
      </c>
      <c r="K1694" t="str">
        <f t="shared" si="598"/>
        <v>40.416187</v>
      </c>
      <c r="L1694" t="str">
        <f t="shared" si="599"/>
        <v>-86.814084</v>
      </c>
      <c r="M1694">
        <v>202</v>
      </c>
      <c r="N1694" s="1">
        <v>41922</v>
      </c>
      <c r="O1694" s="1">
        <v>46099</v>
      </c>
      <c r="P1694" s="2">
        <f t="shared" si="600"/>
        <v>11.436002737850787</v>
      </c>
      <c r="Q1694" s="2" t="str">
        <f t="shared" si="601"/>
        <v>Old</v>
      </c>
      <c r="R1694">
        <f t="shared" si="602"/>
        <v>6000</v>
      </c>
      <c r="S1694" t="str">
        <f t="shared" si="603"/>
        <v>Small</v>
      </c>
      <c r="T1694" t="str">
        <f t="shared" si="604"/>
        <v>Lower EV Adoption Corridor</v>
      </c>
      <c r="U1694" s="3">
        <f t="shared" si="605"/>
        <v>10800000</v>
      </c>
      <c r="V1694" s="4">
        <f t="shared" si="606"/>
        <v>2640000</v>
      </c>
      <c r="W1694" s="3">
        <f t="shared" si="607"/>
        <v>36000000</v>
      </c>
      <c r="X1694" s="3">
        <f t="shared" si="608"/>
        <v>19800000</v>
      </c>
      <c r="Y1694">
        <f t="shared" si="609"/>
        <v>0.31515151515151513</v>
      </c>
      <c r="Z1694">
        <f t="shared" si="610"/>
        <v>0.75555555555555554</v>
      </c>
      <c r="AA1694" t="str">
        <f t="shared" si="611"/>
        <v>Tier 2 - Growth Markets</v>
      </c>
      <c r="AB1694" s="3">
        <f t="shared" si="612"/>
        <v>110000</v>
      </c>
      <c r="AC1694" s="3">
        <f t="shared" si="613"/>
        <v>1500000</v>
      </c>
      <c r="AD1694" s="3">
        <f t="shared" si="614"/>
        <v>450000</v>
      </c>
      <c r="AE1694" s="5">
        <f t="shared" si="615"/>
        <v>4.4117647058823533</v>
      </c>
      <c r="AF1694" s="10">
        <f t="shared" si="616"/>
        <v>1636800</v>
      </c>
      <c r="AG1694" s="10">
        <f t="shared" si="617"/>
        <v>528000</v>
      </c>
      <c r="AH1694" s="10">
        <f t="shared" si="618"/>
        <v>264000</v>
      </c>
      <c r="AI1694" s="10">
        <f t="shared" si="619"/>
        <v>132000</v>
      </c>
      <c r="AJ1694" s="10">
        <f t="shared" si="620"/>
        <v>79200</v>
      </c>
    </row>
    <row r="1695" spans="1:36" x14ac:dyDescent="0.3">
      <c r="A1695" t="s">
        <v>6416</v>
      </c>
      <c r="B1695" t="s">
        <v>6417</v>
      </c>
      <c r="C1695" t="s">
        <v>1168</v>
      </c>
      <c r="D1695" t="s">
        <v>913</v>
      </c>
      <c r="E1695">
        <v>21901</v>
      </c>
      <c r="F1695" t="s">
        <v>15</v>
      </c>
      <c r="G1695">
        <v>12</v>
      </c>
      <c r="H1695">
        <v>250</v>
      </c>
      <c r="I1695" t="str" cm="1">
        <f t="array" ref="I1695">_xlfn.IFS(H1695&lt;=120,"V1",H1695&lt;=150,"V2",H1695&lt;=250,"V3", H1695&lt;=350, "V4")</f>
        <v>V3</v>
      </c>
      <c r="J1695" t="s">
        <v>6418</v>
      </c>
      <c r="K1695" t="str">
        <f t="shared" si="598"/>
        <v>39.612899</v>
      </c>
      <c r="L1695" t="str">
        <f t="shared" si="599"/>
        <v>-75.930972</v>
      </c>
      <c r="M1695">
        <v>22</v>
      </c>
      <c r="N1695" s="1">
        <v>45000</v>
      </c>
      <c r="O1695" s="1">
        <v>46099</v>
      </c>
      <c r="P1695" s="2">
        <f t="shared" si="600"/>
        <v>3.0088980150581794</v>
      </c>
      <c r="Q1695" s="2" t="str">
        <f t="shared" si="601"/>
        <v>Mid</v>
      </c>
      <c r="R1695">
        <f t="shared" si="602"/>
        <v>3000</v>
      </c>
      <c r="S1695" t="str">
        <f t="shared" si="603"/>
        <v>Small</v>
      </c>
      <c r="T1695" t="str">
        <f t="shared" si="604"/>
        <v>Lower EV Adoption Corridor</v>
      </c>
      <c r="U1695" s="3">
        <f t="shared" si="605"/>
        <v>5400000</v>
      </c>
      <c r="V1695" s="4">
        <f t="shared" si="606"/>
        <v>1320000</v>
      </c>
      <c r="W1695" s="3">
        <f t="shared" si="607"/>
        <v>18000000</v>
      </c>
      <c r="X1695" s="3">
        <f t="shared" si="608"/>
        <v>9900000</v>
      </c>
      <c r="Y1695">
        <f t="shared" si="609"/>
        <v>0.31515151515151513</v>
      </c>
      <c r="Z1695">
        <f t="shared" si="610"/>
        <v>0.75555555555555554</v>
      </c>
      <c r="AA1695" t="str">
        <f t="shared" si="611"/>
        <v>Tier 2 - Growth Markets</v>
      </c>
      <c r="AB1695" s="3">
        <f t="shared" si="612"/>
        <v>110000</v>
      </c>
      <c r="AC1695" s="3">
        <f t="shared" si="613"/>
        <v>1500000</v>
      </c>
      <c r="AD1695" s="3">
        <f t="shared" si="614"/>
        <v>450000</v>
      </c>
      <c r="AE1695" s="5">
        <f t="shared" si="615"/>
        <v>4.4117647058823533</v>
      </c>
      <c r="AF1695" s="10">
        <f t="shared" si="616"/>
        <v>818400</v>
      </c>
      <c r="AG1695" s="10">
        <f t="shared" si="617"/>
        <v>264000</v>
      </c>
      <c r="AH1695" s="10">
        <f t="shared" si="618"/>
        <v>132000</v>
      </c>
      <c r="AI1695" s="10">
        <f t="shared" si="619"/>
        <v>66000</v>
      </c>
      <c r="AJ1695" s="10">
        <f t="shared" si="620"/>
        <v>39600</v>
      </c>
    </row>
    <row r="1696" spans="1:36" x14ac:dyDescent="0.3">
      <c r="A1696" t="s">
        <v>6419</v>
      </c>
      <c r="B1696" t="s">
        <v>6420</v>
      </c>
      <c r="C1696" t="s">
        <v>138</v>
      </c>
      <c r="D1696" t="s">
        <v>14</v>
      </c>
      <c r="E1696">
        <v>94804</v>
      </c>
      <c r="F1696" t="s">
        <v>15</v>
      </c>
      <c r="G1696">
        <v>16</v>
      </c>
      <c r="H1696">
        <v>250</v>
      </c>
      <c r="I1696" t="str" cm="1">
        <f t="array" ref="I1696">_xlfn.IFS(H1696&lt;=120,"V1",H1696&lt;=150,"V2",H1696&lt;=250,"V3", H1696&lt;=350, "V4")</f>
        <v>V3</v>
      </c>
      <c r="J1696" t="s">
        <v>6421</v>
      </c>
      <c r="K1696" t="str">
        <f t="shared" si="598"/>
        <v>37.898736</v>
      </c>
      <c r="L1696" t="str">
        <f t="shared" si="599"/>
        <v>-122.308672</v>
      </c>
      <c r="M1696">
        <v>4</v>
      </c>
      <c r="N1696" s="1">
        <v>43981</v>
      </c>
      <c r="O1696" s="1">
        <v>46099</v>
      </c>
      <c r="P1696" s="2">
        <f t="shared" si="600"/>
        <v>5.7987679671457908</v>
      </c>
      <c r="Q1696" s="2" t="str">
        <f t="shared" si="601"/>
        <v>Mid</v>
      </c>
      <c r="R1696">
        <f t="shared" si="602"/>
        <v>4000</v>
      </c>
      <c r="S1696" t="str">
        <f t="shared" si="603"/>
        <v>Small</v>
      </c>
      <c r="T1696" t="str">
        <f t="shared" si="604"/>
        <v>High EV Adoption Corridor</v>
      </c>
      <c r="U1696" s="3">
        <f t="shared" si="605"/>
        <v>9360000</v>
      </c>
      <c r="V1696" s="4">
        <f t="shared" si="606"/>
        <v>2112000</v>
      </c>
      <c r="W1696" s="3">
        <f t="shared" si="607"/>
        <v>26400000.000000004</v>
      </c>
      <c r="X1696" s="3">
        <f t="shared" si="608"/>
        <v>19800000.000000004</v>
      </c>
      <c r="Y1696">
        <f t="shared" si="609"/>
        <v>0.23999999999999996</v>
      </c>
      <c r="Z1696">
        <f t="shared" si="610"/>
        <v>0.77435897435897438</v>
      </c>
      <c r="AA1696" t="str">
        <f t="shared" si="611"/>
        <v>Tier 1 - Priority Fleet</v>
      </c>
      <c r="AB1696" s="3">
        <f t="shared" si="612"/>
        <v>132000</v>
      </c>
      <c r="AC1696" s="3">
        <f t="shared" si="613"/>
        <v>1650000.0000000002</v>
      </c>
      <c r="AD1696" s="3">
        <f t="shared" si="614"/>
        <v>585000</v>
      </c>
      <c r="AE1696" s="5">
        <f t="shared" si="615"/>
        <v>3.6423841059602653</v>
      </c>
      <c r="AF1696" s="10">
        <f t="shared" si="616"/>
        <v>1309440</v>
      </c>
      <c r="AG1696" s="10">
        <f t="shared" si="617"/>
        <v>422400</v>
      </c>
      <c r="AH1696" s="10">
        <f t="shared" si="618"/>
        <v>211200</v>
      </c>
      <c r="AI1696" s="10">
        <f t="shared" si="619"/>
        <v>105600</v>
      </c>
      <c r="AJ1696" s="10">
        <f t="shared" si="620"/>
        <v>63360</v>
      </c>
    </row>
    <row r="1697" spans="1:36" x14ac:dyDescent="0.3">
      <c r="A1697" t="s">
        <v>6422</v>
      </c>
      <c r="B1697" t="s">
        <v>6423</v>
      </c>
      <c r="C1697" t="s">
        <v>1527</v>
      </c>
      <c r="D1697" t="s">
        <v>50</v>
      </c>
      <c r="E1697">
        <v>75024</v>
      </c>
      <c r="F1697" t="s">
        <v>15</v>
      </c>
      <c r="G1697">
        <v>8</v>
      </c>
      <c r="H1697">
        <v>250</v>
      </c>
      <c r="I1697" t="str" cm="1">
        <f t="array" ref="I1697">_xlfn.IFS(H1697&lt;=120,"V1",H1697&lt;=150,"V2",H1697&lt;=250,"V3", H1697&lt;=350, "V4")</f>
        <v>V3</v>
      </c>
      <c r="J1697" t="s">
        <v>6424</v>
      </c>
      <c r="K1697" t="str">
        <f t="shared" si="598"/>
        <v>33.08204</v>
      </c>
      <c r="L1697" t="str">
        <f t="shared" si="599"/>
        <v>-96.850233</v>
      </c>
      <c r="M1697">
        <v>203</v>
      </c>
      <c r="N1697" s="1">
        <v>44987</v>
      </c>
      <c r="O1697" s="1">
        <v>46099</v>
      </c>
      <c r="P1697" s="2">
        <f t="shared" si="600"/>
        <v>3.0444900752908968</v>
      </c>
      <c r="Q1697" s="2" t="str">
        <f t="shared" si="601"/>
        <v>Mid</v>
      </c>
      <c r="R1697">
        <f t="shared" si="602"/>
        <v>2000</v>
      </c>
      <c r="S1697" t="str">
        <f t="shared" si="603"/>
        <v>Small</v>
      </c>
      <c r="T1697" t="str">
        <f t="shared" si="604"/>
        <v>High EV Adoption Corridor</v>
      </c>
      <c r="U1697" s="3">
        <f t="shared" si="605"/>
        <v>4680000</v>
      </c>
      <c r="V1697" s="4">
        <f t="shared" si="606"/>
        <v>1056000</v>
      </c>
      <c r="W1697" s="3">
        <f t="shared" si="607"/>
        <v>13200000.000000002</v>
      </c>
      <c r="X1697" s="3">
        <f t="shared" si="608"/>
        <v>9900000.0000000019</v>
      </c>
      <c r="Y1697">
        <f t="shared" si="609"/>
        <v>0.23999999999999996</v>
      </c>
      <c r="Z1697">
        <f t="shared" si="610"/>
        <v>0.77435897435897438</v>
      </c>
      <c r="AA1697" t="str">
        <f t="shared" si="611"/>
        <v>Tier 1 - Priority Fleet</v>
      </c>
      <c r="AB1697" s="3">
        <f t="shared" si="612"/>
        <v>132000</v>
      </c>
      <c r="AC1697" s="3">
        <f t="shared" si="613"/>
        <v>1650000.0000000002</v>
      </c>
      <c r="AD1697" s="3">
        <f t="shared" si="614"/>
        <v>585000</v>
      </c>
      <c r="AE1697" s="5">
        <f t="shared" si="615"/>
        <v>3.6423841059602653</v>
      </c>
      <c r="AF1697" s="10">
        <f t="shared" si="616"/>
        <v>654720</v>
      </c>
      <c r="AG1697" s="10">
        <f t="shared" si="617"/>
        <v>211200</v>
      </c>
      <c r="AH1697" s="10">
        <f t="shared" si="618"/>
        <v>105600</v>
      </c>
      <c r="AI1697" s="10">
        <f t="shared" si="619"/>
        <v>52800</v>
      </c>
      <c r="AJ1697" s="10">
        <f t="shared" si="620"/>
        <v>31680</v>
      </c>
    </row>
    <row r="1698" spans="1:36" x14ac:dyDescent="0.3">
      <c r="A1698" t="s">
        <v>6425</v>
      </c>
      <c r="B1698" t="s">
        <v>6426</v>
      </c>
      <c r="C1698" t="s">
        <v>605</v>
      </c>
      <c r="D1698" t="s">
        <v>50</v>
      </c>
      <c r="E1698">
        <v>77077</v>
      </c>
      <c r="F1698" t="s">
        <v>15</v>
      </c>
      <c r="G1698">
        <v>8</v>
      </c>
      <c r="H1698">
        <v>250</v>
      </c>
      <c r="I1698" t="str" cm="1">
        <f t="array" ref="I1698">_xlfn.IFS(H1698&lt;=120,"V1",H1698&lt;=150,"V2",H1698&lt;=250,"V3", H1698&lt;=350, "V4")</f>
        <v>V3</v>
      </c>
      <c r="J1698" t="s">
        <v>6427</v>
      </c>
      <c r="K1698" t="str">
        <f t="shared" si="598"/>
        <v>29.740638</v>
      </c>
      <c r="L1698" t="str">
        <f t="shared" si="599"/>
        <v>-95.645831</v>
      </c>
      <c r="M1698">
        <v>27</v>
      </c>
      <c r="N1698" s="1">
        <v>44926</v>
      </c>
      <c r="O1698" s="1">
        <v>46099</v>
      </c>
      <c r="P1698" s="2">
        <f t="shared" si="600"/>
        <v>3.2114989733059547</v>
      </c>
      <c r="Q1698" s="2" t="str">
        <f t="shared" si="601"/>
        <v>Mid</v>
      </c>
      <c r="R1698">
        <f t="shared" si="602"/>
        <v>2000</v>
      </c>
      <c r="S1698" t="str">
        <f t="shared" si="603"/>
        <v>Small</v>
      </c>
      <c r="T1698" t="str">
        <f t="shared" si="604"/>
        <v>High EV Adoption Corridor</v>
      </c>
      <c r="U1698" s="3">
        <f t="shared" si="605"/>
        <v>4680000</v>
      </c>
      <c r="V1698" s="4">
        <f t="shared" si="606"/>
        <v>1056000</v>
      </c>
      <c r="W1698" s="3">
        <f t="shared" si="607"/>
        <v>13200000.000000002</v>
      </c>
      <c r="X1698" s="3">
        <f t="shared" si="608"/>
        <v>9900000.0000000019</v>
      </c>
      <c r="Y1698">
        <f t="shared" si="609"/>
        <v>0.23999999999999996</v>
      </c>
      <c r="Z1698">
        <f t="shared" si="610"/>
        <v>0.77435897435897438</v>
      </c>
      <c r="AA1698" t="str">
        <f t="shared" si="611"/>
        <v>Tier 1 - Priority Fleet</v>
      </c>
      <c r="AB1698" s="3">
        <f t="shared" si="612"/>
        <v>132000</v>
      </c>
      <c r="AC1698" s="3">
        <f t="shared" si="613"/>
        <v>1650000.0000000002</v>
      </c>
      <c r="AD1698" s="3">
        <f t="shared" si="614"/>
        <v>585000</v>
      </c>
      <c r="AE1698" s="5">
        <f t="shared" si="615"/>
        <v>3.6423841059602653</v>
      </c>
      <c r="AF1698" s="10">
        <f t="shared" si="616"/>
        <v>654720</v>
      </c>
      <c r="AG1698" s="10">
        <f t="shared" si="617"/>
        <v>211200</v>
      </c>
      <c r="AH1698" s="10">
        <f t="shared" si="618"/>
        <v>105600</v>
      </c>
      <c r="AI1698" s="10">
        <f t="shared" si="619"/>
        <v>52800</v>
      </c>
      <c r="AJ1698" s="10">
        <f t="shared" si="620"/>
        <v>31680</v>
      </c>
    </row>
    <row r="1699" spans="1:36" x14ac:dyDescent="0.3">
      <c r="A1699" t="s">
        <v>6428</v>
      </c>
      <c r="B1699" t="s">
        <v>6429</v>
      </c>
      <c r="C1699" t="s">
        <v>1048</v>
      </c>
      <c r="D1699" t="s">
        <v>225</v>
      </c>
      <c r="E1699">
        <v>84648</v>
      </c>
      <c r="F1699" t="s">
        <v>15</v>
      </c>
      <c r="G1699">
        <v>8</v>
      </c>
      <c r="H1699">
        <v>150</v>
      </c>
      <c r="I1699" t="str" cm="1">
        <f t="array" ref="I1699">_xlfn.IFS(H1699&lt;=120,"V1",H1699&lt;=150,"V2",H1699&lt;=250,"V3", H1699&lt;=350, "V4")</f>
        <v>V2</v>
      </c>
      <c r="J1699" t="s">
        <v>6430</v>
      </c>
      <c r="K1699" t="str">
        <f t="shared" si="598"/>
        <v>39.678083</v>
      </c>
      <c r="L1699" t="str">
        <f t="shared" si="599"/>
        <v>-111.840906</v>
      </c>
      <c r="M1699">
        <v>1555</v>
      </c>
      <c r="N1699" s="1">
        <v>41801</v>
      </c>
      <c r="O1699" s="1">
        <v>46099</v>
      </c>
      <c r="P1699" s="2">
        <f t="shared" si="600"/>
        <v>11.767282683093772</v>
      </c>
      <c r="Q1699" s="2" t="str">
        <f t="shared" si="601"/>
        <v>Old</v>
      </c>
      <c r="R1699">
        <f t="shared" si="602"/>
        <v>1200</v>
      </c>
      <c r="S1699" t="str">
        <f t="shared" si="603"/>
        <v>Small</v>
      </c>
      <c r="T1699" t="str">
        <f t="shared" si="604"/>
        <v>Lower EV Adoption Corridor</v>
      </c>
      <c r="U1699" s="3">
        <f t="shared" si="605"/>
        <v>1980000.0000000002</v>
      </c>
      <c r="V1699" s="4">
        <f t="shared" si="606"/>
        <v>480000</v>
      </c>
      <c r="W1699" s="3">
        <f t="shared" si="607"/>
        <v>6000000</v>
      </c>
      <c r="X1699" s="3">
        <f t="shared" si="608"/>
        <v>3600000</v>
      </c>
      <c r="Y1699">
        <f t="shared" si="609"/>
        <v>0.3</v>
      </c>
      <c r="Z1699">
        <f t="shared" si="610"/>
        <v>0.75757575757575757</v>
      </c>
      <c r="AA1699" t="str">
        <f t="shared" si="611"/>
        <v>Tier 4 - Stable Network</v>
      </c>
      <c r="AB1699" s="3">
        <f t="shared" si="612"/>
        <v>60000</v>
      </c>
      <c r="AC1699" s="3">
        <f t="shared" si="613"/>
        <v>750000</v>
      </c>
      <c r="AD1699" s="3">
        <f t="shared" si="614"/>
        <v>247500.00000000003</v>
      </c>
      <c r="AE1699" s="5">
        <f t="shared" si="615"/>
        <v>3.9999999999999996</v>
      </c>
      <c r="AF1699" s="10">
        <f t="shared" si="616"/>
        <v>297600</v>
      </c>
      <c r="AG1699" s="10">
        <f t="shared" si="617"/>
        <v>96000</v>
      </c>
      <c r="AH1699" s="10">
        <f t="shared" si="618"/>
        <v>48000</v>
      </c>
      <c r="AI1699" s="10">
        <f t="shared" si="619"/>
        <v>24000</v>
      </c>
      <c r="AJ1699" s="10">
        <f t="shared" si="620"/>
        <v>14400</v>
      </c>
    </row>
    <row r="1700" spans="1:36" x14ac:dyDescent="0.3">
      <c r="A1700" t="s">
        <v>6431</v>
      </c>
      <c r="B1700" t="s">
        <v>6432</v>
      </c>
      <c r="C1700" t="s">
        <v>6433</v>
      </c>
      <c r="D1700" t="s">
        <v>433</v>
      </c>
      <c r="E1700">
        <v>89431</v>
      </c>
      <c r="F1700" t="s">
        <v>15</v>
      </c>
      <c r="G1700">
        <v>8</v>
      </c>
      <c r="H1700">
        <v>250</v>
      </c>
      <c r="I1700" t="str" cm="1">
        <f t="array" ref="I1700">_xlfn.IFS(H1700&lt;=120,"V1",H1700&lt;=150,"V2",H1700&lt;=250,"V3", H1700&lt;=350, "V4")</f>
        <v>V3</v>
      </c>
      <c r="J1700" t="s">
        <v>6434</v>
      </c>
      <c r="K1700" t="str">
        <f t="shared" si="598"/>
        <v>39.538137</v>
      </c>
      <c r="L1700" t="str">
        <f t="shared" si="599"/>
        <v>-119.733926</v>
      </c>
      <c r="M1700">
        <v>1340</v>
      </c>
      <c r="N1700" s="1">
        <v>45061</v>
      </c>
      <c r="O1700" s="1">
        <v>46099</v>
      </c>
      <c r="P1700" s="2">
        <f t="shared" si="600"/>
        <v>2.8418891170431211</v>
      </c>
      <c r="Q1700" s="2" t="str">
        <f t="shared" si="601"/>
        <v>New</v>
      </c>
      <c r="R1700">
        <f t="shared" si="602"/>
        <v>2000</v>
      </c>
      <c r="S1700" t="str">
        <f t="shared" si="603"/>
        <v>Small</v>
      </c>
      <c r="T1700" t="str">
        <f t="shared" si="604"/>
        <v>Lower EV Adoption Corridor</v>
      </c>
      <c r="U1700" s="3">
        <f t="shared" si="605"/>
        <v>3600000</v>
      </c>
      <c r="V1700" s="4">
        <f t="shared" si="606"/>
        <v>880000.00000000012</v>
      </c>
      <c r="W1700" s="3">
        <f t="shared" si="607"/>
        <v>12000000</v>
      </c>
      <c r="X1700" s="3">
        <f t="shared" si="608"/>
        <v>6600000.0000000009</v>
      </c>
      <c r="Y1700">
        <f t="shared" si="609"/>
        <v>0.31515151515151513</v>
      </c>
      <c r="Z1700">
        <f t="shared" si="610"/>
        <v>0.75555555555555554</v>
      </c>
      <c r="AA1700" t="str">
        <f t="shared" si="611"/>
        <v>Tier 2 - Growth Markets</v>
      </c>
      <c r="AB1700" s="3">
        <f t="shared" si="612"/>
        <v>110000.00000000001</v>
      </c>
      <c r="AC1700" s="3">
        <f t="shared" si="613"/>
        <v>1500000</v>
      </c>
      <c r="AD1700" s="3">
        <f t="shared" si="614"/>
        <v>450000</v>
      </c>
      <c r="AE1700" s="5">
        <f t="shared" si="615"/>
        <v>4.4117647058823533</v>
      </c>
      <c r="AF1700" s="10">
        <f t="shared" si="616"/>
        <v>545600.00000000012</v>
      </c>
      <c r="AG1700" s="10">
        <f t="shared" si="617"/>
        <v>176000.00000000003</v>
      </c>
      <c r="AH1700" s="10">
        <f t="shared" si="618"/>
        <v>88000.000000000015</v>
      </c>
      <c r="AI1700" s="10">
        <f t="shared" si="619"/>
        <v>44000.000000000007</v>
      </c>
      <c r="AJ1700" s="10">
        <f t="shared" si="620"/>
        <v>26400.000000000004</v>
      </c>
    </row>
    <row r="1701" spans="1:36" x14ac:dyDescent="0.3">
      <c r="A1701" t="s">
        <v>6435</v>
      </c>
      <c r="B1701" t="s">
        <v>6436</v>
      </c>
      <c r="C1701" t="s">
        <v>773</v>
      </c>
      <c r="D1701" t="s">
        <v>14</v>
      </c>
      <c r="E1701">
        <v>90250</v>
      </c>
      <c r="F1701" t="s">
        <v>15</v>
      </c>
      <c r="G1701">
        <v>20</v>
      </c>
      <c r="H1701">
        <v>250</v>
      </c>
      <c r="I1701" t="str" cm="1">
        <f t="array" ref="I1701">_xlfn.IFS(H1701&lt;=120,"V1",H1701&lt;=150,"V2",H1701&lt;=250,"V3", H1701&lt;=350, "V4")</f>
        <v>V3</v>
      </c>
      <c r="J1701" t="s">
        <v>6437</v>
      </c>
      <c r="K1701" t="str">
        <f t="shared" si="598"/>
        <v>33.923198</v>
      </c>
      <c r="L1701" t="str">
        <f t="shared" si="599"/>
        <v>-118.322218</v>
      </c>
      <c r="M1701">
        <v>21</v>
      </c>
      <c r="N1701" s="1">
        <v>44109</v>
      </c>
      <c r="O1701" s="1">
        <v>46099</v>
      </c>
      <c r="P1701" s="2">
        <f t="shared" si="600"/>
        <v>5.4483230663928817</v>
      </c>
      <c r="Q1701" s="2" t="str">
        <f t="shared" si="601"/>
        <v>Mid</v>
      </c>
      <c r="R1701">
        <f t="shared" si="602"/>
        <v>5000</v>
      </c>
      <c r="S1701" t="str">
        <f t="shared" si="603"/>
        <v>Small</v>
      </c>
      <c r="T1701" t="str">
        <f t="shared" si="604"/>
        <v>High EV Adoption Corridor</v>
      </c>
      <c r="U1701" s="3">
        <f t="shared" si="605"/>
        <v>11700000</v>
      </c>
      <c r="V1701" s="4">
        <f t="shared" si="606"/>
        <v>2640000</v>
      </c>
      <c r="W1701" s="3">
        <f t="shared" si="607"/>
        <v>33000000.000000004</v>
      </c>
      <c r="X1701" s="3">
        <f t="shared" si="608"/>
        <v>24750000.000000004</v>
      </c>
      <c r="Y1701">
        <f t="shared" si="609"/>
        <v>0.23999999999999996</v>
      </c>
      <c r="Z1701">
        <f t="shared" si="610"/>
        <v>0.77435897435897438</v>
      </c>
      <c r="AA1701" t="str">
        <f t="shared" si="611"/>
        <v>Tier 1 - Priority Fleet</v>
      </c>
      <c r="AB1701" s="3">
        <f t="shared" si="612"/>
        <v>132000</v>
      </c>
      <c r="AC1701" s="3">
        <f t="shared" si="613"/>
        <v>1650000.0000000002</v>
      </c>
      <c r="AD1701" s="3">
        <f t="shared" si="614"/>
        <v>585000</v>
      </c>
      <c r="AE1701" s="5">
        <f t="shared" si="615"/>
        <v>3.6423841059602653</v>
      </c>
      <c r="AF1701" s="10">
        <f t="shared" si="616"/>
        <v>1636800</v>
      </c>
      <c r="AG1701" s="10">
        <f t="shared" si="617"/>
        <v>528000</v>
      </c>
      <c r="AH1701" s="10">
        <f t="shared" si="618"/>
        <v>264000</v>
      </c>
      <c r="AI1701" s="10">
        <f t="shared" si="619"/>
        <v>132000</v>
      </c>
      <c r="AJ1701" s="10">
        <f t="shared" si="620"/>
        <v>79200</v>
      </c>
    </row>
    <row r="1702" spans="1:36" x14ac:dyDescent="0.3">
      <c r="A1702" t="s">
        <v>6438</v>
      </c>
      <c r="B1702" t="s">
        <v>6439</v>
      </c>
      <c r="C1702" t="s">
        <v>6440</v>
      </c>
      <c r="D1702" t="s">
        <v>852</v>
      </c>
      <c r="E1702">
        <v>8882</v>
      </c>
      <c r="F1702" t="s">
        <v>15</v>
      </c>
      <c r="G1702">
        <v>8</v>
      </c>
      <c r="H1702">
        <v>250</v>
      </c>
      <c r="I1702" t="str" cm="1">
        <f t="array" ref="I1702">_xlfn.IFS(H1702&lt;=120,"V1",H1702&lt;=150,"V2",H1702&lt;=250,"V3", H1702&lt;=350, "V4")</f>
        <v>V3</v>
      </c>
      <c r="J1702" t="s">
        <v>6441</v>
      </c>
      <c r="K1702" t="str">
        <f t="shared" si="598"/>
        <v>40.461954</v>
      </c>
      <c r="L1702" t="str">
        <f t="shared" si="599"/>
        <v>-74.400916</v>
      </c>
      <c r="M1702">
        <v>31</v>
      </c>
      <c r="N1702" s="1">
        <v>44839</v>
      </c>
      <c r="O1702" s="1">
        <v>46099</v>
      </c>
      <c r="P1702" s="2">
        <f t="shared" si="600"/>
        <v>3.4496919917864477</v>
      </c>
      <c r="Q1702" s="2" t="str">
        <f t="shared" si="601"/>
        <v>Mid</v>
      </c>
      <c r="R1702">
        <f t="shared" si="602"/>
        <v>2000</v>
      </c>
      <c r="S1702" t="str">
        <f t="shared" si="603"/>
        <v>Small</v>
      </c>
      <c r="T1702" t="str">
        <f t="shared" si="604"/>
        <v>High EV Adoption Corridor</v>
      </c>
      <c r="U1702" s="3">
        <f t="shared" si="605"/>
        <v>4680000</v>
      </c>
      <c r="V1702" s="4">
        <f t="shared" si="606"/>
        <v>1056000</v>
      </c>
      <c r="W1702" s="3">
        <f t="shared" si="607"/>
        <v>13200000.000000002</v>
      </c>
      <c r="X1702" s="3">
        <f t="shared" si="608"/>
        <v>9900000.0000000019</v>
      </c>
      <c r="Y1702">
        <f t="shared" si="609"/>
        <v>0.23999999999999996</v>
      </c>
      <c r="Z1702">
        <f t="shared" si="610"/>
        <v>0.77435897435897438</v>
      </c>
      <c r="AA1702" t="str">
        <f t="shared" si="611"/>
        <v>Tier 1 - Priority Fleet</v>
      </c>
      <c r="AB1702" s="3">
        <f t="shared" si="612"/>
        <v>132000</v>
      </c>
      <c r="AC1702" s="3">
        <f t="shared" si="613"/>
        <v>1650000.0000000002</v>
      </c>
      <c r="AD1702" s="3">
        <f t="shared" si="614"/>
        <v>585000</v>
      </c>
      <c r="AE1702" s="5">
        <f t="shared" si="615"/>
        <v>3.6423841059602653</v>
      </c>
      <c r="AF1702" s="10">
        <f t="shared" si="616"/>
        <v>654720</v>
      </c>
      <c r="AG1702" s="10">
        <f t="shared" si="617"/>
        <v>211200</v>
      </c>
      <c r="AH1702" s="10">
        <f t="shared" si="618"/>
        <v>105600</v>
      </c>
      <c r="AI1702" s="10">
        <f t="shared" si="619"/>
        <v>52800</v>
      </c>
      <c r="AJ1702" s="10">
        <f t="shared" si="620"/>
        <v>31680</v>
      </c>
    </row>
    <row r="1703" spans="1:36" x14ac:dyDescent="0.3">
      <c r="A1703" t="s">
        <v>6442</v>
      </c>
      <c r="B1703" t="s">
        <v>6443</v>
      </c>
      <c r="C1703" t="s">
        <v>605</v>
      </c>
      <c r="D1703" t="s">
        <v>50</v>
      </c>
      <c r="E1703">
        <v>77063</v>
      </c>
      <c r="F1703" t="s">
        <v>15</v>
      </c>
      <c r="G1703">
        <v>16</v>
      </c>
      <c r="H1703">
        <v>250</v>
      </c>
      <c r="I1703" t="str" cm="1">
        <f t="array" ref="I1703">_xlfn.IFS(H1703&lt;=120,"V1",H1703&lt;=150,"V2",H1703&lt;=250,"V3", H1703&lt;=350, "V4")</f>
        <v>V3</v>
      </c>
      <c r="J1703" t="s">
        <v>6444</v>
      </c>
      <c r="K1703" t="str">
        <f t="shared" si="598"/>
        <v>29.735982</v>
      </c>
      <c r="L1703" t="str">
        <f t="shared" si="599"/>
        <v>-95.538575</v>
      </c>
      <c r="M1703">
        <v>21</v>
      </c>
      <c r="N1703" s="1">
        <v>44344</v>
      </c>
      <c r="O1703" s="1">
        <v>46099</v>
      </c>
      <c r="P1703" s="2">
        <f t="shared" si="600"/>
        <v>4.8049281314168377</v>
      </c>
      <c r="Q1703" s="2" t="str">
        <f t="shared" si="601"/>
        <v>Mid</v>
      </c>
      <c r="R1703">
        <f t="shared" si="602"/>
        <v>4000</v>
      </c>
      <c r="S1703" t="str">
        <f t="shared" si="603"/>
        <v>Small</v>
      </c>
      <c r="T1703" t="str">
        <f t="shared" si="604"/>
        <v>High EV Adoption Corridor</v>
      </c>
      <c r="U1703" s="3">
        <f t="shared" si="605"/>
        <v>9360000</v>
      </c>
      <c r="V1703" s="4">
        <f t="shared" si="606"/>
        <v>2112000</v>
      </c>
      <c r="W1703" s="3">
        <f t="shared" si="607"/>
        <v>26400000.000000004</v>
      </c>
      <c r="X1703" s="3">
        <f t="shared" si="608"/>
        <v>19800000.000000004</v>
      </c>
      <c r="Y1703">
        <f t="shared" si="609"/>
        <v>0.23999999999999996</v>
      </c>
      <c r="Z1703">
        <f t="shared" si="610"/>
        <v>0.77435897435897438</v>
      </c>
      <c r="AA1703" t="str">
        <f t="shared" si="611"/>
        <v>Tier 1 - Priority Fleet</v>
      </c>
      <c r="AB1703" s="3">
        <f t="shared" si="612"/>
        <v>132000</v>
      </c>
      <c r="AC1703" s="3">
        <f t="shared" si="613"/>
        <v>1650000.0000000002</v>
      </c>
      <c r="AD1703" s="3">
        <f t="shared" si="614"/>
        <v>585000</v>
      </c>
      <c r="AE1703" s="5">
        <f t="shared" si="615"/>
        <v>3.6423841059602653</v>
      </c>
      <c r="AF1703" s="10">
        <f t="shared" si="616"/>
        <v>1309440</v>
      </c>
      <c r="AG1703" s="10">
        <f t="shared" si="617"/>
        <v>422400</v>
      </c>
      <c r="AH1703" s="10">
        <f t="shared" si="618"/>
        <v>211200</v>
      </c>
      <c r="AI1703" s="10">
        <f t="shared" si="619"/>
        <v>105600</v>
      </c>
      <c r="AJ1703" s="10">
        <f t="shared" si="620"/>
        <v>63360</v>
      </c>
    </row>
    <row r="1704" spans="1:36" x14ac:dyDescent="0.3">
      <c r="A1704" t="s">
        <v>6445</v>
      </c>
      <c r="B1704" t="s">
        <v>6446</v>
      </c>
      <c r="C1704" t="s">
        <v>4258</v>
      </c>
      <c r="D1704" t="s">
        <v>14</v>
      </c>
      <c r="E1704">
        <v>92780</v>
      </c>
      <c r="F1704" t="s">
        <v>15</v>
      </c>
      <c r="G1704">
        <v>36</v>
      </c>
      <c r="H1704">
        <v>250</v>
      </c>
      <c r="I1704" t="str" cm="1">
        <f t="array" ref="I1704">_xlfn.IFS(H1704&lt;=120,"V1",H1704&lt;=150,"V2",H1704&lt;=250,"V3", H1704&lt;=350, "V4")</f>
        <v>V3</v>
      </c>
      <c r="J1704" t="s">
        <v>6447</v>
      </c>
      <c r="K1704" t="str">
        <f t="shared" si="598"/>
        <v>33.716605</v>
      </c>
      <c r="L1704" t="str">
        <f t="shared" si="599"/>
        <v>-117.810303</v>
      </c>
      <c r="M1704">
        <v>19</v>
      </c>
      <c r="N1704" s="1">
        <v>45072</v>
      </c>
      <c r="O1704" s="1">
        <v>46099</v>
      </c>
      <c r="P1704" s="2">
        <f t="shared" si="600"/>
        <v>2.8117727583846679</v>
      </c>
      <c r="Q1704" s="2" t="str">
        <f t="shared" si="601"/>
        <v>New</v>
      </c>
      <c r="R1704">
        <f t="shared" si="602"/>
        <v>9000</v>
      </c>
      <c r="S1704" t="str">
        <f t="shared" si="603"/>
        <v>Medium</v>
      </c>
      <c r="T1704" t="str">
        <f t="shared" si="604"/>
        <v>High EV Adoption Corridor</v>
      </c>
      <c r="U1704" s="3">
        <f t="shared" si="605"/>
        <v>21060000</v>
      </c>
      <c r="V1704" s="4">
        <f t="shared" si="606"/>
        <v>4752000</v>
      </c>
      <c r="W1704" s="3">
        <f t="shared" si="607"/>
        <v>59400000.000000007</v>
      </c>
      <c r="X1704" s="3">
        <f t="shared" si="608"/>
        <v>44550000.000000007</v>
      </c>
      <c r="Y1704">
        <f t="shared" si="609"/>
        <v>0.23999999999999996</v>
      </c>
      <c r="Z1704">
        <f t="shared" si="610"/>
        <v>0.77435897435897438</v>
      </c>
      <c r="AA1704" t="str">
        <f t="shared" si="611"/>
        <v>Tier 1 - Priority Fleet</v>
      </c>
      <c r="AB1704" s="3">
        <f t="shared" si="612"/>
        <v>132000</v>
      </c>
      <c r="AC1704" s="3">
        <f t="shared" si="613"/>
        <v>1650000.0000000002</v>
      </c>
      <c r="AD1704" s="3">
        <f t="shared" si="614"/>
        <v>585000</v>
      </c>
      <c r="AE1704" s="5">
        <f t="shared" si="615"/>
        <v>3.6423841059602653</v>
      </c>
      <c r="AF1704" s="10">
        <f t="shared" si="616"/>
        <v>2946240</v>
      </c>
      <c r="AG1704" s="10">
        <f t="shared" si="617"/>
        <v>950400</v>
      </c>
      <c r="AH1704" s="10">
        <f t="shared" si="618"/>
        <v>475200</v>
      </c>
      <c r="AI1704" s="10">
        <f t="shared" si="619"/>
        <v>237600</v>
      </c>
      <c r="AJ1704" s="10">
        <f t="shared" si="620"/>
        <v>142560</v>
      </c>
    </row>
    <row r="1705" spans="1:36" x14ac:dyDescent="0.3">
      <c r="A1705" t="s">
        <v>6448</v>
      </c>
      <c r="B1705" t="s">
        <v>6449</v>
      </c>
      <c r="C1705" t="s">
        <v>6450</v>
      </c>
      <c r="D1705" t="s">
        <v>14</v>
      </c>
      <c r="E1705">
        <v>92284</v>
      </c>
      <c r="F1705" t="s">
        <v>15</v>
      </c>
      <c r="G1705">
        <v>16</v>
      </c>
      <c r="H1705">
        <v>250</v>
      </c>
      <c r="I1705" t="str" cm="1">
        <f t="array" ref="I1705">_xlfn.IFS(H1705&lt;=120,"V1",H1705&lt;=150,"V2",H1705&lt;=250,"V3", H1705&lt;=350, "V4")</f>
        <v>V3</v>
      </c>
      <c r="J1705" t="s">
        <v>6451</v>
      </c>
      <c r="K1705" t="str">
        <f t="shared" si="598"/>
        <v>34.12375</v>
      </c>
      <c r="L1705" t="str">
        <f t="shared" si="599"/>
        <v>-116.415727</v>
      </c>
      <c r="M1705">
        <v>993</v>
      </c>
      <c r="N1705" s="1">
        <v>44828</v>
      </c>
      <c r="O1705" s="1">
        <v>46099</v>
      </c>
      <c r="P1705" s="2">
        <f t="shared" si="600"/>
        <v>3.4798083504449009</v>
      </c>
      <c r="Q1705" s="2" t="str">
        <f t="shared" si="601"/>
        <v>Mid</v>
      </c>
      <c r="R1705">
        <f t="shared" si="602"/>
        <v>4000</v>
      </c>
      <c r="S1705" t="str">
        <f t="shared" si="603"/>
        <v>Small</v>
      </c>
      <c r="T1705" t="str">
        <f t="shared" si="604"/>
        <v>High EV Adoption Corridor</v>
      </c>
      <c r="U1705" s="3">
        <f t="shared" si="605"/>
        <v>9360000</v>
      </c>
      <c r="V1705" s="4">
        <f t="shared" si="606"/>
        <v>2112000</v>
      </c>
      <c r="W1705" s="3">
        <f t="shared" si="607"/>
        <v>26400000.000000004</v>
      </c>
      <c r="X1705" s="3">
        <f t="shared" si="608"/>
        <v>19800000.000000004</v>
      </c>
      <c r="Y1705">
        <f t="shared" si="609"/>
        <v>0.23999999999999996</v>
      </c>
      <c r="Z1705">
        <f t="shared" si="610"/>
        <v>0.77435897435897438</v>
      </c>
      <c r="AA1705" t="str">
        <f t="shared" si="611"/>
        <v>Tier 1 - Priority Fleet</v>
      </c>
      <c r="AB1705" s="3">
        <f t="shared" si="612"/>
        <v>132000</v>
      </c>
      <c r="AC1705" s="3">
        <f t="shared" si="613"/>
        <v>1650000.0000000002</v>
      </c>
      <c r="AD1705" s="3">
        <f t="shared" si="614"/>
        <v>585000</v>
      </c>
      <c r="AE1705" s="5">
        <f t="shared" si="615"/>
        <v>3.6423841059602653</v>
      </c>
      <c r="AF1705" s="10">
        <f t="shared" si="616"/>
        <v>1309440</v>
      </c>
      <c r="AG1705" s="10">
        <f t="shared" si="617"/>
        <v>422400</v>
      </c>
      <c r="AH1705" s="10">
        <f t="shared" si="618"/>
        <v>211200</v>
      </c>
      <c r="AI1705" s="10">
        <f t="shared" si="619"/>
        <v>105600</v>
      </c>
      <c r="AJ1705" s="10">
        <f t="shared" si="620"/>
        <v>63360</v>
      </c>
    </row>
    <row r="1706" spans="1:36" x14ac:dyDescent="0.3">
      <c r="A1706" t="s">
        <v>6452</v>
      </c>
      <c r="B1706" t="s">
        <v>6453</v>
      </c>
      <c r="C1706" t="s">
        <v>4058</v>
      </c>
      <c r="D1706" t="s">
        <v>28</v>
      </c>
      <c r="E1706">
        <v>30326</v>
      </c>
      <c r="F1706" t="s">
        <v>15</v>
      </c>
      <c r="G1706">
        <v>16</v>
      </c>
      <c r="H1706">
        <v>72</v>
      </c>
      <c r="I1706" t="str" cm="1">
        <f t="array" ref="I1706">_xlfn.IFS(H1706&lt;=120,"V1",H1706&lt;=150,"V2",H1706&lt;=250,"V3", H1706&lt;=350, "V4")</f>
        <v>V1</v>
      </c>
      <c r="J1706" t="s">
        <v>6454</v>
      </c>
      <c r="K1706" t="str">
        <f t="shared" si="598"/>
        <v>33.846445</v>
      </c>
      <c r="L1706" t="str">
        <f t="shared" si="599"/>
        <v>-84.360194</v>
      </c>
      <c r="M1706">
        <v>291</v>
      </c>
      <c r="N1706" s="1">
        <v>43336</v>
      </c>
      <c r="O1706" s="1">
        <v>46099</v>
      </c>
      <c r="P1706" s="2">
        <f t="shared" si="600"/>
        <v>7.5646817248459959</v>
      </c>
      <c r="Q1706" s="2" t="str">
        <f t="shared" si="601"/>
        <v>Mid</v>
      </c>
      <c r="R1706">
        <f t="shared" si="602"/>
        <v>1152</v>
      </c>
      <c r="S1706" t="str">
        <f t="shared" si="603"/>
        <v>Small</v>
      </c>
      <c r="T1706" t="str">
        <f t="shared" si="604"/>
        <v>Lower EV Adoption Corridor</v>
      </c>
      <c r="U1706" s="3">
        <f t="shared" si="605"/>
        <v>1728000</v>
      </c>
      <c r="V1706" s="4">
        <f t="shared" si="606"/>
        <v>414720</v>
      </c>
      <c r="W1706" s="3">
        <f t="shared" si="607"/>
        <v>4608000</v>
      </c>
      <c r="X1706" s="3">
        <f t="shared" si="608"/>
        <v>3110400</v>
      </c>
      <c r="Y1706">
        <f t="shared" si="609"/>
        <v>0.2814814814814815</v>
      </c>
      <c r="Z1706">
        <f t="shared" si="610"/>
        <v>0.76</v>
      </c>
      <c r="AA1706" t="str">
        <f t="shared" si="611"/>
        <v>Tier 5 - Retirement Pipeline</v>
      </c>
      <c r="AB1706" s="3">
        <f t="shared" si="612"/>
        <v>25920</v>
      </c>
      <c r="AC1706" s="3">
        <f t="shared" si="613"/>
        <v>288000</v>
      </c>
      <c r="AD1706" s="3">
        <f t="shared" si="614"/>
        <v>108000</v>
      </c>
      <c r="AE1706" s="5">
        <f t="shared" si="615"/>
        <v>3.5087719298245612</v>
      </c>
      <c r="AF1706" s="10">
        <f t="shared" si="616"/>
        <v>257126.39999999999</v>
      </c>
      <c r="AG1706" s="10">
        <f t="shared" si="617"/>
        <v>82944</v>
      </c>
      <c r="AH1706" s="10">
        <f t="shared" si="618"/>
        <v>41472</v>
      </c>
      <c r="AI1706" s="10">
        <f t="shared" si="619"/>
        <v>20736</v>
      </c>
      <c r="AJ1706" s="10">
        <f t="shared" si="620"/>
        <v>12441.6</v>
      </c>
    </row>
    <row r="1707" spans="1:36" x14ac:dyDescent="0.3">
      <c r="A1707" t="s">
        <v>6455</v>
      </c>
      <c r="B1707" t="s">
        <v>6456</v>
      </c>
      <c r="C1707" t="s">
        <v>6457</v>
      </c>
      <c r="D1707" t="s">
        <v>50</v>
      </c>
      <c r="E1707">
        <v>75070</v>
      </c>
      <c r="F1707" t="s">
        <v>15</v>
      </c>
      <c r="G1707">
        <v>8</v>
      </c>
      <c r="H1707">
        <v>250</v>
      </c>
      <c r="I1707" t="str" cm="1">
        <f t="array" ref="I1707">_xlfn.IFS(H1707&lt;=120,"V1",H1707&lt;=150,"V2",H1707&lt;=250,"V3", H1707&lt;=350, "V4")</f>
        <v>V3</v>
      </c>
      <c r="J1707" t="s">
        <v>6458</v>
      </c>
      <c r="K1707" t="str">
        <f t="shared" si="598"/>
        <v>33.151713</v>
      </c>
      <c r="L1707" t="str">
        <f t="shared" si="599"/>
        <v>-96.717299</v>
      </c>
      <c r="M1707">
        <v>221</v>
      </c>
      <c r="N1707" s="1">
        <v>44873</v>
      </c>
      <c r="O1707" s="1">
        <v>46099</v>
      </c>
      <c r="P1707" s="2">
        <f t="shared" si="600"/>
        <v>3.3566050650239561</v>
      </c>
      <c r="Q1707" s="2" t="str">
        <f t="shared" si="601"/>
        <v>Mid</v>
      </c>
      <c r="R1707">
        <f t="shared" si="602"/>
        <v>2000</v>
      </c>
      <c r="S1707" t="str">
        <f t="shared" si="603"/>
        <v>Small</v>
      </c>
      <c r="T1707" t="str">
        <f t="shared" si="604"/>
        <v>High EV Adoption Corridor</v>
      </c>
      <c r="U1707" s="3">
        <f t="shared" si="605"/>
        <v>4680000</v>
      </c>
      <c r="V1707" s="4">
        <f t="shared" si="606"/>
        <v>1056000</v>
      </c>
      <c r="W1707" s="3">
        <f t="shared" si="607"/>
        <v>13200000.000000002</v>
      </c>
      <c r="X1707" s="3">
        <f t="shared" si="608"/>
        <v>9900000.0000000019</v>
      </c>
      <c r="Y1707">
        <f t="shared" si="609"/>
        <v>0.23999999999999996</v>
      </c>
      <c r="Z1707">
        <f t="shared" si="610"/>
        <v>0.77435897435897438</v>
      </c>
      <c r="AA1707" t="str">
        <f t="shared" si="611"/>
        <v>Tier 1 - Priority Fleet</v>
      </c>
      <c r="AB1707" s="3">
        <f t="shared" si="612"/>
        <v>132000</v>
      </c>
      <c r="AC1707" s="3">
        <f t="shared" si="613"/>
        <v>1650000.0000000002</v>
      </c>
      <c r="AD1707" s="3">
        <f t="shared" si="614"/>
        <v>585000</v>
      </c>
      <c r="AE1707" s="5">
        <f t="shared" si="615"/>
        <v>3.6423841059602653</v>
      </c>
      <c r="AF1707" s="10">
        <f t="shared" si="616"/>
        <v>654720</v>
      </c>
      <c r="AG1707" s="10">
        <f t="shared" si="617"/>
        <v>211200</v>
      </c>
      <c r="AH1707" s="10">
        <f t="shared" si="618"/>
        <v>105600</v>
      </c>
      <c r="AI1707" s="10">
        <f t="shared" si="619"/>
        <v>52800</v>
      </c>
      <c r="AJ1707" s="10">
        <f t="shared" si="620"/>
        <v>31680</v>
      </c>
    </row>
    <row r="1708" spans="1:36" x14ac:dyDescent="0.3">
      <c r="A1708" t="s">
        <v>6459</v>
      </c>
      <c r="B1708" t="s">
        <v>6460</v>
      </c>
      <c r="C1708" t="s">
        <v>354</v>
      </c>
      <c r="D1708" t="s">
        <v>72</v>
      </c>
      <c r="E1708">
        <v>85054</v>
      </c>
      <c r="F1708" t="s">
        <v>15</v>
      </c>
      <c r="G1708">
        <v>20</v>
      </c>
      <c r="H1708">
        <v>250</v>
      </c>
      <c r="I1708" t="str" cm="1">
        <f t="array" ref="I1708">_xlfn.IFS(H1708&lt;=120,"V1",H1708&lt;=150,"V2",H1708&lt;=250,"V3", H1708&lt;=350, "V4")</f>
        <v>V3</v>
      </c>
      <c r="J1708" t="s">
        <v>6461</v>
      </c>
      <c r="K1708" t="str">
        <f t="shared" si="598"/>
        <v>33.657</v>
      </c>
      <c r="L1708" t="str">
        <f t="shared" si="599"/>
        <v>-111.9298</v>
      </c>
      <c r="M1708">
        <v>484</v>
      </c>
      <c r="N1708" s="1">
        <v>44831</v>
      </c>
      <c r="O1708" s="1">
        <v>46099</v>
      </c>
      <c r="P1708" s="2">
        <f t="shared" si="600"/>
        <v>3.4715947980835042</v>
      </c>
      <c r="Q1708" s="2" t="str">
        <f t="shared" si="601"/>
        <v>Mid</v>
      </c>
      <c r="R1708">
        <f t="shared" si="602"/>
        <v>5000</v>
      </c>
      <c r="S1708" t="str">
        <f t="shared" si="603"/>
        <v>Small</v>
      </c>
      <c r="T1708" t="str">
        <f t="shared" si="604"/>
        <v>Lower EV Adoption Corridor</v>
      </c>
      <c r="U1708" s="3">
        <f t="shared" si="605"/>
        <v>9000000</v>
      </c>
      <c r="V1708" s="4">
        <f t="shared" si="606"/>
        <v>2200000</v>
      </c>
      <c r="W1708" s="3">
        <f t="shared" si="607"/>
        <v>30000000</v>
      </c>
      <c r="X1708" s="3">
        <f t="shared" si="608"/>
        <v>16500000.000000002</v>
      </c>
      <c r="Y1708">
        <f t="shared" si="609"/>
        <v>0.31515151515151513</v>
      </c>
      <c r="Z1708">
        <f t="shared" si="610"/>
        <v>0.75555555555555554</v>
      </c>
      <c r="AA1708" t="str">
        <f t="shared" si="611"/>
        <v>Tier 2 - Growth Markets</v>
      </c>
      <c r="AB1708" s="3">
        <f t="shared" si="612"/>
        <v>110000</v>
      </c>
      <c r="AC1708" s="3">
        <f t="shared" si="613"/>
        <v>1500000</v>
      </c>
      <c r="AD1708" s="3">
        <f t="shared" si="614"/>
        <v>450000</v>
      </c>
      <c r="AE1708" s="5">
        <f t="shared" si="615"/>
        <v>4.4117647058823533</v>
      </c>
      <c r="AF1708" s="10">
        <f t="shared" si="616"/>
        <v>1364000</v>
      </c>
      <c r="AG1708" s="10">
        <f t="shared" si="617"/>
        <v>440000</v>
      </c>
      <c r="AH1708" s="10">
        <f t="shared" si="618"/>
        <v>220000</v>
      </c>
      <c r="AI1708" s="10">
        <f t="shared" si="619"/>
        <v>110000</v>
      </c>
      <c r="AJ1708" s="10">
        <f t="shared" si="620"/>
        <v>66000</v>
      </c>
    </row>
    <row r="1709" spans="1:36" x14ac:dyDescent="0.3">
      <c r="A1709" t="s">
        <v>6462</v>
      </c>
      <c r="B1709" t="s">
        <v>6463</v>
      </c>
      <c r="C1709" t="s">
        <v>6464</v>
      </c>
      <c r="D1709" t="s">
        <v>321</v>
      </c>
      <c r="E1709">
        <v>2747</v>
      </c>
      <c r="F1709" t="s">
        <v>15</v>
      </c>
      <c r="G1709">
        <v>12</v>
      </c>
      <c r="H1709">
        <v>250</v>
      </c>
      <c r="I1709" t="str" cm="1">
        <f t="array" ref="I1709">_xlfn.IFS(H1709&lt;=120,"V1",H1709&lt;=150,"V2",H1709&lt;=250,"V3", H1709&lt;=350, "V4")</f>
        <v>V3</v>
      </c>
      <c r="J1709" t="s">
        <v>6465</v>
      </c>
      <c r="K1709" t="str">
        <f t="shared" si="598"/>
        <v>41.642293</v>
      </c>
      <c r="L1709" t="str">
        <f t="shared" si="599"/>
        <v>-70.99753</v>
      </c>
      <c r="M1709">
        <v>38</v>
      </c>
      <c r="N1709" s="1">
        <v>44695</v>
      </c>
      <c r="O1709" s="1">
        <v>46099</v>
      </c>
      <c r="P1709" s="2">
        <f t="shared" si="600"/>
        <v>3.8439425051334704</v>
      </c>
      <c r="Q1709" s="2" t="str">
        <f t="shared" si="601"/>
        <v>Mid</v>
      </c>
      <c r="R1709">
        <f t="shared" si="602"/>
        <v>3000</v>
      </c>
      <c r="S1709" t="str">
        <f t="shared" si="603"/>
        <v>Small</v>
      </c>
      <c r="T1709" t="str">
        <f t="shared" si="604"/>
        <v>Lower EV Adoption Corridor</v>
      </c>
      <c r="U1709" s="3">
        <f t="shared" si="605"/>
        <v>5400000</v>
      </c>
      <c r="V1709" s="4">
        <f t="shared" si="606"/>
        <v>1320000</v>
      </c>
      <c r="W1709" s="3">
        <f t="shared" si="607"/>
        <v>18000000</v>
      </c>
      <c r="X1709" s="3">
        <f t="shared" si="608"/>
        <v>9900000</v>
      </c>
      <c r="Y1709">
        <f t="shared" si="609"/>
        <v>0.31515151515151513</v>
      </c>
      <c r="Z1709">
        <f t="shared" si="610"/>
        <v>0.75555555555555554</v>
      </c>
      <c r="AA1709" t="str">
        <f t="shared" si="611"/>
        <v>Tier 2 - Growth Markets</v>
      </c>
      <c r="AB1709" s="3">
        <f t="shared" si="612"/>
        <v>110000</v>
      </c>
      <c r="AC1709" s="3">
        <f t="shared" si="613"/>
        <v>1500000</v>
      </c>
      <c r="AD1709" s="3">
        <f t="shared" si="614"/>
        <v>450000</v>
      </c>
      <c r="AE1709" s="5">
        <f t="shared" si="615"/>
        <v>4.4117647058823533</v>
      </c>
      <c r="AF1709" s="10">
        <f t="shared" si="616"/>
        <v>818400</v>
      </c>
      <c r="AG1709" s="10">
        <f t="shared" si="617"/>
        <v>264000</v>
      </c>
      <c r="AH1709" s="10">
        <f t="shared" si="618"/>
        <v>132000</v>
      </c>
      <c r="AI1709" s="10">
        <f t="shared" si="619"/>
        <v>66000</v>
      </c>
      <c r="AJ1709" s="10">
        <f t="shared" si="620"/>
        <v>39600</v>
      </c>
    </row>
    <row r="1710" spans="1:36" x14ac:dyDescent="0.3">
      <c r="A1710" t="s">
        <v>6466</v>
      </c>
      <c r="B1710" t="s">
        <v>6467</v>
      </c>
      <c r="C1710" t="s">
        <v>6468</v>
      </c>
      <c r="D1710" t="s">
        <v>350</v>
      </c>
      <c r="E1710">
        <v>70647</v>
      </c>
      <c r="F1710" t="s">
        <v>15</v>
      </c>
      <c r="G1710">
        <v>16</v>
      </c>
      <c r="H1710">
        <v>250</v>
      </c>
      <c r="I1710" t="str" cm="1">
        <f t="array" ref="I1710">_xlfn.IFS(H1710&lt;=120,"V1",H1710&lt;=150,"V2",H1710&lt;=250,"V3", H1710&lt;=350, "V4")</f>
        <v>V3</v>
      </c>
      <c r="J1710" t="s">
        <v>6469</v>
      </c>
      <c r="K1710" t="str">
        <f t="shared" si="598"/>
        <v>30.241331</v>
      </c>
      <c r="L1710" t="str">
        <f t="shared" si="599"/>
        <v>-92.927732</v>
      </c>
      <c r="M1710">
        <v>5</v>
      </c>
      <c r="N1710" s="1">
        <v>44917</v>
      </c>
      <c r="O1710" s="1">
        <v>46099</v>
      </c>
      <c r="P1710" s="2">
        <f t="shared" si="600"/>
        <v>3.2361396303901437</v>
      </c>
      <c r="Q1710" s="2" t="str">
        <f t="shared" si="601"/>
        <v>Mid</v>
      </c>
      <c r="R1710">
        <f t="shared" si="602"/>
        <v>4000</v>
      </c>
      <c r="S1710" t="str">
        <f t="shared" si="603"/>
        <v>Small</v>
      </c>
      <c r="T1710" t="str">
        <f t="shared" si="604"/>
        <v>Lower EV Adoption Corridor</v>
      </c>
      <c r="U1710" s="3">
        <f t="shared" si="605"/>
        <v>7200000</v>
      </c>
      <c r="V1710" s="4">
        <f t="shared" si="606"/>
        <v>1760000.0000000002</v>
      </c>
      <c r="W1710" s="3">
        <f t="shared" si="607"/>
        <v>24000000</v>
      </c>
      <c r="X1710" s="3">
        <f t="shared" si="608"/>
        <v>13200000.000000002</v>
      </c>
      <c r="Y1710">
        <f t="shared" si="609"/>
        <v>0.31515151515151513</v>
      </c>
      <c r="Z1710">
        <f t="shared" si="610"/>
        <v>0.75555555555555554</v>
      </c>
      <c r="AA1710" t="str">
        <f t="shared" si="611"/>
        <v>Tier 2 - Growth Markets</v>
      </c>
      <c r="AB1710" s="3">
        <f t="shared" si="612"/>
        <v>110000.00000000001</v>
      </c>
      <c r="AC1710" s="3">
        <f t="shared" si="613"/>
        <v>1500000</v>
      </c>
      <c r="AD1710" s="3">
        <f t="shared" si="614"/>
        <v>450000</v>
      </c>
      <c r="AE1710" s="5">
        <f t="shared" si="615"/>
        <v>4.4117647058823533</v>
      </c>
      <c r="AF1710" s="10">
        <f t="shared" si="616"/>
        <v>1091200.0000000002</v>
      </c>
      <c r="AG1710" s="10">
        <f t="shared" si="617"/>
        <v>352000.00000000006</v>
      </c>
      <c r="AH1710" s="10">
        <f t="shared" si="618"/>
        <v>176000.00000000003</v>
      </c>
      <c r="AI1710" s="10">
        <f t="shared" si="619"/>
        <v>88000.000000000015</v>
      </c>
      <c r="AJ1710" s="10">
        <f t="shared" si="620"/>
        <v>52800.000000000007</v>
      </c>
    </row>
    <row r="1711" spans="1:36" x14ac:dyDescent="0.3">
      <c r="A1711" t="s">
        <v>6470</v>
      </c>
      <c r="B1711" t="s">
        <v>6471</v>
      </c>
      <c r="C1711" t="s">
        <v>617</v>
      </c>
      <c r="D1711" t="s">
        <v>125</v>
      </c>
      <c r="E1711">
        <v>29229</v>
      </c>
      <c r="F1711" t="s">
        <v>15</v>
      </c>
      <c r="G1711">
        <v>12</v>
      </c>
      <c r="H1711">
        <v>250</v>
      </c>
      <c r="I1711" t="str" cm="1">
        <f t="array" ref="I1711">_xlfn.IFS(H1711&lt;=120,"V1",H1711&lt;=150,"V2",H1711&lt;=250,"V3", H1711&lt;=350, "V4")</f>
        <v>V3</v>
      </c>
      <c r="J1711" t="s">
        <v>6472</v>
      </c>
      <c r="K1711" t="str">
        <f t="shared" si="598"/>
        <v>34.126889</v>
      </c>
      <c r="L1711" t="str">
        <f t="shared" si="599"/>
        <v>-80.8779862</v>
      </c>
      <c r="M1711">
        <v>135</v>
      </c>
      <c r="N1711" s="1">
        <v>44945</v>
      </c>
      <c r="O1711" s="1">
        <v>46099</v>
      </c>
      <c r="P1711" s="2">
        <f t="shared" si="600"/>
        <v>3.159479808350445</v>
      </c>
      <c r="Q1711" s="2" t="str">
        <f t="shared" si="601"/>
        <v>Mid</v>
      </c>
      <c r="R1711">
        <f t="shared" si="602"/>
        <v>3000</v>
      </c>
      <c r="S1711" t="str">
        <f t="shared" si="603"/>
        <v>Small</v>
      </c>
      <c r="T1711" t="str">
        <f t="shared" si="604"/>
        <v>Lower EV Adoption Corridor</v>
      </c>
      <c r="U1711" s="3">
        <f t="shared" si="605"/>
        <v>5400000</v>
      </c>
      <c r="V1711" s="4">
        <f t="shared" si="606"/>
        <v>1320000</v>
      </c>
      <c r="W1711" s="3">
        <f t="shared" si="607"/>
        <v>18000000</v>
      </c>
      <c r="X1711" s="3">
        <f t="shared" si="608"/>
        <v>9900000</v>
      </c>
      <c r="Y1711">
        <f t="shared" si="609"/>
        <v>0.31515151515151513</v>
      </c>
      <c r="Z1711">
        <f t="shared" si="610"/>
        <v>0.75555555555555554</v>
      </c>
      <c r="AA1711" t="str">
        <f t="shared" si="611"/>
        <v>Tier 2 - Growth Markets</v>
      </c>
      <c r="AB1711" s="3">
        <f t="shared" si="612"/>
        <v>110000</v>
      </c>
      <c r="AC1711" s="3">
        <f t="shared" si="613"/>
        <v>1500000</v>
      </c>
      <c r="AD1711" s="3">
        <f t="shared" si="614"/>
        <v>450000</v>
      </c>
      <c r="AE1711" s="5">
        <f t="shared" si="615"/>
        <v>4.4117647058823533</v>
      </c>
      <c r="AF1711" s="10">
        <f t="shared" si="616"/>
        <v>818400</v>
      </c>
      <c r="AG1711" s="10">
        <f t="shared" si="617"/>
        <v>264000</v>
      </c>
      <c r="AH1711" s="10">
        <f t="shared" si="618"/>
        <v>132000</v>
      </c>
      <c r="AI1711" s="10">
        <f t="shared" si="619"/>
        <v>66000</v>
      </c>
      <c r="AJ1711" s="10">
        <f t="shared" si="620"/>
        <v>39600</v>
      </c>
    </row>
    <row r="1712" spans="1:36" x14ac:dyDescent="0.3">
      <c r="A1712" t="s">
        <v>6473</v>
      </c>
      <c r="B1712" t="s">
        <v>6474</v>
      </c>
      <c r="C1712" t="s">
        <v>6475</v>
      </c>
      <c r="D1712" t="s">
        <v>230</v>
      </c>
      <c r="E1712">
        <v>98057</v>
      </c>
      <c r="F1712" t="s">
        <v>15</v>
      </c>
      <c r="G1712">
        <v>16</v>
      </c>
      <c r="H1712">
        <v>250</v>
      </c>
      <c r="I1712" t="str" cm="1">
        <f t="array" ref="I1712">_xlfn.IFS(H1712&lt;=120,"V1",H1712&lt;=150,"V2",H1712&lt;=250,"V3", H1712&lt;=350, "V4")</f>
        <v>V3</v>
      </c>
      <c r="J1712" t="s">
        <v>6476</v>
      </c>
      <c r="K1712" t="str">
        <f t="shared" si="598"/>
        <v>47.443115</v>
      </c>
      <c r="L1712" t="str">
        <f t="shared" si="599"/>
        <v>-122.225157</v>
      </c>
      <c r="M1712">
        <v>7</v>
      </c>
      <c r="N1712" s="1">
        <v>45066</v>
      </c>
      <c r="O1712" s="1">
        <v>46099</v>
      </c>
      <c r="P1712" s="2">
        <f t="shared" si="600"/>
        <v>2.8281998631074607</v>
      </c>
      <c r="Q1712" s="2" t="str">
        <f t="shared" si="601"/>
        <v>New</v>
      </c>
      <c r="R1712">
        <f t="shared" si="602"/>
        <v>4000</v>
      </c>
      <c r="S1712" t="str">
        <f t="shared" si="603"/>
        <v>Small</v>
      </c>
      <c r="T1712" t="str">
        <f t="shared" si="604"/>
        <v>High EV Adoption Corridor</v>
      </c>
      <c r="U1712" s="3">
        <f t="shared" si="605"/>
        <v>9360000</v>
      </c>
      <c r="V1712" s="4">
        <f t="shared" si="606"/>
        <v>2112000</v>
      </c>
      <c r="W1712" s="3">
        <f t="shared" si="607"/>
        <v>26400000.000000004</v>
      </c>
      <c r="X1712" s="3">
        <f t="shared" si="608"/>
        <v>19800000.000000004</v>
      </c>
      <c r="Y1712">
        <f t="shared" si="609"/>
        <v>0.23999999999999996</v>
      </c>
      <c r="Z1712">
        <f t="shared" si="610"/>
        <v>0.77435897435897438</v>
      </c>
      <c r="AA1712" t="str">
        <f t="shared" si="611"/>
        <v>Tier 1 - Priority Fleet</v>
      </c>
      <c r="AB1712" s="3">
        <f t="shared" si="612"/>
        <v>132000</v>
      </c>
      <c r="AC1712" s="3">
        <f t="shared" si="613"/>
        <v>1650000.0000000002</v>
      </c>
      <c r="AD1712" s="3">
        <f t="shared" si="614"/>
        <v>585000</v>
      </c>
      <c r="AE1712" s="5">
        <f t="shared" si="615"/>
        <v>3.6423841059602653</v>
      </c>
      <c r="AF1712" s="10">
        <f t="shared" si="616"/>
        <v>1309440</v>
      </c>
      <c r="AG1712" s="10">
        <f t="shared" si="617"/>
        <v>422400</v>
      </c>
      <c r="AH1712" s="10">
        <f t="shared" si="618"/>
        <v>211200</v>
      </c>
      <c r="AI1712" s="10">
        <f t="shared" si="619"/>
        <v>105600</v>
      </c>
      <c r="AJ1712" s="10">
        <f t="shared" si="620"/>
        <v>63360</v>
      </c>
    </row>
    <row r="1713" spans="1:36" x14ac:dyDescent="0.3">
      <c r="A1713" t="s">
        <v>6477</v>
      </c>
      <c r="B1713" t="s">
        <v>6478</v>
      </c>
      <c r="C1713" t="s">
        <v>6479</v>
      </c>
      <c r="D1713" t="s">
        <v>958</v>
      </c>
      <c r="E1713">
        <v>4062</v>
      </c>
      <c r="F1713" t="s">
        <v>15</v>
      </c>
      <c r="G1713">
        <v>8</v>
      </c>
      <c r="H1713">
        <v>250</v>
      </c>
      <c r="I1713" t="str" cm="1">
        <f t="array" ref="I1713">_xlfn.IFS(H1713&lt;=120,"V1",H1713&lt;=150,"V2",H1713&lt;=250,"V3", H1713&lt;=350, "V4")</f>
        <v>V3</v>
      </c>
      <c r="J1713" t="s">
        <v>6480</v>
      </c>
      <c r="K1713" t="str">
        <f t="shared" si="598"/>
        <v>43.84163</v>
      </c>
      <c r="L1713" t="str">
        <f t="shared" si="599"/>
        <v>-70.441768</v>
      </c>
      <c r="M1713">
        <v>95</v>
      </c>
      <c r="N1713" s="1">
        <v>45015</v>
      </c>
      <c r="O1713" s="1">
        <v>46099</v>
      </c>
      <c r="P1713" s="2">
        <f t="shared" si="600"/>
        <v>2.967830253251198</v>
      </c>
      <c r="Q1713" s="2" t="str">
        <f t="shared" si="601"/>
        <v>New</v>
      </c>
      <c r="R1713">
        <f t="shared" si="602"/>
        <v>2000</v>
      </c>
      <c r="S1713" t="str">
        <f t="shared" si="603"/>
        <v>Small</v>
      </c>
      <c r="T1713" t="str">
        <f t="shared" si="604"/>
        <v>Lower EV Adoption Corridor</v>
      </c>
      <c r="U1713" s="3">
        <f t="shared" si="605"/>
        <v>3600000</v>
      </c>
      <c r="V1713" s="4">
        <f t="shared" si="606"/>
        <v>880000.00000000012</v>
      </c>
      <c r="W1713" s="3">
        <f t="shared" si="607"/>
        <v>12000000</v>
      </c>
      <c r="X1713" s="3">
        <f t="shared" si="608"/>
        <v>6600000.0000000009</v>
      </c>
      <c r="Y1713">
        <f t="shared" si="609"/>
        <v>0.31515151515151513</v>
      </c>
      <c r="Z1713">
        <f t="shared" si="610"/>
        <v>0.75555555555555554</v>
      </c>
      <c r="AA1713" t="str">
        <f t="shared" si="611"/>
        <v>Tier 2 - Growth Markets</v>
      </c>
      <c r="AB1713" s="3">
        <f t="shared" si="612"/>
        <v>110000.00000000001</v>
      </c>
      <c r="AC1713" s="3">
        <f t="shared" si="613"/>
        <v>1500000</v>
      </c>
      <c r="AD1713" s="3">
        <f t="shared" si="614"/>
        <v>450000</v>
      </c>
      <c r="AE1713" s="5">
        <f t="shared" si="615"/>
        <v>4.4117647058823533</v>
      </c>
      <c r="AF1713" s="10">
        <f t="shared" si="616"/>
        <v>545600.00000000012</v>
      </c>
      <c r="AG1713" s="10">
        <f t="shared" si="617"/>
        <v>176000.00000000003</v>
      </c>
      <c r="AH1713" s="10">
        <f t="shared" si="618"/>
        <v>88000.000000000015</v>
      </c>
      <c r="AI1713" s="10">
        <f t="shared" si="619"/>
        <v>44000.000000000007</v>
      </c>
      <c r="AJ1713" s="10">
        <f t="shared" si="620"/>
        <v>26400.000000000004</v>
      </c>
    </row>
    <row r="1714" spans="1:36" x14ac:dyDescent="0.3">
      <c r="A1714" t="s">
        <v>6481</v>
      </c>
      <c r="B1714" t="s">
        <v>6482</v>
      </c>
      <c r="C1714" t="s">
        <v>6457</v>
      </c>
      <c r="D1714" t="s">
        <v>50</v>
      </c>
      <c r="E1714">
        <v>75071</v>
      </c>
      <c r="F1714" t="s">
        <v>15</v>
      </c>
      <c r="G1714">
        <v>8</v>
      </c>
      <c r="H1714">
        <v>250</v>
      </c>
      <c r="I1714" t="str" cm="1">
        <f t="array" ref="I1714">_xlfn.IFS(H1714&lt;=120,"V1",H1714&lt;=150,"V2",H1714&lt;=250,"V3", H1714&lt;=350, "V4")</f>
        <v>V3</v>
      </c>
      <c r="J1714" t="s">
        <v>6483</v>
      </c>
      <c r="K1714" t="str">
        <f t="shared" si="598"/>
        <v>33.21747</v>
      </c>
      <c r="L1714" t="str">
        <f t="shared" si="599"/>
        <v>-96.65721</v>
      </c>
      <c r="M1714">
        <v>199</v>
      </c>
      <c r="N1714" s="1">
        <v>44911</v>
      </c>
      <c r="O1714" s="1">
        <v>46099</v>
      </c>
      <c r="P1714" s="2">
        <f t="shared" si="600"/>
        <v>3.2525667351129361</v>
      </c>
      <c r="Q1714" s="2" t="str">
        <f t="shared" si="601"/>
        <v>Mid</v>
      </c>
      <c r="R1714">
        <f t="shared" si="602"/>
        <v>2000</v>
      </c>
      <c r="S1714" t="str">
        <f t="shared" si="603"/>
        <v>Small</v>
      </c>
      <c r="T1714" t="str">
        <f t="shared" si="604"/>
        <v>High EV Adoption Corridor</v>
      </c>
      <c r="U1714" s="3">
        <f t="shared" si="605"/>
        <v>4680000</v>
      </c>
      <c r="V1714" s="4">
        <f t="shared" si="606"/>
        <v>1056000</v>
      </c>
      <c r="W1714" s="3">
        <f t="shared" si="607"/>
        <v>13200000.000000002</v>
      </c>
      <c r="X1714" s="3">
        <f t="shared" si="608"/>
        <v>9900000.0000000019</v>
      </c>
      <c r="Y1714">
        <f t="shared" si="609"/>
        <v>0.23999999999999996</v>
      </c>
      <c r="Z1714">
        <f t="shared" si="610"/>
        <v>0.77435897435897438</v>
      </c>
      <c r="AA1714" t="str">
        <f t="shared" si="611"/>
        <v>Tier 1 - Priority Fleet</v>
      </c>
      <c r="AB1714" s="3">
        <f t="shared" si="612"/>
        <v>132000</v>
      </c>
      <c r="AC1714" s="3">
        <f t="shared" si="613"/>
        <v>1650000.0000000002</v>
      </c>
      <c r="AD1714" s="3">
        <f t="shared" si="614"/>
        <v>585000</v>
      </c>
      <c r="AE1714" s="5">
        <f t="shared" si="615"/>
        <v>3.6423841059602653</v>
      </c>
      <c r="AF1714" s="10">
        <f t="shared" si="616"/>
        <v>654720</v>
      </c>
      <c r="AG1714" s="10">
        <f t="shared" si="617"/>
        <v>211200</v>
      </c>
      <c r="AH1714" s="10">
        <f t="shared" si="618"/>
        <v>105600</v>
      </c>
      <c r="AI1714" s="10">
        <f t="shared" si="619"/>
        <v>52800</v>
      </c>
      <c r="AJ1714" s="10">
        <f t="shared" si="620"/>
        <v>31680</v>
      </c>
    </row>
    <row r="1715" spans="1:36" x14ac:dyDescent="0.3">
      <c r="A1715" t="s">
        <v>6484</v>
      </c>
      <c r="B1715" t="s">
        <v>6485</v>
      </c>
      <c r="C1715" t="s">
        <v>2848</v>
      </c>
      <c r="D1715" t="s">
        <v>28</v>
      </c>
      <c r="E1715">
        <v>31714</v>
      </c>
      <c r="F1715" t="s">
        <v>15</v>
      </c>
      <c r="G1715">
        <v>16</v>
      </c>
      <c r="H1715">
        <v>250</v>
      </c>
      <c r="I1715" t="str" cm="1">
        <f t="array" ref="I1715">_xlfn.IFS(H1715&lt;=120,"V1",H1715&lt;=150,"V2",H1715&lt;=250,"V3", H1715&lt;=350, "V4")</f>
        <v>V3</v>
      </c>
      <c r="J1715" t="s">
        <v>6486</v>
      </c>
      <c r="K1715" t="str">
        <f t="shared" si="598"/>
        <v>31.712344</v>
      </c>
      <c r="L1715" t="str">
        <f t="shared" si="599"/>
        <v>-83.638266</v>
      </c>
      <c r="M1715">
        <v>131</v>
      </c>
      <c r="N1715" s="1">
        <v>44883</v>
      </c>
      <c r="O1715" s="1">
        <v>46099</v>
      </c>
      <c r="P1715" s="2">
        <f t="shared" si="600"/>
        <v>3.3292265571526354</v>
      </c>
      <c r="Q1715" s="2" t="str">
        <f t="shared" si="601"/>
        <v>Mid</v>
      </c>
      <c r="R1715">
        <f t="shared" si="602"/>
        <v>4000</v>
      </c>
      <c r="S1715" t="str">
        <f t="shared" si="603"/>
        <v>Small</v>
      </c>
      <c r="T1715" t="str">
        <f t="shared" si="604"/>
        <v>Lower EV Adoption Corridor</v>
      </c>
      <c r="U1715" s="3">
        <f t="shared" si="605"/>
        <v>7200000</v>
      </c>
      <c r="V1715" s="4">
        <f t="shared" si="606"/>
        <v>1760000.0000000002</v>
      </c>
      <c r="W1715" s="3">
        <f t="shared" si="607"/>
        <v>24000000</v>
      </c>
      <c r="X1715" s="3">
        <f t="shared" si="608"/>
        <v>13200000.000000002</v>
      </c>
      <c r="Y1715">
        <f t="shared" si="609"/>
        <v>0.31515151515151513</v>
      </c>
      <c r="Z1715">
        <f t="shared" si="610"/>
        <v>0.75555555555555554</v>
      </c>
      <c r="AA1715" t="str">
        <f t="shared" si="611"/>
        <v>Tier 2 - Growth Markets</v>
      </c>
      <c r="AB1715" s="3">
        <f t="shared" si="612"/>
        <v>110000.00000000001</v>
      </c>
      <c r="AC1715" s="3">
        <f t="shared" si="613"/>
        <v>1500000</v>
      </c>
      <c r="AD1715" s="3">
        <f t="shared" si="614"/>
        <v>450000</v>
      </c>
      <c r="AE1715" s="5">
        <f t="shared" si="615"/>
        <v>4.4117647058823533</v>
      </c>
      <c r="AF1715" s="10">
        <f t="shared" si="616"/>
        <v>1091200.0000000002</v>
      </c>
      <c r="AG1715" s="10">
        <f t="shared" si="617"/>
        <v>352000.00000000006</v>
      </c>
      <c r="AH1715" s="10">
        <f t="shared" si="618"/>
        <v>176000.00000000003</v>
      </c>
      <c r="AI1715" s="10">
        <f t="shared" si="619"/>
        <v>88000.000000000015</v>
      </c>
      <c r="AJ1715" s="10">
        <f t="shared" si="620"/>
        <v>52800.000000000007</v>
      </c>
    </row>
    <row r="1716" spans="1:36" x14ac:dyDescent="0.3">
      <c r="A1716" t="s">
        <v>6487</v>
      </c>
      <c r="B1716" t="s">
        <v>6488</v>
      </c>
      <c r="C1716" t="s">
        <v>6489</v>
      </c>
      <c r="D1716" t="s">
        <v>28</v>
      </c>
      <c r="E1716">
        <v>30076</v>
      </c>
      <c r="F1716" t="s">
        <v>15</v>
      </c>
      <c r="G1716">
        <v>12</v>
      </c>
      <c r="H1716">
        <v>250</v>
      </c>
      <c r="I1716" t="str" cm="1">
        <f t="array" ref="I1716">_xlfn.IFS(H1716&lt;=120,"V1",H1716&lt;=150,"V2",H1716&lt;=250,"V3", H1716&lt;=350, "V4")</f>
        <v>V3</v>
      </c>
      <c r="J1716" t="s">
        <v>6490</v>
      </c>
      <c r="K1716" t="str">
        <f t="shared" si="598"/>
        <v>34.019005</v>
      </c>
      <c r="L1716" t="str">
        <f t="shared" si="599"/>
        <v>-84.312888</v>
      </c>
      <c r="M1716">
        <v>309</v>
      </c>
      <c r="N1716" s="1">
        <v>44885</v>
      </c>
      <c r="O1716" s="1">
        <v>46099</v>
      </c>
      <c r="P1716" s="2">
        <f t="shared" si="600"/>
        <v>3.3237508555783708</v>
      </c>
      <c r="Q1716" s="2" t="str">
        <f t="shared" si="601"/>
        <v>Mid</v>
      </c>
      <c r="R1716">
        <f t="shared" si="602"/>
        <v>3000</v>
      </c>
      <c r="S1716" t="str">
        <f t="shared" si="603"/>
        <v>Small</v>
      </c>
      <c r="T1716" t="str">
        <f t="shared" si="604"/>
        <v>Lower EV Adoption Corridor</v>
      </c>
      <c r="U1716" s="3">
        <f t="shared" si="605"/>
        <v>5400000</v>
      </c>
      <c r="V1716" s="4">
        <f t="shared" si="606"/>
        <v>1320000</v>
      </c>
      <c r="W1716" s="3">
        <f t="shared" si="607"/>
        <v>18000000</v>
      </c>
      <c r="X1716" s="3">
        <f t="shared" si="608"/>
        <v>9900000</v>
      </c>
      <c r="Y1716">
        <f t="shared" si="609"/>
        <v>0.31515151515151513</v>
      </c>
      <c r="Z1716">
        <f t="shared" si="610"/>
        <v>0.75555555555555554</v>
      </c>
      <c r="AA1716" t="str">
        <f t="shared" si="611"/>
        <v>Tier 2 - Growth Markets</v>
      </c>
      <c r="AB1716" s="3">
        <f t="shared" si="612"/>
        <v>110000</v>
      </c>
      <c r="AC1716" s="3">
        <f t="shared" si="613"/>
        <v>1500000</v>
      </c>
      <c r="AD1716" s="3">
        <f t="shared" si="614"/>
        <v>450000</v>
      </c>
      <c r="AE1716" s="5">
        <f t="shared" si="615"/>
        <v>4.4117647058823533</v>
      </c>
      <c r="AF1716" s="10">
        <f t="shared" si="616"/>
        <v>818400</v>
      </c>
      <c r="AG1716" s="10">
        <f t="shared" si="617"/>
        <v>264000</v>
      </c>
      <c r="AH1716" s="10">
        <f t="shared" si="618"/>
        <v>132000</v>
      </c>
      <c r="AI1716" s="10">
        <f t="shared" si="619"/>
        <v>66000</v>
      </c>
      <c r="AJ1716" s="10">
        <f t="shared" si="620"/>
        <v>39600</v>
      </c>
    </row>
    <row r="1717" spans="1:36" x14ac:dyDescent="0.3">
      <c r="A1717" t="s">
        <v>6491</v>
      </c>
      <c r="B1717" t="s">
        <v>6492</v>
      </c>
      <c r="C1717" t="s">
        <v>6493</v>
      </c>
      <c r="D1717" t="s">
        <v>546</v>
      </c>
      <c r="E1717">
        <v>40741</v>
      </c>
      <c r="F1717" t="s">
        <v>15</v>
      </c>
      <c r="G1717">
        <v>14</v>
      </c>
      <c r="H1717">
        <v>250</v>
      </c>
      <c r="I1717" t="str" cm="1">
        <f t="array" ref="I1717">_xlfn.IFS(H1717&lt;=120,"V1",H1717&lt;=150,"V2",H1717&lt;=250,"V3", H1717&lt;=350, "V4")</f>
        <v>V3</v>
      </c>
      <c r="J1717" t="s">
        <v>6494</v>
      </c>
      <c r="K1717" t="str">
        <f t="shared" si="598"/>
        <v>37.14916</v>
      </c>
      <c r="L1717" t="str">
        <f t="shared" si="599"/>
        <v>-84.11385</v>
      </c>
      <c r="M1717">
        <v>361</v>
      </c>
      <c r="N1717" s="1">
        <v>42039</v>
      </c>
      <c r="O1717" s="1">
        <v>46099</v>
      </c>
      <c r="P1717" s="2">
        <f t="shared" si="600"/>
        <v>11.115674195756331</v>
      </c>
      <c r="Q1717" s="2" t="str">
        <f t="shared" si="601"/>
        <v>Old</v>
      </c>
      <c r="R1717">
        <f t="shared" si="602"/>
        <v>3500</v>
      </c>
      <c r="S1717" t="str">
        <f t="shared" si="603"/>
        <v>Small</v>
      </c>
      <c r="T1717" t="str">
        <f t="shared" si="604"/>
        <v>Lower EV Adoption Corridor</v>
      </c>
      <c r="U1717" s="3">
        <f t="shared" si="605"/>
        <v>6300000</v>
      </c>
      <c r="V1717" s="4">
        <f t="shared" si="606"/>
        <v>1540000.0000000002</v>
      </c>
      <c r="W1717" s="3">
        <f t="shared" si="607"/>
        <v>21000000</v>
      </c>
      <c r="X1717" s="3">
        <f t="shared" si="608"/>
        <v>11550000.000000002</v>
      </c>
      <c r="Y1717">
        <f t="shared" si="609"/>
        <v>0.31515151515151513</v>
      </c>
      <c r="Z1717">
        <f t="shared" si="610"/>
        <v>0.75555555555555554</v>
      </c>
      <c r="AA1717" t="str">
        <f t="shared" si="611"/>
        <v>Tier 2 - Growth Markets</v>
      </c>
      <c r="AB1717" s="3">
        <f t="shared" si="612"/>
        <v>110000.00000000001</v>
      </c>
      <c r="AC1717" s="3">
        <f t="shared" si="613"/>
        <v>1500000</v>
      </c>
      <c r="AD1717" s="3">
        <f t="shared" si="614"/>
        <v>450000</v>
      </c>
      <c r="AE1717" s="5">
        <f t="shared" si="615"/>
        <v>4.4117647058823533</v>
      </c>
      <c r="AF1717" s="10">
        <f t="shared" si="616"/>
        <v>954800.00000000012</v>
      </c>
      <c r="AG1717" s="10">
        <f t="shared" si="617"/>
        <v>308000.00000000006</v>
      </c>
      <c r="AH1717" s="10">
        <f t="shared" si="618"/>
        <v>154000.00000000003</v>
      </c>
      <c r="AI1717" s="10">
        <f t="shared" si="619"/>
        <v>77000.000000000015</v>
      </c>
      <c r="AJ1717" s="10">
        <f t="shared" si="620"/>
        <v>46200.000000000007</v>
      </c>
    </row>
    <row r="1718" spans="1:36" x14ac:dyDescent="0.3">
      <c r="A1718" t="s">
        <v>6495</v>
      </c>
      <c r="B1718" t="s">
        <v>6496</v>
      </c>
      <c r="C1718" t="s">
        <v>6497</v>
      </c>
      <c r="D1718" t="s">
        <v>14</v>
      </c>
      <c r="E1718">
        <v>91324</v>
      </c>
      <c r="F1718" t="s">
        <v>15</v>
      </c>
      <c r="G1718">
        <v>24</v>
      </c>
      <c r="H1718">
        <v>250</v>
      </c>
      <c r="I1718" t="str" cm="1">
        <f t="array" ref="I1718">_xlfn.IFS(H1718&lt;=120,"V1",H1718&lt;=150,"V2",H1718&lt;=250,"V3", H1718&lt;=350, "V4")</f>
        <v>V3</v>
      </c>
      <c r="J1718" t="s">
        <v>6498</v>
      </c>
      <c r="K1718" t="str">
        <f t="shared" si="598"/>
        <v>34.23471</v>
      </c>
      <c r="L1718" t="str">
        <f t="shared" si="599"/>
        <v>-118.55287</v>
      </c>
      <c r="M1718">
        <v>252</v>
      </c>
      <c r="N1718" s="1">
        <v>44888</v>
      </c>
      <c r="O1718" s="1">
        <v>46099</v>
      </c>
      <c r="P1718" s="2">
        <f t="shared" si="600"/>
        <v>3.3155373032169746</v>
      </c>
      <c r="Q1718" s="2" t="str">
        <f t="shared" si="601"/>
        <v>Mid</v>
      </c>
      <c r="R1718">
        <f t="shared" si="602"/>
        <v>6000</v>
      </c>
      <c r="S1718" t="str">
        <f t="shared" si="603"/>
        <v>Small</v>
      </c>
      <c r="T1718" t="str">
        <f t="shared" si="604"/>
        <v>High EV Adoption Corridor</v>
      </c>
      <c r="U1718" s="3">
        <f t="shared" si="605"/>
        <v>14040000</v>
      </c>
      <c r="V1718" s="4">
        <f t="shared" si="606"/>
        <v>3168000</v>
      </c>
      <c r="W1718" s="3">
        <f t="shared" si="607"/>
        <v>39600000</v>
      </c>
      <c r="X1718" s="3">
        <f t="shared" si="608"/>
        <v>29700000</v>
      </c>
      <c r="Y1718">
        <f t="shared" si="609"/>
        <v>0.24</v>
      </c>
      <c r="Z1718">
        <f t="shared" si="610"/>
        <v>0.77435897435897438</v>
      </c>
      <c r="AA1718" t="str">
        <f t="shared" si="611"/>
        <v>Tier 1 - Priority Fleet</v>
      </c>
      <c r="AB1718" s="3">
        <f t="shared" si="612"/>
        <v>132000</v>
      </c>
      <c r="AC1718" s="3">
        <f t="shared" si="613"/>
        <v>1650000</v>
      </c>
      <c r="AD1718" s="3">
        <f t="shared" si="614"/>
        <v>585000</v>
      </c>
      <c r="AE1718" s="5">
        <f t="shared" si="615"/>
        <v>3.6423841059602649</v>
      </c>
      <c r="AF1718" s="10">
        <f t="shared" si="616"/>
        <v>1964160</v>
      </c>
      <c r="AG1718" s="10">
        <f t="shared" si="617"/>
        <v>633600</v>
      </c>
      <c r="AH1718" s="10">
        <f t="shared" si="618"/>
        <v>316800</v>
      </c>
      <c r="AI1718" s="10">
        <f t="shared" si="619"/>
        <v>158400</v>
      </c>
      <c r="AJ1718" s="10">
        <f t="shared" si="620"/>
        <v>95040</v>
      </c>
    </row>
    <row r="1719" spans="1:36" x14ac:dyDescent="0.3">
      <c r="A1719" t="s">
        <v>6499</v>
      </c>
      <c r="B1719" t="s">
        <v>6500</v>
      </c>
      <c r="C1719" t="s">
        <v>6501</v>
      </c>
      <c r="D1719" t="s">
        <v>316</v>
      </c>
      <c r="E1719">
        <v>97005</v>
      </c>
      <c r="F1719" t="s">
        <v>15</v>
      </c>
      <c r="G1719">
        <v>12</v>
      </c>
      <c r="H1719">
        <v>250</v>
      </c>
      <c r="I1719" t="str" cm="1">
        <f t="array" ref="I1719">_xlfn.IFS(H1719&lt;=120,"V1",H1719&lt;=150,"V2",H1719&lt;=250,"V3", H1719&lt;=350, "V4")</f>
        <v>V3</v>
      </c>
      <c r="J1719" t="s">
        <v>6502</v>
      </c>
      <c r="K1719" t="str">
        <f t="shared" si="598"/>
        <v>45.5010128</v>
      </c>
      <c r="L1719" t="str">
        <f t="shared" si="599"/>
        <v>-122.8096413</v>
      </c>
      <c r="M1719">
        <v>64</v>
      </c>
      <c r="N1719" s="1">
        <v>44957</v>
      </c>
      <c r="O1719" s="1">
        <v>46099</v>
      </c>
      <c r="P1719" s="2">
        <f t="shared" si="600"/>
        <v>3.1266255989048597</v>
      </c>
      <c r="Q1719" s="2" t="str">
        <f t="shared" si="601"/>
        <v>Mid</v>
      </c>
      <c r="R1719">
        <f t="shared" si="602"/>
        <v>3000</v>
      </c>
      <c r="S1719" t="str">
        <f t="shared" si="603"/>
        <v>Small</v>
      </c>
      <c r="T1719" t="str">
        <f t="shared" si="604"/>
        <v>Lower EV Adoption Corridor</v>
      </c>
      <c r="U1719" s="3">
        <f t="shared" si="605"/>
        <v>5400000</v>
      </c>
      <c r="V1719" s="4">
        <f t="shared" si="606"/>
        <v>1320000</v>
      </c>
      <c r="W1719" s="3">
        <f t="shared" si="607"/>
        <v>18000000</v>
      </c>
      <c r="X1719" s="3">
        <f t="shared" si="608"/>
        <v>9900000</v>
      </c>
      <c r="Y1719">
        <f t="shared" si="609"/>
        <v>0.31515151515151513</v>
      </c>
      <c r="Z1719">
        <f t="shared" si="610"/>
        <v>0.75555555555555554</v>
      </c>
      <c r="AA1719" t="str">
        <f t="shared" si="611"/>
        <v>Tier 2 - Growth Markets</v>
      </c>
      <c r="AB1719" s="3">
        <f t="shared" si="612"/>
        <v>110000</v>
      </c>
      <c r="AC1719" s="3">
        <f t="shared" si="613"/>
        <v>1500000</v>
      </c>
      <c r="AD1719" s="3">
        <f t="shared" si="614"/>
        <v>450000</v>
      </c>
      <c r="AE1719" s="5">
        <f t="shared" si="615"/>
        <v>4.4117647058823533</v>
      </c>
      <c r="AF1719" s="10">
        <f t="shared" si="616"/>
        <v>818400</v>
      </c>
      <c r="AG1719" s="10">
        <f t="shared" si="617"/>
        <v>264000</v>
      </c>
      <c r="AH1719" s="10">
        <f t="shared" si="618"/>
        <v>132000</v>
      </c>
      <c r="AI1719" s="10">
        <f t="shared" si="619"/>
        <v>66000</v>
      </c>
      <c r="AJ1719" s="10">
        <f t="shared" si="620"/>
        <v>39600</v>
      </c>
    </row>
    <row r="1720" spans="1:36" x14ac:dyDescent="0.3">
      <c r="A1720" t="s">
        <v>6503</v>
      </c>
      <c r="B1720" t="s">
        <v>6504</v>
      </c>
      <c r="C1720" t="s">
        <v>6505</v>
      </c>
      <c r="D1720" t="s">
        <v>153</v>
      </c>
      <c r="E1720">
        <v>19465</v>
      </c>
      <c r="F1720" t="s">
        <v>15</v>
      </c>
      <c r="G1720">
        <v>12</v>
      </c>
      <c r="H1720">
        <v>250</v>
      </c>
      <c r="I1720" t="str" cm="1">
        <f t="array" ref="I1720">_xlfn.IFS(H1720&lt;=120,"V1",H1720&lt;=150,"V2",H1720&lt;=250,"V3", H1720&lt;=350, "V4")</f>
        <v>V3</v>
      </c>
      <c r="J1720" t="s">
        <v>6506</v>
      </c>
      <c r="K1720" t="str">
        <f t="shared" si="598"/>
        <v>40.2330528</v>
      </c>
      <c r="L1720" t="str">
        <f t="shared" si="599"/>
        <v>-75.657935</v>
      </c>
      <c r="M1720">
        <v>59</v>
      </c>
      <c r="N1720" s="1">
        <v>44945</v>
      </c>
      <c r="O1720" s="1">
        <v>46099</v>
      </c>
      <c r="P1720" s="2">
        <f t="shared" si="600"/>
        <v>3.159479808350445</v>
      </c>
      <c r="Q1720" s="2" t="str">
        <f t="shared" si="601"/>
        <v>Mid</v>
      </c>
      <c r="R1720">
        <f t="shared" si="602"/>
        <v>3000</v>
      </c>
      <c r="S1720" t="str">
        <f t="shared" si="603"/>
        <v>Small</v>
      </c>
      <c r="T1720" t="str">
        <f t="shared" si="604"/>
        <v>Lower EV Adoption Corridor</v>
      </c>
      <c r="U1720" s="3">
        <f t="shared" si="605"/>
        <v>5400000</v>
      </c>
      <c r="V1720" s="4">
        <f t="shared" si="606"/>
        <v>1320000</v>
      </c>
      <c r="W1720" s="3">
        <f t="shared" si="607"/>
        <v>18000000</v>
      </c>
      <c r="X1720" s="3">
        <f t="shared" si="608"/>
        <v>9900000</v>
      </c>
      <c r="Y1720">
        <f t="shared" si="609"/>
        <v>0.31515151515151513</v>
      </c>
      <c r="Z1720">
        <f t="shared" si="610"/>
        <v>0.75555555555555554</v>
      </c>
      <c r="AA1720" t="str">
        <f t="shared" si="611"/>
        <v>Tier 2 - Growth Markets</v>
      </c>
      <c r="AB1720" s="3">
        <f t="shared" si="612"/>
        <v>110000</v>
      </c>
      <c r="AC1720" s="3">
        <f t="shared" si="613"/>
        <v>1500000</v>
      </c>
      <c r="AD1720" s="3">
        <f t="shared" si="614"/>
        <v>450000</v>
      </c>
      <c r="AE1720" s="5">
        <f t="shared" si="615"/>
        <v>4.4117647058823533</v>
      </c>
      <c r="AF1720" s="10">
        <f t="shared" si="616"/>
        <v>818400</v>
      </c>
      <c r="AG1720" s="10">
        <f t="shared" si="617"/>
        <v>264000</v>
      </c>
      <c r="AH1720" s="10">
        <f t="shared" si="618"/>
        <v>132000</v>
      </c>
      <c r="AI1720" s="10">
        <f t="shared" si="619"/>
        <v>66000</v>
      </c>
      <c r="AJ1720" s="10">
        <f t="shared" si="620"/>
        <v>39600</v>
      </c>
    </row>
    <row r="1721" spans="1:36" x14ac:dyDescent="0.3">
      <c r="A1721" t="s">
        <v>6507</v>
      </c>
      <c r="B1721" t="s">
        <v>6508</v>
      </c>
      <c r="C1721" t="s">
        <v>1708</v>
      </c>
      <c r="D1721" t="s">
        <v>72</v>
      </c>
      <c r="E1721">
        <v>86004</v>
      </c>
      <c r="F1721" t="s">
        <v>15</v>
      </c>
      <c r="G1721">
        <v>24</v>
      </c>
      <c r="H1721">
        <v>250</v>
      </c>
      <c r="I1721" t="str" cm="1">
        <f t="array" ref="I1721">_xlfn.IFS(H1721&lt;=120,"V1",H1721&lt;=150,"V2",H1721&lt;=250,"V3", H1721&lt;=350, "V4")</f>
        <v>V3</v>
      </c>
      <c r="J1721" t="s">
        <v>6509</v>
      </c>
      <c r="K1721" t="str">
        <f t="shared" si="598"/>
        <v>35.2328</v>
      </c>
      <c r="L1721" t="str">
        <f t="shared" si="599"/>
        <v>-111.5756</v>
      </c>
      <c r="M1721">
        <v>2101</v>
      </c>
      <c r="N1721" s="1">
        <v>44978</v>
      </c>
      <c r="O1721" s="1">
        <v>46099</v>
      </c>
      <c r="P1721" s="2">
        <f t="shared" si="600"/>
        <v>3.0691307323750854</v>
      </c>
      <c r="Q1721" s="2" t="str">
        <f t="shared" si="601"/>
        <v>Mid</v>
      </c>
      <c r="R1721">
        <f t="shared" si="602"/>
        <v>6000</v>
      </c>
      <c r="S1721" t="str">
        <f t="shared" si="603"/>
        <v>Small</v>
      </c>
      <c r="T1721" t="str">
        <f t="shared" si="604"/>
        <v>Lower EV Adoption Corridor</v>
      </c>
      <c r="U1721" s="3">
        <f t="shared" si="605"/>
        <v>10800000</v>
      </c>
      <c r="V1721" s="4">
        <f t="shared" si="606"/>
        <v>2640000</v>
      </c>
      <c r="W1721" s="3">
        <f t="shared" si="607"/>
        <v>36000000</v>
      </c>
      <c r="X1721" s="3">
        <f t="shared" si="608"/>
        <v>19800000</v>
      </c>
      <c r="Y1721">
        <f t="shared" si="609"/>
        <v>0.31515151515151513</v>
      </c>
      <c r="Z1721">
        <f t="shared" si="610"/>
        <v>0.75555555555555554</v>
      </c>
      <c r="AA1721" t="str">
        <f t="shared" si="611"/>
        <v>Tier 2 - Growth Markets</v>
      </c>
      <c r="AB1721" s="3">
        <f t="shared" si="612"/>
        <v>110000</v>
      </c>
      <c r="AC1721" s="3">
        <f t="shared" si="613"/>
        <v>1500000</v>
      </c>
      <c r="AD1721" s="3">
        <f t="shared" si="614"/>
        <v>450000</v>
      </c>
      <c r="AE1721" s="5">
        <f t="shared" si="615"/>
        <v>4.4117647058823533</v>
      </c>
      <c r="AF1721" s="10">
        <f t="shared" si="616"/>
        <v>1636800</v>
      </c>
      <c r="AG1721" s="10">
        <f t="shared" si="617"/>
        <v>528000</v>
      </c>
      <c r="AH1721" s="10">
        <f t="shared" si="618"/>
        <v>264000</v>
      </c>
      <c r="AI1721" s="10">
        <f t="shared" si="619"/>
        <v>132000</v>
      </c>
      <c r="AJ1721" s="10">
        <f t="shared" si="620"/>
        <v>79200</v>
      </c>
    </row>
    <row r="1722" spans="1:36" x14ac:dyDescent="0.3">
      <c r="A1722" t="s">
        <v>6510</v>
      </c>
      <c r="B1722" t="s">
        <v>6511</v>
      </c>
      <c r="C1722" t="s">
        <v>6512</v>
      </c>
      <c r="D1722" t="s">
        <v>158</v>
      </c>
      <c r="E1722">
        <v>13131</v>
      </c>
      <c r="F1722" t="s">
        <v>15</v>
      </c>
      <c r="G1722">
        <v>8</v>
      </c>
      <c r="H1722">
        <v>250</v>
      </c>
      <c r="I1722" t="str" cm="1">
        <f t="array" ref="I1722">_xlfn.IFS(H1722&lt;=120,"V1",H1722&lt;=150,"V2",H1722&lt;=250,"V3", H1722&lt;=350, "V4")</f>
        <v>V3</v>
      </c>
      <c r="J1722" t="s">
        <v>6513</v>
      </c>
      <c r="K1722" t="str">
        <f t="shared" si="598"/>
        <v>43.408589</v>
      </c>
      <c r="L1722" t="str">
        <f t="shared" si="599"/>
        <v>-76.114268</v>
      </c>
      <c r="M1722">
        <v>152</v>
      </c>
      <c r="N1722" s="1">
        <v>44934</v>
      </c>
      <c r="O1722" s="1">
        <v>46099</v>
      </c>
      <c r="P1722" s="2">
        <f t="shared" si="600"/>
        <v>3.1895961670088981</v>
      </c>
      <c r="Q1722" s="2" t="str">
        <f t="shared" si="601"/>
        <v>Mid</v>
      </c>
      <c r="R1722">
        <f t="shared" si="602"/>
        <v>2000</v>
      </c>
      <c r="S1722" t="str">
        <f t="shared" si="603"/>
        <v>Small</v>
      </c>
      <c r="T1722" t="str">
        <f t="shared" si="604"/>
        <v>Lower EV Adoption Corridor</v>
      </c>
      <c r="U1722" s="3">
        <f t="shared" si="605"/>
        <v>3600000</v>
      </c>
      <c r="V1722" s="4">
        <f t="shared" si="606"/>
        <v>880000.00000000012</v>
      </c>
      <c r="W1722" s="3">
        <f t="shared" si="607"/>
        <v>12000000</v>
      </c>
      <c r="X1722" s="3">
        <f t="shared" si="608"/>
        <v>6600000.0000000009</v>
      </c>
      <c r="Y1722">
        <f t="shared" si="609"/>
        <v>0.31515151515151513</v>
      </c>
      <c r="Z1722">
        <f t="shared" si="610"/>
        <v>0.75555555555555554</v>
      </c>
      <c r="AA1722" t="str">
        <f t="shared" si="611"/>
        <v>Tier 2 - Growth Markets</v>
      </c>
      <c r="AB1722" s="3">
        <f t="shared" si="612"/>
        <v>110000.00000000001</v>
      </c>
      <c r="AC1722" s="3">
        <f t="shared" si="613"/>
        <v>1500000</v>
      </c>
      <c r="AD1722" s="3">
        <f t="shared" si="614"/>
        <v>450000</v>
      </c>
      <c r="AE1722" s="5">
        <f t="shared" si="615"/>
        <v>4.4117647058823533</v>
      </c>
      <c r="AF1722" s="10">
        <f t="shared" si="616"/>
        <v>545600.00000000012</v>
      </c>
      <c r="AG1722" s="10">
        <f t="shared" si="617"/>
        <v>176000.00000000003</v>
      </c>
      <c r="AH1722" s="10">
        <f t="shared" si="618"/>
        <v>88000.000000000015</v>
      </c>
      <c r="AI1722" s="10">
        <f t="shared" si="619"/>
        <v>44000.000000000007</v>
      </c>
      <c r="AJ1722" s="10">
        <f t="shared" si="620"/>
        <v>26400.000000000004</v>
      </c>
    </row>
    <row r="1723" spans="1:36" x14ac:dyDescent="0.3">
      <c r="A1723" t="s">
        <v>6514</v>
      </c>
      <c r="B1723" t="s">
        <v>6515</v>
      </c>
      <c r="C1723" t="s">
        <v>605</v>
      </c>
      <c r="D1723" t="s">
        <v>50</v>
      </c>
      <c r="E1723">
        <v>77056</v>
      </c>
      <c r="F1723" t="s">
        <v>15</v>
      </c>
      <c r="G1723">
        <v>16</v>
      </c>
      <c r="H1723">
        <v>250</v>
      </c>
      <c r="I1723" t="str" cm="1">
        <f t="array" ref="I1723">_xlfn.IFS(H1723&lt;=120,"V1",H1723&lt;=150,"V2",H1723&lt;=250,"V3", H1723&lt;=350, "V4")</f>
        <v>V3</v>
      </c>
      <c r="J1723" t="s">
        <v>6516</v>
      </c>
      <c r="K1723" t="str">
        <f t="shared" si="598"/>
        <v>29.7377385</v>
      </c>
      <c r="L1723" t="str">
        <f t="shared" si="599"/>
        <v>-95.4639171</v>
      </c>
      <c r="M1723">
        <v>18</v>
      </c>
      <c r="N1723" s="1">
        <v>44379</v>
      </c>
      <c r="O1723" s="1">
        <v>46099</v>
      </c>
      <c r="P1723" s="2">
        <f t="shared" si="600"/>
        <v>4.7091033538672145</v>
      </c>
      <c r="Q1723" s="2" t="str">
        <f t="shared" si="601"/>
        <v>Mid</v>
      </c>
      <c r="R1723">
        <f t="shared" si="602"/>
        <v>4000</v>
      </c>
      <c r="S1723" t="str">
        <f t="shared" si="603"/>
        <v>Small</v>
      </c>
      <c r="T1723" t="str">
        <f t="shared" si="604"/>
        <v>High EV Adoption Corridor</v>
      </c>
      <c r="U1723" s="3">
        <f t="shared" si="605"/>
        <v>9360000</v>
      </c>
      <c r="V1723" s="4">
        <f t="shared" si="606"/>
        <v>2112000</v>
      </c>
      <c r="W1723" s="3">
        <f t="shared" si="607"/>
        <v>26400000.000000004</v>
      </c>
      <c r="X1723" s="3">
        <f t="shared" si="608"/>
        <v>19800000.000000004</v>
      </c>
      <c r="Y1723">
        <f t="shared" si="609"/>
        <v>0.23999999999999996</v>
      </c>
      <c r="Z1723">
        <f t="shared" si="610"/>
        <v>0.77435897435897438</v>
      </c>
      <c r="AA1723" t="str">
        <f t="shared" si="611"/>
        <v>Tier 1 - Priority Fleet</v>
      </c>
      <c r="AB1723" s="3">
        <f t="shared" si="612"/>
        <v>132000</v>
      </c>
      <c r="AC1723" s="3">
        <f t="shared" si="613"/>
        <v>1650000.0000000002</v>
      </c>
      <c r="AD1723" s="3">
        <f t="shared" si="614"/>
        <v>585000</v>
      </c>
      <c r="AE1723" s="5">
        <f t="shared" si="615"/>
        <v>3.6423841059602653</v>
      </c>
      <c r="AF1723" s="10">
        <f t="shared" si="616"/>
        <v>1309440</v>
      </c>
      <c r="AG1723" s="10">
        <f t="shared" si="617"/>
        <v>422400</v>
      </c>
      <c r="AH1723" s="10">
        <f t="shared" si="618"/>
        <v>211200</v>
      </c>
      <c r="AI1723" s="10">
        <f t="shared" si="619"/>
        <v>105600</v>
      </c>
      <c r="AJ1723" s="10">
        <f t="shared" si="620"/>
        <v>63360</v>
      </c>
    </row>
    <row r="1724" spans="1:36" x14ac:dyDescent="0.3">
      <c r="A1724" t="s">
        <v>6517</v>
      </c>
      <c r="B1724" t="s">
        <v>6518</v>
      </c>
      <c r="C1724" t="s">
        <v>115</v>
      </c>
      <c r="D1724" t="s">
        <v>230</v>
      </c>
      <c r="E1724">
        <v>98233</v>
      </c>
      <c r="F1724" t="s">
        <v>15</v>
      </c>
      <c r="G1724">
        <v>10</v>
      </c>
      <c r="H1724">
        <v>150</v>
      </c>
      <c r="I1724" t="str" cm="1">
        <f t="array" ref="I1724">_xlfn.IFS(H1724&lt;=120,"V1",H1724&lt;=150,"V2",H1724&lt;=250,"V3", H1724&lt;=350, "V4")</f>
        <v>V2</v>
      </c>
      <c r="J1724" t="s">
        <v>6519</v>
      </c>
      <c r="K1724" t="str">
        <f t="shared" si="598"/>
        <v>48.509772</v>
      </c>
      <c r="L1724" t="str">
        <f t="shared" si="599"/>
        <v>-122.338625</v>
      </c>
      <c r="M1724">
        <v>7</v>
      </c>
      <c r="N1724" s="1">
        <v>41468</v>
      </c>
      <c r="O1724" s="1">
        <v>46099</v>
      </c>
      <c r="P1724" s="2">
        <f t="shared" si="600"/>
        <v>12.678986995208762</v>
      </c>
      <c r="Q1724" s="2" t="str">
        <f t="shared" si="601"/>
        <v>Old</v>
      </c>
      <c r="R1724">
        <f t="shared" si="602"/>
        <v>1500</v>
      </c>
      <c r="S1724" t="str">
        <f t="shared" si="603"/>
        <v>Small</v>
      </c>
      <c r="T1724" t="str">
        <f t="shared" si="604"/>
        <v>High EV Adoption Corridor</v>
      </c>
      <c r="U1724" s="3">
        <f t="shared" si="605"/>
        <v>3217500</v>
      </c>
      <c r="V1724" s="4">
        <f t="shared" si="606"/>
        <v>720000</v>
      </c>
      <c r="W1724" s="3">
        <f t="shared" si="607"/>
        <v>8250000.0000000009</v>
      </c>
      <c r="X1724" s="3">
        <f t="shared" si="608"/>
        <v>6750000</v>
      </c>
      <c r="Y1724">
        <f t="shared" si="609"/>
        <v>0.22888888888888889</v>
      </c>
      <c r="Z1724">
        <f t="shared" si="610"/>
        <v>0.77622377622377625</v>
      </c>
      <c r="AA1724" t="str">
        <f t="shared" si="611"/>
        <v>Tier 3 - Upgrade Pipeline</v>
      </c>
      <c r="AB1724" s="3">
        <f t="shared" si="612"/>
        <v>72000</v>
      </c>
      <c r="AC1724" s="3">
        <f t="shared" si="613"/>
        <v>825000.00000000012</v>
      </c>
      <c r="AD1724" s="3">
        <f t="shared" si="614"/>
        <v>321750</v>
      </c>
      <c r="AE1724" s="5">
        <f t="shared" si="615"/>
        <v>3.3033033033033035</v>
      </c>
      <c r="AF1724" s="10">
        <f t="shared" si="616"/>
        <v>446400</v>
      </c>
      <c r="AG1724" s="10">
        <f t="shared" si="617"/>
        <v>144000</v>
      </c>
      <c r="AH1724" s="10">
        <f t="shared" si="618"/>
        <v>72000</v>
      </c>
      <c r="AI1724" s="10">
        <f t="shared" si="619"/>
        <v>36000</v>
      </c>
      <c r="AJ1724" s="10">
        <f t="shared" si="620"/>
        <v>21600</v>
      </c>
    </row>
    <row r="1725" spans="1:36" x14ac:dyDescent="0.3">
      <c r="A1725" t="s">
        <v>6520</v>
      </c>
      <c r="B1725" t="s">
        <v>6521</v>
      </c>
      <c r="C1725" t="s">
        <v>6522</v>
      </c>
      <c r="D1725" t="s">
        <v>41</v>
      </c>
      <c r="E1725">
        <v>32336</v>
      </c>
      <c r="F1725" t="s">
        <v>15</v>
      </c>
      <c r="G1725">
        <v>8</v>
      </c>
      <c r="H1725">
        <v>250</v>
      </c>
      <c r="I1725" t="str" cm="1">
        <f t="array" ref="I1725">_xlfn.IFS(H1725&lt;=120,"V1",H1725&lt;=150,"V2",H1725&lt;=250,"V3", H1725&lt;=350, "V4")</f>
        <v>V3</v>
      </c>
      <c r="J1725" t="s">
        <v>6523</v>
      </c>
      <c r="K1725" t="str">
        <f t="shared" si="598"/>
        <v>30.472366</v>
      </c>
      <c r="L1725" t="str">
        <f t="shared" si="599"/>
        <v>-83.892265</v>
      </c>
      <c r="M1725">
        <v>69</v>
      </c>
      <c r="N1725" s="1">
        <v>44889</v>
      </c>
      <c r="O1725" s="1">
        <v>46099</v>
      </c>
      <c r="P1725" s="2">
        <f t="shared" si="600"/>
        <v>3.3127994524298425</v>
      </c>
      <c r="Q1725" s="2" t="str">
        <f t="shared" si="601"/>
        <v>Mid</v>
      </c>
      <c r="R1725">
        <f t="shared" si="602"/>
        <v>2000</v>
      </c>
      <c r="S1725" t="str">
        <f t="shared" si="603"/>
        <v>Small</v>
      </c>
      <c r="T1725" t="str">
        <f t="shared" si="604"/>
        <v>High EV Adoption Corridor</v>
      </c>
      <c r="U1725" s="3">
        <f t="shared" si="605"/>
        <v>4680000</v>
      </c>
      <c r="V1725" s="4">
        <f t="shared" si="606"/>
        <v>1056000</v>
      </c>
      <c r="W1725" s="3">
        <f t="shared" si="607"/>
        <v>13200000.000000002</v>
      </c>
      <c r="X1725" s="3">
        <f t="shared" si="608"/>
        <v>9900000.0000000019</v>
      </c>
      <c r="Y1725">
        <f t="shared" si="609"/>
        <v>0.23999999999999996</v>
      </c>
      <c r="Z1725">
        <f t="shared" si="610"/>
        <v>0.77435897435897438</v>
      </c>
      <c r="AA1725" t="str">
        <f t="shared" si="611"/>
        <v>Tier 1 - Priority Fleet</v>
      </c>
      <c r="AB1725" s="3">
        <f t="shared" si="612"/>
        <v>132000</v>
      </c>
      <c r="AC1725" s="3">
        <f t="shared" si="613"/>
        <v>1650000.0000000002</v>
      </c>
      <c r="AD1725" s="3">
        <f t="shared" si="614"/>
        <v>585000</v>
      </c>
      <c r="AE1725" s="5">
        <f t="shared" si="615"/>
        <v>3.6423841059602653</v>
      </c>
      <c r="AF1725" s="10">
        <f t="shared" si="616"/>
        <v>654720</v>
      </c>
      <c r="AG1725" s="10">
        <f t="shared" si="617"/>
        <v>211200</v>
      </c>
      <c r="AH1725" s="10">
        <f t="shared" si="618"/>
        <v>105600</v>
      </c>
      <c r="AI1725" s="10">
        <f t="shared" si="619"/>
        <v>52800</v>
      </c>
      <c r="AJ1725" s="10">
        <f t="shared" si="620"/>
        <v>31680</v>
      </c>
    </row>
    <row r="1726" spans="1:36" x14ac:dyDescent="0.3">
      <c r="A1726" t="s">
        <v>6524</v>
      </c>
      <c r="B1726" t="s">
        <v>6525</v>
      </c>
      <c r="C1726" t="s">
        <v>1114</v>
      </c>
      <c r="D1726" t="s">
        <v>153</v>
      </c>
      <c r="E1726">
        <v>19007</v>
      </c>
      <c r="F1726" t="s">
        <v>15</v>
      </c>
      <c r="G1726">
        <v>8</v>
      </c>
      <c r="H1726">
        <v>250</v>
      </c>
      <c r="I1726" t="str" cm="1">
        <f t="array" ref="I1726">_xlfn.IFS(H1726&lt;=120,"V1",H1726&lt;=150,"V2",H1726&lt;=250,"V3", H1726&lt;=350, "V4")</f>
        <v>V3</v>
      </c>
      <c r="J1726" t="s">
        <v>6526</v>
      </c>
      <c r="K1726" t="str">
        <f t="shared" si="598"/>
        <v>40.118187</v>
      </c>
      <c r="L1726" t="str">
        <f t="shared" si="599"/>
        <v>-74.844438</v>
      </c>
      <c r="M1726">
        <v>9</v>
      </c>
      <c r="N1726" s="1">
        <v>44998</v>
      </c>
      <c r="O1726" s="1">
        <v>46099</v>
      </c>
      <c r="P1726" s="2">
        <f t="shared" si="600"/>
        <v>3.0143737166324436</v>
      </c>
      <c r="Q1726" s="2" t="str">
        <f t="shared" si="601"/>
        <v>Mid</v>
      </c>
      <c r="R1726">
        <f t="shared" si="602"/>
        <v>2000</v>
      </c>
      <c r="S1726" t="str">
        <f t="shared" si="603"/>
        <v>Small</v>
      </c>
      <c r="T1726" t="str">
        <f t="shared" si="604"/>
        <v>Lower EV Adoption Corridor</v>
      </c>
      <c r="U1726" s="3">
        <f t="shared" si="605"/>
        <v>3600000</v>
      </c>
      <c r="V1726" s="4">
        <f t="shared" si="606"/>
        <v>880000.00000000012</v>
      </c>
      <c r="W1726" s="3">
        <f t="shared" si="607"/>
        <v>12000000</v>
      </c>
      <c r="X1726" s="3">
        <f t="shared" si="608"/>
        <v>6600000.0000000009</v>
      </c>
      <c r="Y1726">
        <f t="shared" si="609"/>
        <v>0.31515151515151513</v>
      </c>
      <c r="Z1726">
        <f t="shared" si="610"/>
        <v>0.75555555555555554</v>
      </c>
      <c r="AA1726" t="str">
        <f t="shared" si="611"/>
        <v>Tier 2 - Growth Markets</v>
      </c>
      <c r="AB1726" s="3">
        <f t="shared" si="612"/>
        <v>110000.00000000001</v>
      </c>
      <c r="AC1726" s="3">
        <f t="shared" si="613"/>
        <v>1500000</v>
      </c>
      <c r="AD1726" s="3">
        <f t="shared" si="614"/>
        <v>450000</v>
      </c>
      <c r="AE1726" s="5">
        <f t="shared" si="615"/>
        <v>4.4117647058823533</v>
      </c>
      <c r="AF1726" s="10">
        <f t="shared" si="616"/>
        <v>545600.00000000012</v>
      </c>
      <c r="AG1726" s="10">
        <f t="shared" si="617"/>
        <v>176000.00000000003</v>
      </c>
      <c r="AH1726" s="10">
        <f t="shared" si="618"/>
        <v>88000.000000000015</v>
      </c>
      <c r="AI1726" s="10">
        <f t="shared" si="619"/>
        <v>44000.000000000007</v>
      </c>
      <c r="AJ1726" s="10">
        <f t="shared" si="620"/>
        <v>26400.000000000004</v>
      </c>
    </row>
    <row r="1727" spans="1:36" x14ac:dyDescent="0.3">
      <c r="A1727" t="s">
        <v>6527</v>
      </c>
      <c r="B1727" t="s">
        <v>6528</v>
      </c>
      <c r="C1727" t="s">
        <v>6529</v>
      </c>
      <c r="D1727" t="s">
        <v>316</v>
      </c>
      <c r="E1727">
        <v>97071</v>
      </c>
      <c r="F1727" t="s">
        <v>15</v>
      </c>
      <c r="G1727">
        <v>12</v>
      </c>
      <c r="H1727">
        <v>250</v>
      </c>
      <c r="I1727" t="str" cm="1">
        <f t="array" ref="I1727">_xlfn.IFS(H1727&lt;=120,"V1",H1727&lt;=150,"V2",H1727&lt;=250,"V3", H1727&lt;=350, "V4")</f>
        <v>V3</v>
      </c>
      <c r="J1727" t="s">
        <v>6530</v>
      </c>
      <c r="K1727" t="str">
        <f t="shared" si="598"/>
        <v>45.15313</v>
      </c>
      <c r="L1727" t="str">
        <f t="shared" si="599"/>
        <v>-122.881254</v>
      </c>
      <c r="M1727">
        <v>56</v>
      </c>
      <c r="N1727" s="1">
        <v>41514</v>
      </c>
      <c r="O1727" s="1">
        <v>46099</v>
      </c>
      <c r="P1727" s="2">
        <f t="shared" si="600"/>
        <v>12.553045859000685</v>
      </c>
      <c r="Q1727" s="2" t="str">
        <f t="shared" si="601"/>
        <v>Old</v>
      </c>
      <c r="R1727">
        <f t="shared" si="602"/>
        <v>3000</v>
      </c>
      <c r="S1727" t="str">
        <f t="shared" si="603"/>
        <v>Small</v>
      </c>
      <c r="T1727" t="str">
        <f t="shared" si="604"/>
        <v>Lower EV Adoption Corridor</v>
      </c>
      <c r="U1727" s="3">
        <f t="shared" si="605"/>
        <v>5400000</v>
      </c>
      <c r="V1727" s="4">
        <f t="shared" si="606"/>
        <v>1320000</v>
      </c>
      <c r="W1727" s="3">
        <f t="shared" si="607"/>
        <v>18000000</v>
      </c>
      <c r="X1727" s="3">
        <f t="shared" si="608"/>
        <v>9900000</v>
      </c>
      <c r="Y1727">
        <f t="shared" si="609"/>
        <v>0.31515151515151513</v>
      </c>
      <c r="Z1727">
        <f t="shared" si="610"/>
        <v>0.75555555555555554</v>
      </c>
      <c r="AA1727" t="str">
        <f t="shared" si="611"/>
        <v>Tier 2 - Growth Markets</v>
      </c>
      <c r="AB1727" s="3">
        <f t="shared" si="612"/>
        <v>110000</v>
      </c>
      <c r="AC1727" s="3">
        <f t="shared" si="613"/>
        <v>1500000</v>
      </c>
      <c r="AD1727" s="3">
        <f t="shared" si="614"/>
        <v>450000</v>
      </c>
      <c r="AE1727" s="5">
        <f t="shared" si="615"/>
        <v>4.4117647058823533</v>
      </c>
      <c r="AF1727" s="10">
        <f t="shared" si="616"/>
        <v>818400</v>
      </c>
      <c r="AG1727" s="10">
        <f t="shared" si="617"/>
        <v>264000</v>
      </c>
      <c r="AH1727" s="10">
        <f t="shared" si="618"/>
        <v>132000</v>
      </c>
      <c r="AI1727" s="10">
        <f t="shared" si="619"/>
        <v>66000</v>
      </c>
      <c r="AJ1727" s="10">
        <f t="shared" si="620"/>
        <v>39600</v>
      </c>
    </row>
    <row r="1728" spans="1:36" x14ac:dyDescent="0.3">
      <c r="A1728" t="s">
        <v>6531</v>
      </c>
      <c r="B1728" t="s">
        <v>6532</v>
      </c>
      <c r="C1728" t="s">
        <v>6533</v>
      </c>
      <c r="D1728" t="s">
        <v>153</v>
      </c>
      <c r="E1728">
        <v>17055</v>
      </c>
      <c r="F1728" t="s">
        <v>15</v>
      </c>
      <c r="G1728">
        <v>8</v>
      </c>
      <c r="H1728">
        <v>250</v>
      </c>
      <c r="I1728" t="str" cm="1">
        <f t="array" ref="I1728">_xlfn.IFS(H1728&lt;=120,"V1",H1728&lt;=150,"V2",H1728&lt;=250,"V3", H1728&lt;=350, "V4")</f>
        <v>V3</v>
      </c>
      <c r="J1728" t="s">
        <v>6534</v>
      </c>
      <c r="K1728" t="str">
        <f t="shared" si="598"/>
        <v>40.194428</v>
      </c>
      <c r="L1728" t="str">
        <f t="shared" si="599"/>
        <v>-76.992163</v>
      </c>
      <c r="M1728">
        <v>142</v>
      </c>
      <c r="N1728" s="1">
        <v>44964</v>
      </c>
      <c r="O1728" s="1">
        <v>46099</v>
      </c>
      <c r="P1728" s="2">
        <f t="shared" si="600"/>
        <v>3.1074606433949348</v>
      </c>
      <c r="Q1728" s="2" t="str">
        <f t="shared" si="601"/>
        <v>Mid</v>
      </c>
      <c r="R1728">
        <f t="shared" si="602"/>
        <v>2000</v>
      </c>
      <c r="S1728" t="str">
        <f t="shared" si="603"/>
        <v>Small</v>
      </c>
      <c r="T1728" t="str">
        <f t="shared" si="604"/>
        <v>Lower EV Adoption Corridor</v>
      </c>
      <c r="U1728" s="3">
        <f t="shared" si="605"/>
        <v>3600000</v>
      </c>
      <c r="V1728" s="4">
        <f t="shared" si="606"/>
        <v>880000.00000000012</v>
      </c>
      <c r="W1728" s="3">
        <f t="shared" si="607"/>
        <v>12000000</v>
      </c>
      <c r="X1728" s="3">
        <f t="shared" si="608"/>
        <v>6600000.0000000009</v>
      </c>
      <c r="Y1728">
        <f t="shared" si="609"/>
        <v>0.31515151515151513</v>
      </c>
      <c r="Z1728">
        <f t="shared" si="610"/>
        <v>0.75555555555555554</v>
      </c>
      <c r="AA1728" t="str">
        <f t="shared" si="611"/>
        <v>Tier 2 - Growth Markets</v>
      </c>
      <c r="AB1728" s="3">
        <f t="shared" si="612"/>
        <v>110000.00000000001</v>
      </c>
      <c r="AC1728" s="3">
        <f t="shared" si="613"/>
        <v>1500000</v>
      </c>
      <c r="AD1728" s="3">
        <f t="shared" si="614"/>
        <v>450000</v>
      </c>
      <c r="AE1728" s="5">
        <f t="shared" si="615"/>
        <v>4.4117647058823533</v>
      </c>
      <c r="AF1728" s="10">
        <f t="shared" si="616"/>
        <v>545600.00000000012</v>
      </c>
      <c r="AG1728" s="10">
        <f t="shared" si="617"/>
        <v>176000.00000000003</v>
      </c>
      <c r="AH1728" s="10">
        <f t="shared" si="618"/>
        <v>88000.000000000015</v>
      </c>
      <c r="AI1728" s="10">
        <f t="shared" si="619"/>
        <v>44000.000000000007</v>
      </c>
      <c r="AJ1728" s="10">
        <f t="shared" si="620"/>
        <v>26400.000000000004</v>
      </c>
    </row>
    <row r="1729" spans="1:36" x14ac:dyDescent="0.3">
      <c r="A1729" t="s">
        <v>6535</v>
      </c>
      <c r="B1729" t="s">
        <v>6536</v>
      </c>
      <c r="C1729" t="s">
        <v>6537</v>
      </c>
      <c r="D1729" t="s">
        <v>158</v>
      </c>
      <c r="E1729">
        <v>14020</v>
      </c>
      <c r="F1729" t="s">
        <v>15</v>
      </c>
      <c r="G1729">
        <v>12</v>
      </c>
      <c r="H1729">
        <v>250</v>
      </c>
      <c r="I1729" t="str" cm="1">
        <f t="array" ref="I1729">_xlfn.IFS(H1729&lt;=120,"V1",H1729&lt;=150,"V2",H1729&lt;=250,"V3", H1729&lt;=350, "V4")</f>
        <v>V3</v>
      </c>
      <c r="J1729" t="s">
        <v>6538</v>
      </c>
      <c r="K1729" t="str">
        <f t="shared" si="598"/>
        <v>43.017313</v>
      </c>
      <c r="L1729" t="str">
        <f t="shared" si="599"/>
        <v>-78.201531</v>
      </c>
      <c r="M1729">
        <v>275</v>
      </c>
      <c r="N1729" s="1">
        <v>44889</v>
      </c>
      <c r="O1729" s="1">
        <v>46099</v>
      </c>
      <c r="P1729" s="2">
        <f t="shared" si="600"/>
        <v>3.3127994524298425</v>
      </c>
      <c r="Q1729" s="2" t="str">
        <f t="shared" si="601"/>
        <v>Mid</v>
      </c>
      <c r="R1729">
        <f t="shared" si="602"/>
        <v>3000</v>
      </c>
      <c r="S1729" t="str">
        <f t="shared" si="603"/>
        <v>Small</v>
      </c>
      <c r="T1729" t="str">
        <f t="shared" si="604"/>
        <v>Lower EV Adoption Corridor</v>
      </c>
      <c r="U1729" s="3">
        <f t="shared" si="605"/>
        <v>5400000</v>
      </c>
      <c r="V1729" s="4">
        <f t="shared" si="606"/>
        <v>1320000</v>
      </c>
      <c r="W1729" s="3">
        <f t="shared" si="607"/>
        <v>18000000</v>
      </c>
      <c r="X1729" s="3">
        <f t="shared" si="608"/>
        <v>9900000</v>
      </c>
      <c r="Y1729">
        <f t="shared" si="609"/>
        <v>0.31515151515151513</v>
      </c>
      <c r="Z1729">
        <f t="shared" si="610"/>
        <v>0.75555555555555554</v>
      </c>
      <c r="AA1729" t="str">
        <f t="shared" si="611"/>
        <v>Tier 2 - Growth Markets</v>
      </c>
      <c r="AB1729" s="3">
        <f t="shared" si="612"/>
        <v>110000</v>
      </c>
      <c r="AC1729" s="3">
        <f t="shared" si="613"/>
        <v>1500000</v>
      </c>
      <c r="AD1729" s="3">
        <f t="shared" si="614"/>
        <v>450000</v>
      </c>
      <c r="AE1729" s="5">
        <f t="shared" si="615"/>
        <v>4.4117647058823533</v>
      </c>
      <c r="AF1729" s="10">
        <f t="shared" si="616"/>
        <v>818400</v>
      </c>
      <c r="AG1729" s="10">
        <f t="shared" si="617"/>
        <v>264000</v>
      </c>
      <c r="AH1729" s="10">
        <f t="shared" si="618"/>
        <v>132000</v>
      </c>
      <c r="AI1729" s="10">
        <f t="shared" si="619"/>
        <v>66000</v>
      </c>
      <c r="AJ1729" s="10">
        <f t="shared" si="620"/>
        <v>39600</v>
      </c>
    </row>
    <row r="1730" spans="1:36" x14ac:dyDescent="0.3">
      <c r="A1730" t="s">
        <v>6539</v>
      </c>
      <c r="B1730" t="s">
        <v>6540</v>
      </c>
      <c r="C1730" t="s">
        <v>1783</v>
      </c>
      <c r="D1730" t="s">
        <v>428</v>
      </c>
      <c r="E1730">
        <v>3103</v>
      </c>
      <c r="F1730" t="s">
        <v>15</v>
      </c>
      <c r="G1730">
        <v>8</v>
      </c>
      <c r="H1730">
        <v>250</v>
      </c>
      <c r="I1730" t="str" cm="1">
        <f t="array" ref="I1730">_xlfn.IFS(H1730&lt;=120,"V1",H1730&lt;=150,"V2",H1730&lt;=250,"V3", H1730&lt;=350, "V4")</f>
        <v>V3</v>
      </c>
      <c r="J1730" t="s">
        <v>6541</v>
      </c>
      <c r="K1730" t="str">
        <f t="shared" si="598"/>
        <v>42.961287</v>
      </c>
      <c r="L1730" t="str">
        <f t="shared" si="599"/>
        <v>-71.439058</v>
      </c>
      <c r="M1730">
        <v>79</v>
      </c>
      <c r="N1730" s="1">
        <v>45033</v>
      </c>
      <c r="O1730" s="1">
        <v>46099</v>
      </c>
      <c r="P1730" s="2">
        <f t="shared" si="600"/>
        <v>2.9185489390828199</v>
      </c>
      <c r="Q1730" s="2" t="str">
        <f t="shared" si="601"/>
        <v>New</v>
      </c>
      <c r="R1730">
        <f t="shared" si="602"/>
        <v>2000</v>
      </c>
      <c r="S1730" t="str">
        <f t="shared" si="603"/>
        <v>Small</v>
      </c>
      <c r="T1730" t="str">
        <f t="shared" si="604"/>
        <v>Lower EV Adoption Corridor</v>
      </c>
      <c r="U1730" s="3">
        <f t="shared" si="605"/>
        <v>3600000</v>
      </c>
      <c r="V1730" s="4">
        <f t="shared" si="606"/>
        <v>880000.00000000012</v>
      </c>
      <c r="W1730" s="3">
        <f t="shared" si="607"/>
        <v>12000000</v>
      </c>
      <c r="X1730" s="3">
        <f t="shared" si="608"/>
        <v>6600000.0000000009</v>
      </c>
      <c r="Y1730">
        <f t="shared" si="609"/>
        <v>0.31515151515151513</v>
      </c>
      <c r="Z1730">
        <f t="shared" si="610"/>
        <v>0.75555555555555554</v>
      </c>
      <c r="AA1730" t="str">
        <f t="shared" si="611"/>
        <v>Tier 2 - Growth Markets</v>
      </c>
      <c r="AB1730" s="3">
        <f t="shared" si="612"/>
        <v>110000.00000000001</v>
      </c>
      <c r="AC1730" s="3">
        <f t="shared" si="613"/>
        <v>1500000</v>
      </c>
      <c r="AD1730" s="3">
        <f t="shared" si="614"/>
        <v>450000</v>
      </c>
      <c r="AE1730" s="5">
        <f t="shared" si="615"/>
        <v>4.4117647058823533</v>
      </c>
      <c r="AF1730" s="10">
        <f t="shared" si="616"/>
        <v>545600.00000000012</v>
      </c>
      <c r="AG1730" s="10">
        <f t="shared" si="617"/>
        <v>176000.00000000003</v>
      </c>
      <c r="AH1730" s="10">
        <f t="shared" si="618"/>
        <v>88000.000000000015</v>
      </c>
      <c r="AI1730" s="10">
        <f t="shared" si="619"/>
        <v>44000.000000000007</v>
      </c>
      <c r="AJ1730" s="10">
        <f t="shared" si="620"/>
        <v>26400.000000000004</v>
      </c>
    </row>
    <row r="1731" spans="1:36" x14ac:dyDescent="0.3">
      <c r="A1731" t="s">
        <v>6542</v>
      </c>
      <c r="B1731" t="s">
        <v>6543</v>
      </c>
      <c r="C1731" t="s">
        <v>6544</v>
      </c>
      <c r="D1731" t="s">
        <v>153</v>
      </c>
      <c r="E1731">
        <v>16625</v>
      </c>
      <c r="F1731" t="s">
        <v>15</v>
      </c>
      <c r="G1731">
        <v>8</v>
      </c>
      <c r="H1731">
        <v>250</v>
      </c>
      <c r="I1731" t="str" cm="1">
        <f t="array" ref="I1731">_xlfn.IFS(H1731&lt;=120,"V1",H1731&lt;=150,"V2",H1731&lt;=250,"V3", H1731&lt;=350, "V4")</f>
        <v>V3</v>
      </c>
      <c r="J1731" t="s">
        <v>6545</v>
      </c>
      <c r="K1731" t="str">
        <f t="shared" ref="K1731:K1792" si="621">TRIM(LEFT(J1731, FIND(",", J1731) - 1))</f>
        <v>40.273656</v>
      </c>
      <c r="L1731" t="str">
        <f t="shared" ref="L1731:L1792" si="622">TRIM(MID(J1731, FIND(",", J1731) + 1, LEN(J1731)))</f>
        <v>-78.459913</v>
      </c>
      <c r="M1731">
        <v>372</v>
      </c>
      <c r="N1731" s="1">
        <v>44869</v>
      </c>
      <c r="O1731" s="1">
        <v>46099</v>
      </c>
      <c r="P1731" s="2">
        <f t="shared" ref="P1731:P1792" si="623">(O1731-N1731)/365.25</f>
        <v>3.3675564681724848</v>
      </c>
      <c r="Q1731" s="2" t="str">
        <f t="shared" ref="Q1731:Q1792" si="624">IF(P1731&lt;3,"New",IF(P1731&lt;=8,"Mid","Old"))</f>
        <v>Mid</v>
      </c>
      <c r="R1731">
        <f t="shared" ref="R1731:R1762" si="625">G1731*H1731</f>
        <v>2000</v>
      </c>
      <c r="S1731" t="str">
        <f t="shared" ref="S1731:S1762" si="626">IF(G1731&lt;=30,"Small",IF(G1731&lt;=60,"Medium","Large"))</f>
        <v>Small</v>
      </c>
      <c r="T1731" t="str">
        <f t="shared" ref="T1731:T1792" si="627">IF(OR(D1731="CA",D1731="FL",D1731="WA",D1731="CO",D1731="TX",D1731="NJ"),"High EV Adoption Corridor","Lower EV Adoption Corridor")</f>
        <v>Lower EV Adoption Corridor</v>
      </c>
      <c r="U1731" s="3">
        <f t="shared" ref="U1731:U1792" si="628" xml:space="preserve"> R1731 * 1500 *
  IF(I1731="V1",1,
     IF(I1731="V2",1.1,1.2)) *
  IF(T1731="High EV Adoption Corridor",1.3,1)</f>
        <v>3600000</v>
      </c>
      <c r="V1731" s="4">
        <f t="shared" ref="V1731:V1792" si="629" xml:space="preserve"> R1731 * 400 *
  IF(I1731="V1",0.9,
     IF(I1731="V2",1,1.1)) *
  IF(T1731="High EV Adoption Corridor",1.2,1)</f>
        <v>880000.00000000012</v>
      </c>
      <c r="W1731" s="3">
        <f t="shared" ref="W1731:W1792" si="630" xml:space="preserve"> R1731 * 5000 *
  IF(I1731="V1",0.8,
     IF(I1731="V2",1,1.2)) *
  IF(T1731="High EV Adoption Corridor",1.1,1)</f>
        <v>12000000</v>
      </c>
      <c r="X1731" s="3">
        <f t="shared" ref="X1731:X1792" si="631" xml:space="preserve"> R1731 * 3000 *
  IF(I1731="V1",0.9,
     IF(I1731="V2",1,1.1)) *
  IF(T1731="High EV Adoption Corridor",1.5,1)</f>
        <v>6600000.0000000009</v>
      </c>
      <c r="Y1731">
        <f t="shared" ref="Y1731:Y1792" si="632" xml:space="preserve"> ((W1731/10) + V1731) / X1731</f>
        <v>0.31515151515151513</v>
      </c>
      <c r="Z1731">
        <f t="shared" ref="Z1731:Z1792" si="633">(U1731-V1731)/U1731</f>
        <v>0.75555555555555554</v>
      </c>
      <c r="AA1731" t="str">
        <f t="shared" ref="AA1731:AA1792" si="634">IF(AND(I1731="V3",T1731="High EV Adoption Corridor"),
"Tier 1 - Priority Fleet",
IF(AND(I1731="V3",T1731="Lower EV Adoption Corridor"),
"Tier 2 - Growth Markets",
IF(AND(OR(I1731="V1",I1731="V2"),T1731="High EV Adoption Corridor"),
"Tier 3 - Upgrade Pipeline",
IF(AND(I1731="V2",T1731="Lower EV Adoption Corridor"),
"Tier 4 - Stable Network",
"Tier 5 - Retirement Pipeline"))))</f>
        <v>Tier 2 - Growth Markets</v>
      </c>
      <c r="AB1731" s="3">
        <f t="shared" ref="AB1731:AB1792" si="635">V1731/G1731</f>
        <v>110000.00000000001</v>
      </c>
      <c r="AC1731" s="3">
        <f t="shared" ref="AC1731:AC1792" si="636">W1731/G1731</f>
        <v>1500000</v>
      </c>
      <c r="AD1731" s="3">
        <f t="shared" ref="AD1731:AD1792" si="637">U1731/G1731</f>
        <v>450000</v>
      </c>
      <c r="AE1731" s="5">
        <f t="shared" ref="AE1731:AE1792" si="638">W1731/(U1731-V1731)</f>
        <v>4.4117647058823533</v>
      </c>
      <c r="AF1731" s="10">
        <f t="shared" ref="AF1731:AF1792" si="639">V1731*0.62</f>
        <v>545600.00000000012</v>
      </c>
      <c r="AG1731" s="10">
        <f t="shared" ref="AG1731:AG1792" si="640">V1731*0.2</f>
        <v>176000.00000000003</v>
      </c>
      <c r="AH1731" s="10">
        <f t="shared" ref="AH1731:AH1792" si="641">V1731*0.1</f>
        <v>88000.000000000015</v>
      </c>
      <c r="AI1731" s="10">
        <f t="shared" ref="AI1731:AI1792" si="642">V1731*0.05</f>
        <v>44000.000000000007</v>
      </c>
      <c r="AJ1731" s="10">
        <f t="shared" ref="AJ1731:AJ1792" si="643">V1731*0.03</f>
        <v>26400.000000000004</v>
      </c>
    </row>
    <row r="1732" spans="1:36" x14ac:dyDescent="0.3">
      <c r="A1732" t="s">
        <v>6546</v>
      </c>
      <c r="B1732" t="s">
        <v>6547</v>
      </c>
      <c r="C1732" t="s">
        <v>6548</v>
      </c>
      <c r="D1732" t="s">
        <v>484</v>
      </c>
      <c r="E1732">
        <v>36301</v>
      </c>
      <c r="F1732" t="s">
        <v>15</v>
      </c>
      <c r="G1732">
        <v>12</v>
      </c>
      <c r="H1732">
        <v>250</v>
      </c>
      <c r="I1732" t="str" cm="1">
        <f t="array" ref="I1732">_xlfn.IFS(H1732&lt;=120,"V1",H1732&lt;=150,"V2",H1732&lt;=250,"V3", H1732&lt;=350, "V4")</f>
        <v>V3</v>
      </c>
      <c r="J1732" t="s">
        <v>6549</v>
      </c>
      <c r="K1732" t="str">
        <f t="shared" si="621"/>
        <v>31.212985</v>
      </c>
      <c r="L1732" t="str">
        <f t="shared" si="622"/>
        <v>-85.361437</v>
      </c>
      <c r="M1732">
        <v>91</v>
      </c>
      <c r="N1732" s="1">
        <v>44902</v>
      </c>
      <c r="O1732" s="1">
        <v>46099</v>
      </c>
      <c r="P1732" s="2">
        <f t="shared" si="623"/>
        <v>3.2772073921971252</v>
      </c>
      <c r="Q1732" s="2" t="str">
        <f t="shared" si="624"/>
        <v>Mid</v>
      </c>
      <c r="R1732">
        <f t="shared" si="625"/>
        <v>3000</v>
      </c>
      <c r="S1732" t="str">
        <f t="shared" si="626"/>
        <v>Small</v>
      </c>
      <c r="T1732" t="str">
        <f t="shared" si="627"/>
        <v>Lower EV Adoption Corridor</v>
      </c>
      <c r="U1732" s="3">
        <f t="shared" si="628"/>
        <v>5400000</v>
      </c>
      <c r="V1732" s="4">
        <f t="shared" si="629"/>
        <v>1320000</v>
      </c>
      <c r="W1732" s="3">
        <f t="shared" si="630"/>
        <v>18000000</v>
      </c>
      <c r="X1732" s="3">
        <f t="shared" si="631"/>
        <v>9900000</v>
      </c>
      <c r="Y1732">
        <f t="shared" si="632"/>
        <v>0.31515151515151513</v>
      </c>
      <c r="Z1732">
        <f t="shared" si="633"/>
        <v>0.75555555555555554</v>
      </c>
      <c r="AA1732" t="str">
        <f t="shared" si="634"/>
        <v>Tier 2 - Growth Markets</v>
      </c>
      <c r="AB1732" s="3">
        <f t="shared" si="635"/>
        <v>110000</v>
      </c>
      <c r="AC1732" s="3">
        <f t="shared" si="636"/>
        <v>1500000</v>
      </c>
      <c r="AD1732" s="3">
        <f t="shared" si="637"/>
        <v>450000</v>
      </c>
      <c r="AE1732" s="5">
        <f t="shared" si="638"/>
        <v>4.4117647058823533</v>
      </c>
      <c r="AF1732" s="10">
        <f t="shared" si="639"/>
        <v>818400</v>
      </c>
      <c r="AG1732" s="10">
        <f t="shared" si="640"/>
        <v>264000</v>
      </c>
      <c r="AH1732" s="10">
        <f t="shared" si="641"/>
        <v>132000</v>
      </c>
      <c r="AI1732" s="10">
        <f t="shared" si="642"/>
        <v>66000</v>
      </c>
      <c r="AJ1732" s="10">
        <f t="shared" si="643"/>
        <v>39600</v>
      </c>
    </row>
    <row r="1733" spans="1:36" x14ac:dyDescent="0.3">
      <c r="A1733" t="s">
        <v>6550</v>
      </c>
      <c r="B1733" t="s">
        <v>6551</v>
      </c>
      <c r="C1733" t="s">
        <v>6552</v>
      </c>
      <c r="D1733" t="s">
        <v>158</v>
      </c>
      <c r="E1733">
        <v>14063</v>
      </c>
      <c r="F1733" t="s">
        <v>15</v>
      </c>
      <c r="G1733">
        <v>12</v>
      </c>
      <c r="H1733">
        <v>250</v>
      </c>
      <c r="I1733" t="str" cm="1">
        <f t="array" ref="I1733">_xlfn.IFS(H1733&lt;=120,"V1",H1733&lt;=150,"V2",H1733&lt;=250,"V3", H1733&lt;=350, "V4")</f>
        <v>V3</v>
      </c>
      <c r="J1733" t="s">
        <v>6553</v>
      </c>
      <c r="K1733" t="str">
        <f t="shared" si="621"/>
        <v>42.454125</v>
      </c>
      <c r="L1733" t="str">
        <f t="shared" si="622"/>
        <v>-79.30869</v>
      </c>
      <c r="M1733">
        <v>229</v>
      </c>
      <c r="N1733" s="1">
        <v>44837</v>
      </c>
      <c r="O1733" s="1">
        <v>46099</v>
      </c>
      <c r="P1733" s="2">
        <f t="shared" si="623"/>
        <v>3.4551676933607118</v>
      </c>
      <c r="Q1733" s="2" t="str">
        <f t="shared" si="624"/>
        <v>Mid</v>
      </c>
      <c r="R1733">
        <f t="shared" si="625"/>
        <v>3000</v>
      </c>
      <c r="S1733" t="str">
        <f t="shared" si="626"/>
        <v>Small</v>
      </c>
      <c r="T1733" t="str">
        <f t="shared" si="627"/>
        <v>Lower EV Adoption Corridor</v>
      </c>
      <c r="U1733" s="3">
        <f t="shared" si="628"/>
        <v>5400000</v>
      </c>
      <c r="V1733" s="4">
        <f t="shared" si="629"/>
        <v>1320000</v>
      </c>
      <c r="W1733" s="3">
        <f t="shared" si="630"/>
        <v>18000000</v>
      </c>
      <c r="X1733" s="3">
        <f t="shared" si="631"/>
        <v>9900000</v>
      </c>
      <c r="Y1733">
        <f t="shared" si="632"/>
        <v>0.31515151515151513</v>
      </c>
      <c r="Z1733">
        <f t="shared" si="633"/>
        <v>0.75555555555555554</v>
      </c>
      <c r="AA1733" t="str">
        <f t="shared" si="634"/>
        <v>Tier 2 - Growth Markets</v>
      </c>
      <c r="AB1733" s="3">
        <f t="shared" si="635"/>
        <v>110000</v>
      </c>
      <c r="AC1733" s="3">
        <f t="shared" si="636"/>
        <v>1500000</v>
      </c>
      <c r="AD1733" s="3">
        <f t="shared" si="637"/>
        <v>450000</v>
      </c>
      <c r="AE1733" s="5">
        <f t="shared" si="638"/>
        <v>4.4117647058823533</v>
      </c>
      <c r="AF1733" s="10">
        <f t="shared" si="639"/>
        <v>818400</v>
      </c>
      <c r="AG1733" s="10">
        <f t="shared" si="640"/>
        <v>264000</v>
      </c>
      <c r="AH1733" s="10">
        <f t="shared" si="641"/>
        <v>132000</v>
      </c>
      <c r="AI1733" s="10">
        <f t="shared" si="642"/>
        <v>66000</v>
      </c>
      <c r="AJ1733" s="10">
        <f t="shared" si="643"/>
        <v>39600</v>
      </c>
    </row>
    <row r="1734" spans="1:36" x14ac:dyDescent="0.3">
      <c r="A1734" t="s">
        <v>6554</v>
      </c>
      <c r="B1734" t="s">
        <v>6555</v>
      </c>
      <c r="C1734" t="s">
        <v>1871</v>
      </c>
      <c r="D1734" t="s">
        <v>130</v>
      </c>
      <c r="E1734">
        <v>47501</v>
      </c>
      <c r="F1734" t="s">
        <v>15</v>
      </c>
      <c r="G1734">
        <v>8</v>
      </c>
      <c r="H1734">
        <v>250</v>
      </c>
      <c r="I1734" t="str" cm="1">
        <f t="array" ref="I1734">_xlfn.IFS(H1734&lt;=120,"V1",H1734&lt;=150,"V2",H1734&lt;=250,"V3", H1734&lt;=350, "V4")</f>
        <v>V3</v>
      </c>
      <c r="J1734" t="s">
        <v>6556</v>
      </c>
      <c r="K1734" t="str">
        <f t="shared" si="621"/>
        <v>38.65239</v>
      </c>
      <c r="L1734" t="str">
        <f t="shared" si="622"/>
        <v>-87.133018</v>
      </c>
      <c r="M1734">
        <v>150</v>
      </c>
      <c r="N1734" s="1">
        <v>44889</v>
      </c>
      <c r="O1734" s="1">
        <v>46099</v>
      </c>
      <c r="P1734" s="2">
        <f t="shared" si="623"/>
        <v>3.3127994524298425</v>
      </c>
      <c r="Q1734" s="2" t="str">
        <f t="shared" si="624"/>
        <v>Mid</v>
      </c>
      <c r="R1734">
        <f t="shared" si="625"/>
        <v>2000</v>
      </c>
      <c r="S1734" t="str">
        <f t="shared" si="626"/>
        <v>Small</v>
      </c>
      <c r="T1734" t="str">
        <f t="shared" si="627"/>
        <v>Lower EV Adoption Corridor</v>
      </c>
      <c r="U1734" s="3">
        <f t="shared" si="628"/>
        <v>3600000</v>
      </c>
      <c r="V1734" s="4">
        <f t="shared" si="629"/>
        <v>880000.00000000012</v>
      </c>
      <c r="W1734" s="3">
        <f t="shared" si="630"/>
        <v>12000000</v>
      </c>
      <c r="X1734" s="3">
        <f t="shared" si="631"/>
        <v>6600000.0000000009</v>
      </c>
      <c r="Y1734">
        <f t="shared" si="632"/>
        <v>0.31515151515151513</v>
      </c>
      <c r="Z1734">
        <f t="shared" si="633"/>
        <v>0.75555555555555554</v>
      </c>
      <c r="AA1734" t="str">
        <f t="shared" si="634"/>
        <v>Tier 2 - Growth Markets</v>
      </c>
      <c r="AB1734" s="3">
        <f t="shared" si="635"/>
        <v>110000.00000000001</v>
      </c>
      <c r="AC1734" s="3">
        <f t="shared" si="636"/>
        <v>1500000</v>
      </c>
      <c r="AD1734" s="3">
        <f t="shared" si="637"/>
        <v>450000</v>
      </c>
      <c r="AE1734" s="5">
        <f t="shared" si="638"/>
        <v>4.4117647058823533</v>
      </c>
      <c r="AF1734" s="10">
        <f t="shared" si="639"/>
        <v>545600.00000000012</v>
      </c>
      <c r="AG1734" s="10">
        <f t="shared" si="640"/>
        <v>176000.00000000003</v>
      </c>
      <c r="AH1734" s="10">
        <f t="shared" si="641"/>
        <v>88000.000000000015</v>
      </c>
      <c r="AI1734" s="10">
        <f t="shared" si="642"/>
        <v>44000.000000000007</v>
      </c>
      <c r="AJ1734" s="10">
        <f t="shared" si="643"/>
        <v>26400.000000000004</v>
      </c>
    </row>
    <row r="1735" spans="1:36" x14ac:dyDescent="0.3">
      <c r="A1735" t="s">
        <v>6557</v>
      </c>
      <c r="B1735" t="s">
        <v>6558</v>
      </c>
      <c r="C1735" t="s">
        <v>23</v>
      </c>
      <c r="D1735" t="s">
        <v>14</v>
      </c>
      <c r="E1735">
        <v>92311</v>
      </c>
      <c r="F1735" t="s">
        <v>15</v>
      </c>
      <c r="G1735">
        <v>10</v>
      </c>
      <c r="H1735">
        <v>250</v>
      </c>
      <c r="I1735" t="str" cm="1">
        <f t="array" ref="I1735">_xlfn.IFS(H1735&lt;=120,"V1",H1735&lt;=150,"V2",H1735&lt;=250,"V3", H1735&lt;=350, "V4")</f>
        <v>V3</v>
      </c>
      <c r="J1735" t="s">
        <v>6559</v>
      </c>
      <c r="K1735" t="str">
        <f t="shared" si="621"/>
        <v>34.8864348</v>
      </c>
      <c r="L1735" t="str">
        <f t="shared" si="622"/>
        <v>-117.0198947</v>
      </c>
      <c r="M1735">
        <v>721</v>
      </c>
      <c r="N1735" s="1">
        <v>44884</v>
      </c>
      <c r="O1735" s="1">
        <v>46099</v>
      </c>
      <c r="P1735" s="2">
        <f t="shared" si="623"/>
        <v>3.3264887063655029</v>
      </c>
      <c r="Q1735" s="2" t="str">
        <f t="shared" si="624"/>
        <v>Mid</v>
      </c>
      <c r="R1735">
        <f t="shared" si="625"/>
        <v>2500</v>
      </c>
      <c r="S1735" t="str">
        <f t="shared" si="626"/>
        <v>Small</v>
      </c>
      <c r="T1735" t="str">
        <f t="shared" si="627"/>
        <v>High EV Adoption Corridor</v>
      </c>
      <c r="U1735" s="3">
        <f t="shared" si="628"/>
        <v>5850000</v>
      </c>
      <c r="V1735" s="4">
        <f t="shared" si="629"/>
        <v>1320000</v>
      </c>
      <c r="W1735" s="3">
        <f t="shared" si="630"/>
        <v>16500000.000000002</v>
      </c>
      <c r="X1735" s="3">
        <f t="shared" si="631"/>
        <v>12375000.000000002</v>
      </c>
      <c r="Y1735">
        <f t="shared" si="632"/>
        <v>0.23999999999999996</v>
      </c>
      <c r="Z1735">
        <f t="shared" si="633"/>
        <v>0.77435897435897438</v>
      </c>
      <c r="AA1735" t="str">
        <f t="shared" si="634"/>
        <v>Tier 1 - Priority Fleet</v>
      </c>
      <c r="AB1735" s="3">
        <f t="shared" si="635"/>
        <v>132000</v>
      </c>
      <c r="AC1735" s="3">
        <f t="shared" si="636"/>
        <v>1650000.0000000002</v>
      </c>
      <c r="AD1735" s="3">
        <f t="shared" si="637"/>
        <v>585000</v>
      </c>
      <c r="AE1735" s="5">
        <f t="shared" si="638"/>
        <v>3.6423841059602653</v>
      </c>
      <c r="AF1735" s="10">
        <f t="shared" si="639"/>
        <v>818400</v>
      </c>
      <c r="AG1735" s="10">
        <f t="shared" si="640"/>
        <v>264000</v>
      </c>
      <c r="AH1735" s="10">
        <f t="shared" si="641"/>
        <v>132000</v>
      </c>
      <c r="AI1735" s="10">
        <f t="shared" si="642"/>
        <v>66000</v>
      </c>
      <c r="AJ1735" s="10">
        <f t="shared" si="643"/>
        <v>39600</v>
      </c>
    </row>
    <row r="1736" spans="1:36" x14ac:dyDescent="0.3">
      <c r="A1736" t="s">
        <v>6560</v>
      </c>
      <c r="B1736" t="s">
        <v>6561</v>
      </c>
      <c r="C1736" t="s">
        <v>4958</v>
      </c>
      <c r="D1736" t="s">
        <v>14</v>
      </c>
      <c r="E1736">
        <v>92821</v>
      </c>
      <c r="F1736" t="s">
        <v>15</v>
      </c>
      <c r="G1736">
        <v>24</v>
      </c>
      <c r="H1736">
        <v>250</v>
      </c>
      <c r="I1736" t="str" cm="1">
        <f t="array" ref="I1736">_xlfn.IFS(H1736&lt;=120,"V1",H1736&lt;=150,"V2",H1736&lt;=250,"V3", H1736&lt;=350, "V4")</f>
        <v>V3</v>
      </c>
      <c r="J1736" t="s">
        <v>6562</v>
      </c>
      <c r="K1736" t="str">
        <f t="shared" si="621"/>
        <v>33.919492</v>
      </c>
      <c r="L1736" t="str">
        <f t="shared" si="622"/>
        <v>-117.902014</v>
      </c>
      <c r="M1736">
        <v>109</v>
      </c>
      <c r="N1736" s="1">
        <v>44844</v>
      </c>
      <c r="O1736" s="1">
        <v>46099</v>
      </c>
      <c r="P1736" s="2">
        <f t="shared" si="623"/>
        <v>3.4360027378507869</v>
      </c>
      <c r="Q1736" s="2" t="str">
        <f t="shared" si="624"/>
        <v>Mid</v>
      </c>
      <c r="R1736">
        <f t="shared" si="625"/>
        <v>6000</v>
      </c>
      <c r="S1736" t="str">
        <f t="shared" si="626"/>
        <v>Small</v>
      </c>
      <c r="T1736" t="str">
        <f t="shared" si="627"/>
        <v>High EV Adoption Corridor</v>
      </c>
      <c r="U1736" s="3">
        <f t="shared" si="628"/>
        <v>14040000</v>
      </c>
      <c r="V1736" s="4">
        <f t="shared" si="629"/>
        <v>3168000</v>
      </c>
      <c r="W1736" s="3">
        <f t="shared" si="630"/>
        <v>39600000</v>
      </c>
      <c r="X1736" s="3">
        <f t="shared" si="631"/>
        <v>29700000</v>
      </c>
      <c r="Y1736">
        <f t="shared" si="632"/>
        <v>0.24</v>
      </c>
      <c r="Z1736">
        <f t="shared" si="633"/>
        <v>0.77435897435897438</v>
      </c>
      <c r="AA1736" t="str">
        <f t="shared" si="634"/>
        <v>Tier 1 - Priority Fleet</v>
      </c>
      <c r="AB1736" s="3">
        <f t="shared" si="635"/>
        <v>132000</v>
      </c>
      <c r="AC1736" s="3">
        <f t="shared" si="636"/>
        <v>1650000</v>
      </c>
      <c r="AD1736" s="3">
        <f t="shared" si="637"/>
        <v>585000</v>
      </c>
      <c r="AE1736" s="5">
        <f t="shared" si="638"/>
        <v>3.6423841059602649</v>
      </c>
      <c r="AF1736" s="10">
        <f t="shared" si="639"/>
        <v>1964160</v>
      </c>
      <c r="AG1736" s="10">
        <f t="shared" si="640"/>
        <v>633600</v>
      </c>
      <c r="AH1736" s="10">
        <f t="shared" si="641"/>
        <v>316800</v>
      </c>
      <c r="AI1736" s="10">
        <f t="shared" si="642"/>
        <v>158400</v>
      </c>
      <c r="AJ1736" s="10">
        <f t="shared" si="643"/>
        <v>95040</v>
      </c>
    </row>
    <row r="1737" spans="1:36" x14ac:dyDescent="0.3">
      <c r="A1737" t="s">
        <v>6563</v>
      </c>
      <c r="B1737" t="s">
        <v>6564</v>
      </c>
      <c r="C1737" t="s">
        <v>6565</v>
      </c>
      <c r="D1737" t="s">
        <v>299</v>
      </c>
      <c r="E1737">
        <v>22712</v>
      </c>
      <c r="F1737" t="s">
        <v>15</v>
      </c>
      <c r="G1737">
        <v>8</v>
      </c>
      <c r="H1737">
        <v>250</v>
      </c>
      <c r="I1737" t="str" cm="1">
        <f t="array" ref="I1737">_xlfn.IFS(H1737&lt;=120,"V1",H1737&lt;=150,"V2",H1737&lt;=250,"V3", H1737&lt;=350, "V4")</f>
        <v>V3</v>
      </c>
      <c r="J1737" t="s">
        <v>6566</v>
      </c>
      <c r="K1737" t="str">
        <f t="shared" si="621"/>
        <v>38.619784</v>
      </c>
      <c r="L1737" t="str">
        <f t="shared" si="622"/>
        <v>-77.799832</v>
      </c>
      <c r="M1737">
        <v>136</v>
      </c>
      <c r="N1737" s="1">
        <v>44519</v>
      </c>
      <c r="O1737" s="1">
        <v>46099</v>
      </c>
      <c r="P1737" s="2">
        <f t="shared" si="623"/>
        <v>4.3258042436687196</v>
      </c>
      <c r="Q1737" s="2" t="str">
        <f t="shared" si="624"/>
        <v>Mid</v>
      </c>
      <c r="R1737">
        <f t="shared" si="625"/>
        <v>2000</v>
      </c>
      <c r="S1737" t="str">
        <f t="shared" si="626"/>
        <v>Small</v>
      </c>
      <c r="T1737" t="str">
        <f t="shared" si="627"/>
        <v>Lower EV Adoption Corridor</v>
      </c>
      <c r="U1737" s="3">
        <f t="shared" si="628"/>
        <v>3600000</v>
      </c>
      <c r="V1737" s="4">
        <f t="shared" si="629"/>
        <v>880000.00000000012</v>
      </c>
      <c r="W1737" s="3">
        <f t="shared" si="630"/>
        <v>12000000</v>
      </c>
      <c r="X1737" s="3">
        <f t="shared" si="631"/>
        <v>6600000.0000000009</v>
      </c>
      <c r="Y1737">
        <f t="shared" si="632"/>
        <v>0.31515151515151513</v>
      </c>
      <c r="Z1737">
        <f t="shared" si="633"/>
        <v>0.75555555555555554</v>
      </c>
      <c r="AA1737" t="str">
        <f t="shared" si="634"/>
        <v>Tier 2 - Growth Markets</v>
      </c>
      <c r="AB1737" s="3">
        <f t="shared" si="635"/>
        <v>110000.00000000001</v>
      </c>
      <c r="AC1737" s="3">
        <f t="shared" si="636"/>
        <v>1500000</v>
      </c>
      <c r="AD1737" s="3">
        <f t="shared" si="637"/>
        <v>450000</v>
      </c>
      <c r="AE1737" s="5">
        <f t="shared" si="638"/>
        <v>4.4117647058823533</v>
      </c>
      <c r="AF1737" s="10">
        <f t="shared" si="639"/>
        <v>545600.00000000012</v>
      </c>
      <c r="AG1737" s="10">
        <f t="shared" si="640"/>
        <v>176000.00000000003</v>
      </c>
      <c r="AH1737" s="10">
        <f t="shared" si="641"/>
        <v>88000.000000000015</v>
      </c>
      <c r="AI1737" s="10">
        <f t="shared" si="642"/>
        <v>44000.000000000007</v>
      </c>
      <c r="AJ1737" s="10">
        <f t="shared" si="643"/>
        <v>26400.000000000004</v>
      </c>
    </row>
    <row r="1738" spans="1:36" x14ac:dyDescent="0.3">
      <c r="A1738" t="s">
        <v>6567</v>
      </c>
      <c r="B1738" t="s">
        <v>6568</v>
      </c>
      <c r="C1738" t="s">
        <v>6569</v>
      </c>
      <c r="D1738" t="s">
        <v>148</v>
      </c>
      <c r="E1738">
        <v>67410</v>
      </c>
      <c r="F1738" t="s">
        <v>15</v>
      </c>
      <c r="G1738">
        <v>12</v>
      </c>
      <c r="H1738">
        <v>250</v>
      </c>
      <c r="I1738" t="str" cm="1">
        <f t="array" ref="I1738">_xlfn.IFS(H1738&lt;=120,"V1",H1738&lt;=150,"V2",H1738&lt;=250,"V3", H1738&lt;=350, "V4")</f>
        <v>V3</v>
      </c>
      <c r="J1738" t="s">
        <v>6570</v>
      </c>
      <c r="K1738" t="str">
        <f t="shared" si="621"/>
        <v>38.935417</v>
      </c>
      <c r="L1738" t="str">
        <f t="shared" si="622"/>
        <v>-97.215371</v>
      </c>
      <c r="M1738">
        <v>371</v>
      </c>
      <c r="N1738" s="1">
        <v>44880</v>
      </c>
      <c r="O1738" s="1">
        <v>46099</v>
      </c>
      <c r="P1738" s="2">
        <f t="shared" si="623"/>
        <v>3.3374401095140316</v>
      </c>
      <c r="Q1738" s="2" t="str">
        <f t="shared" si="624"/>
        <v>Mid</v>
      </c>
      <c r="R1738">
        <f t="shared" si="625"/>
        <v>3000</v>
      </c>
      <c r="S1738" t="str">
        <f t="shared" si="626"/>
        <v>Small</v>
      </c>
      <c r="T1738" t="str">
        <f t="shared" si="627"/>
        <v>Lower EV Adoption Corridor</v>
      </c>
      <c r="U1738" s="3">
        <f t="shared" si="628"/>
        <v>5400000</v>
      </c>
      <c r="V1738" s="4">
        <f t="shared" si="629"/>
        <v>1320000</v>
      </c>
      <c r="W1738" s="3">
        <f t="shared" si="630"/>
        <v>18000000</v>
      </c>
      <c r="X1738" s="3">
        <f t="shared" si="631"/>
        <v>9900000</v>
      </c>
      <c r="Y1738">
        <f t="shared" si="632"/>
        <v>0.31515151515151513</v>
      </c>
      <c r="Z1738">
        <f t="shared" si="633"/>
        <v>0.75555555555555554</v>
      </c>
      <c r="AA1738" t="str">
        <f t="shared" si="634"/>
        <v>Tier 2 - Growth Markets</v>
      </c>
      <c r="AB1738" s="3">
        <f t="shared" si="635"/>
        <v>110000</v>
      </c>
      <c r="AC1738" s="3">
        <f t="shared" si="636"/>
        <v>1500000</v>
      </c>
      <c r="AD1738" s="3">
        <f t="shared" si="637"/>
        <v>450000</v>
      </c>
      <c r="AE1738" s="5">
        <f t="shared" si="638"/>
        <v>4.4117647058823533</v>
      </c>
      <c r="AF1738" s="10">
        <f t="shared" si="639"/>
        <v>818400</v>
      </c>
      <c r="AG1738" s="10">
        <f t="shared" si="640"/>
        <v>264000</v>
      </c>
      <c r="AH1738" s="10">
        <f t="shared" si="641"/>
        <v>132000</v>
      </c>
      <c r="AI1738" s="10">
        <f t="shared" si="642"/>
        <v>66000</v>
      </c>
      <c r="AJ1738" s="10">
        <f t="shared" si="643"/>
        <v>39600</v>
      </c>
    </row>
    <row r="1739" spans="1:36" x14ac:dyDescent="0.3">
      <c r="A1739" t="s">
        <v>6571</v>
      </c>
      <c r="B1739" t="s">
        <v>6572</v>
      </c>
      <c r="C1739" t="s">
        <v>354</v>
      </c>
      <c r="D1739" t="s">
        <v>72</v>
      </c>
      <c r="E1739">
        <v>85015</v>
      </c>
      <c r="F1739" t="s">
        <v>15</v>
      </c>
      <c r="G1739">
        <v>12</v>
      </c>
      <c r="H1739">
        <v>250</v>
      </c>
      <c r="I1739" t="str" cm="1">
        <f t="array" ref="I1739">_xlfn.IFS(H1739&lt;=120,"V1",H1739&lt;=150,"V2",H1739&lt;=250,"V3", H1739&lt;=350, "V4")</f>
        <v>V3</v>
      </c>
      <c r="J1739" t="s">
        <v>6573</v>
      </c>
      <c r="K1739" t="str">
        <f t="shared" si="621"/>
        <v>33.521819</v>
      </c>
      <c r="L1739" t="str">
        <f t="shared" si="622"/>
        <v>-112.098656</v>
      </c>
      <c r="M1739">
        <v>351</v>
      </c>
      <c r="N1739" s="1">
        <v>44879</v>
      </c>
      <c r="O1739" s="1">
        <v>46099</v>
      </c>
      <c r="P1739" s="2">
        <f t="shared" si="623"/>
        <v>3.3401779603011637</v>
      </c>
      <c r="Q1739" s="2" t="str">
        <f t="shared" si="624"/>
        <v>Mid</v>
      </c>
      <c r="R1739">
        <f t="shared" si="625"/>
        <v>3000</v>
      </c>
      <c r="S1739" t="str">
        <f t="shared" si="626"/>
        <v>Small</v>
      </c>
      <c r="T1739" t="str">
        <f t="shared" si="627"/>
        <v>Lower EV Adoption Corridor</v>
      </c>
      <c r="U1739" s="3">
        <f t="shared" si="628"/>
        <v>5400000</v>
      </c>
      <c r="V1739" s="4">
        <f t="shared" si="629"/>
        <v>1320000</v>
      </c>
      <c r="W1739" s="3">
        <f t="shared" si="630"/>
        <v>18000000</v>
      </c>
      <c r="X1739" s="3">
        <f t="shared" si="631"/>
        <v>9900000</v>
      </c>
      <c r="Y1739">
        <f t="shared" si="632"/>
        <v>0.31515151515151513</v>
      </c>
      <c r="Z1739">
        <f t="shared" si="633"/>
        <v>0.75555555555555554</v>
      </c>
      <c r="AA1739" t="str">
        <f t="shared" si="634"/>
        <v>Tier 2 - Growth Markets</v>
      </c>
      <c r="AB1739" s="3">
        <f t="shared" si="635"/>
        <v>110000</v>
      </c>
      <c r="AC1739" s="3">
        <f t="shared" si="636"/>
        <v>1500000</v>
      </c>
      <c r="AD1739" s="3">
        <f t="shared" si="637"/>
        <v>450000</v>
      </c>
      <c r="AE1739" s="5">
        <f t="shared" si="638"/>
        <v>4.4117647058823533</v>
      </c>
      <c r="AF1739" s="10">
        <f t="shared" si="639"/>
        <v>818400</v>
      </c>
      <c r="AG1739" s="10">
        <f t="shared" si="640"/>
        <v>264000</v>
      </c>
      <c r="AH1739" s="10">
        <f t="shared" si="641"/>
        <v>132000</v>
      </c>
      <c r="AI1739" s="10">
        <f t="shared" si="642"/>
        <v>66000</v>
      </c>
      <c r="AJ1739" s="10">
        <f t="shared" si="643"/>
        <v>39600</v>
      </c>
    </row>
    <row r="1740" spans="1:36" x14ac:dyDescent="0.3">
      <c r="A1740" t="s">
        <v>6574</v>
      </c>
      <c r="B1740" t="s">
        <v>6575</v>
      </c>
      <c r="C1740" t="s">
        <v>1867</v>
      </c>
      <c r="D1740" t="s">
        <v>50</v>
      </c>
      <c r="E1740">
        <v>78232</v>
      </c>
      <c r="F1740" t="s">
        <v>15</v>
      </c>
      <c r="G1740">
        <v>15</v>
      </c>
      <c r="H1740">
        <v>250</v>
      </c>
      <c r="I1740" t="str" cm="1">
        <f t="array" ref="I1740">_xlfn.IFS(H1740&lt;=120,"V1",H1740&lt;=150,"V2",H1740&lt;=250,"V3", H1740&lt;=350, "V4")</f>
        <v>V3</v>
      </c>
      <c r="J1740" t="s">
        <v>6576</v>
      </c>
      <c r="K1740" t="str">
        <f t="shared" si="621"/>
        <v>29.610486</v>
      </c>
      <c r="L1740" t="str">
        <f t="shared" si="622"/>
        <v>-98.488594</v>
      </c>
      <c r="M1740">
        <v>291</v>
      </c>
      <c r="N1740" s="1">
        <v>44841</v>
      </c>
      <c r="O1740" s="1">
        <v>46099</v>
      </c>
      <c r="P1740" s="2">
        <f t="shared" si="623"/>
        <v>3.4442162902121836</v>
      </c>
      <c r="Q1740" s="2" t="str">
        <f t="shared" si="624"/>
        <v>Mid</v>
      </c>
      <c r="R1740">
        <f t="shared" si="625"/>
        <v>3750</v>
      </c>
      <c r="S1740" t="str">
        <f t="shared" si="626"/>
        <v>Small</v>
      </c>
      <c r="T1740" t="str">
        <f t="shared" si="627"/>
        <v>High EV Adoption Corridor</v>
      </c>
      <c r="U1740" s="3">
        <f t="shared" si="628"/>
        <v>8775000</v>
      </c>
      <c r="V1740" s="4">
        <f t="shared" si="629"/>
        <v>1980000.0000000002</v>
      </c>
      <c r="W1740" s="3">
        <f t="shared" si="630"/>
        <v>24750000.000000004</v>
      </c>
      <c r="X1740" s="3">
        <f t="shared" si="631"/>
        <v>18562500.000000004</v>
      </c>
      <c r="Y1740">
        <f t="shared" si="632"/>
        <v>0.24</v>
      </c>
      <c r="Z1740">
        <f t="shared" si="633"/>
        <v>0.77435897435897438</v>
      </c>
      <c r="AA1740" t="str">
        <f t="shared" si="634"/>
        <v>Tier 1 - Priority Fleet</v>
      </c>
      <c r="AB1740" s="3">
        <f t="shared" si="635"/>
        <v>132000.00000000003</v>
      </c>
      <c r="AC1740" s="3">
        <f t="shared" si="636"/>
        <v>1650000.0000000002</v>
      </c>
      <c r="AD1740" s="3">
        <f t="shared" si="637"/>
        <v>585000</v>
      </c>
      <c r="AE1740" s="5">
        <f t="shared" si="638"/>
        <v>3.6423841059602653</v>
      </c>
      <c r="AF1740" s="10">
        <f t="shared" si="639"/>
        <v>1227600.0000000002</v>
      </c>
      <c r="AG1740" s="10">
        <f t="shared" si="640"/>
        <v>396000.00000000006</v>
      </c>
      <c r="AH1740" s="10">
        <f t="shared" si="641"/>
        <v>198000.00000000003</v>
      </c>
      <c r="AI1740" s="10">
        <f t="shared" si="642"/>
        <v>99000.000000000015</v>
      </c>
      <c r="AJ1740" s="10">
        <f t="shared" si="643"/>
        <v>59400.000000000007</v>
      </c>
    </row>
    <row r="1741" spans="1:36" x14ac:dyDescent="0.3">
      <c r="A1741" t="s">
        <v>6577</v>
      </c>
      <c r="B1741" t="s">
        <v>6578</v>
      </c>
      <c r="C1741" t="s">
        <v>2233</v>
      </c>
      <c r="D1741" t="s">
        <v>14</v>
      </c>
      <c r="E1741">
        <v>90404</v>
      </c>
      <c r="F1741" t="s">
        <v>15</v>
      </c>
      <c r="G1741">
        <v>62</v>
      </c>
      <c r="H1741">
        <v>250</v>
      </c>
      <c r="I1741" t="str" cm="1">
        <f t="array" ref="I1741">_xlfn.IFS(H1741&lt;=120,"V1",H1741&lt;=150,"V2",H1741&lt;=250,"V3", H1741&lt;=350, "V4")</f>
        <v>V3</v>
      </c>
      <c r="J1741" t="s">
        <v>6579</v>
      </c>
      <c r="K1741" t="str">
        <f t="shared" si="621"/>
        <v>34.024585</v>
      </c>
      <c r="L1741" t="str">
        <f t="shared" si="622"/>
        <v>-118.485771</v>
      </c>
      <c r="M1741">
        <v>41</v>
      </c>
      <c r="N1741" s="1">
        <v>44610</v>
      </c>
      <c r="O1741" s="1">
        <v>46099</v>
      </c>
      <c r="P1741" s="2">
        <f t="shared" si="623"/>
        <v>4.0766598220396988</v>
      </c>
      <c r="Q1741" s="2" t="str">
        <f t="shared" si="624"/>
        <v>Mid</v>
      </c>
      <c r="R1741">
        <f t="shared" si="625"/>
        <v>15500</v>
      </c>
      <c r="S1741" t="str">
        <f t="shared" si="626"/>
        <v>Large</v>
      </c>
      <c r="T1741" t="str">
        <f t="shared" si="627"/>
        <v>High EV Adoption Corridor</v>
      </c>
      <c r="U1741" s="3">
        <f t="shared" si="628"/>
        <v>36270000</v>
      </c>
      <c r="V1741" s="4">
        <f t="shared" si="629"/>
        <v>8184000.0000000009</v>
      </c>
      <c r="W1741" s="3">
        <f t="shared" si="630"/>
        <v>102300000.00000001</v>
      </c>
      <c r="X1741" s="3">
        <f t="shared" si="631"/>
        <v>76725000.000000015</v>
      </c>
      <c r="Y1741">
        <f t="shared" si="632"/>
        <v>0.24</v>
      </c>
      <c r="Z1741">
        <f t="shared" si="633"/>
        <v>0.77435897435897438</v>
      </c>
      <c r="AA1741" t="str">
        <f t="shared" si="634"/>
        <v>Tier 1 - Priority Fleet</v>
      </c>
      <c r="AB1741" s="3">
        <f t="shared" si="635"/>
        <v>132000.00000000003</v>
      </c>
      <c r="AC1741" s="3">
        <f t="shared" si="636"/>
        <v>1650000.0000000002</v>
      </c>
      <c r="AD1741" s="3">
        <f t="shared" si="637"/>
        <v>585000</v>
      </c>
      <c r="AE1741" s="5">
        <f t="shared" si="638"/>
        <v>3.6423841059602653</v>
      </c>
      <c r="AF1741" s="10">
        <f t="shared" si="639"/>
        <v>5074080.0000000009</v>
      </c>
      <c r="AG1741" s="10">
        <f t="shared" si="640"/>
        <v>1636800.0000000002</v>
      </c>
      <c r="AH1741" s="10">
        <f t="shared" si="641"/>
        <v>818400.00000000012</v>
      </c>
      <c r="AI1741" s="10">
        <f t="shared" si="642"/>
        <v>409200.00000000006</v>
      </c>
      <c r="AJ1741" s="10">
        <f t="shared" si="643"/>
        <v>245520.00000000003</v>
      </c>
    </row>
    <row r="1742" spans="1:36" x14ac:dyDescent="0.3">
      <c r="A1742" t="s">
        <v>6580</v>
      </c>
      <c r="B1742" t="s">
        <v>6581</v>
      </c>
      <c r="C1742" t="s">
        <v>6021</v>
      </c>
      <c r="D1742" t="s">
        <v>14</v>
      </c>
      <c r="E1742">
        <v>92392</v>
      </c>
      <c r="F1742" t="s">
        <v>15</v>
      </c>
      <c r="G1742">
        <v>16</v>
      </c>
      <c r="H1742">
        <v>250</v>
      </c>
      <c r="I1742" t="str" cm="1">
        <f t="array" ref="I1742">_xlfn.IFS(H1742&lt;=120,"V1",H1742&lt;=150,"V2",H1742&lt;=250,"V3", H1742&lt;=350, "V4")</f>
        <v>V3</v>
      </c>
      <c r="J1742" t="s">
        <v>6582</v>
      </c>
      <c r="K1742" t="str">
        <f t="shared" si="621"/>
        <v>34.463156</v>
      </c>
      <c r="L1742" t="str">
        <f t="shared" si="622"/>
        <v>-117.354375</v>
      </c>
      <c r="M1742">
        <v>983</v>
      </c>
      <c r="N1742" s="1">
        <v>44952</v>
      </c>
      <c r="O1742" s="1">
        <v>46099</v>
      </c>
      <c r="P1742" s="2">
        <f t="shared" si="623"/>
        <v>3.14031485284052</v>
      </c>
      <c r="Q1742" s="2" t="str">
        <f t="shared" si="624"/>
        <v>Mid</v>
      </c>
      <c r="R1742">
        <f t="shared" si="625"/>
        <v>4000</v>
      </c>
      <c r="S1742" t="str">
        <f t="shared" si="626"/>
        <v>Small</v>
      </c>
      <c r="T1742" t="str">
        <f t="shared" si="627"/>
        <v>High EV Adoption Corridor</v>
      </c>
      <c r="U1742" s="3">
        <f t="shared" si="628"/>
        <v>9360000</v>
      </c>
      <c r="V1742" s="4">
        <f t="shared" si="629"/>
        <v>2112000</v>
      </c>
      <c r="W1742" s="3">
        <f t="shared" si="630"/>
        <v>26400000.000000004</v>
      </c>
      <c r="X1742" s="3">
        <f t="shared" si="631"/>
        <v>19800000.000000004</v>
      </c>
      <c r="Y1742">
        <f t="shared" si="632"/>
        <v>0.23999999999999996</v>
      </c>
      <c r="Z1742">
        <f t="shared" si="633"/>
        <v>0.77435897435897438</v>
      </c>
      <c r="AA1742" t="str">
        <f t="shared" si="634"/>
        <v>Tier 1 - Priority Fleet</v>
      </c>
      <c r="AB1742" s="3">
        <f t="shared" si="635"/>
        <v>132000</v>
      </c>
      <c r="AC1742" s="3">
        <f t="shared" si="636"/>
        <v>1650000.0000000002</v>
      </c>
      <c r="AD1742" s="3">
        <f t="shared" si="637"/>
        <v>585000</v>
      </c>
      <c r="AE1742" s="5">
        <f t="shared" si="638"/>
        <v>3.6423841059602653</v>
      </c>
      <c r="AF1742" s="10">
        <f t="shared" si="639"/>
        <v>1309440</v>
      </c>
      <c r="AG1742" s="10">
        <f t="shared" si="640"/>
        <v>422400</v>
      </c>
      <c r="AH1742" s="10">
        <f t="shared" si="641"/>
        <v>211200</v>
      </c>
      <c r="AI1742" s="10">
        <f t="shared" si="642"/>
        <v>105600</v>
      </c>
      <c r="AJ1742" s="10">
        <f t="shared" si="643"/>
        <v>63360</v>
      </c>
    </row>
    <row r="1743" spans="1:36" x14ac:dyDescent="0.3">
      <c r="A1743" t="s">
        <v>6583</v>
      </c>
      <c r="B1743" t="s">
        <v>6584</v>
      </c>
      <c r="C1743" t="s">
        <v>605</v>
      </c>
      <c r="D1743" t="s">
        <v>50</v>
      </c>
      <c r="E1743">
        <v>77082</v>
      </c>
      <c r="F1743" t="s">
        <v>15</v>
      </c>
      <c r="G1743">
        <v>16</v>
      </c>
      <c r="H1743">
        <v>250</v>
      </c>
      <c r="I1743" t="str" cm="1">
        <f t="array" ref="I1743">_xlfn.IFS(H1743&lt;=120,"V1",H1743&lt;=150,"V2",H1743&lt;=250,"V3", H1743&lt;=350, "V4")</f>
        <v>V3</v>
      </c>
      <c r="J1743" t="s">
        <v>6585</v>
      </c>
      <c r="K1743" t="str">
        <f t="shared" si="621"/>
        <v>29.734364</v>
      </c>
      <c r="L1743" t="str">
        <f t="shared" si="622"/>
        <v>-95.605596</v>
      </c>
      <c r="M1743">
        <v>24</v>
      </c>
      <c r="N1743" s="1">
        <v>45009</v>
      </c>
      <c r="O1743" s="1">
        <v>46099</v>
      </c>
      <c r="P1743" s="2">
        <f t="shared" si="623"/>
        <v>2.9842573579739904</v>
      </c>
      <c r="Q1743" s="2" t="str">
        <f t="shared" si="624"/>
        <v>New</v>
      </c>
      <c r="R1743">
        <f t="shared" si="625"/>
        <v>4000</v>
      </c>
      <c r="S1743" t="str">
        <f t="shared" si="626"/>
        <v>Small</v>
      </c>
      <c r="T1743" t="str">
        <f t="shared" si="627"/>
        <v>High EV Adoption Corridor</v>
      </c>
      <c r="U1743" s="3">
        <f t="shared" si="628"/>
        <v>9360000</v>
      </c>
      <c r="V1743" s="4">
        <f t="shared" si="629"/>
        <v>2112000</v>
      </c>
      <c r="W1743" s="3">
        <f t="shared" si="630"/>
        <v>26400000.000000004</v>
      </c>
      <c r="X1743" s="3">
        <f t="shared" si="631"/>
        <v>19800000.000000004</v>
      </c>
      <c r="Y1743">
        <f t="shared" si="632"/>
        <v>0.23999999999999996</v>
      </c>
      <c r="Z1743">
        <f t="shared" si="633"/>
        <v>0.77435897435897438</v>
      </c>
      <c r="AA1743" t="str">
        <f t="shared" si="634"/>
        <v>Tier 1 - Priority Fleet</v>
      </c>
      <c r="AB1743" s="3">
        <f t="shared" si="635"/>
        <v>132000</v>
      </c>
      <c r="AC1743" s="3">
        <f t="shared" si="636"/>
        <v>1650000.0000000002</v>
      </c>
      <c r="AD1743" s="3">
        <f t="shared" si="637"/>
        <v>585000</v>
      </c>
      <c r="AE1743" s="5">
        <f t="shared" si="638"/>
        <v>3.6423841059602653</v>
      </c>
      <c r="AF1743" s="10">
        <f t="shared" si="639"/>
        <v>1309440</v>
      </c>
      <c r="AG1743" s="10">
        <f t="shared" si="640"/>
        <v>422400</v>
      </c>
      <c r="AH1743" s="10">
        <f t="shared" si="641"/>
        <v>211200</v>
      </c>
      <c r="AI1743" s="10">
        <f t="shared" si="642"/>
        <v>105600</v>
      </c>
      <c r="AJ1743" s="10">
        <f t="shared" si="643"/>
        <v>63360</v>
      </c>
    </row>
    <row r="1744" spans="1:36" x14ac:dyDescent="0.3">
      <c r="A1744" t="s">
        <v>6586</v>
      </c>
      <c r="B1744" t="s">
        <v>6587</v>
      </c>
      <c r="C1744" t="s">
        <v>1700</v>
      </c>
      <c r="D1744" t="s">
        <v>41</v>
      </c>
      <c r="E1744">
        <v>32821</v>
      </c>
      <c r="F1744" t="s">
        <v>15</v>
      </c>
      <c r="G1744">
        <v>8</v>
      </c>
      <c r="H1744">
        <v>250</v>
      </c>
      <c r="I1744" t="str" cm="1">
        <f t="array" ref="I1744">_xlfn.IFS(H1744&lt;=120,"V1",H1744&lt;=150,"V2",H1744&lt;=250,"V3", H1744&lt;=350, "V4")</f>
        <v>V3</v>
      </c>
      <c r="J1744" t="s">
        <v>6588</v>
      </c>
      <c r="K1744" t="str">
        <f t="shared" si="621"/>
        <v>28.405944</v>
      </c>
      <c r="L1744" t="str">
        <f t="shared" si="622"/>
        <v>-81.457879</v>
      </c>
      <c r="M1744">
        <v>27</v>
      </c>
      <c r="N1744" s="1">
        <v>44952</v>
      </c>
      <c r="O1744" s="1">
        <v>46099</v>
      </c>
      <c r="P1744" s="2">
        <f t="shared" si="623"/>
        <v>3.14031485284052</v>
      </c>
      <c r="Q1744" s="2" t="str">
        <f t="shared" si="624"/>
        <v>Mid</v>
      </c>
      <c r="R1744">
        <f t="shared" si="625"/>
        <v>2000</v>
      </c>
      <c r="S1744" t="str">
        <f t="shared" si="626"/>
        <v>Small</v>
      </c>
      <c r="T1744" t="str">
        <f t="shared" si="627"/>
        <v>High EV Adoption Corridor</v>
      </c>
      <c r="U1744" s="3">
        <f t="shared" si="628"/>
        <v>4680000</v>
      </c>
      <c r="V1744" s="4">
        <f t="shared" si="629"/>
        <v>1056000</v>
      </c>
      <c r="W1744" s="3">
        <f t="shared" si="630"/>
        <v>13200000.000000002</v>
      </c>
      <c r="X1744" s="3">
        <f t="shared" si="631"/>
        <v>9900000.0000000019</v>
      </c>
      <c r="Y1744">
        <f t="shared" si="632"/>
        <v>0.23999999999999996</v>
      </c>
      <c r="Z1744">
        <f t="shared" si="633"/>
        <v>0.77435897435897438</v>
      </c>
      <c r="AA1744" t="str">
        <f t="shared" si="634"/>
        <v>Tier 1 - Priority Fleet</v>
      </c>
      <c r="AB1744" s="3">
        <f t="shared" si="635"/>
        <v>132000</v>
      </c>
      <c r="AC1744" s="3">
        <f t="shared" si="636"/>
        <v>1650000.0000000002</v>
      </c>
      <c r="AD1744" s="3">
        <f t="shared" si="637"/>
        <v>585000</v>
      </c>
      <c r="AE1744" s="5">
        <f t="shared" si="638"/>
        <v>3.6423841059602653</v>
      </c>
      <c r="AF1744" s="10">
        <f t="shared" si="639"/>
        <v>654720</v>
      </c>
      <c r="AG1744" s="10">
        <f t="shared" si="640"/>
        <v>211200</v>
      </c>
      <c r="AH1744" s="10">
        <f t="shared" si="641"/>
        <v>105600</v>
      </c>
      <c r="AI1744" s="10">
        <f t="shared" si="642"/>
        <v>52800</v>
      </c>
      <c r="AJ1744" s="10">
        <f t="shared" si="643"/>
        <v>31680</v>
      </c>
    </row>
    <row r="1745" spans="1:36" x14ac:dyDescent="0.3">
      <c r="A1745" t="s">
        <v>6589</v>
      </c>
      <c r="B1745" t="s">
        <v>6590</v>
      </c>
      <c r="C1745" t="s">
        <v>5638</v>
      </c>
      <c r="D1745" t="s">
        <v>433</v>
      </c>
      <c r="E1745">
        <v>89027</v>
      </c>
      <c r="F1745" t="s">
        <v>15</v>
      </c>
      <c r="G1745">
        <v>8</v>
      </c>
      <c r="H1745">
        <v>250</v>
      </c>
      <c r="I1745" t="str" cm="1">
        <f t="array" ref="I1745">_xlfn.IFS(H1745&lt;=120,"V1",H1745&lt;=150,"V2",H1745&lt;=250,"V3", H1745&lt;=350, "V4")</f>
        <v>V3</v>
      </c>
      <c r="J1745" t="s">
        <v>6591</v>
      </c>
      <c r="K1745" t="str">
        <f t="shared" si="621"/>
        <v>36.815991</v>
      </c>
      <c r="L1745" t="str">
        <f t="shared" si="622"/>
        <v>-114.064751</v>
      </c>
      <c r="M1745">
        <v>508</v>
      </c>
      <c r="N1745" s="1">
        <v>44844</v>
      </c>
      <c r="O1745" s="1">
        <v>46099</v>
      </c>
      <c r="P1745" s="2">
        <f t="shared" si="623"/>
        <v>3.4360027378507869</v>
      </c>
      <c r="Q1745" s="2" t="str">
        <f t="shared" si="624"/>
        <v>Mid</v>
      </c>
      <c r="R1745">
        <f t="shared" si="625"/>
        <v>2000</v>
      </c>
      <c r="S1745" t="str">
        <f t="shared" si="626"/>
        <v>Small</v>
      </c>
      <c r="T1745" t="str">
        <f t="shared" si="627"/>
        <v>Lower EV Adoption Corridor</v>
      </c>
      <c r="U1745" s="3">
        <f t="shared" si="628"/>
        <v>3600000</v>
      </c>
      <c r="V1745" s="4">
        <f t="shared" si="629"/>
        <v>880000.00000000012</v>
      </c>
      <c r="W1745" s="3">
        <f t="shared" si="630"/>
        <v>12000000</v>
      </c>
      <c r="X1745" s="3">
        <f t="shared" si="631"/>
        <v>6600000.0000000009</v>
      </c>
      <c r="Y1745">
        <f t="shared" si="632"/>
        <v>0.31515151515151513</v>
      </c>
      <c r="Z1745">
        <f t="shared" si="633"/>
        <v>0.75555555555555554</v>
      </c>
      <c r="AA1745" t="str">
        <f t="shared" si="634"/>
        <v>Tier 2 - Growth Markets</v>
      </c>
      <c r="AB1745" s="3">
        <f t="shared" si="635"/>
        <v>110000.00000000001</v>
      </c>
      <c r="AC1745" s="3">
        <f t="shared" si="636"/>
        <v>1500000</v>
      </c>
      <c r="AD1745" s="3">
        <f t="shared" si="637"/>
        <v>450000</v>
      </c>
      <c r="AE1745" s="5">
        <f t="shared" si="638"/>
        <v>4.4117647058823533</v>
      </c>
      <c r="AF1745" s="10">
        <f t="shared" si="639"/>
        <v>545600.00000000012</v>
      </c>
      <c r="AG1745" s="10">
        <f t="shared" si="640"/>
        <v>176000.00000000003</v>
      </c>
      <c r="AH1745" s="10">
        <f t="shared" si="641"/>
        <v>88000.000000000015</v>
      </c>
      <c r="AI1745" s="10">
        <f t="shared" si="642"/>
        <v>44000.000000000007</v>
      </c>
      <c r="AJ1745" s="10">
        <f t="shared" si="643"/>
        <v>26400.000000000004</v>
      </c>
    </row>
    <row r="1746" spans="1:36" x14ac:dyDescent="0.3">
      <c r="A1746" t="s">
        <v>6592</v>
      </c>
      <c r="B1746" t="s">
        <v>6593</v>
      </c>
      <c r="C1746" t="s">
        <v>6594</v>
      </c>
      <c r="D1746" t="s">
        <v>72</v>
      </c>
      <c r="E1746">
        <v>85131</v>
      </c>
      <c r="F1746" t="s">
        <v>15</v>
      </c>
      <c r="G1746">
        <v>28</v>
      </c>
      <c r="H1746">
        <v>250</v>
      </c>
      <c r="I1746" t="str" cm="1">
        <f t="array" ref="I1746">_xlfn.IFS(H1746&lt;=120,"V1",H1746&lt;=150,"V2",H1746&lt;=250,"V3", H1746&lt;=350, "V4")</f>
        <v>V3</v>
      </c>
      <c r="J1746" t="s">
        <v>6595</v>
      </c>
      <c r="K1746" t="str">
        <f t="shared" si="621"/>
        <v>32.78255</v>
      </c>
      <c r="L1746" t="str">
        <f t="shared" si="622"/>
        <v>-111.61868</v>
      </c>
      <c r="M1746">
        <v>141</v>
      </c>
      <c r="N1746" s="1">
        <v>45006</v>
      </c>
      <c r="O1746" s="1">
        <v>46099</v>
      </c>
      <c r="P1746" s="2">
        <f t="shared" si="623"/>
        <v>2.9924709103353866</v>
      </c>
      <c r="Q1746" s="2" t="str">
        <f t="shared" si="624"/>
        <v>New</v>
      </c>
      <c r="R1746">
        <f t="shared" si="625"/>
        <v>7000</v>
      </c>
      <c r="S1746" t="str">
        <f t="shared" si="626"/>
        <v>Small</v>
      </c>
      <c r="T1746" t="str">
        <f t="shared" si="627"/>
        <v>Lower EV Adoption Corridor</v>
      </c>
      <c r="U1746" s="3">
        <f t="shared" si="628"/>
        <v>12600000</v>
      </c>
      <c r="V1746" s="4">
        <f t="shared" si="629"/>
        <v>3080000.0000000005</v>
      </c>
      <c r="W1746" s="3">
        <f t="shared" si="630"/>
        <v>42000000</v>
      </c>
      <c r="X1746" s="3">
        <f t="shared" si="631"/>
        <v>23100000.000000004</v>
      </c>
      <c r="Y1746">
        <f t="shared" si="632"/>
        <v>0.31515151515151513</v>
      </c>
      <c r="Z1746">
        <f t="shared" si="633"/>
        <v>0.75555555555555554</v>
      </c>
      <c r="AA1746" t="str">
        <f t="shared" si="634"/>
        <v>Tier 2 - Growth Markets</v>
      </c>
      <c r="AB1746" s="3">
        <f t="shared" si="635"/>
        <v>110000.00000000001</v>
      </c>
      <c r="AC1746" s="3">
        <f t="shared" si="636"/>
        <v>1500000</v>
      </c>
      <c r="AD1746" s="3">
        <f t="shared" si="637"/>
        <v>450000</v>
      </c>
      <c r="AE1746" s="5">
        <f t="shared" si="638"/>
        <v>4.4117647058823533</v>
      </c>
      <c r="AF1746" s="10">
        <f t="shared" si="639"/>
        <v>1909600.0000000002</v>
      </c>
      <c r="AG1746" s="10">
        <f t="shared" si="640"/>
        <v>616000.00000000012</v>
      </c>
      <c r="AH1746" s="10">
        <f t="shared" si="641"/>
        <v>308000.00000000006</v>
      </c>
      <c r="AI1746" s="10">
        <f t="shared" si="642"/>
        <v>154000.00000000003</v>
      </c>
      <c r="AJ1746" s="10">
        <f t="shared" si="643"/>
        <v>92400.000000000015</v>
      </c>
    </row>
    <row r="1747" spans="1:36" x14ac:dyDescent="0.3">
      <c r="A1747" t="s">
        <v>6596</v>
      </c>
      <c r="B1747" t="s">
        <v>6597</v>
      </c>
      <c r="C1747" t="s">
        <v>6598</v>
      </c>
      <c r="D1747" t="s">
        <v>125</v>
      </c>
      <c r="E1747">
        <v>29582</v>
      </c>
      <c r="F1747" t="s">
        <v>15</v>
      </c>
      <c r="G1747">
        <v>8</v>
      </c>
      <c r="H1747">
        <v>250</v>
      </c>
      <c r="I1747" t="str" cm="1">
        <f t="array" ref="I1747">_xlfn.IFS(H1747&lt;=120,"V1",H1747&lt;=150,"V2",H1747&lt;=250,"V3", H1747&lt;=350, "V4")</f>
        <v>V3</v>
      </c>
      <c r="J1747" t="s">
        <v>6599</v>
      </c>
      <c r="K1747" t="str">
        <f t="shared" si="621"/>
        <v>33.79857</v>
      </c>
      <c r="L1747" t="str">
        <f t="shared" si="622"/>
        <v>-78.746356</v>
      </c>
      <c r="M1747">
        <v>4</v>
      </c>
      <c r="N1747" s="1">
        <v>45065</v>
      </c>
      <c r="O1747" s="1">
        <v>46099</v>
      </c>
      <c r="P1747" s="2">
        <f t="shared" si="623"/>
        <v>2.8309377138945928</v>
      </c>
      <c r="Q1747" s="2" t="str">
        <f t="shared" si="624"/>
        <v>New</v>
      </c>
      <c r="R1747">
        <f t="shared" si="625"/>
        <v>2000</v>
      </c>
      <c r="S1747" t="str">
        <f t="shared" si="626"/>
        <v>Small</v>
      </c>
      <c r="T1747" t="str">
        <f t="shared" si="627"/>
        <v>Lower EV Adoption Corridor</v>
      </c>
      <c r="U1747" s="3">
        <f t="shared" si="628"/>
        <v>3600000</v>
      </c>
      <c r="V1747" s="4">
        <f t="shared" si="629"/>
        <v>880000.00000000012</v>
      </c>
      <c r="W1747" s="3">
        <f t="shared" si="630"/>
        <v>12000000</v>
      </c>
      <c r="X1747" s="3">
        <f t="shared" si="631"/>
        <v>6600000.0000000009</v>
      </c>
      <c r="Y1747">
        <f t="shared" si="632"/>
        <v>0.31515151515151513</v>
      </c>
      <c r="Z1747">
        <f t="shared" si="633"/>
        <v>0.75555555555555554</v>
      </c>
      <c r="AA1747" t="str">
        <f t="shared" si="634"/>
        <v>Tier 2 - Growth Markets</v>
      </c>
      <c r="AB1747" s="3">
        <f t="shared" si="635"/>
        <v>110000.00000000001</v>
      </c>
      <c r="AC1747" s="3">
        <f t="shared" si="636"/>
        <v>1500000</v>
      </c>
      <c r="AD1747" s="3">
        <f t="shared" si="637"/>
        <v>450000</v>
      </c>
      <c r="AE1747" s="5">
        <f t="shared" si="638"/>
        <v>4.4117647058823533</v>
      </c>
      <c r="AF1747" s="10">
        <f t="shared" si="639"/>
        <v>545600.00000000012</v>
      </c>
      <c r="AG1747" s="10">
        <f t="shared" si="640"/>
        <v>176000.00000000003</v>
      </c>
      <c r="AH1747" s="10">
        <f t="shared" si="641"/>
        <v>88000.000000000015</v>
      </c>
      <c r="AI1747" s="10">
        <f t="shared" si="642"/>
        <v>44000.000000000007</v>
      </c>
      <c r="AJ1747" s="10">
        <f t="shared" si="643"/>
        <v>26400.000000000004</v>
      </c>
    </row>
    <row r="1748" spans="1:36" x14ac:dyDescent="0.3">
      <c r="A1748" t="s">
        <v>6600</v>
      </c>
      <c r="B1748" t="s">
        <v>6601</v>
      </c>
      <c r="C1748" t="s">
        <v>6602</v>
      </c>
      <c r="D1748" t="s">
        <v>28</v>
      </c>
      <c r="E1748">
        <v>30030</v>
      </c>
      <c r="F1748" t="s">
        <v>15</v>
      </c>
      <c r="G1748">
        <v>16</v>
      </c>
      <c r="H1748">
        <v>250</v>
      </c>
      <c r="I1748" t="str" cm="1">
        <f t="array" ref="I1748">_xlfn.IFS(H1748&lt;=120,"V1",H1748&lt;=150,"V2",H1748&lt;=250,"V3", H1748&lt;=350, "V4")</f>
        <v>V3</v>
      </c>
      <c r="J1748" t="s">
        <v>6603</v>
      </c>
      <c r="K1748" t="str">
        <f t="shared" si="621"/>
        <v>33.776189</v>
      </c>
      <c r="L1748" t="str">
        <f t="shared" si="622"/>
        <v>-84.295612</v>
      </c>
      <c r="M1748">
        <v>315</v>
      </c>
      <c r="N1748" s="1">
        <v>45007</v>
      </c>
      <c r="O1748" s="1">
        <v>46099</v>
      </c>
      <c r="P1748" s="2">
        <f t="shared" si="623"/>
        <v>2.9897330595482545</v>
      </c>
      <c r="Q1748" s="2" t="str">
        <f t="shared" si="624"/>
        <v>New</v>
      </c>
      <c r="R1748">
        <f t="shared" si="625"/>
        <v>4000</v>
      </c>
      <c r="S1748" t="str">
        <f t="shared" si="626"/>
        <v>Small</v>
      </c>
      <c r="T1748" t="str">
        <f t="shared" si="627"/>
        <v>Lower EV Adoption Corridor</v>
      </c>
      <c r="U1748" s="3">
        <f t="shared" si="628"/>
        <v>7200000</v>
      </c>
      <c r="V1748" s="4">
        <f t="shared" si="629"/>
        <v>1760000.0000000002</v>
      </c>
      <c r="W1748" s="3">
        <f t="shared" si="630"/>
        <v>24000000</v>
      </c>
      <c r="X1748" s="3">
        <f t="shared" si="631"/>
        <v>13200000.000000002</v>
      </c>
      <c r="Y1748">
        <f t="shared" si="632"/>
        <v>0.31515151515151513</v>
      </c>
      <c r="Z1748">
        <f t="shared" si="633"/>
        <v>0.75555555555555554</v>
      </c>
      <c r="AA1748" t="str">
        <f t="shared" si="634"/>
        <v>Tier 2 - Growth Markets</v>
      </c>
      <c r="AB1748" s="3">
        <f t="shared" si="635"/>
        <v>110000.00000000001</v>
      </c>
      <c r="AC1748" s="3">
        <f t="shared" si="636"/>
        <v>1500000</v>
      </c>
      <c r="AD1748" s="3">
        <f t="shared" si="637"/>
        <v>450000</v>
      </c>
      <c r="AE1748" s="5">
        <f t="shared" si="638"/>
        <v>4.4117647058823533</v>
      </c>
      <c r="AF1748" s="10">
        <f t="shared" si="639"/>
        <v>1091200.0000000002</v>
      </c>
      <c r="AG1748" s="10">
        <f t="shared" si="640"/>
        <v>352000.00000000006</v>
      </c>
      <c r="AH1748" s="10">
        <f t="shared" si="641"/>
        <v>176000.00000000003</v>
      </c>
      <c r="AI1748" s="10">
        <f t="shared" si="642"/>
        <v>88000.000000000015</v>
      </c>
      <c r="AJ1748" s="10">
        <f t="shared" si="643"/>
        <v>52800.000000000007</v>
      </c>
    </row>
    <row r="1749" spans="1:36" x14ac:dyDescent="0.3">
      <c r="A1749" t="s">
        <v>6604</v>
      </c>
      <c r="B1749" t="s">
        <v>6605</v>
      </c>
      <c r="C1749" t="s">
        <v>733</v>
      </c>
      <c r="D1749" t="s">
        <v>268</v>
      </c>
      <c r="E1749">
        <v>80920</v>
      </c>
      <c r="F1749" t="s">
        <v>15</v>
      </c>
      <c r="G1749">
        <v>16</v>
      </c>
      <c r="H1749">
        <v>250</v>
      </c>
      <c r="I1749" t="str" cm="1">
        <f t="array" ref="I1749">_xlfn.IFS(H1749&lt;=120,"V1",H1749&lt;=150,"V2",H1749&lt;=250,"V3", H1749&lt;=350, "V4")</f>
        <v>V3</v>
      </c>
      <c r="J1749" t="s">
        <v>6606</v>
      </c>
      <c r="K1749" t="str">
        <f t="shared" si="621"/>
        <v>38.965808</v>
      </c>
      <c r="L1749" t="str">
        <f t="shared" si="622"/>
        <v>-104.785785</v>
      </c>
      <c r="M1749">
        <v>2051</v>
      </c>
      <c r="N1749" s="1">
        <v>45023</v>
      </c>
      <c r="O1749" s="1">
        <v>46099</v>
      </c>
      <c r="P1749" s="2">
        <f t="shared" si="623"/>
        <v>2.945927446954141</v>
      </c>
      <c r="Q1749" s="2" t="str">
        <f t="shared" si="624"/>
        <v>New</v>
      </c>
      <c r="R1749">
        <f t="shared" si="625"/>
        <v>4000</v>
      </c>
      <c r="S1749" t="str">
        <f t="shared" si="626"/>
        <v>Small</v>
      </c>
      <c r="T1749" t="str">
        <f t="shared" si="627"/>
        <v>High EV Adoption Corridor</v>
      </c>
      <c r="U1749" s="3">
        <f t="shared" si="628"/>
        <v>9360000</v>
      </c>
      <c r="V1749" s="4">
        <f t="shared" si="629"/>
        <v>2112000</v>
      </c>
      <c r="W1749" s="3">
        <f t="shared" si="630"/>
        <v>26400000.000000004</v>
      </c>
      <c r="X1749" s="3">
        <f t="shared" si="631"/>
        <v>19800000.000000004</v>
      </c>
      <c r="Y1749">
        <f t="shared" si="632"/>
        <v>0.23999999999999996</v>
      </c>
      <c r="Z1749">
        <f t="shared" si="633"/>
        <v>0.77435897435897438</v>
      </c>
      <c r="AA1749" t="str">
        <f t="shared" si="634"/>
        <v>Tier 1 - Priority Fleet</v>
      </c>
      <c r="AB1749" s="3">
        <f t="shared" si="635"/>
        <v>132000</v>
      </c>
      <c r="AC1749" s="3">
        <f t="shared" si="636"/>
        <v>1650000.0000000002</v>
      </c>
      <c r="AD1749" s="3">
        <f t="shared" si="637"/>
        <v>585000</v>
      </c>
      <c r="AE1749" s="5">
        <f t="shared" si="638"/>
        <v>3.6423841059602653</v>
      </c>
      <c r="AF1749" s="10">
        <f t="shared" si="639"/>
        <v>1309440</v>
      </c>
      <c r="AG1749" s="10">
        <f t="shared" si="640"/>
        <v>422400</v>
      </c>
      <c r="AH1749" s="10">
        <f t="shared" si="641"/>
        <v>211200</v>
      </c>
      <c r="AI1749" s="10">
        <f t="shared" si="642"/>
        <v>105600</v>
      </c>
      <c r="AJ1749" s="10">
        <f t="shared" si="643"/>
        <v>63360</v>
      </c>
    </row>
    <row r="1750" spans="1:36" x14ac:dyDescent="0.3">
      <c r="A1750" t="s">
        <v>6607</v>
      </c>
      <c r="B1750" t="s">
        <v>6608</v>
      </c>
      <c r="C1750" t="s">
        <v>6609</v>
      </c>
      <c r="D1750" t="s">
        <v>428</v>
      </c>
      <c r="E1750">
        <v>3860</v>
      </c>
      <c r="F1750" t="s">
        <v>15</v>
      </c>
      <c r="G1750">
        <v>8</v>
      </c>
      <c r="H1750">
        <v>250</v>
      </c>
      <c r="I1750" t="str" cm="1">
        <f t="array" ref="I1750">_xlfn.IFS(H1750&lt;=120,"V1",H1750&lt;=150,"V2",H1750&lt;=250,"V3", H1750&lt;=350, "V4")</f>
        <v>V3</v>
      </c>
      <c r="J1750" t="s">
        <v>6610</v>
      </c>
      <c r="K1750" t="str">
        <f t="shared" si="621"/>
        <v>44.020271</v>
      </c>
      <c r="L1750" t="str">
        <f t="shared" si="622"/>
        <v>-71.113742</v>
      </c>
      <c r="M1750">
        <v>149</v>
      </c>
      <c r="N1750" s="1">
        <v>44553</v>
      </c>
      <c r="O1750" s="1">
        <v>46099</v>
      </c>
      <c r="P1750" s="2">
        <f t="shared" si="623"/>
        <v>4.2327173169062284</v>
      </c>
      <c r="Q1750" s="2" t="str">
        <f t="shared" si="624"/>
        <v>Mid</v>
      </c>
      <c r="R1750">
        <f t="shared" si="625"/>
        <v>2000</v>
      </c>
      <c r="S1750" t="str">
        <f t="shared" si="626"/>
        <v>Small</v>
      </c>
      <c r="T1750" t="str">
        <f t="shared" si="627"/>
        <v>Lower EV Adoption Corridor</v>
      </c>
      <c r="U1750" s="3">
        <f t="shared" si="628"/>
        <v>3600000</v>
      </c>
      <c r="V1750" s="4">
        <f t="shared" si="629"/>
        <v>880000.00000000012</v>
      </c>
      <c r="W1750" s="3">
        <f t="shared" si="630"/>
        <v>12000000</v>
      </c>
      <c r="X1750" s="3">
        <f t="shared" si="631"/>
        <v>6600000.0000000009</v>
      </c>
      <c r="Y1750">
        <f t="shared" si="632"/>
        <v>0.31515151515151513</v>
      </c>
      <c r="Z1750">
        <f t="shared" si="633"/>
        <v>0.75555555555555554</v>
      </c>
      <c r="AA1750" t="str">
        <f t="shared" si="634"/>
        <v>Tier 2 - Growth Markets</v>
      </c>
      <c r="AB1750" s="3">
        <f t="shared" si="635"/>
        <v>110000.00000000001</v>
      </c>
      <c r="AC1750" s="3">
        <f t="shared" si="636"/>
        <v>1500000</v>
      </c>
      <c r="AD1750" s="3">
        <f t="shared" si="637"/>
        <v>450000</v>
      </c>
      <c r="AE1750" s="5">
        <f t="shared" si="638"/>
        <v>4.4117647058823533</v>
      </c>
      <c r="AF1750" s="10">
        <f t="shared" si="639"/>
        <v>545600.00000000012</v>
      </c>
      <c r="AG1750" s="10">
        <f t="shared" si="640"/>
        <v>176000.00000000003</v>
      </c>
      <c r="AH1750" s="10">
        <f t="shared" si="641"/>
        <v>88000.000000000015</v>
      </c>
      <c r="AI1750" s="10">
        <f t="shared" si="642"/>
        <v>44000.000000000007</v>
      </c>
      <c r="AJ1750" s="10">
        <f t="shared" si="643"/>
        <v>26400.000000000004</v>
      </c>
    </row>
    <row r="1751" spans="1:36" x14ac:dyDescent="0.3">
      <c r="A1751" t="s">
        <v>6611</v>
      </c>
      <c r="B1751" t="s">
        <v>6612</v>
      </c>
      <c r="C1751" t="s">
        <v>6613</v>
      </c>
      <c r="D1751" t="s">
        <v>14</v>
      </c>
      <c r="E1751">
        <v>95901</v>
      </c>
      <c r="F1751" t="s">
        <v>15</v>
      </c>
      <c r="G1751">
        <v>8</v>
      </c>
      <c r="H1751">
        <v>250</v>
      </c>
      <c r="I1751" t="str" cm="1">
        <f t="array" ref="I1751">_xlfn.IFS(H1751&lt;=120,"V1",H1751&lt;=150,"V2",H1751&lt;=250,"V3", H1751&lt;=350, "V4")</f>
        <v>V3</v>
      </c>
      <c r="J1751" t="s">
        <v>6614</v>
      </c>
      <c r="K1751" t="str">
        <f t="shared" si="621"/>
        <v>39.111142</v>
      </c>
      <c r="L1751" t="str">
        <f t="shared" si="622"/>
        <v>-121.55662</v>
      </c>
      <c r="M1751">
        <v>19</v>
      </c>
      <c r="N1751" s="1">
        <v>44963</v>
      </c>
      <c r="O1751" s="1">
        <v>46099</v>
      </c>
      <c r="P1751" s="2">
        <f t="shared" si="623"/>
        <v>3.1101984941820673</v>
      </c>
      <c r="Q1751" s="2" t="str">
        <f t="shared" si="624"/>
        <v>Mid</v>
      </c>
      <c r="R1751">
        <f t="shared" si="625"/>
        <v>2000</v>
      </c>
      <c r="S1751" t="str">
        <f t="shared" si="626"/>
        <v>Small</v>
      </c>
      <c r="T1751" t="str">
        <f t="shared" si="627"/>
        <v>High EV Adoption Corridor</v>
      </c>
      <c r="U1751" s="3">
        <f t="shared" si="628"/>
        <v>4680000</v>
      </c>
      <c r="V1751" s="4">
        <f t="shared" si="629"/>
        <v>1056000</v>
      </c>
      <c r="W1751" s="3">
        <f t="shared" si="630"/>
        <v>13200000.000000002</v>
      </c>
      <c r="X1751" s="3">
        <f t="shared" si="631"/>
        <v>9900000.0000000019</v>
      </c>
      <c r="Y1751">
        <f t="shared" si="632"/>
        <v>0.23999999999999996</v>
      </c>
      <c r="Z1751">
        <f t="shared" si="633"/>
        <v>0.77435897435897438</v>
      </c>
      <c r="AA1751" t="str">
        <f t="shared" si="634"/>
        <v>Tier 1 - Priority Fleet</v>
      </c>
      <c r="AB1751" s="3">
        <f t="shared" si="635"/>
        <v>132000</v>
      </c>
      <c r="AC1751" s="3">
        <f t="shared" si="636"/>
        <v>1650000.0000000002</v>
      </c>
      <c r="AD1751" s="3">
        <f t="shared" si="637"/>
        <v>585000</v>
      </c>
      <c r="AE1751" s="5">
        <f t="shared" si="638"/>
        <v>3.6423841059602653</v>
      </c>
      <c r="AF1751" s="10">
        <f t="shared" si="639"/>
        <v>654720</v>
      </c>
      <c r="AG1751" s="10">
        <f t="shared" si="640"/>
        <v>211200</v>
      </c>
      <c r="AH1751" s="10">
        <f t="shared" si="641"/>
        <v>105600</v>
      </c>
      <c r="AI1751" s="10">
        <f t="shared" si="642"/>
        <v>52800</v>
      </c>
      <c r="AJ1751" s="10">
        <f t="shared" si="643"/>
        <v>31680</v>
      </c>
    </row>
    <row r="1752" spans="1:36" x14ac:dyDescent="0.3">
      <c r="A1752" t="s">
        <v>6615</v>
      </c>
      <c r="B1752" t="s">
        <v>6616</v>
      </c>
      <c r="C1752" t="s">
        <v>1360</v>
      </c>
      <c r="D1752" t="s">
        <v>913</v>
      </c>
      <c r="E1752">
        <v>20879</v>
      </c>
      <c r="F1752" t="s">
        <v>15</v>
      </c>
      <c r="G1752">
        <v>7</v>
      </c>
      <c r="H1752">
        <v>250</v>
      </c>
      <c r="I1752" t="str" cm="1">
        <f t="array" ref="I1752">_xlfn.IFS(H1752&lt;=120,"V1",H1752&lt;=150,"V2",H1752&lt;=250,"V3", H1752&lt;=350, "V4")</f>
        <v>V3</v>
      </c>
      <c r="J1752" t="s">
        <v>6617</v>
      </c>
      <c r="K1752" t="str">
        <f t="shared" si="621"/>
        <v>39.158124</v>
      </c>
      <c r="L1752" t="str">
        <f t="shared" si="622"/>
        <v>-77.222372</v>
      </c>
      <c r="M1752">
        <v>128</v>
      </c>
      <c r="N1752" s="1">
        <v>44999</v>
      </c>
      <c r="O1752" s="1">
        <v>46099</v>
      </c>
      <c r="P1752" s="2">
        <f t="shared" si="623"/>
        <v>3.0116358658453115</v>
      </c>
      <c r="Q1752" s="2" t="str">
        <f t="shared" si="624"/>
        <v>Mid</v>
      </c>
      <c r="R1752">
        <f t="shared" si="625"/>
        <v>1750</v>
      </c>
      <c r="S1752" t="str">
        <f t="shared" si="626"/>
        <v>Small</v>
      </c>
      <c r="T1752" t="str">
        <f t="shared" si="627"/>
        <v>Lower EV Adoption Corridor</v>
      </c>
      <c r="U1752" s="3">
        <f t="shared" si="628"/>
        <v>3150000</v>
      </c>
      <c r="V1752" s="4">
        <f t="shared" si="629"/>
        <v>770000.00000000012</v>
      </c>
      <c r="W1752" s="3">
        <f t="shared" si="630"/>
        <v>10500000</v>
      </c>
      <c r="X1752" s="3">
        <f t="shared" si="631"/>
        <v>5775000.0000000009</v>
      </c>
      <c r="Y1752">
        <f t="shared" si="632"/>
        <v>0.31515151515151513</v>
      </c>
      <c r="Z1752">
        <f t="shared" si="633"/>
        <v>0.75555555555555554</v>
      </c>
      <c r="AA1752" t="str">
        <f t="shared" si="634"/>
        <v>Tier 2 - Growth Markets</v>
      </c>
      <c r="AB1752" s="3">
        <f t="shared" si="635"/>
        <v>110000.00000000001</v>
      </c>
      <c r="AC1752" s="3">
        <f t="shared" si="636"/>
        <v>1500000</v>
      </c>
      <c r="AD1752" s="3">
        <f t="shared" si="637"/>
        <v>450000</v>
      </c>
      <c r="AE1752" s="5">
        <f t="shared" si="638"/>
        <v>4.4117647058823533</v>
      </c>
      <c r="AF1752" s="10">
        <f t="shared" si="639"/>
        <v>477400.00000000006</v>
      </c>
      <c r="AG1752" s="10">
        <f t="shared" si="640"/>
        <v>154000.00000000003</v>
      </c>
      <c r="AH1752" s="10">
        <f t="shared" si="641"/>
        <v>77000.000000000015</v>
      </c>
      <c r="AI1752" s="10">
        <f t="shared" si="642"/>
        <v>38500.000000000007</v>
      </c>
      <c r="AJ1752" s="10">
        <f t="shared" si="643"/>
        <v>23100.000000000004</v>
      </c>
    </row>
    <row r="1753" spans="1:36" x14ac:dyDescent="0.3">
      <c r="A1753" t="s">
        <v>6618</v>
      </c>
      <c r="B1753" t="s">
        <v>6619</v>
      </c>
      <c r="C1753" t="s">
        <v>6620</v>
      </c>
      <c r="D1753" t="s">
        <v>50</v>
      </c>
      <c r="E1753">
        <v>75034</v>
      </c>
      <c r="F1753" t="s">
        <v>15</v>
      </c>
      <c r="G1753">
        <v>12</v>
      </c>
      <c r="H1753">
        <v>250</v>
      </c>
      <c r="I1753" t="str" cm="1">
        <f t="array" ref="I1753">_xlfn.IFS(H1753&lt;=120,"V1",H1753&lt;=150,"V2",H1753&lt;=250,"V3", H1753&lt;=350, "V4")</f>
        <v>V3</v>
      </c>
      <c r="J1753" t="s">
        <v>6621</v>
      </c>
      <c r="K1753" t="str">
        <f t="shared" si="621"/>
        <v>33.102512</v>
      </c>
      <c r="L1753" t="str">
        <f t="shared" si="622"/>
        <v>-96.808762</v>
      </c>
      <c r="M1753">
        <v>221</v>
      </c>
      <c r="N1753" s="1">
        <v>44964</v>
      </c>
      <c r="O1753" s="1">
        <v>46099</v>
      </c>
      <c r="P1753" s="2">
        <f t="shared" si="623"/>
        <v>3.1074606433949348</v>
      </c>
      <c r="Q1753" s="2" t="str">
        <f t="shared" si="624"/>
        <v>Mid</v>
      </c>
      <c r="R1753">
        <f t="shared" si="625"/>
        <v>3000</v>
      </c>
      <c r="S1753" t="str">
        <f t="shared" si="626"/>
        <v>Small</v>
      </c>
      <c r="T1753" t="str">
        <f t="shared" si="627"/>
        <v>High EV Adoption Corridor</v>
      </c>
      <c r="U1753" s="3">
        <f t="shared" si="628"/>
        <v>7020000</v>
      </c>
      <c r="V1753" s="4">
        <f t="shared" si="629"/>
        <v>1584000</v>
      </c>
      <c r="W1753" s="3">
        <f t="shared" si="630"/>
        <v>19800000</v>
      </c>
      <c r="X1753" s="3">
        <f t="shared" si="631"/>
        <v>14850000</v>
      </c>
      <c r="Y1753">
        <f t="shared" si="632"/>
        <v>0.24</v>
      </c>
      <c r="Z1753">
        <f t="shared" si="633"/>
        <v>0.77435897435897438</v>
      </c>
      <c r="AA1753" t="str">
        <f t="shared" si="634"/>
        <v>Tier 1 - Priority Fleet</v>
      </c>
      <c r="AB1753" s="3">
        <f t="shared" si="635"/>
        <v>132000</v>
      </c>
      <c r="AC1753" s="3">
        <f t="shared" si="636"/>
        <v>1650000</v>
      </c>
      <c r="AD1753" s="3">
        <f t="shared" si="637"/>
        <v>585000</v>
      </c>
      <c r="AE1753" s="5">
        <f t="shared" si="638"/>
        <v>3.6423841059602649</v>
      </c>
      <c r="AF1753" s="10">
        <f t="shared" si="639"/>
        <v>982080</v>
      </c>
      <c r="AG1753" s="10">
        <f t="shared" si="640"/>
        <v>316800</v>
      </c>
      <c r="AH1753" s="10">
        <f t="shared" si="641"/>
        <v>158400</v>
      </c>
      <c r="AI1753" s="10">
        <f t="shared" si="642"/>
        <v>79200</v>
      </c>
      <c r="AJ1753" s="10">
        <f t="shared" si="643"/>
        <v>47520</v>
      </c>
    </row>
    <row r="1754" spans="1:36" x14ac:dyDescent="0.3">
      <c r="A1754" t="s">
        <v>6622</v>
      </c>
      <c r="B1754" t="s">
        <v>3890</v>
      </c>
      <c r="C1754" t="s">
        <v>3891</v>
      </c>
      <c r="D1754" t="s">
        <v>299</v>
      </c>
      <c r="E1754">
        <v>22407</v>
      </c>
      <c r="F1754" t="s">
        <v>15</v>
      </c>
      <c r="G1754">
        <v>7</v>
      </c>
      <c r="H1754">
        <v>250</v>
      </c>
      <c r="I1754" t="str" cm="1">
        <f t="array" ref="I1754">_xlfn.IFS(H1754&lt;=120,"V1",H1754&lt;=150,"V2",H1754&lt;=250,"V3", H1754&lt;=350, "V4")</f>
        <v>V3</v>
      </c>
      <c r="J1754" t="s">
        <v>6623</v>
      </c>
      <c r="K1754" t="str">
        <f t="shared" si="621"/>
        <v>38.194184</v>
      </c>
      <c r="L1754" t="str">
        <f t="shared" si="622"/>
        <v>-77.50741</v>
      </c>
      <c r="M1754">
        <v>79</v>
      </c>
      <c r="N1754" s="1">
        <v>44957</v>
      </c>
      <c r="O1754" s="1">
        <v>46099</v>
      </c>
      <c r="P1754" s="2">
        <f t="shared" si="623"/>
        <v>3.1266255989048597</v>
      </c>
      <c r="Q1754" s="2" t="str">
        <f t="shared" si="624"/>
        <v>Mid</v>
      </c>
      <c r="R1754">
        <f t="shared" si="625"/>
        <v>1750</v>
      </c>
      <c r="S1754" t="str">
        <f t="shared" si="626"/>
        <v>Small</v>
      </c>
      <c r="T1754" t="str">
        <f t="shared" si="627"/>
        <v>Lower EV Adoption Corridor</v>
      </c>
      <c r="U1754" s="3">
        <f t="shared" si="628"/>
        <v>3150000</v>
      </c>
      <c r="V1754" s="4">
        <f t="shared" si="629"/>
        <v>770000.00000000012</v>
      </c>
      <c r="W1754" s="3">
        <f t="shared" si="630"/>
        <v>10500000</v>
      </c>
      <c r="X1754" s="3">
        <f t="shared" si="631"/>
        <v>5775000.0000000009</v>
      </c>
      <c r="Y1754">
        <f t="shared" si="632"/>
        <v>0.31515151515151513</v>
      </c>
      <c r="Z1754">
        <f t="shared" si="633"/>
        <v>0.75555555555555554</v>
      </c>
      <c r="AA1754" t="str">
        <f t="shared" si="634"/>
        <v>Tier 2 - Growth Markets</v>
      </c>
      <c r="AB1754" s="3">
        <f t="shared" si="635"/>
        <v>110000.00000000001</v>
      </c>
      <c r="AC1754" s="3">
        <f t="shared" si="636"/>
        <v>1500000</v>
      </c>
      <c r="AD1754" s="3">
        <f t="shared" si="637"/>
        <v>450000</v>
      </c>
      <c r="AE1754" s="5">
        <f t="shared" si="638"/>
        <v>4.4117647058823533</v>
      </c>
      <c r="AF1754" s="10">
        <f t="shared" si="639"/>
        <v>477400.00000000006</v>
      </c>
      <c r="AG1754" s="10">
        <f t="shared" si="640"/>
        <v>154000.00000000003</v>
      </c>
      <c r="AH1754" s="10">
        <f t="shared" si="641"/>
        <v>77000.000000000015</v>
      </c>
      <c r="AI1754" s="10">
        <f t="shared" si="642"/>
        <v>38500.000000000007</v>
      </c>
      <c r="AJ1754" s="10">
        <f t="shared" si="643"/>
        <v>23100.000000000004</v>
      </c>
    </row>
    <row r="1755" spans="1:36" x14ac:dyDescent="0.3">
      <c r="A1755" t="s">
        <v>6624</v>
      </c>
      <c r="B1755" t="s">
        <v>6625</v>
      </c>
      <c r="C1755" t="s">
        <v>6626</v>
      </c>
      <c r="D1755" t="s">
        <v>41</v>
      </c>
      <c r="E1755">
        <v>34689</v>
      </c>
      <c r="F1755" t="s">
        <v>15</v>
      </c>
      <c r="G1755">
        <v>12</v>
      </c>
      <c r="H1755">
        <v>250</v>
      </c>
      <c r="I1755" t="str" cm="1">
        <f t="array" ref="I1755">_xlfn.IFS(H1755&lt;=120,"V1",H1755&lt;=150,"V2",H1755&lt;=250,"V3", H1755&lt;=350, "V4")</f>
        <v>V3</v>
      </c>
      <c r="J1755" t="s">
        <v>6627</v>
      </c>
      <c r="K1755" t="str">
        <f t="shared" si="621"/>
        <v>28.136633</v>
      </c>
      <c r="L1755" t="str">
        <f t="shared" si="622"/>
        <v>-82.756734</v>
      </c>
      <c r="M1755">
        <v>1</v>
      </c>
      <c r="N1755" s="1">
        <v>44957</v>
      </c>
      <c r="O1755" s="1">
        <v>46099</v>
      </c>
      <c r="P1755" s="2">
        <f t="shared" si="623"/>
        <v>3.1266255989048597</v>
      </c>
      <c r="Q1755" s="2" t="str">
        <f t="shared" si="624"/>
        <v>Mid</v>
      </c>
      <c r="R1755">
        <f t="shared" si="625"/>
        <v>3000</v>
      </c>
      <c r="S1755" t="str">
        <f t="shared" si="626"/>
        <v>Small</v>
      </c>
      <c r="T1755" t="str">
        <f t="shared" si="627"/>
        <v>High EV Adoption Corridor</v>
      </c>
      <c r="U1755" s="3">
        <f t="shared" si="628"/>
        <v>7020000</v>
      </c>
      <c r="V1755" s="4">
        <f t="shared" si="629"/>
        <v>1584000</v>
      </c>
      <c r="W1755" s="3">
        <f t="shared" si="630"/>
        <v>19800000</v>
      </c>
      <c r="X1755" s="3">
        <f t="shared" si="631"/>
        <v>14850000</v>
      </c>
      <c r="Y1755">
        <f t="shared" si="632"/>
        <v>0.24</v>
      </c>
      <c r="Z1755">
        <f t="shared" si="633"/>
        <v>0.77435897435897438</v>
      </c>
      <c r="AA1755" t="str">
        <f t="shared" si="634"/>
        <v>Tier 1 - Priority Fleet</v>
      </c>
      <c r="AB1755" s="3">
        <f t="shared" si="635"/>
        <v>132000</v>
      </c>
      <c r="AC1755" s="3">
        <f t="shared" si="636"/>
        <v>1650000</v>
      </c>
      <c r="AD1755" s="3">
        <f t="shared" si="637"/>
        <v>585000</v>
      </c>
      <c r="AE1755" s="5">
        <f t="shared" si="638"/>
        <v>3.6423841059602649</v>
      </c>
      <c r="AF1755" s="10">
        <f t="shared" si="639"/>
        <v>982080</v>
      </c>
      <c r="AG1755" s="10">
        <f t="shared" si="640"/>
        <v>316800</v>
      </c>
      <c r="AH1755" s="10">
        <f t="shared" si="641"/>
        <v>158400</v>
      </c>
      <c r="AI1755" s="10">
        <f t="shared" si="642"/>
        <v>79200</v>
      </c>
      <c r="AJ1755" s="10">
        <f t="shared" si="643"/>
        <v>47520</v>
      </c>
    </row>
    <row r="1756" spans="1:36" x14ac:dyDescent="0.3">
      <c r="A1756" t="s">
        <v>6628</v>
      </c>
      <c r="B1756" t="s">
        <v>6629</v>
      </c>
      <c r="C1756" t="s">
        <v>557</v>
      </c>
      <c r="D1756" t="s">
        <v>433</v>
      </c>
      <c r="E1756">
        <v>89145</v>
      </c>
      <c r="F1756" t="s">
        <v>15</v>
      </c>
      <c r="G1756">
        <v>12</v>
      </c>
      <c r="H1756">
        <v>250</v>
      </c>
      <c r="I1756" t="str" cm="1">
        <f t="array" ref="I1756">_xlfn.IFS(H1756&lt;=120,"V1",H1756&lt;=150,"V2",H1756&lt;=250,"V3", H1756&lt;=350, "V4")</f>
        <v>V3</v>
      </c>
      <c r="J1756" t="s">
        <v>6630</v>
      </c>
      <c r="K1756" t="str">
        <f t="shared" si="621"/>
        <v>36.1680334</v>
      </c>
      <c r="L1756" t="str">
        <f t="shared" si="622"/>
        <v>-115.2848652</v>
      </c>
      <c r="M1756">
        <v>813</v>
      </c>
      <c r="N1756" s="1">
        <v>44961</v>
      </c>
      <c r="O1756" s="1">
        <v>46099</v>
      </c>
      <c r="P1756" s="2">
        <f t="shared" si="623"/>
        <v>3.1156741957563314</v>
      </c>
      <c r="Q1756" s="2" t="str">
        <f t="shared" si="624"/>
        <v>Mid</v>
      </c>
      <c r="R1756">
        <f t="shared" si="625"/>
        <v>3000</v>
      </c>
      <c r="S1756" t="str">
        <f t="shared" si="626"/>
        <v>Small</v>
      </c>
      <c r="T1756" t="str">
        <f t="shared" si="627"/>
        <v>Lower EV Adoption Corridor</v>
      </c>
      <c r="U1756" s="3">
        <f t="shared" si="628"/>
        <v>5400000</v>
      </c>
      <c r="V1756" s="4">
        <f t="shared" si="629"/>
        <v>1320000</v>
      </c>
      <c r="W1756" s="3">
        <f t="shared" si="630"/>
        <v>18000000</v>
      </c>
      <c r="X1756" s="3">
        <f t="shared" si="631"/>
        <v>9900000</v>
      </c>
      <c r="Y1756">
        <f t="shared" si="632"/>
        <v>0.31515151515151513</v>
      </c>
      <c r="Z1756">
        <f t="shared" si="633"/>
        <v>0.75555555555555554</v>
      </c>
      <c r="AA1756" t="str">
        <f t="shared" si="634"/>
        <v>Tier 2 - Growth Markets</v>
      </c>
      <c r="AB1756" s="3">
        <f t="shared" si="635"/>
        <v>110000</v>
      </c>
      <c r="AC1756" s="3">
        <f t="shared" si="636"/>
        <v>1500000</v>
      </c>
      <c r="AD1756" s="3">
        <f t="shared" si="637"/>
        <v>450000</v>
      </c>
      <c r="AE1756" s="5">
        <f t="shared" si="638"/>
        <v>4.4117647058823533</v>
      </c>
      <c r="AF1756" s="10">
        <f t="shared" si="639"/>
        <v>818400</v>
      </c>
      <c r="AG1756" s="10">
        <f t="shared" si="640"/>
        <v>264000</v>
      </c>
      <c r="AH1756" s="10">
        <f t="shared" si="641"/>
        <v>132000</v>
      </c>
      <c r="AI1756" s="10">
        <f t="shared" si="642"/>
        <v>66000</v>
      </c>
      <c r="AJ1756" s="10">
        <f t="shared" si="643"/>
        <v>39600</v>
      </c>
    </row>
    <row r="1757" spans="1:36" x14ac:dyDescent="0.3">
      <c r="A1757" t="s">
        <v>6631</v>
      </c>
      <c r="B1757" t="s">
        <v>6632</v>
      </c>
      <c r="C1757" t="s">
        <v>3009</v>
      </c>
      <c r="D1757" t="s">
        <v>14</v>
      </c>
      <c r="E1757">
        <v>93551</v>
      </c>
      <c r="F1757" t="s">
        <v>15</v>
      </c>
      <c r="G1757">
        <v>24</v>
      </c>
      <c r="H1757">
        <v>250</v>
      </c>
      <c r="I1757" t="str" cm="1">
        <f t="array" ref="I1757">_xlfn.IFS(H1757&lt;=120,"V1",H1757&lt;=150,"V2",H1757&lt;=250,"V3", H1757&lt;=350, "V4")</f>
        <v>V3</v>
      </c>
      <c r="J1757" t="s">
        <v>6633</v>
      </c>
      <c r="K1757" t="str">
        <f t="shared" si="621"/>
        <v>34.602239</v>
      </c>
      <c r="L1757" t="str">
        <f t="shared" si="622"/>
        <v>-118.146111</v>
      </c>
      <c r="M1757">
        <v>813</v>
      </c>
      <c r="N1757" s="1">
        <v>44964</v>
      </c>
      <c r="O1757" s="1">
        <v>46099</v>
      </c>
      <c r="P1757" s="2">
        <f t="shared" si="623"/>
        <v>3.1074606433949348</v>
      </c>
      <c r="Q1757" s="2" t="str">
        <f t="shared" si="624"/>
        <v>Mid</v>
      </c>
      <c r="R1757">
        <f t="shared" si="625"/>
        <v>6000</v>
      </c>
      <c r="S1757" t="str">
        <f t="shared" si="626"/>
        <v>Small</v>
      </c>
      <c r="T1757" t="str">
        <f t="shared" si="627"/>
        <v>High EV Adoption Corridor</v>
      </c>
      <c r="U1757" s="3">
        <f t="shared" si="628"/>
        <v>14040000</v>
      </c>
      <c r="V1757" s="4">
        <f t="shared" si="629"/>
        <v>3168000</v>
      </c>
      <c r="W1757" s="3">
        <f t="shared" si="630"/>
        <v>39600000</v>
      </c>
      <c r="X1757" s="3">
        <f t="shared" si="631"/>
        <v>29700000</v>
      </c>
      <c r="Y1757">
        <f t="shared" si="632"/>
        <v>0.24</v>
      </c>
      <c r="Z1757">
        <f t="shared" si="633"/>
        <v>0.77435897435897438</v>
      </c>
      <c r="AA1757" t="str">
        <f t="shared" si="634"/>
        <v>Tier 1 - Priority Fleet</v>
      </c>
      <c r="AB1757" s="3">
        <f t="shared" si="635"/>
        <v>132000</v>
      </c>
      <c r="AC1757" s="3">
        <f t="shared" si="636"/>
        <v>1650000</v>
      </c>
      <c r="AD1757" s="3">
        <f t="shared" si="637"/>
        <v>585000</v>
      </c>
      <c r="AE1757" s="5">
        <f t="shared" si="638"/>
        <v>3.6423841059602649</v>
      </c>
      <c r="AF1757" s="10">
        <f t="shared" si="639"/>
        <v>1964160</v>
      </c>
      <c r="AG1757" s="10">
        <f t="shared" si="640"/>
        <v>633600</v>
      </c>
      <c r="AH1757" s="10">
        <f t="shared" si="641"/>
        <v>316800</v>
      </c>
      <c r="AI1757" s="10">
        <f t="shared" si="642"/>
        <v>158400</v>
      </c>
      <c r="AJ1757" s="10">
        <f t="shared" si="643"/>
        <v>95040</v>
      </c>
    </row>
    <row r="1758" spans="1:36" x14ac:dyDescent="0.3">
      <c r="A1758" t="s">
        <v>6634</v>
      </c>
      <c r="B1758" t="s">
        <v>6635</v>
      </c>
      <c r="C1758" t="s">
        <v>315</v>
      </c>
      <c r="D1758" t="s">
        <v>316</v>
      </c>
      <c r="E1758">
        <v>97205</v>
      </c>
      <c r="F1758" t="s">
        <v>15</v>
      </c>
      <c r="G1758">
        <v>4</v>
      </c>
      <c r="H1758">
        <v>250</v>
      </c>
      <c r="I1758" t="str" cm="1">
        <f t="array" ref="I1758">_xlfn.IFS(H1758&lt;=120,"V1",H1758&lt;=150,"V2",H1758&lt;=250,"V3", H1758&lt;=350, "V4")</f>
        <v>V3</v>
      </c>
      <c r="J1758" t="s">
        <v>6636</v>
      </c>
      <c r="K1758" t="str">
        <f t="shared" si="621"/>
        <v>45.5184429</v>
      </c>
      <c r="L1758" t="str">
        <f t="shared" si="622"/>
        <v>-122.6804502</v>
      </c>
      <c r="M1758">
        <v>22</v>
      </c>
      <c r="N1758" s="1">
        <v>44967</v>
      </c>
      <c r="O1758" s="1">
        <v>46099</v>
      </c>
      <c r="P1758" s="2">
        <f t="shared" si="623"/>
        <v>3.0992470910335386</v>
      </c>
      <c r="Q1758" s="2" t="str">
        <f t="shared" si="624"/>
        <v>Mid</v>
      </c>
      <c r="R1758">
        <f t="shared" si="625"/>
        <v>1000</v>
      </c>
      <c r="S1758" t="str">
        <f t="shared" si="626"/>
        <v>Small</v>
      </c>
      <c r="T1758" t="str">
        <f t="shared" si="627"/>
        <v>Lower EV Adoption Corridor</v>
      </c>
      <c r="U1758" s="3">
        <f t="shared" si="628"/>
        <v>1800000</v>
      </c>
      <c r="V1758" s="4">
        <f t="shared" si="629"/>
        <v>440000.00000000006</v>
      </c>
      <c r="W1758" s="3">
        <f t="shared" si="630"/>
        <v>6000000</v>
      </c>
      <c r="X1758" s="3">
        <f t="shared" si="631"/>
        <v>3300000.0000000005</v>
      </c>
      <c r="Y1758">
        <f t="shared" si="632"/>
        <v>0.31515151515151513</v>
      </c>
      <c r="Z1758">
        <f t="shared" si="633"/>
        <v>0.75555555555555554</v>
      </c>
      <c r="AA1758" t="str">
        <f t="shared" si="634"/>
        <v>Tier 2 - Growth Markets</v>
      </c>
      <c r="AB1758" s="3">
        <f t="shared" si="635"/>
        <v>110000.00000000001</v>
      </c>
      <c r="AC1758" s="3">
        <f t="shared" si="636"/>
        <v>1500000</v>
      </c>
      <c r="AD1758" s="3">
        <f t="shared" si="637"/>
        <v>450000</v>
      </c>
      <c r="AE1758" s="5">
        <f t="shared" si="638"/>
        <v>4.4117647058823533</v>
      </c>
      <c r="AF1758" s="10">
        <f t="shared" si="639"/>
        <v>272800.00000000006</v>
      </c>
      <c r="AG1758" s="10">
        <f t="shared" si="640"/>
        <v>88000.000000000015</v>
      </c>
      <c r="AH1758" s="10">
        <f t="shared" si="641"/>
        <v>44000.000000000007</v>
      </c>
      <c r="AI1758" s="10">
        <f t="shared" si="642"/>
        <v>22000.000000000004</v>
      </c>
      <c r="AJ1758" s="10">
        <f t="shared" si="643"/>
        <v>13200.000000000002</v>
      </c>
    </row>
    <row r="1759" spans="1:36" x14ac:dyDescent="0.3">
      <c r="A1759" t="s">
        <v>6637</v>
      </c>
      <c r="B1759" t="s">
        <v>6638</v>
      </c>
      <c r="C1759" t="s">
        <v>3914</v>
      </c>
      <c r="D1759" t="s">
        <v>268</v>
      </c>
      <c r="E1759">
        <v>80214</v>
      </c>
      <c r="F1759" t="s">
        <v>15</v>
      </c>
      <c r="G1759">
        <v>8</v>
      </c>
      <c r="H1759">
        <v>250</v>
      </c>
      <c r="I1759" t="str" cm="1">
        <f t="array" ref="I1759">_xlfn.IFS(H1759&lt;=120,"V1",H1759&lt;=150,"V2",H1759&lt;=250,"V3", H1759&lt;=350, "V4")</f>
        <v>V3</v>
      </c>
      <c r="J1759" t="s">
        <v>6639</v>
      </c>
      <c r="K1759" t="str">
        <f t="shared" si="621"/>
        <v>39.748186</v>
      </c>
      <c r="L1759" t="str">
        <f t="shared" si="622"/>
        <v>-105.057756</v>
      </c>
      <c r="M1759">
        <v>1625</v>
      </c>
      <c r="N1759" s="1">
        <v>44967</v>
      </c>
      <c r="O1759" s="1">
        <v>46099</v>
      </c>
      <c r="P1759" s="2">
        <f t="shared" si="623"/>
        <v>3.0992470910335386</v>
      </c>
      <c r="Q1759" s="2" t="str">
        <f t="shared" si="624"/>
        <v>Mid</v>
      </c>
      <c r="R1759">
        <f t="shared" si="625"/>
        <v>2000</v>
      </c>
      <c r="S1759" t="str">
        <f t="shared" si="626"/>
        <v>Small</v>
      </c>
      <c r="T1759" t="str">
        <f t="shared" si="627"/>
        <v>High EV Adoption Corridor</v>
      </c>
      <c r="U1759" s="3">
        <f t="shared" si="628"/>
        <v>4680000</v>
      </c>
      <c r="V1759" s="4">
        <f t="shared" si="629"/>
        <v>1056000</v>
      </c>
      <c r="W1759" s="3">
        <f t="shared" si="630"/>
        <v>13200000.000000002</v>
      </c>
      <c r="X1759" s="3">
        <f t="shared" si="631"/>
        <v>9900000.0000000019</v>
      </c>
      <c r="Y1759">
        <f t="shared" si="632"/>
        <v>0.23999999999999996</v>
      </c>
      <c r="Z1759">
        <f t="shared" si="633"/>
        <v>0.77435897435897438</v>
      </c>
      <c r="AA1759" t="str">
        <f t="shared" si="634"/>
        <v>Tier 1 - Priority Fleet</v>
      </c>
      <c r="AB1759" s="3">
        <f t="shared" si="635"/>
        <v>132000</v>
      </c>
      <c r="AC1759" s="3">
        <f t="shared" si="636"/>
        <v>1650000.0000000002</v>
      </c>
      <c r="AD1759" s="3">
        <f t="shared" si="637"/>
        <v>585000</v>
      </c>
      <c r="AE1759" s="5">
        <f t="shared" si="638"/>
        <v>3.6423841059602653</v>
      </c>
      <c r="AF1759" s="10">
        <f t="shared" si="639"/>
        <v>654720</v>
      </c>
      <c r="AG1759" s="10">
        <f t="shared" si="640"/>
        <v>211200</v>
      </c>
      <c r="AH1759" s="10">
        <f t="shared" si="641"/>
        <v>105600</v>
      </c>
      <c r="AI1759" s="10">
        <f t="shared" si="642"/>
        <v>52800</v>
      </c>
      <c r="AJ1759" s="10">
        <f t="shared" si="643"/>
        <v>31680</v>
      </c>
    </row>
    <row r="1760" spans="1:36" x14ac:dyDescent="0.3">
      <c r="A1760" t="s">
        <v>6640</v>
      </c>
      <c r="B1760" t="s">
        <v>6641</v>
      </c>
      <c r="C1760" t="s">
        <v>6642</v>
      </c>
      <c r="D1760" t="s">
        <v>28</v>
      </c>
      <c r="E1760">
        <v>30024</v>
      </c>
      <c r="F1760" t="s">
        <v>15</v>
      </c>
      <c r="G1760">
        <v>12</v>
      </c>
      <c r="H1760">
        <v>250</v>
      </c>
      <c r="I1760" t="str" cm="1">
        <f t="array" ref="I1760">_xlfn.IFS(H1760&lt;=120,"V1",H1760&lt;=150,"V2",H1760&lt;=250,"V3", H1760&lt;=350, "V4")</f>
        <v>V3</v>
      </c>
      <c r="J1760" t="s">
        <v>6643</v>
      </c>
      <c r="K1760" t="str">
        <f t="shared" si="621"/>
        <v>34.03393</v>
      </c>
      <c r="L1760" t="str">
        <f t="shared" si="622"/>
        <v>-84.052624</v>
      </c>
      <c r="M1760">
        <v>325</v>
      </c>
      <c r="N1760" s="1">
        <v>45073</v>
      </c>
      <c r="O1760" s="1">
        <v>46099</v>
      </c>
      <c r="P1760" s="2">
        <f t="shared" si="623"/>
        <v>2.8090349075975358</v>
      </c>
      <c r="Q1760" s="2" t="str">
        <f t="shared" si="624"/>
        <v>New</v>
      </c>
      <c r="R1760">
        <f t="shared" si="625"/>
        <v>3000</v>
      </c>
      <c r="S1760" t="str">
        <f t="shared" si="626"/>
        <v>Small</v>
      </c>
      <c r="T1760" t="str">
        <f t="shared" si="627"/>
        <v>Lower EV Adoption Corridor</v>
      </c>
      <c r="U1760" s="3">
        <f t="shared" si="628"/>
        <v>5400000</v>
      </c>
      <c r="V1760" s="4">
        <f t="shared" si="629"/>
        <v>1320000</v>
      </c>
      <c r="W1760" s="3">
        <f t="shared" si="630"/>
        <v>18000000</v>
      </c>
      <c r="X1760" s="3">
        <f t="shared" si="631"/>
        <v>9900000</v>
      </c>
      <c r="Y1760">
        <f t="shared" si="632"/>
        <v>0.31515151515151513</v>
      </c>
      <c r="Z1760">
        <f t="shared" si="633"/>
        <v>0.75555555555555554</v>
      </c>
      <c r="AA1760" t="str">
        <f t="shared" si="634"/>
        <v>Tier 2 - Growth Markets</v>
      </c>
      <c r="AB1760" s="3">
        <f t="shared" si="635"/>
        <v>110000</v>
      </c>
      <c r="AC1760" s="3">
        <f t="shared" si="636"/>
        <v>1500000</v>
      </c>
      <c r="AD1760" s="3">
        <f t="shared" si="637"/>
        <v>450000</v>
      </c>
      <c r="AE1760" s="5">
        <f t="shared" si="638"/>
        <v>4.4117647058823533</v>
      </c>
      <c r="AF1760" s="10">
        <f t="shared" si="639"/>
        <v>818400</v>
      </c>
      <c r="AG1760" s="10">
        <f t="shared" si="640"/>
        <v>264000</v>
      </c>
      <c r="AH1760" s="10">
        <f t="shared" si="641"/>
        <v>132000</v>
      </c>
      <c r="AI1760" s="10">
        <f t="shared" si="642"/>
        <v>66000</v>
      </c>
      <c r="AJ1760" s="10">
        <f t="shared" si="643"/>
        <v>39600</v>
      </c>
    </row>
    <row r="1761" spans="1:36" x14ac:dyDescent="0.3">
      <c r="A1761" t="s">
        <v>6644</v>
      </c>
      <c r="B1761" t="s">
        <v>6645</v>
      </c>
      <c r="C1761" t="s">
        <v>6646</v>
      </c>
      <c r="D1761" t="s">
        <v>913</v>
      </c>
      <c r="E1761">
        <v>21842</v>
      </c>
      <c r="F1761" t="s">
        <v>15</v>
      </c>
      <c r="G1761">
        <v>11</v>
      </c>
      <c r="H1761">
        <v>250</v>
      </c>
      <c r="I1761" t="str" cm="1">
        <f t="array" ref="I1761">_xlfn.IFS(H1761&lt;=120,"V1",H1761&lt;=150,"V2",H1761&lt;=250,"V3", H1761&lt;=350, "V4")</f>
        <v>V3</v>
      </c>
      <c r="J1761" t="s">
        <v>6647</v>
      </c>
      <c r="K1761" t="str">
        <f t="shared" si="621"/>
        <v>38.339024</v>
      </c>
      <c r="L1761" t="str">
        <f t="shared" si="622"/>
        <v>-75.119033</v>
      </c>
      <c r="M1761">
        <v>3</v>
      </c>
      <c r="N1761" s="1">
        <v>44973</v>
      </c>
      <c r="O1761" s="1">
        <v>46099</v>
      </c>
      <c r="P1761" s="2">
        <f t="shared" si="623"/>
        <v>3.0828199863107462</v>
      </c>
      <c r="Q1761" s="2" t="str">
        <f t="shared" si="624"/>
        <v>Mid</v>
      </c>
      <c r="R1761">
        <f t="shared" si="625"/>
        <v>2750</v>
      </c>
      <c r="S1761" t="str">
        <f t="shared" si="626"/>
        <v>Small</v>
      </c>
      <c r="T1761" t="str">
        <f t="shared" si="627"/>
        <v>Lower EV Adoption Corridor</v>
      </c>
      <c r="U1761" s="3">
        <f t="shared" si="628"/>
        <v>4950000</v>
      </c>
      <c r="V1761" s="4">
        <f t="shared" si="629"/>
        <v>1210000</v>
      </c>
      <c r="W1761" s="3">
        <f t="shared" si="630"/>
        <v>16500000</v>
      </c>
      <c r="X1761" s="3">
        <f t="shared" si="631"/>
        <v>9075000</v>
      </c>
      <c r="Y1761">
        <f t="shared" si="632"/>
        <v>0.31515151515151513</v>
      </c>
      <c r="Z1761">
        <f t="shared" si="633"/>
        <v>0.75555555555555554</v>
      </c>
      <c r="AA1761" t="str">
        <f t="shared" si="634"/>
        <v>Tier 2 - Growth Markets</v>
      </c>
      <c r="AB1761" s="3">
        <f t="shared" si="635"/>
        <v>110000</v>
      </c>
      <c r="AC1761" s="3">
        <f t="shared" si="636"/>
        <v>1500000</v>
      </c>
      <c r="AD1761" s="3">
        <f t="shared" si="637"/>
        <v>450000</v>
      </c>
      <c r="AE1761" s="5">
        <f t="shared" si="638"/>
        <v>4.4117647058823533</v>
      </c>
      <c r="AF1761" s="10">
        <f t="shared" si="639"/>
        <v>750200</v>
      </c>
      <c r="AG1761" s="10">
        <f t="shared" si="640"/>
        <v>242000</v>
      </c>
      <c r="AH1761" s="10">
        <f t="shared" si="641"/>
        <v>121000</v>
      </c>
      <c r="AI1761" s="10">
        <f t="shared" si="642"/>
        <v>60500</v>
      </c>
      <c r="AJ1761" s="10">
        <f t="shared" si="643"/>
        <v>36300</v>
      </c>
    </row>
    <row r="1762" spans="1:36" x14ac:dyDescent="0.3">
      <c r="A1762" t="s">
        <v>6648</v>
      </c>
      <c r="B1762" t="s">
        <v>6649</v>
      </c>
      <c r="C1762" t="s">
        <v>6650</v>
      </c>
      <c r="D1762" t="s">
        <v>77</v>
      </c>
      <c r="E1762">
        <v>27302</v>
      </c>
      <c r="F1762" t="s">
        <v>15</v>
      </c>
      <c r="G1762">
        <v>8</v>
      </c>
      <c r="H1762">
        <v>250</v>
      </c>
      <c r="I1762" t="str" cm="1">
        <f t="array" ref="I1762">_xlfn.IFS(H1762&lt;=120,"V1",H1762&lt;=150,"V2",H1762&lt;=250,"V3", H1762&lt;=350, "V4")</f>
        <v>V3</v>
      </c>
      <c r="J1762" t="s">
        <v>6651</v>
      </c>
      <c r="K1762" t="str">
        <f t="shared" si="621"/>
        <v>36.070176</v>
      </c>
      <c r="L1762" t="str">
        <f t="shared" si="622"/>
        <v>-79.270532</v>
      </c>
      <c r="M1762">
        <v>202</v>
      </c>
      <c r="N1762" s="1">
        <v>44223</v>
      </c>
      <c r="O1762" s="1">
        <v>46099</v>
      </c>
      <c r="P1762" s="2">
        <f t="shared" si="623"/>
        <v>5.1362080766598224</v>
      </c>
      <c r="Q1762" s="2" t="str">
        <f t="shared" si="624"/>
        <v>Mid</v>
      </c>
      <c r="R1762">
        <f t="shared" si="625"/>
        <v>2000</v>
      </c>
      <c r="S1762" t="str">
        <f t="shared" si="626"/>
        <v>Small</v>
      </c>
      <c r="T1762" t="str">
        <f t="shared" si="627"/>
        <v>Lower EV Adoption Corridor</v>
      </c>
      <c r="U1762" s="3">
        <f t="shared" si="628"/>
        <v>3600000</v>
      </c>
      <c r="V1762" s="4">
        <f t="shared" si="629"/>
        <v>880000.00000000012</v>
      </c>
      <c r="W1762" s="3">
        <f t="shared" si="630"/>
        <v>12000000</v>
      </c>
      <c r="X1762" s="3">
        <f t="shared" si="631"/>
        <v>6600000.0000000009</v>
      </c>
      <c r="Y1762">
        <f t="shared" si="632"/>
        <v>0.31515151515151513</v>
      </c>
      <c r="Z1762">
        <f t="shared" si="633"/>
        <v>0.75555555555555554</v>
      </c>
      <c r="AA1762" t="str">
        <f t="shared" si="634"/>
        <v>Tier 2 - Growth Markets</v>
      </c>
      <c r="AB1762" s="3">
        <f t="shared" si="635"/>
        <v>110000.00000000001</v>
      </c>
      <c r="AC1762" s="3">
        <f t="shared" si="636"/>
        <v>1500000</v>
      </c>
      <c r="AD1762" s="3">
        <f t="shared" si="637"/>
        <v>450000</v>
      </c>
      <c r="AE1762" s="5">
        <f t="shared" si="638"/>
        <v>4.4117647058823533</v>
      </c>
      <c r="AF1762" s="10">
        <f t="shared" si="639"/>
        <v>545600.00000000012</v>
      </c>
      <c r="AG1762" s="10">
        <f t="shared" si="640"/>
        <v>176000.00000000003</v>
      </c>
      <c r="AH1762" s="10">
        <f t="shared" si="641"/>
        <v>88000.000000000015</v>
      </c>
      <c r="AI1762" s="10">
        <f t="shared" si="642"/>
        <v>44000.000000000007</v>
      </c>
      <c r="AJ1762" s="10">
        <f t="shared" si="643"/>
        <v>26400.000000000004</v>
      </c>
    </row>
    <row r="1763" spans="1:36" x14ac:dyDescent="0.3">
      <c r="A1763" t="s">
        <v>6652</v>
      </c>
      <c r="B1763" t="s">
        <v>6653</v>
      </c>
      <c r="C1763" t="s">
        <v>6654</v>
      </c>
      <c r="D1763" t="s">
        <v>130</v>
      </c>
      <c r="E1763">
        <v>46052</v>
      </c>
      <c r="F1763" t="s">
        <v>15</v>
      </c>
      <c r="G1763">
        <v>11</v>
      </c>
      <c r="H1763">
        <v>250</v>
      </c>
      <c r="I1763" t="str" cm="1">
        <f t="array" ref="I1763">_xlfn.IFS(H1763&lt;=120,"V1",H1763&lt;=150,"V2",H1763&lt;=250,"V3", H1763&lt;=350, "V4")</f>
        <v>V3</v>
      </c>
      <c r="J1763" t="s">
        <v>6655</v>
      </c>
      <c r="K1763" t="str">
        <f t="shared" si="621"/>
        <v>40.035056</v>
      </c>
      <c r="L1763" t="str">
        <f t="shared" si="622"/>
        <v>-86.469586</v>
      </c>
      <c r="M1763">
        <v>290</v>
      </c>
      <c r="N1763" s="1">
        <v>45009</v>
      </c>
      <c r="O1763" s="1">
        <v>46099</v>
      </c>
      <c r="P1763" s="2">
        <f t="shared" si="623"/>
        <v>2.9842573579739904</v>
      </c>
      <c r="Q1763" s="2" t="str">
        <f t="shared" si="624"/>
        <v>New</v>
      </c>
      <c r="R1763">
        <f t="shared" ref="R1763:R1792" si="644">G1763*H1763</f>
        <v>2750</v>
      </c>
      <c r="S1763" t="str">
        <f t="shared" ref="S1763:S1792" si="645">IF(G1763&lt;=30,"Small",IF(G1763&lt;=60,"Medium","Large"))</f>
        <v>Small</v>
      </c>
      <c r="T1763" t="str">
        <f t="shared" si="627"/>
        <v>Lower EV Adoption Corridor</v>
      </c>
      <c r="U1763" s="3">
        <f t="shared" si="628"/>
        <v>4950000</v>
      </c>
      <c r="V1763" s="4">
        <f t="shared" si="629"/>
        <v>1210000</v>
      </c>
      <c r="W1763" s="3">
        <f t="shared" si="630"/>
        <v>16500000</v>
      </c>
      <c r="X1763" s="3">
        <f t="shared" si="631"/>
        <v>9075000</v>
      </c>
      <c r="Y1763">
        <f t="shared" si="632"/>
        <v>0.31515151515151513</v>
      </c>
      <c r="Z1763">
        <f t="shared" si="633"/>
        <v>0.75555555555555554</v>
      </c>
      <c r="AA1763" t="str">
        <f t="shared" si="634"/>
        <v>Tier 2 - Growth Markets</v>
      </c>
      <c r="AB1763" s="3">
        <f t="shared" si="635"/>
        <v>110000</v>
      </c>
      <c r="AC1763" s="3">
        <f t="shared" si="636"/>
        <v>1500000</v>
      </c>
      <c r="AD1763" s="3">
        <f t="shared" si="637"/>
        <v>450000</v>
      </c>
      <c r="AE1763" s="5">
        <f t="shared" si="638"/>
        <v>4.4117647058823533</v>
      </c>
      <c r="AF1763" s="10">
        <f t="shared" si="639"/>
        <v>750200</v>
      </c>
      <c r="AG1763" s="10">
        <f t="shared" si="640"/>
        <v>242000</v>
      </c>
      <c r="AH1763" s="10">
        <f t="shared" si="641"/>
        <v>121000</v>
      </c>
      <c r="AI1763" s="10">
        <f t="shared" si="642"/>
        <v>60500</v>
      </c>
      <c r="AJ1763" s="10">
        <f t="shared" si="643"/>
        <v>36300</v>
      </c>
    </row>
    <row r="1764" spans="1:36" x14ac:dyDescent="0.3">
      <c r="A1764" t="s">
        <v>6656</v>
      </c>
      <c r="B1764" t="s">
        <v>6657</v>
      </c>
      <c r="C1764" t="s">
        <v>1097</v>
      </c>
      <c r="D1764" t="s">
        <v>50</v>
      </c>
      <c r="E1764">
        <v>76018</v>
      </c>
      <c r="F1764" t="s">
        <v>15</v>
      </c>
      <c r="G1764">
        <v>8</v>
      </c>
      <c r="H1764">
        <v>250</v>
      </c>
      <c r="I1764" t="str" cm="1">
        <f t="array" ref="I1764">_xlfn.IFS(H1764&lt;=120,"V1",H1764&lt;=150,"V2",H1764&lt;=250,"V3", H1764&lt;=350, "V4")</f>
        <v>V3</v>
      </c>
      <c r="J1764" t="s">
        <v>6658</v>
      </c>
      <c r="K1764" t="str">
        <f t="shared" si="621"/>
        <v>32.67022</v>
      </c>
      <c r="L1764" t="str">
        <f t="shared" si="622"/>
        <v>-97.114009</v>
      </c>
      <c r="M1764">
        <v>199</v>
      </c>
      <c r="N1764" s="1">
        <v>45063</v>
      </c>
      <c r="O1764" s="1">
        <v>46099</v>
      </c>
      <c r="P1764" s="2">
        <f t="shared" si="623"/>
        <v>2.8364134154688569</v>
      </c>
      <c r="Q1764" s="2" t="str">
        <f t="shared" si="624"/>
        <v>New</v>
      </c>
      <c r="R1764">
        <f t="shared" si="644"/>
        <v>2000</v>
      </c>
      <c r="S1764" t="str">
        <f t="shared" si="645"/>
        <v>Small</v>
      </c>
      <c r="T1764" t="str">
        <f t="shared" si="627"/>
        <v>High EV Adoption Corridor</v>
      </c>
      <c r="U1764" s="3">
        <f t="shared" si="628"/>
        <v>4680000</v>
      </c>
      <c r="V1764" s="4">
        <f t="shared" si="629"/>
        <v>1056000</v>
      </c>
      <c r="W1764" s="3">
        <f t="shared" si="630"/>
        <v>13200000.000000002</v>
      </c>
      <c r="X1764" s="3">
        <f t="shared" si="631"/>
        <v>9900000.0000000019</v>
      </c>
      <c r="Y1764">
        <f t="shared" si="632"/>
        <v>0.23999999999999996</v>
      </c>
      <c r="Z1764">
        <f t="shared" si="633"/>
        <v>0.77435897435897438</v>
      </c>
      <c r="AA1764" t="str">
        <f t="shared" si="634"/>
        <v>Tier 1 - Priority Fleet</v>
      </c>
      <c r="AB1764" s="3">
        <f t="shared" si="635"/>
        <v>132000</v>
      </c>
      <c r="AC1764" s="3">
        <f t="shared" si="636"/>
        <v>1650000.0000000002</v>
      </c>
      <c r="AD1764" s="3">
        <f t="shared" si="637"/>
        <v>585000</v>
      </c>
      <c r="AE1764" s="5">
        <f t="shared" si="638"/>
        <v>3.6423841059602653</v>
      </c>
      <c r="AF1764" s="10">
        <f t="shared" si="639"/>
        <v>654720</v>
      </c>
      <c r="AG1764" s="10">
        <f t="shared" si="640"/>
        <v>211200</v>
      </c>
      <c r="AH1764" s="10">
        <f t="shared" si="641"/>
        <v>105600</v>
      </c>
      <c r="AI1764" s="10">
        <f t="shared" si="642"/>
        <v>52800</v>
      </c>
      <c r="AJ1764" s="10">
        <f t="shared" si="643"/>
        <v>31680</v>
      </c>
    </row>
    <row r="1765" spans="1:36" x14ac:dyDescent="0.3">
      <c r="A1765" t="s">
        <v>6659</v>
      </c>
      <c r="B1765" t="s">
        <v>6660</v>
      </c>
      <c r="C1765" t="s">
        <v>1828</v>
      </c>
      <c r="D1765" t="s">
        <v>14</v>
      </c>
      <c r="E1765">
        <v>92614</v>
      </c>
      <c r="F1765" t="s">
        <v>15</v>
      </c>
      <c r="G1765">
        <v>24</v>
      </c>
      <c r="H1765">
        <v>72</v>
      </c>
      <c r="I1765" t="str" cm="1">
        <f t="array" ref="I1765">_xlfn.IFS(H1765&lt;=120,"V1",H1765&lt;=150,"V2",H1765&lt;=250,"V3", H1765&lt;=350, "V4")</f>
        <v>V1</v>
      </c>
      <c r="J1765" t="s">
        <v>6661</v>
      </c>
      <c r="K1765" t="str">
        <f t="shared" si="621"/>
        <v>33.684357</v>
      </c>
      <c r="L1765" t="str">
        <f t="shared" si="622"/>
        <v>-117.851746</v>
      </c>
      <c r="M1765">
        <v>11</v>
      </c>
      <c r="N1765" s="1">
        <v>44191</v>
      </c>
      <c r="O1765" s="1">
        <v>46099</v>
      </c>
      <c r="P1765" s="2">
        <f t="shared" si="623"/>
        <v>5.2238193018480494</v>
      </c>
      <c r="Q1765" s="2" t="str">
        <f t="shared" si="624"/>
        <v>Mid</v>
      </c>
      <c r="R1765">
        <f t="shared" si="644"/>
        <v>1728</v>
      </c>
      <c r="S1765" t="str">
        <f t="shared" si="645"/>
        <v>Small</v>
      </c>
      <c r="T1765" t="str">
        <f t="shared" si="627"/>
        <v>High EV Adoption Corridor</v>
      </c>
      <c r="U1765" s="3">
        <f t="shared" si="628"/>
        <v>3369600</v>
      </c>
      <c r="V1765" s="4">
        <f t="shared" si="629"/>
        <v>746496</v>
      </c>
      <c r="W1765" s="3">
        <f t="shared" si="630"/>
        <v>7603200.0000000009</v>
      </c>
      <c r="X1765" s="3">
        <f t="shared" si="631"/>
        <v>6998400</v>
      </c>
      <c r="Y1765">
        <f t="shared" si="632"/>
        <v>0.21530864197530863</v>
      </c>
      <c r="Z1765">
        <f t="shared" si="633"/>
        <v>0.77846153846153843</v>
      </c>
      <c r="AA1765" t="str">
        <f t="shared" si="634"/>
        <v>Tier 3 - Upgrade Pipeline</v>
      </c>
      <c r="AB1765" s="3">
        <f t="shared" si="635"/>
        <v>31104</v>
      </c>
      <c r="AC1765" s="3">
        <f t="shared" si="636"/>
        <v>316800.00000000006</v>
      </c>
      <c r="AD1765" s="3">
        <f t="shared" si="637"/>
        <v>140400</v>
      </c>
      <c r="AE1765" s="5">
        <f t="shared" si="638"/>
        <v>2.8985507246376816</v>
      </c>
      <c r="AF1765" s="10">
        <f t="shared" si="639"/>
        <v>462827.52000000002</v>
      </c>
      <c r="AG1765" s="10">
        <f t="shared" si="640"/>
        <v>149299.20000000001</v>
      </c>
      <c r="AH1765" s="10">
        <f t="shared" si="641"/>
        <v>74649.600000000006</v>
      </c>
      <c r="AI1765" s="10">
        <f t="shared" si="642"/>
        <v>37324.800000000003</v>
      </c>
      <c r="AJ1765" s="10">
        <f t="shared" si="643"/>
        <v>22394.879999999997</v>
      </c>
    </row>
    <row r="1766" spans="1:36" x14ac:dyDescent="0.3">
      <c r="A1766" t="s">
        <v>6662</v>
      </c>
      <c r="B1766" t="s">
        <v>6663</v>
      </c>
      <c r="C1766" t="s">
        <v>6664</v>
      </c>
      <c r="D1766" t="s">
        <v>1189</v>
      </c>
      <c r="E1766">
        <v>24901</v>
      </c>
      <c r="F1766" t="s">
        <v>15</v>
      </c>
      <c r="G1766">
        <v>8</v>
      </c>
      <c r="H1766">
        <v>250</v>
      </c>
      <c r="I1766" t="str" cm="1">
        <f t="array" ref="I1766">_xlfn.IFS(H1766&lt;=120,"V1",H1766&lt;=150,"V2",H1766&lt;=250,"V3", H1766&lt;=350, "V4")</f>
        <v>V3</v>
      </c>
      <c r="J1766" t="s">
        <v>6665</v>
      </c>
      <c r="K1766" t="str">
        <f t="shared" si="621"/>
        <v>37.810341</v>
      </c>
      <c r="L1766" t="str">
        <f t="shared" si="622"/>
        <v>-80.431295</v>
      </c>
      <c r="M1766">
        <v>324</v>
      </c>
      <c r="N1766" s="1">
        <v>45016</v>
      </c>
      <c r="O1766" s="1">
        <v>46099</v>
      </c>
      <c r="P1766" s="2">
        <f t="shared" si="623"/>
        <v>2.9650924024640659</v>
      </c>
      <c r="Q1766" s="2" t="str">
        <f t="shared" si="624"/>
        <v>New</v>
      </c>
      <c r="R1766">
        <f t="shared" si="644"/>
        <v>2000</v>
      </c>
      <c r="S1766" t="str">
        <f t="shared" si="645"/>
        <v>Small</v>
      </c>
      <c r="T1766" t="str">
        <f t="shared" si="627"/>
        <v>Lower EV Adoption Corridor</v>
      </c>
      <c r="U1766" s="3">
        <f t="shared" si="628"/>
        <v>3600000</v>
      </c>
      <c r="V1766" s="4">
        <f t="shared" si="629"/>
        <v>880000.00000000012</v>
      </c>
      <c r="W1766" s="3">
        <f t="shared" si="630"/>
        <v>12000000</v>
      </c>
      <c r="X1766" s="3">
        <f t="shared" si="631"/>
        <v>6600000.0000000009</v>
      </c>
      <c r="Y1766">
        <f t="shared" si="632"/>
        <v>0.31515151515151513</v>
      </c>
      <c r="Z1766">
        <f t="shared" si="633"/>
        <v>0.75555555555555554</v>
      </c>
      <c r="AA1766" t="str">
        <f t="shared" si="634"/>
        <v>Tier 2 - Growth Markets</v>
      </c>
      <c r="AB1766" s="3">
        <f t="shared" si="635"/>
        <v>110000.00000000001</v>
      </c>
      <c r="AC1766" s="3">
        <f t="shared" si="636"/>
        <v>1500000</v>
      </c>
      <c r="AD1766" s="3">
        <f t="shared" si="637"/>
        <v>450000</v>
      </c>
      <c r="AE1766" s="5">
        <f t="shared" si="638"/>
        <v>4.4117647058823533</v>
      </c>
      <c r="AF1766" s="10">
        <f t="shared" si="639"/>
        <v>545600.00000000012</v>
      </c>
      <c r="AG1766" s="10">
        <f t="shared" si="640"/>
        <v>176000.00000000003</v>
      </c>
      <c r="AH1766" s="10">
        <f t="shared" si="641"/>
        <v>88000.000000000015</v>
      </c>
      <c r="AI1766" s="10">
        <f t="shared" si="642"/>
        <v>44000.000000000007</v>
      </c>
      <c r="AJ1766" s="10">
        <f t="shared" si="643"/>
        <v>26400.000000000004</v>
      </c>
    </row>
    <row r="1767" spans="1:36" x14ac:dyDescent="0.3">
      <c r="A1767" t="s">
        <v>6666</v>
      </c>
      <c r="B1767" t="s">
        <v>6667</v>
      </c>
      <c r="C1767" t="s">
        <v>1859</v>
      </c>
      <c r="D1767" t="s">
        <v>14</v>
      </c>
      <c r="E1767">
        <v>90034</v>
      </c>
      <c r="F1767" t="s">
        <v>15</v>
      </c>
      <c r="G1767">
        <v>44</v>
      </c>
      <c r="H1767">
        <v>250</v>
      </c>
      <c r="I1767" t="str" cm="1">
        <f t="array" ref="I1767">_xlfn.IFS(H1767&lt;=120,"V1",H1767&lt;=150,"V2",H1767&lt;=250,"V3", H1767&lt;=350, "V4")</f>
        <v>V3</v>
      </c>
      <c r="J1767" t="s">
        <v>6668</v>
      </c>
      <c r="K1767" t="str">
        <f t="shared" si="621"/>
        <v>34.027942</v>
      </c>
      <c r="L1767" t="str">
        <f t="shared" si="622"/>
        <v>-118.393968</v>
      </c>
      <c r="M1767">
        <v>35</v>
      </c>
      <c r="N1767" s="1">
        <v>44994</v>
      </c>
      <c r="O1767" s="1">
        <v>46099</v>
      </c>
      <c r="P1767" s="2">
        <f t="shared" si="623"/>
        <v>3.0253251197809718</v>
      </c>
      <c r="Q1767" s="2" t="str">
        <f t="shared" si="624"/>
        <v>Mid</v>
      </c>
      <c r="R1767">
        <f t="shared" si="644"/>
        <v>11000</v>
      </c>
      <c r="S1767" t="str">
        <f t="shared" si="645"/>
        <v>Medium</v>
      </c>
      <c r="T1767" t="str">
        <f t="shared" si="627"/>
        <v>High EV Adoption Corridor</v>
      </c>
      <c r="U1767" s="3">
        <f t="shared" si="628"/>
        <v>25740000</v>
      </c>
      <c r="V1767" s="4">
        <f t="shared" si="629"/>
        <v>5808000</v>
      </c>
      <c r="W1767" s="3">
        <f t="shared" si="630"/>
        <v>72600000</v>
      </c>
      <c r="X1767" s="3">
        <f t="shared" si="631"/>
        <v>54450000</v>
      </c>
      <c r="Y1767">
        <f t="shared" si="632"/>
        <v>0.24</v>
      </c>
      <c r="Z1767">
        <f t="shared" si="633"/>
        <v>0.77435897435897438</v>
      </c>
      <c r="AA1767" t="str">
        <f t="shared" si="634"/>
        <v>Tier 1 - Priority Fleet</v>
      </c>
      <c r="AB1767" s="3">
        <f t="shared" si="635"/>
        <v>132000</v>
      </c>
      <c r="AC1767" s="3">
        <f t="shared" si="636"/>
        <v>1650000</v>
      </c>
      <c r="AD1767" s="3">
        <f t="shared" si="637"/>
        <v>585000</v>
      </c>
      <c r="AE1767" s="5">
        <f t="shared" si="638"/>
        <v>3.6423841059602649</v>
      </c>
      <c r="AF1767" s="10">
        <f t="shared" si="639"/>
        <v>3600960</v>
      </c>
      <c r="AG1767" s="10">
        <f t="shared" si="640"/>
        <v>1161600</v>
      </c>
      <c r="AH1767" s="10">
        <f t="shared" si="641"/>
        <v>580800</v>
      </c>
      <c r="AI1767" s="10">
        <f t="shared" si="642"/>
        <v>290400</v>
      </c>
      <c r="AJ1767" s="10">
        <f t="shared" si="643"/>
        <v>174240</v>
      </c>
    </row>
    <row r="1768" spans="1:36" x14ac:dyDescent="0.3">
      <c r="A1768" t="s">
        <v>6669</v>
      </c>
      <c r="B1768" t="s">
        <v>6670</v>
      </c>
      <c r="C1768" t="s">
        <v>6671</v>
      </c>
      <c r="D1768" t="s">
        <v>765</v>
      </c>
      <c r="E1768">
        <v>38671</v>
      </c>
      <c r="F1768" t="s">
        <v>15</v>
      </c>
      <c r="G1768">
        <v>8</v>
      </c>
      <c r="H1768">
        <v>250</v>
      </c>
      <c r="I1768" t="str" cm="1">
        <f t="array" ref="I1768">_xlfn.IFS(H1768&lt;=120,"V1",H1768&lt;=150,"V2",H1768&lt;=250,"V3", H1768&lt;=350, "V4")</f>
        <v>V3</v>
      </c>
      <c r="J1768" t="s">
        <v>6672</v>
      </c>
      <c r="K1768" t="str">
        <f t="shared" si="621"/>
        <v>34.963441</v>
      </c>
      <c r="L1768" t="str">
        <f t="shared" si="622"/>
        <v>-89.99184</v>
      </c>
      <c r="M1768">
        <v>98</v>
      </c>
      <c r="N1768" s="1">
        <v>45063</v>
      </c>
      <c r="O1768" s="1">
        <v>46099</v>
      </c>
      <c r="P1768" s="2">
        <f t="shared" si="623"/>
        <v>2.8364134154688569</v>
      </c>
      <c r="Q1768" s="2" t="str">
        <f t="shared" si="624"/>
        <v>New</v>
      </c>
      <c r="R1768">
        <f t="shared" si="644"/>
        <v>2000</v>
      </c>
      <c r="S1768" t="str">
        <f t="shared" si="645"/>
        <v>Small</v>
      </c>
      <c r="T1768" t="str">
        <f t="shared" si="627"/>
        <v>Lower EV Adoption Corridor</v>
      </c>
      <c r="U1768" s="3">
        <f t="shared" si="628"/>
        <v>3600000</v>
      </c>
      <c r="V1768" s="4">
        <f t="shared" si="629"/>
        <v>880000.00000000012</v>
      </c>
      <c r="W1768" s="3">
        <f t="shared" si="630"/>
        <v>12000000</v>
      </c>
      <c r="X1768" s="3">
        <f t="shared" si="631"/>
        <v>6600000.0000000009</v>
      </c>
      <c r="Y1768">
        <f t="shared" si="632"/>
        <v>0.31515151515151513</v>
      </c>
      <c r="Z1768">
        <f t="shared" si="633"/>
        <v>0.75555555555555554</v>
      </c>
      <c r="AA1768" t="str">
        <f t="shared" si="634"/>
        <v>Tier 2 - Growth Markets</v>
      </c>
      <c r="AB1768" s="3">
        <f t="shared" si="635"/>
        <v>110000.00000000001</v>
      </c>
      <c r="AC1768" s="3">
        <f t="shared" si="636"/>
        <v>1500000</v>
      </c>
      <c r="AD1768" s="3">
        <f t="shared" si="637"/>
        <v>450000</v>
      </c>
      <c r="AE1768" s="5">
        <f t="shared" si="638"/>
        <v>4.4117647058823533</v>
      </c>
      <c r="AF1768" s="10">
        <f t="shared" si="639"/>
        <v>545600.00000000012</v>
      </c>
      <c r="AG1768" s="10">
        <f t="shared" si="640"/>
        <v>176000.00000000003</v>
      </c>
      <c r="AH1768" s="10">
        <f t="shared" si="641"/>
        <v>88000.000000000015</v>
      </c>
      <c r="AI1768" s="10">
        <f t="shared" si="642"/>
        <v>44000.000000000007</v>
      </c>
      <c r="AJ1768" s="10">
        <f t="shared" si="643"/>
        <v>26400.000000000004</v>
      </c>
    </row>
    <row r="1769" spans="1:36" x14ac:dyDescent="0.3">
      <c r="A1769" t="s">
        <v>6673</v>
      </c>
      <c r="B1769" t="s">
        <v>6674</v>
      </c>
      <c r="C1769" t="s">
        <v>6675</v>
      </c>
      <c r="D1769" t="s">
        <v>415</v>
      </c>
      <c r="E1769">
        <v>52722</v>
      </c>
      <c r="F1769" t="s">
        <v>15</v>
      </c>
      <c r="G1769">
        <v>12</v>
      </c>
      <c r="H1769">
        <v>250</v>
      </c>
      <c r="I1769" t="str" cm="1">
        <f t="array" ref="I1769">_xlfn.IFS(H1769&lt;=120,"V1",H1769&lt;=150,"V2",H1769&lt;=250,"V3", H1769&lt;=350, "V4")</f>
        <v>V3</v>
      </c>
      <c r="J1769" t="s">
        <v>6676</v>
      </c>
      <c r="K1769" t="str">
        <f t="shared" si="621"/>
        <v>41.591965</v>
      </c>
      <c r="L1769" t="str">
        <f t="shared" si="622"/>
        <v>-90.462753</v>
      </c>
      <c r="M1769">
        <v>224</v>
      </c>
      <c r="N1769" s="1">
        <v>45072</v>
      </c>
      <c r="O1769" s="1">
        <v>46099</v>
      </c>
      <c r="P1769" s="2">
        <f t="shared" si="623"/>
        <v>2.8117727583846679</v>
      </c>
      <c r="Q1769" s="2" t="str">
        <f t="shared" si="624"/>
        <v>New</v>
      </c>
      <c r="R1769">
        <f t="shared" si="644"/>
        <v>3000</v>
      </c>
      <c r="S1769" t="str">
        <f t="shared" si="645"/>
        <v>Small</v>
      </c>
      <c r="T1769" t="str">
        <f t="shared" si="627"/>
        <v>Lower EV Adoption Corridor</v>
      </c>
      <c r="U1769" s="3">
        <f t="shared" si="628"/>
        <v>5400000</v>
      </c>
      <c r="V1769" s="4">
        <f t="shared" si="629"/>
        <v>1320000</v>
      </c>
      <c r="W1769" s="3">
        <f t="shared" si="630"/>
        <v>18000000</v>
      </c>
      <c r="X1769" s="3">
        <f t="shared" si="631"/>
        <v>9900000</v>
      </c>
      <c r="Y1769">
        <f t="shared" si="632"/>
        <v>0.31515151515151513</v>
      </c>
      <c r="Z1769">
        <f t="shared" si="633"/>
        <v>0.75555555555555554</v>
      </c>
      <c r="AA1769" t="str">
        <f t="shared" si="634"/>
        <v>Tier 2 - Growth Markets</v>
      </c>
      <c r="AB1769" s="3">
        <f t="shared" si="635"/>
        <v>110000</v>
      </c>
      <c r="AC1769" s="3">
        <f t="shared" si="636"/>
        <v>1500000</v>
      </c>
      <c r="AD1769" s="3">
        <f t="shared" si="637"/>
        <v>450000</v>
      </c>
      <c r="AE1769" s="5">
        <f t="shared" si="638"/>
        <v>4.4117647058823533</v>
      </c>
      <c r="AF1769" s="10">
        <f t="shared" si="639"/>
        <v>818400</v>
      </c>
      <c r="AG1769" s="10">
        <f t="shared" si="640"/>
        <v>264000</v>
      </c>
      <c r="AH1769" s="10">
        <f t="shared" si="641"/>
        <v>132000</v>
      </c>
      <c r="AI1769" s="10">
        <f t="shared" si="642"/>
        <v>66000</v>
      </c>
      <c r="AJ1769" s="10">
        <f t="shared" si="643"/>
        <v>39600</v>
      </c>
    </row>
    <row r="1770" spans="1:36" x14ac:dyDescent="0.3">
      <c r="A1770" t="s">
        <v>6677</v>
      </c>
      <c r="B1770" t="s">
        <v>6678</v>
      </c>
      <c r="C1770" t="s">
        <v>6679</v>
      </c>
      <c r="D1770" t="s">
        <v>433</v>
      </c>
      <c r="E1770">
        <v>89445</v>
      </c>
      <c r="F1770" t="s">
        <v>15</v>
      </c>
      <c r="G1770">
        <v>8</v>
      </c>
      <c r="H1770">
        <v>250</v>
      </c>
      <c r="I1770" t="str" cm="1">
        <f t="array" ref="I1770">_xlfn.IFS(H1770&lt;=120,"V1",H1770&lt;=150,"V2",H1770&lt;=250,"V3", H1770&lt;=350, "V4")</f>
        <v>V3</v>
      </c>
      <c r="J1770" t="s">
        <v>6680</v>
      </c>
      <c r="K1770" t="str">
        <f t="shared" si="621"/>
        <v>40.958847</v>
      </c>
      <c r="L1770" t="str">
        <f t="shared" si="622"/>
        <v>-117.746497</v>
      </c>
      <c r="M1770">
        <v>1308</v>
      </c>
      <c r="N1770" s="1">
        <v>42053</v>
      </c>
      <c r="O1770" s="1">
        <v>46099</v>
      </c>
      <c r="P1770" s="2">
        <f t="shared" si="623"/>
        <v>11.077344284736482</v>
      </c>
      <c r="Q1770" s="2" t="str">
        <f t="shared" si="624"/>
        <v>Old</v>
      </c>
      <c r="R1770">
        <f t="shared" si="644"/>
        <v>2000</v>
      </c>
      <c r="S1770" t="str">
        <f t="shared" si="645"/>
        <v>Small</v>
      </c>
      <c r="T1770" t="str">
        <f t="shared" si="627"/>
        <v>Lower EV Adoption Corridor</v>
      </c>
      <c r="U1770" s="3">
        <f t="shared" si="628"/>
        <v>3600000</v>
      </c>
      <c r="V1770" s="4">
        <f t="shared" si="629"/>
        <v>880000.00000000012</v>
      </c>
      <c r="W1770" s="3">
        <f t="shared" si="630"/>
        <v>12000000</v>
      </c>
      <c r="X1770" s="3">
        <f t="shared" si="631"/>
        <v>6600000.0000000009</v>
      </c>
      <c r="Y1770">
        <f t="shared" si="632"/>
        <v>0.31515151515151513</v>
      </c>
      <c r="Z1770">
        <f t="shared" si="633"/>
        <v>0.75555555555555554</v>
      </c>
      <c r="AA1770" t="str">
        <f t="shared" si="634"/>
        <v>Tier 2 - Growth Markets</v>
      </c>
      <c r="AB1770" s="3">
        <f t="shared" si="635"/>
        <v>110000.00000000001</v>
      </c>
      <c r="AC1770" s="3">
        <f t="shared" si="636"/>
        <v>1500000</v>
      </c>
      <c r="AD1770" s="3">
        <f t="shared" si="637"/>
        <v>450000</v>
      </c>
      <c r="AE1770" s="5">
        <f t="shared" si="638"/>
        <v>4.4117647058823533</v>
      </c>
      <c r="AF1770" s="10">
        <f t="shared" si="639"/>
        <v>545600.00000000012</v>
      </c>
      <c r="AG1770" s="10">
        <f t="shared" si="640"/>
        <v>176000.00000000003</v>
      </c>
      <c r="AH1770" s="10">
        <f t="shared" si="641"/>
        <v>88000.000000000015</v>
      </c>
      <c r="AI1770" s="10">
        <f t="shared" si="642"/>
        <v>44000.000000000007</v>
      </c>
      <c r="AJ1770" s="10">
        <f t="shared" si="643"/>
        <v>26400.000000000004</v>
      </c>
    </row>
    <row r="1771" spans="1:36" x14ac:dyDescent="0.3">
      <c r="A1771" t="s">
        <v>6681</v>
      </c>
      <c r="B1771" t="s">
        <v>6682</v>
      </c>
      <c r="C1771" t="s">
        <v>4788</v>
      </c>
      <c r="D1771" t="s">
        <v>14</v>
      </c>
      <c r="E1771">
        <v>90040</v>
      </c>
      <c r="F1771" t="s">
        <v>15</v>
      </c>
      <c r="G1771">
        <v>40</v>
      </c>
      <c r="H1771">
        <v>250</v>
      </c>
      <c r="I1771" t="str" cm="1">
        <f t="array" ref="I1771">_xlfn.IFS(H1771&lt;=120,"V1",H1771&lt;=150,"V2",H1771&lt;=250,"V3", H1771&lt;=350, "V4")</f>
        <v>V3</v>
      </c>
      <c r="J1771" t="s">
        <v>6683</v>
      </c>
      <c r="K1771" t="str">
        <f t="shared" si="621"/>
        <v>33.998539</v>
      </c>
      <c r="L1771" t="str">
        <f t="shared" si="622"/>
        <v>-118.146359</v>
      </c>
      <c r="M1771">
        <v>44</v>
      </c>
      <c r="N1771" s="1">
        <v>45008</v>
      </c>
      <c r="O1771" s="1">
        <v>46099</v>
      </c>
      <c r="P1771" s="2">
        <f t="shared" si="623"/>
        <v>2.9869952087611225</v>
      </c>
      <c r="Q1771" s="2" t="str">
        <f t="shared" si="624"/>
        <v>New</v>
      </c>
      <c r="R1771">
        <f t="shared" si="644"/>
        <v>10000</v>
      </c>
      <c r="S1771" t="str">
        <f t="shared" si="645"/>
        <v>Medium</v>
      </c>
      <c r="T1771" t="str">
        <f t="shared" si="627"/>
        <v>High EV Adoption Corridor</v>
      </c>
      <c r="U1771" s="3">
        <f t="shared" si="628"/>
        <v>23400000</v>
      </c>
      <c r="V1771" s="4">
        <f t="shared" si="629"/>
        <v>5280000</v>
      </c>
      <c r="W1771" s="3">
        <f t="shared" si="630"/>
        <v>66000000.000000007</v>
      </c>
      <c r="X1771" s="3">
        <f t="shared" si="631"/>
        <v>49500000.000000007</v>
      </c>
      <c r="Y1771">
        <f t="shared" si="632"/>
        <v>0.23999999999999996</v>
      </c>
      <c r="Z1771">
        <f t="shared" si="633"/>
        <v>0.77435897435897438</v>
      </c>
      <c r="AA1771" t="str">
        <f t="shared" si="634"/>
        <v>Tier 1 - Priority Fleet</v>
      </c>
      <c r="AB1771" s="3">
        <f t="shared" si="635"/>
        <v>132000</v>
      </c>
      <c r="AC1771" s="3">
        <f t="shared" si="636"/>
        <v>1650000.0000000002</v>
      </c>
      <c r="AD1771" s="3">
        <f t="shared" si="637"/>
        <v>585000</v>
      </c>
      <c r="AE1771" s="5">
        <f t="shared" si="638"/>
        <v>3.6423841059602653</v>
      </c>
      <c r="AF1771" s="10">
        <f t="shared" si="639"/>
        <v>3273600</v>
      </c>
      <c r="AG1771" s="10">
        <f t="shared" si="640"/>
        <v>1056000</v>
      </c>
      <c r="AH1771" s="10">
        <f t="shared" si="641"/>
        <v>528000</v>
      </c>
      <c r="AI1771" s="10">
        <f t="shared" si="642"/>
        <v>264000</v>
      </c>
      <c r="AJ1771" s="10">
        <f t="shared" si="643"/>
        <v>158400</v>
      </c>
    </row>
    <row r="1772" spans="1:36" x14ac:dyDescent="0.3">
      <c r="A1772" t="s">
        <v>6684</v>
      </c>
      <c r="B1772" t="s">
        <v>6685</v>
      </c>
      <c r="C1772" t="s">
        <v>6686</v>
      </c>
      <c r="D1772" t="s">
        <v>153</v>
      </c>
      <c r="E1772">
        <v>19428</v>
      </c>
      <c r="F1772" t="s">
        <v>15</v>
      </c>
      <c r="G1772">
        <v>12</v>
      </c>
      <c r="H1772">
        <v>250</v>
      </c>
      <c r="I1772" t="str" cm="1">
        <f t="array" ref="I1772">_xlfn.IFS(H1772&lt;=120,"V1",H1772&lt;=150,"V2",H1772&lt;=250,"V3", H1772&lt;=350, "V4")</f>
        <v>V3</v>
      </c>
      <c r="J1772" t="s">
        <v>6687</v>
      </c>
      <c r="K1772" t="str">
        <f t="shared" si="621"/>
        <v>40.094384</v>
      </c>
      <c r="L1772" t="str">
        <f t="shared" si="622"/>
        <v>-75.308501</v>
      </c>
      <c r="M1772">
        <v>292</v>
      </c>
      <c r="N1772" s="1">
        <v>45072</v>
      </c>
      <c r="O1772" s="1">
        <v>46099</v>
      </c>
      <c r="P1772" s="2">
        <f t="shared" si="623"/>
        <v>2.8117727583846679</v>
      </c>
      <c r="Q1772" s="2" t="str">
        <f t="shared" si="624"/>
        <v>New</v>
      </c>
      <c r="R1772">
        <f t="shared" si="644"/>
        <v>3000</v>
      </c>
      <c r="S1772" t="str">
        <f t="shared" si="645"/>
        <v>Small</v>
      </c>
      <c r="T1772" t="str">
        <f t="shared" si="627"/>
        <v>Lower EV Adoption Corridor</v>
      </c>
      <c r="U1772" s="3">
        <f t="shared" si="628"/>
        <v>5400000</v>
      </c>
      <c r="V1772" s="4">
        <f t="shared" si="629"/>
        <v>1320000</v>
      </c>
      <c r="W1772" s="3">
        <f t="shared" si="630"/>
        <v>18000000</v>
      </c>
      <c r="X1772" s="3">
        <f t="shared" si="631"/>
        <v>9900000</v>
      </c>
      <c r="Y1772">
        <f t="shared" si="632"/>
        <v>0.31515151515151513</v>
      </c>
      <c r="Z1772">
        <f t="shared" si="633"/>
        <v>0.75555555555555554</v>
      </c>
      <c r="AA1772" t="str">
        <f t="shared" si="634"/>
        <v>Tier 2 - Growth Markets</v>
      </c>
      <c r="AB1772" s="3">
        <f t="shared" si="635"/>
        <v>110000</v>
      </c>
      <c r="AC1772" s="3">
        <f t="shared" si="636"/>
        <v>1500000</v>
      </c>
      <c r="AD1772" s="3">
        <f t="shared" si="637"/>
        <v>450000</v>
      </c>
      <c r="AE1772" s="5">
        <f t="shared" si="638"/>
        <v>4.4117647058823533</v>
      </c>
      <c r="AF1772" s="10">
        <f t="shared" si="639"/>
        <v>818400</v>
      </c>
      <c r="AG1772" s="10">
        <f t="shared" si="640"/>
        <v>264000</v>
      </c>
      <c r="AH1772" s="10">
        <f t="shared" si="641"/>
        <v>132000</v>
      </c>
      <c r="AI1772" s="10">
        <f t="shared" si="642"/>
        <v>66000</v>
      </c>
      <c r="AJ1772" s="10">
        <f t="shared" si="643"/>
        <v>39600</v>
      </c>
    </row>
    <row r="1773" spans="1:36" x14ac:dyDescent="0.3">
      <c r="A1773" t="s">
        <v>6688</v>
      </c>
      <c r="B1773" t="s">
        <v>6689</v>
      </c>
      <c r="C1773" t="s">
        <v>6690</v>
      </c>
      <c r="D1773" t="s">
        <v>852</v>
      </c>
      <c r="E1773">
        <v>7442</v>
      </c>
      <c r="F1773" t="s">
        <v>15</v>
      </c>
      <c r="G1773">
        <v>12</v>
      </c>
      <c r="H1773">
        <v>250</v>
      </c>
      <c r="I1773" t="str" cm="1">
        <f t="array" ref="I1773">_xlfn.IFS(H1773&lt;=120,"V1",H1773&lt;=150,"V2",H1773&lt;=250,"V3", H1773&lt;=350, "V4")</f>
        <v>V3</v>
      </c>
      <c r="J1773" t="s">
        <v>6691</v>
      </c>
      <c r="K1773" t="str">
        <f t="shared" si="621"/>
        <v>41.008153</v>
      </c>
      <c r="L1773" t="str">
        <f t="shared" si="622"/>
        <v>-74.293688</v>
      </c>
      <c r="M1773">
        <v>67</v>
      </c>
      <c r="N1773" s="1">
        <v>45008</v>
      </c>
      <c r="O1773" s="1">
        <v>46099</v>
      </c>
      <c r="P1773" s="2">
        <f t="shared" si="623"/>
        <v>2.9869952087611225</v>
      </c>
      <c r="Q1773" s="2" t="str">
        <f t="shared" si="624"/>
        <v>New</v>
      </c>
      <c r="R1773">
        <f t="shared" si="644"/>
        <v>3000</v>
      </c>
      <c r="S1773" t="str">
        <f t="shared" si="645"/>
        <v>Small</v>
      </c>
      <c r="T1773" t="str">
        <f t="shared" si="627"/>
        <v>High EV Adoption Corridor</v>
      </c>
      <c r="U1773" s="3">
        <f t="shared" si="628"/>
        <v>7020000</v>
      </c>
      <c r="V1773" s="4">
        <f t="shared" si="629"/>
        <v>1584000</v>
      </c>
      <c r="W1773" s="3">
        <f t="shared" si="630"/>
        <v>19800000</v>
      </c>
      <c r="X1773" s="3">
        <f t="shared" si="631"/>
        <v>14850000</v>
      </c>
      <c r="Y1773">
        <f t="shared" si="632"/>
        <v>0.24</v>
      </c>
      <c r="Z1773">
        <f t="shared" si="633"/>
        <v>0.77435897435897438</v>
      </c>
      <c r="AA1773" t="str">
        <f t="shared" si="634"/>
        <v>Tier 1 - Priority Fleet</v>
      </c>
      <c r="AB1773" s="3">
        <f t="shared" si="635"/>
        <v>132000</v>
      </c>
      <c r="AC1773" s="3">
        <f t="shared" si="636"/>
        <v>1650000</v>
      </c>
      <c r="AD1773" s="3">
        <f t="shared" si="637"/>
        <v>585000</v>
      </c>
      <c r="AE1773" s="5">
        <f t="shared" si="638"/>
        <v>3.6423841059602649</v>
      </c>
      <c r="AF1773" s="10">
        <f t="shared" si="639"/>
        <v>982080</v>
      </c>
      <c r="AG1773" s="10">
        <f t="shared" si="640"/>
        <v>316800</v>
      </c>
      <c r="AH1773" s="10">
        <f t="shared" si="641"/>
        <v>158400</v>
      </c>
      <c r="AI1773" s="10">
        <f t="shared" si="642"/>
        <v>79200</v>
      </c>
      <c r="AJ1773" s="10">
        <f t="shared" si="643"/>
        <v>47520</v>
      </c>
    </row>
    <row r="1774" spans="1:36" x14ac:dyDescent="0.3">
      <c r="A1774" t="s">
        <v>6692</v>
      </c>
      <c r="B1774" t="s">
        <v>6693</v>
      </c>
      <c r="C1774" t="s">
        <v>1284</v>
      </c>
      <c r="D1774" t="s">
        <v>153</v>
      </c>
      <c r="E1774">
        <v>15642</v>
      </c>
      <c r="F1774" t="s">
        <v>15</v>
      </c>
      <c r="G1774">
        <v>8</v>
      </c>
      <c r="H1774">
        <v>250</v>
      </c>
      <c r="I1774" t="str" cm="1">
        <f t="array" ref="I1774">_xlfn.IFS(H1774&lt;=120,"V1",H1774&lt;=150,"V2",H1774&lt;=250,"V3", H1774&lt;=350, "V4")</f>
        <v>V3</v>
      </c>
      <c r="J1774" t="s">
        <v>6694</v>
      </c>
      <c r="K1774" t="str">
        <f t="shared" si="621"/>
        <v>40.316709</v>
      </c>
      <c r="L1774" t="str">
        <f t="shared" si="622"/>
        <v>-79.683832</v>
      </c>
      <c r="M1774">
        <v>310</v>
      </c>
      <c r="N1774" s="1">
        <v>45050</v>
      </c>
      <c r="O1774" s="1">
        <v>46099</v>
      </c>
      <c r="P1774" s="2">
        <f t="shared" si="623"/>
        <v>2.8720054757015743</v>
      </c>
      <c r="Q1774" s="2" t="str">
        <f t="shared" si="624"/>
        <v>New</v>
      </c>
      <c r="R1774">
        <f t="shared" si="644"/>
        <v>2000</v>
      </c>
      <c r="S1774" t="str">
        <f t="shared" si="645"/>
        <v>Small</v>
      </c>
      <c r="T1774" t="str">
        <f t="shared" si="627"/>
        <v>Lower EV Adoption Corridor</v>
      </c>
      <c r="U1774" s="3">
        <f t="shared" si="628"/>
        <v>3600000</v>
      </c>
      <c r="V1774" s="4">
        <f t="shared" si="629"/>
        <v>880000.00000000012</v>
      </c>
      <c r="W1774" s="3">
        <f t="shared" si="630"/>
        <v>12000000</v>
      </c>
      <c r="X1774" s="3">
        <f t="shared" si="631"/>
        <v>6600000.0000000009</v>
      </c>
      <c r="Y1774">
        <f t="shared" si="632"/>
        <v>0.31515151515151513</v>
      </c>
      <c r="Z1774">
        <f t="shared" si="633"/>
        <v>0.75555555555555554</v>
      </c>
      <c r="AA1774" t="str">
        <f t="shared" si="634"/>
        <v>Tier 2 - Growth Markets</v>
      </c>
      <c r="AB1774" s="3">
        <f t="shared" si="635"/>
        <v>110000.00000000001</v>
      </c>
      <c r="AC1774" s="3">
        <f t="shared" si="636"/>
        <v>1500000</v>
      </c>
      <c r="AD1774" s="3">
        <f t="shared" si="637"/>
        <v>450000</v>
      </c>
      <c r="AE1774" s="5">
        <f t="shared" si="638"/>
        <v>4.4117647058823533</v>
      </c>
      <c r="AF1774" s="10">
        <f t="shared" si="639"/>
        <v>545600.00000000012</v>
      </c>
      <c r="AG1774" s="10">
        <f t="shared" si="640"/>
        <v>176000.00000000003</v>
      </c>
      <c r="AH1774" s="10">
        <f t="shared" si="641"/>
        <v>88000.000000000015</v>
      </c>
      <c r="AI1774" s="10">
        <f t="shared" si="642"/>
        <v>44000.000000000007</v>
      </c>
      <c r="AJ1774" s="10">
        <f t="shared" si="643"/>
        <v>26400.000000000004</v>
      </c>
    </row>
    <row r="1775" spans="1:36" x14ac:dyDescent="0.3">
      <c r="A1775" t="s">
        <v>6695</v>
      </c>
      <c r="B1775" t="s">
        <v>6696</v>
      </c>
      <c r="C1775" t="s">
        <v>6697</v>
      </c>
      <c r="D1775" t="s">
        <v>913</v>
      </c>
      <c r="E1775">
        <v>21502</v>
      </c>
      <c r="F1775" t="s">
        <v>15</v>
      </c>
      <c r="G1775">
        <v>4</v>
      </c>
      <c r="H1775">
        <v>250</v>
      </c>
      <c r="I1775" t="str" cm="1">
        <f t="array" ref="I1775">_xlfn.IFS(H1775&lt;=120,"V1",H1775&lt;=150,"V2",H1775&lt;=250,"V3", H1775&lt;=350, "V4")</f>
        <v>V3</v>
      </c>
      <c r="J1775" t="s">
        <v>6698</v>
      </c>
      <c r="K1775" t="str">
        <f t="shared" si="621"/>
        <v>39.649685</v>
      </c>
      <c r="L1775" t="str">
        <f t="shared" si="622"/>
        <v>-78.770171</v>
      </c>
      <c r="M1775">
        <v>194</v>
      </c>
      <c r="N1775" s="1">
        <v>45071</v>
      </c>
      <c r="O1775" s="1">
        <v>46099</v>
      </c>
      <c r="P1775" s="2">
        <f t="shared" si="623"/>
        <v>2.8145106091718</v>
      </c>
      <c r="Q1775" s="2" t="str">
        <f t="shared" si="624"/>
        <v>New</v>
      </c>
      <c r="R1775">
        <f t="shared" si="644"/>
        <v>1000</v>
      </c>
      <c r="S1775" t="str">
        <f t="shared" si="645"/>
        <v>Small</v>
      </c>
      <c r="T1775" t="str">
        <f t="shared" si="627"/>
        <v>Lower EV Adoption Corridor</v>
      </c>
      <c r="U1775" s="3">
        <f t="shared" si="628"/>
        <v>1800000</v>
      </c>
      <c r="V1775" s="4">
        <f t="shared" si="629"/>
        <v>440000.00000000006</v>
      </c>
      <c r="W1775" s="3">
        <f t="shared" si="630"/>
        <v>6000000</v>
      </c>
      <c r="X1775" s="3">
        <f t="shared" si="631"/>
        <v>3300000.0000000005</v>
      </c>
      <c r="Y1775">
        <f t="shared" si="632"/>
        <v>0.31515151515151513</v>
      </c>
      <c r="Z1775">
        <f t="shared" si="633"/>
        <v>0.75555555555555554</v>
      </c>
      <c r="AA1775" t="str">
        <f t="shared" si="634"/>
        <v>Tier 2 - Growth Markets</v>
      </c>
      <c r="AB1775" s="3">
        <f t="shared" si="635"/>
        <v>110000.00000000001</v>
      </c>
      <c r="AC1775" s="3">
        <f t="shared" si="636"/>
        <v>1500000</v>
      </c>
      <c r="AD1775" s="3">
        <f t="shared" si="637"/>
        <v>450000</v>
      </c>
      <c r="AE1775" s="5">
        <f t="shared" si="638"/>
        <v>4.4117647058823533</v>
      </c>
      <c r="AF1775" s="10">
        <f t="shared" si="639"/>
        <v>272800.00000000006</v>
      </c>
      <c r="AG1775" s="10">
        <f t="shared" si="640"/>
        <v>88000.000000000015</v>
      </c>
      <c r="AH1775" s="10">
        <f t="shared" si="641"/>
        <v>44000.000000000007</v>
      </c>
      <c r="AI1775" s="10">
        <f t="shared" si="642"/>
        <v>22000.000000000004</v>
      </c>
      <c r="AJ1775" s="10">
        <f t="shared" si="643"/>
        <v>13200.000000000002</v>
      </c>
    </row>
    <row r="1776" spans="1:36" x14ac:dyDescent="0.3">
      <c r="A1776" t="s">
        <v>6699</v>
      </c>
      <c r="B1776" t="s">
        <v>6700</v>
      </c>
      <c r="C1776" t="s">
        <v>6701</v>
      </c>
      <c r="D1776" t="s">
        <v>522</v>
      </c>
      <c r="E1776">
        <v>63026</v>
      </c>
      <c r="F1776" t="s">
        <v>15</v>
      </c>
      <c r="G1776">
        <v>8</v>
      </c>
      <c r="H1776">
        <v>250</v>
      </c>
      <c r="I1776" t="str" cm="1">
        <f t="array" ref="I1776">_xlfn.IFS(H1776&lt;=120,"V1",H1776&lt;=150,"V2",H1776&lt;=250,"V3", H1776&lt;=350, "V4")</f>
        <v>V3</v>
      </c>
      <c r="J1776" t="s">
        <v>6702</v>
      </c>
      <c r="K1776" t="str">
        <f t="shared" si="621"/>
        <v>38.544304</v>
      </c>
      <c r="L1776" t="str">
        <f t="shared" si="622"/>
        <v>-90.465508</v>
      </c>
      <c r="M1776">
        <v>134</v>
      </c>
      <c r="N1776" s="1">
        <v>45080</v>
      </c>
      <c r="O1776" s="1">
        <v>46099</v>
      </c>
      <c r="P1776" s="2">
        <f t="shared" si="623"/>
        <v>2.7898699520876113</v>
      </c>
      <c r="Q1776" s="2" t="str">
        <f t="shared" si="624"/>
        <v>New</v>
      </c>
      <c r="R1776">
        <f t="shared" si="644"/>
        <v>2000</v>
      </c>
      <c r="S1776" t="str">
        <f t="shared" si="645"/>
        <v>Small</v>
      </c>
      <c r="T1776" t="str">
        <f t="shared" si="627"/>
        <v>Lower EV Adoption Corridor</v>
      </c>
      <c r="U1776" s="3">
        <f t="shared" si="628"/>
        <v>3600000</v>
      </c>
      <c r="V1776" s="4">
        <f t="shared" si="629"/>
        <v>880000.00000000012</v>
      </c>
      <c r="W1776" s="3">
        <f t="shared" si="630"/>
        <v>12000000</v>
      </c>
      <c r="X1776" s="3">
        <f t="shared" si="631"/>
        <v>6600000.0000000009</v>
      </c>
      <c r="Y1776">
        <f t="shared" si="632"/>
        <v>0.31515151515151513</v>
      </c>
      <c r="Z1776">
        <f t="shared" si="633"/>
        <v>0.75555555555555554</v>
      </c>
      <c r="AA1776" t="str">
        <f t="shared" si="634"/>
        <v>Tier 2 - Growth Markets</v>
      </c>
      <c r="AB1776" s="3">
        <f t="shared" si="635"/>
        <v>110000.00000000001</v>
      </c>
      <c r="AC1776" s="3">
        <f t="shared" si="636"/>
        <v>1500000</v>
      </c>
      <c r="AD1776" s="3">
        <f t="shared" si="637"/>
        <v>450000</v>
      </c>
      <c r="AE1776" s="5">
        <f t="shared" si="638"/>
        <v>4.4117647058823533</v>
      </c>
      <c r="AF1776" s="10">
        <f t="shared" si="639"/>
        <v>545600.00000000012</v>
      </c>
      <c r="AG1776" s="10">
        <f t="shared" si="640"/>
        <v>176000.00000000003</v>
      </c>
      <c r="AH1776" s="10">
        <f t="shared" si="641"/>
        <v>88000.000000000015</v>
      </c>
      <c r="AI1776" s="10">
        <f t="shared" si="642"/>
        <v>44000.000000000007</v>
      </c>
      <c r="AJ1776" s="10">
        <f t="shared" si="643"/>
        <v>26400.000000000004</v>
      </c>
    </row>
    <row r="1777" spans="1:36" x14ac:dyDescent="0.3">
      <c r="A1777" t="s">
        <v>6703</v>
      </c>
      <c r="B1777" t="s">
        <v>6704</v>
      </c>
      <c r="C1777" t="s">
        <v>6705</v>
      </c>
      <c r="D1777" t="s">
        <v>59</v>
      </c>
      <c r="E1777">
        <v>60181</v>
      </c>
      <c r="F1777" t="s">
        <v>15</v>
      </c>
      <c r="G1777">
        <v>16</v>
      </c>
      <c r="H1777">
        <v>250</v>
      </c>
      <c r="I1777" t="str" cm="1">
        <f t="array" ref="I1777">_xlfn.IFS(H1777&lt;=120,"V1",H1777&lt;=150,"V2",H1777&lt;=250,"V3", H1777&lt;=350, "V4")</f>
        <v>V3</v>
      </c>
      <c r="J1777" t="s">
        <v>6706</v>
      </c>
      <c r="K1777" t="str">
        <f t="shared" si="621"/>
        <v>41.906409</v>
      </c>
      <c r="L1777" t="str">
        <f t="shared" si="622"/>
        <v>-87.9782135</v>
      </c>
      <c r="M1777">
        <v>207</v>
      </c>
      <c r="N1777" s="1">
        <v>45070</v>
      </c>
      <c r="O1777" s="1">
        <v>46099</v>
      </c>
      <c r="P1777" s="2">
        <f t="shared" si="623"/>
        <v>2.817248459958932</v>
      </c>
      <c r="Q1777" s="2" t="str">
        <f t="shared" si="624"/>
        <v>New</v>
      </c>
      <c r="R1777">
        <f t="shared" si="644"/>
        <v>4000</v>
      </c>
      <c r="S1777" t="str">
        <f t="shared" si="645"/>
        <v>Small</v>
      </c>
      <c r="T1777" t="str">
        <f t="shared" si="627"/>
        <v>Lower EV Adoption Corridor</v>
      </c>
      <c r="U1777" s="3">
        <f t="shared" si="628"/>
        <v>7200000</v>
      </c>
      <c r="V1777" s="4">
        <f t="shared" si="629"/>
        <v>1760000.0000000002</v>
      </c>
      <c r="W1777" s="3">
        <f t="shared" si="630"/>
        <v>24000000</v>
      </c>
      <c r="X1777" s="3">
        <f t="shared" si="631"/>
        <v>13200000.000000002</v>
      </c>
      <c r="Y1777">
        <f t="shared" si="632"/>
        <v>0.31515151515151513</v>
      </c>
      <c r="Z1777">
        <f t="shared" si="633"/>
        <v>0.75555555555555554</v>
      </c>
      <c r="AA1777" t="str">
        <f t="shared" si="634"/>
        <v>Tier 2 - Growth Markets</v>
      </c>
      <c r="AB1777" s="3">
        <f t="shared" si="635"/>
        <v>110000.00000000001</v>
      </c>
      <c r="AC1777" s="3">
        <f t="shared" si="636"/>
        <v>1500000</v>
      </c>
      <c r="AD1777" s="3">
        <f t="shared" si="637"/>
        <v>450000</v>
      </c>
      <c r="AE1777" s="5">
        <f t="shared" si="638"/>
        <v>4.4117647058823533</v>
      </c>
      <c r="AF1777" s="10">
        <f t="shared" si="639"/>
        <v>1091200.0000000002</v>
      </c>
      <c r="AG1777" s="10">
        <f t="shared" si="640"/>
        <v>352000.00000000006</v>
      </c>
      <c r="AH1777" s="10">
        <f t="shared" si="641"/>
        <v>176000.00000000003</v>
      </c>
      <c r="AI1777" s="10">
        <f t="shared" si="642"/>
        <v>88000.000000000015</v>
      </c>
      <c r="AJ1777" s="10">
        <f t="shared" si="643"/>
        <v>52800.000000000007</v>
      </c>
    </row>
    <row r="1778" spans="1:36" x14ac:dyDescent="0.3">
      <c r="A1778" t="s">
        <v>6707</v>
      </c>
      <c r="B1778" t="s">
        <v>6708</v>
      </c>
      <c r="C1778" t="s">
        <v>6709</v>
      </c>
      <c r="D1778" t="s">
        <v>14</v>
      </c>
      <c r="E1778">
        <v>93203</v>
      </c>
      <c r="F1778" t="s">
        <v>15</v>
      </c>
      <c r="G1778">
        <v>76</v>
      </c>
      <c r="H1778">
        <v>250</v>
      </c>
      <c r="I1778" t="str" cm="1">
        <f t="array" ref="I1778">_xlfn.IFS(H1778&lt;=120,"V1",H1778&lt;=150,"V2",H1778&lt;=250,"V3", H1778&lt;=350, "V4")</f>
        <v>V3</v>
      </c>
      <c r="J1778" t="s">
        <v>6710</v>
      </c>
      <c r="K1778" t="str">
        <f t="shared" si="621"/>
        <v>34.985959</v>
      </c>
      <c r="L1778" t="str">
        <f t="shared" si="622"/>
        <v>-118.94385</v>
      </c>
      <c r="M1778">
        <v>337</v>
      </c>
      <c r="N1778" s="1">
        <v>44440</v>
      </c>
      <c r="O1778" s="1">
        <v>46099</v>
      </c>
      <c r="P1778" s="2">
        <f t="shared" si="623"/>
        <v>4.5420944558521557</v>
      </c>
      <c r="Q1778" s="2" t="str">
        <f t="shared" si="624"/>
        <v>Mid</v>
      </c>
      <c r="R1778">
        <f t="shared" si="644"/>
        <v>19000</v>
      </c>
      <c r="S1778" t="str">
        <f t="shared" si="645"/>
        <v>Large</v>
      </c>
      <c r="T1778" t="str">
        <f t="shared" si="627"/>
        <v>High EV Adoption Corridor</v>
      </c>
      <c r="U1778" s="3">
        <f t="shared" si="628"/>
        <v>44460000</v>
      </c>
      <c r="V1778" s="4">
        <f t="shared" si="629"/>
        <v>10032000</v>
      </c>
      <c r="W1778" s="3">
        <f t="shared" si="630"/>
        <v>125400000.00000001</v>
      </c>
      <c r="X1778" s="3">
        <f t="shared" si="631"/>
        <v>94050000.000000015</v>
      </c>
      <c r="Y1778">
        <f t="shared" si="632"/>
        <v>0.23999999999999996</v>
      </c>
      <c r="Z1778">
        <f t="shared" si="633"/>
        <v>0.77435897435897438</v>
      </c>
      <c r="AA1778" t="str">
        <f t="shared" si="634"/>
        <v>Tier 1 - Priority Fleet</v>
      </c>
      <c r="AB1778" s="3">
        <f t="shared" si="635"/>
        <v>132000</v>
      </c>
      <c r="AC1778" s="3">
        <f t="shared" si="636"/>
        <v>1650000.0000000002</v>
      </c>
      <c r="AD1778" s="3">
        <f t="shared" si="637"/>
        <v>585000</v>
      </c>
      <c r="AE1778" s="5">
        <f t="shared" si="638"/>
        <v>3.6423841059602653</v>
      </c>
      <c r="AF1778" s="10">
        <f t="shared" si="639"/>
        <v>6219840</v>
      </c>
      <c r="AG1778" s="10">
        <f t="shared" si="640"/>
        <v>2006400</v>
      </c>
      <c r="AH1778" s="10">
        <f t="shared" si="641"/>
        <v>1003200</v>
      </c>
      <c r="AI1778" s="10">
        <f t="shared" si="642"/>
        <v>501600</v>
      </c>
      <c r="AJ1778" s="10">
        <f t="shared" si="643"/>
        <v>300960</v>
      </c>
    </row>
    <row r="1779" spans="1:36" x14ac:dyDescent="0.3">
      <c r="A1779" t="s">
        <v>6711</v>
      </c>
      <c r="B1779" t="s">
        <v>6712</v>
      </c>
      <c r="C1779" t="s">
        <v>4312</v>
      </c>
      <c r="D1779" t="s">
        <v>50</v>
      </c>
      <c r="E1779">
        <v>79072</v>
      </c>
      <c r="F1779" t="s">
        <v>15</v>
      </c>
      <c r="G1779">
        <v>8</v>
      </c>
      <c r="H1779">
        <v>250</v>
      </c>
      <c r="I1779" t="str" cm="1">
        <f t="array" ref="I1779">_xlfn.IFS(H1779&lt;=120,"V1",H1779&lt;=150,"V2",H1779&lt;=250,"V3", H1779&lt;=350, "V4")</f>
        <v>V3</v>
      </c>
      <c r="J1779" t="s">
        <v>6713</v>
      </c>
      <c r="K1779" t="str">
        <f t="shared" si="621"/>
        <v>34.188839</v>
      </c>
      <c r="L1779" t="str">
        <f t="shared" si="622"/>
        <v>-101.749148</v>
      </c>
      <c r="M1779">
        <v>1035</v>
      </c>
      <c r="N1779" s="1">
        <v>45022</v>
      </c>
      <c r="O1779" s="1">
        <v>46099</v>
      </c>
      <c r="P1779" s="2">
        <f t="shared" si="623"/>
        <v>2.9486652977412731</v>
      </c>
      <c r="Q1779" s="2" t="str">
        <f t="shared" si="624"/>
        <v>New</v>
      </c>
      <c r="R1779">
        <f t="shared" si="644"/>
        <v>2000</v>
      </c>
      <c r="S1779" t="str">
        <f t="shared" si="645"/>
        <v>Small</v>
      </c>
      <c r="T1779" t="str">
        <f t="shared" si="627"/>
        <v>High EV Adoption Corridor</v>
      </c>
      <c r="U1779" s="3">
        <f t="shared" si="628"/>
        <v>4680000</v>
      </c>
      <c r="V1779" s="4">
        <f t="shared" si="629"/>
        <v>1056000</v>
      </c>
      <c r="W1779" s="3">
        <f t="shared" si="630"/>
        <v>13200000.000000002</v>
      </c>
      <c r="X1779" s="3">
        <f t="shared" si="631"/>
        <v>9900000.0000000019</v>
      </c>
      <c r="Y1779">
        <f t="shared" si="632"/>
        <v>0.23999999999999996</v>
      </c>
      <c r="Z1779">
        <f t="shared" si="633"/>
        <v>0.77435897435897438</v>
      </c>
      <c r="AA1779" t="str">
        <f t="shared" si="634"/>
        <v>Tier 1 - Priority Fleet</v>
      </c>
      <c r="AB1779" s="3">
        <f t="shared" si="635"/>
        <v>132000</v>
      </c>
      <c r="AC1779" s="3">
        <f t="shared" si="636"/>
        <v>1650000.0000000002</v>
      </c>
      <c r="AD1779" s="3">
        <f t="shared" si="637"/>
        <v>585000</v>
      </c>
      <c r="AE1779" s="5">
        <f t="shared" si="638"/>
        <v>3.6423841059602653</v>
      </c>
      <c r="AF1779" s="10">
        <f t="shared" si="639"/>
        <v>654720</v>
      </c>
      <c r="AG1779" s="10">
        <f t="shared" si="640"/>
        <v>211200</v>
      </c>
      <c r="AH1779" s="10">
        <f t="shared" si="641"/>
        <v>105600</v>
      </c>
      <c r="AI1779" s="10">
        <f t="shared" si="642"/>
        <v>52800</v>
      </c>
      <c r="AJ1779" s="10">
        <f t="shared" si="643"/>
        <v>31680</v>
      </c>
    </row>
    <row r="1780" spans="1:36" x14ac:dyDescent="0.3">
      <c r="A1780" t="s">
        <v>6714</v>
      </c>
      <c r="B1780" t="s">
        <v>6715</v>
      </c>
      <c r="C1780" t="s">
        <v>6716</v>
      </c>
      <c r="D1780" t="s">
        <v>294</v>
      </c>
      <c r="E1780">
        <v>37356</v>
      </c>
      <c r="F1780" t="s">
        <v>15</v>
      </c>
      <c r="G1780">
        <v>12</v>
      </c>
      <c r="H1780">
        <v>250</v>
      </c>
      <c r="I1780" t="str" cm="1">
        <f t="array" ref="I1780">_xlfn.IFS(H1780&lt;=120,"V1",H1780&lt;=150,"V2",H1780&lt;=250,"V3", H1780&lt;=350, "V4")</f>
        <v>V3</v>
      </c>
      <c r="J1780" t="s">
        <v>6717</v>
      </c>
      <c r="K1780" t="str">
        <f t="shared" si="621"/>
        <v>35.237478</v>
      </c>
      <c r="L1780" t="str">
        <f t="shared" si="622"/>
        <v>-85.850734</v>
      </c>
      <c r="M1780">
        <v>589</v>
      </c>
      <c r="N1780" s="1">
        <v>45037</v>
      </c>
      <c r="O1780" s="1">
        <v>46099</v>
      </c>
      <c r="P1780" s="2">
        <f t="shared" si="623"/>
        <v>2.9075975359342916</v>
      </c>
      <c r="Q1780" s="2" t="str">
        <f t="shared" si="624"/>
        <v>New</v>
      </c>
      <c r="R1780">
        <f t="shared" si="644"/>
        <v>3000</v>
      </c>
      <c r="S1780" t="str">
        <f t="shared" si="645"/>
        <v>Small</v>
      </c>
      <c r="T1780" t="str">
        <f t="shared" si="627"/>
        <v>Lower EV Adoption Corridor</v>
      </c>
      <c r="U1780" s="3">
        <f t="shared" si="628"/>
        <v>5400000</v>
      </c>
      <c r="V1780" s="4">
        <f t="shared" si="629"/>
        <v>1320000</v>
      </c>
      <c r="W1780" s="3">
        <f t="shared" si="630"/>
        <v>18000000</v>
      </c>
      <c r="X1780" s="3">
        <f t="shared" si="631"/>
        <v>9900000</v>
      </c>
      <c r="Y1780">
        <f t="shared" si="632"/>
        <v>0.31515151515151513</v>
      </c>
      <c r="Z1780">
        <f t="shared" si="633"/>
        <v>0.75555555555555554</v>
      </c>
      <c r="AA1780" t="str">
        <f t="shared" si="634"/>
        <v>Tier 2 - Growth Markets</v>
      </c>
      <c r="AB1780" s="3">
        <f t="shared" si="635"/>
        <v>110000</v>
      </c>
      <c r="AC1780" s="3">
        <f t="shared" si="636"/>
        <v>1500000</v>
      </c>
      <c r="AD1780" s="3">
        <f t="shared" si="637"/>
        <v>450000</v>
      </c>
      <c r="AE1780" s="5">
        <f t="shared" si="638"/>
        <v>4.4117647058823533</v>
      </c>
      <c r="AF1780" s="10">
        <f t="shared" si="639"/>
        <v>818400</v>
      </c>
      <c r="AG1780" s="10">
        <f t="shared" si="640"/>
        <v>264000</v>
      </c>
      <c r="AH1780" s="10">
        <f t="shared" si="641"/>
        <v>132000</v>
      </c>
      <c r="AI1780" s="10">
        <f t="shared" si="642"/>
        <v>66000</v>
      </c>
      <c r="AJ1780" s="10">
        <f t="shared" si="643"/>
        <v>39600</v>
      </c>
    </row>
    <row r="1781" spans="1:36" x14ac:dyDescent="0.3">
      <c r="A1781" t="s">
        <v>6718</v>
      </c>
      <c r="B1781" t="s">
        <v>6719</v>
      </c>
      <c r="C1781" t="s">
        <v>6720</v>
      </c>
      <c r="D1781" t="s">
        <v>484</v>
      </c>
      <c r="E1781">
        <v>35071</v>
      </c>
      <c r="F1781" t="s">
        <v>15</v>
      </c>
      <c r="G1781">
        <v>8</v>
      </c>
      <c r="H1781">
        <v>250</v>
      </c>
      <c r="I1781" t="str" cm="1">
        <f t="array" ref="I1781">_xlfn.IFS(H1781&lt;=120,"V1",H1781&lt;=150,"V2",H1781&lt;=250,"V3", H1781&lt;=350, "V4")</f>
        <v>V3</v>
      </c>
      <c r="J1781" t="s">
        <v>6721</v>
      </c>
      <c r="K1781" t="str">
        <f t="shared" si="621"/>
        <v>33.652452</v>
      </c>
      <c r="L1781" t="str">
        <f t="shared" si="622"/>
        <v>-86.809625</v>
      </c>
      <c r="M1781">
        <v>200</v>
      </c>
      <c r="N1781" s="1">
        <v>45042</v>
      </c>
      <c r="O1781" s="1">
        <v>46099</v>
      </c>
      <c r="P1781" s="2">
        <f t="shared" si="623"/>
        <v>2.8939082819986313</v>
      </c>
      <c r="Q1781" s="2" t="str">
        <f t="shared" si="624"/>
        <v>New</v>
      </c>
      <c r="R1781">
        <f t="shared" si="644"/>
        <v>2000</v>
      </c>
      <c r="S1781" t="str">
        <f t="shared" si="645"/>
        <v>Small</v>
      </c>
      <c r="T1781" t="str">
        <f t="shared" si="627"/>
        <v>Lower EV Adoption Corridor</v>
      </c>
      <c r="U1781" s="3">
        <f t="shared" si="628"/>
        <v>3600000</v>
      </c>
      <c r="V1781" s="4">
        <f t="shared" si="629"/>
        <v>880000.00000000012</v>
      </c>
      <c r="W1781" s="3">
        <f t="shared" si="630"/>
        <v>12000000</v>
      </c>
      <c r="X1781" s="3">
        <f t="shared" si="631"/>
        <v>6600000.0000000009</v>
      </c>
      <c r="Y1781">
        <f t="shared" si="632"/>
        <v>0.31515151515151513</v>
      </c>
      <c r="Z1781">
        <f t="shared" si="633"/>
        <v>0.75555555555555554</v>
      </c>
      <c r="AA1781" t="str">
        <f t="shared" si="634"/>
        <v>Tier 2 - Growth Markets</v>
      </c>
      <c r="AB1781" s="3">
        <f t="shared" si="635"/>
        <v>110000.00000000001</v>
      </c>
      <c r="AC1781" s="3">
        <f t="shared" si="636"/>
        <v>1500000</v>
      </c>
      <c r="AD1781" s="3">
        <f t="shared" si="637"/>
        <v>450000</v>
      </c>
      <c r="AE1781" s="5">
        <f t="shared" si="638"/>
        <v>4.4117647058823533</v>
      </c>
      <c r="AF1781" s="10">
        <f t="shared" si="639"/>
        <v>545600.00000000012</v>
      </c>
      <c r="AG1781" s="10">
        <f t="shared" si="640"/>
        <v>176000.00000000003</v>
      </c>
      <c r="AH1781" s="10">
        <f t="shared" si="641"/>
        <v>88000.000000000015</v>
      </c>
      <c r="AI1781" s="10">
        <f t="shared" si="642"/>
        <v>44000.000000000007</v>
      </c>
      <c r="AJ1781" s="10">
        <f t="shared" si="643"/>
        <v>26400.000000000004</v>
      </c>
    </row>
    <row r="1782" spans="1:36" x14ac:dyDescent="0.3">
      <c r="A1782" t="s">
        <v>6722</v>
      </c>
      <c r="B1782" t="s">
        <v>6723</v>
      </c>
      <c r="C1782" t="s">
        <v>23</v>
      </c>
      <c r="D1782" t="s">
        <v>14</v>
      </c>
      <c r="E1782">
        <v>92311</v>
      </c>
      <c r="F1782" t="s">
        <v>15</v>
      </c>
      <c r="G1782">
        <v>20</v>
      </c>
      <c r="H1782">
        <v>250</v>
      </c>
      <c r="I1782" t="str" cm="1">
        <f t="array" ref="I1782">_xlfn.IFS(H1782&lt;=120,"V1",H1782&lt;=150,"V2",H1782&lt;=250,"V3", H1782&lt;=350, "V4")</f>
        <v>V3</v>
      </c>
      <c r="J1782" t="s">
        <v>6724</v>
      </c>
      <c r="K1782" t="str">
        <f t="shared" si="621"/>
        <v>34.8446</v>
      </c>
      <c r="L1782" t="str">
        <f t="shared" si="622"/>
        <v>-117.0862</v>
      </c>
      <c r="M1782">
        <v>729</v>
      </c>
      <c r="N1782" s="1">
        <v>44708</v>
      </c>
      <c r="O1782" s="1">
        <v>46099</v>
      </c>
      <c r="P1782" s="2">
        <f t="shared" si="623"/>
        <v>3.808350444900753</v>
      </c>
      <c r="Q1782" s="2" t="str">
        <f t="shared" si="624"/>
        <v>Mid</v>
      </c>
      <c r="R1782">
        <f t="shared" si="644"/>
        <v>5000</v>
      </c>
      <c r="S1782" t="str">
        <f t="shared" si="645"/>
        <v>Small</v>
      </c>
      <c r="T1782" t="str">
        <f t="shared" si="627"/>
        <v>High EV Adoption Corridor</v>
      </c>
      <c r="U1782" s="3">
        <f t="shared" si="628"/>
        <v>11700000</v>
      </c>
      <c r="V1782" s="4">
        <f t="shared" si="629"/>
        <v>2640000</v>
      </c>
      <c r="W1782" s="3">
        <f t="shared" si="630"/>
        <v>33000000.000000004</v>
      </c>
      <c r="X1782" s="3">
        <f t="shared" si="631"/>
        <v>24750000.000000004</v>
      </c>
      <c r="Y1782">
        <f t="shared" si="632"/>
        <v>0.23999999999999996</v>
      </c>
      <c r="Z1782">
        <f t="shared" si="633"/>
        <v>0.77435897435897438</v>
      </c>
      <c r="AA1782" t="str">
        <f t="shared" si="634"/>
        <v>Tier 1 - Priority Fleet</v>
      </c>
      <c r="AB1782" s="3">
        <f t="shared" si="635"/>
        <v>132000</v>
      </c>
      <c r="AC1782" s="3">
        <f t="shared" si="636"/>
        <v>1650000.0000000002</v>
      </c>
      <c r="AD1782" s="3">
        <f t="shared" si="637"/>
        <v>585000</v>
      </c>
      <c r="AE1782" s="5">
        <f t="shared" si="638"/>
        <v>3.6423841059602653</v>
      </c>
      <c r="AF1782" s="10">
        <f t="shared" si="639"/>
        <v>1636800</v>
      </c>
      <c r="AG1782" s="10">
        <f t="shared" si="640"/>
        <v>528000</v>
      </c>
      <c r="AH1782" s="10">
        <f t="shared" si="641"/>
        <v>264000</v>
      </c>
      <c r="AI1782" s="10">
        <f t="shared" si="642"/>
        <v>132000</v>
      </c>
      <c r="AJ1782" s="10">
        <f t="shared" si="643"/>
        <v>79200</v>
      </c>
    </row>
    <row r="1783" spans="1:36" x14ac:dyDescent="0.3">
      <c r="A1783" t="s">
        <v>6725</v>
      </c>
      <c r="B1783" t="s">
        <v>6726</v>
      </c>
      <c r="C1783" t="s">
        <v>6727</v>
      </c>
      <c r="D1783" t="s">
        <v>14</v>
      </c>
      <c r="E1783">
        <v>90720</v>
      </c>
      <c r="F1783" t="s">
        <v>15</v>
      </c>
      <c r="G1783">
        <v>16</v>
      </c>
      <c r="H1783">
        <v>250</v>
      </c>
      <c r="I1783" t="str" cm="1">
        <f t="array" ref="I1783">_xlfn.IFS(H1783&lt;=120,"V1",H1783&lt;=150,"V2",H1783&lt;=250,"V3", H1783&lt;=350, "V4")</f>
        <v>V3</v>
      </c>
      <c r="J1783" t="s">
        <v>6728</v>
      </c>
      <c r="K1783" t="str">
        <f t="shared" si="621"/>
        <v>33.804336</v>
      </c>
      <c r="L1783" t="str">
        <f t="shared" si="622"/>
        <v>-118.044231</v>
      </c>
      <c r="M1783">
        <v>8</v>
      </c>
      <c r="N1783" s="1">
        <v>45022</v>
      </c>
      <c r="O1783" s="1">
        <v>46099</v>
      </c>
      <c r="P1783" s="2">
        <f t="shared" si="623"/>
        <v>2.9486652977412731</v>
      </c>
      <c r="Q1783" s="2" t="str">
        <f t="shared" si="624"/>
        <v>New</v>
      </c>
      <c r="R1783">
        <f t="shared" si="644"/>
        <v>4000</v>
      </c>
      <c r="S1783" t="str">
        <f t="shared" si="645"/>
        <v>Small</v>
      </c>
      <c r="T1783" t="str">
        <f t="shared" si="627"/>
        <v>High EV Adoption Corridor</v>
      </c>
      <c r="U1783" s="3">
        <f t="shared" si="628"/>
        <v>9360000</v>
      </c>
      <c r="V1783" s="4">
        <f t="shared" si="629"/>
        <v>2112000</v>
      </c>
      <c r="W1783" s="3">
        <f t="shared" si="630"/>
        <v>26400000.000000004</v>
      </c>
      <c r="X1783" s="3">
        <f t="shared" si="631"/>
        <v>19800000.000000004</v>
      </c>
      <c r="Y1783">
        <f t="shared" si="632"/>
        <v>0.23999999999999996</v>
      </c>
      <c r="Z1783">
        <f t="shared" si="633"/>
        <v>0.77435897435897438</v>
      </c>
      <c r="AA1783" t="str">
        <f t="shared" si="634"/>
        <v>Tier 1 - Priority Fleet</v>
      </c>
      <c r="AB1783" s="3">
        <f t="shared" si="635"/>
        <v>132000</v>
      </c>
      <c r="AC1783" s="3">
        <f t="shared" si="636"/>
        <v>1650000.0000000002</v>
      </c>
      <c r="AD1783" s="3">
        <f t="shared" si="637"/>
        <v>585000</v>
      </c>
      <c r="AE1783" s="5">
        <f t="shared" si="638"/>
        <v>3.6423841059602653</v>
      </c>
      <c r="AF1783" s="10">
        <f t="shared" si="639"/>
        <v>1309440</v>
      </c>
      <c r="AG1783" s="10">
        <f t="shared" si="640"/>
        <v>422400</v>
      </c>
      <c r="AH1783" s="10">
        <f t="shared" si="641"/>
        <v>211200</v>
      </c>
      <c r="AI1783" s="10">
        <f t="shared" si="642"/>
        <v>105600</v>
      </c>
      <c r="AJ1783" s="10">
        <f t="shared" si="643"/>
        <v>63360</v>
      </c>
    </row>
    <row r="1784" spans="1:36" x14ac:dyDescent="0.3">
      <c r="A1784" t="s">
        <v>6729</v>
      </c>
      <c r="B1784" t="s">
        <v>6730</v>
      </c>
      <c r="C1784" t="s">
        <v>492</v>
      </c>
      <c r="D1784" t="s">
        <v>59</v>
      </c>
      <c r="E1784">
        <v>62401</v>
      </c>
      <c r="F1784" t="s">
        <v>15</v>
      </c>
      <c r="G1784">
        <v>12</v>
      </c>
      <c r="H1784">
        <v>250</v>
      </c>
      <c r="I1784" t="str" cm="1">
        <f t="array" ref="I1784">_xlfn.IFS(H1784&lt;=120,"V1",H1784&lt;=150,"V2",H1784&lt;=250,"V3", H1784&lt;=350, "V4")</f>
        <v>V3</v>
      </c>
      <c r="J1784" t="s">
        <v>6731</v>
      </c>
      <c r="K1784" t="str">
        <f t="shared" si="621"/>
        <v>39.138944</v>
      </c>
      <c r="L1784" t="str">
        <f t="shared" si="622"/>
        <v>-88.562009</v>
      </c>
      <c r="M1784">
        <v>183</v>
      </c>
      <c r="N1784" s="1">
        <v>45021</v>
      </c>
      <c r="O1784" s="1">
        <v>46099</v>
      </c>
      <c r="P1784" s="2">
        <f t="shared" si="623"/>
        <v>2.9514031485284051</v>
      </c>
      <c r="Q1784" s="2" t="str">
        <f t="shared" si="624"/>
        <v>New</v>
      </c>
      <c r="R1784">
        <f t="shared" si="644"/>
        <v>3000</v>
      </c>
      <c r="S1784" t="str">
        <f t="shared" si="645"/>
        <v>Small</v>
      </c>
      <c r="T1784" t="str">
        <f t="shared" si="627"/>
        <v>Lower EV Adoption Corridor</v>
      </c>
      <c r="U1784" s="3">
        <f t="shared" si="628"/>
        <v>5400000</v>
      </c>
      <c r="V1784" s="4">
        <f t="shared" si="629"/>
        <v>1320000</v>
      </c>
      <c r="W1784" s="3">
        <f t="shared" si="630"/>
        <v>18000000</v>
      </c>
      <c r="X1784" s="3">
        <f t="shared" si="631"/>
        <v>9900000</v>
      </c>
      <c r="Y1784">
        <f t="shared" si="632"/>
        <v>0.31515151515151513</v>
      </c>
      <c r="Z1784">
        <f t="shared" si="633"/>
        <v>0.75555555555555554</v>
      </c>
      <c r="AA1784" t="str">
        <f t="shared" si="634"/>
        <v>Tier 2 - Growth Markets</v>
      </c>
      <c r="AB1784" s="3">
        <f t="shared" si="635"/>
        <v>110000</v>
      </c>
      <c r="AC1784" s="3">
        <f t="shared" si="636"/>
        <v>1500000</v>
      </c>
      <c r="AD1784" s="3">
        <f t="shared" si="637"/>
        <v>450000</v>
      </c>
      <c r="AE1784" s="5">
        <f t="shared" si="638"/>
        <v>4.4117647058823533</v>
      </c>
      <c r="AF1784" s="10">
        <f t="shared" si="639"/>
        <v>818400</v>
      </c>
      <c r="AG1784" s="10">
        <f t="shared" si="640"/>
        <v>264000</v>
      </c>
      <c r="AH1784" s="10">
        <f t="shared" si="641"/>
        <v>132000</v>
      </c>
      <c r="AI1784" s="10">
        <f t="shared" si="642"/>
        <v>66000</v>
      </c>
      <c r="AJ1784" s="10">
        <f t="shared" si="643"/>
        <v>39600</v>
      </c>
    </row>
    <row r="1785" spans="1:36" x14ac:dyDescent="0.3">
      <c r="A1785" t="s">
        <v>6732</v>
      </c>
      <c r="B1785" t="s">
        <v>6733</v>
      </c>
      <c r="C1785" t="s">
        <v>6734</v>
      </c>
      <c r="D1785" t="s">
        <v>14</v>
      </c>
      <c r="E1785">
        <v>95322</v>
      </c>
      <c r="F1785" t="s">
        <v>15</v>
      </c>
      <c r="G1785">
        <v>48</v>
      </c>
      <c r="H1785">
        <v>250</v>
      </c>
      <c r="I1785" t="str" cm="1">
        <f t="array" ref="I1785">_xlfn.IFS(H1785&lt;=120,"V1",H1785&lt;=150,"V2",H1785&lt;=250,"V3", H1785&lt;=350, "V4")</f>
        <v>V3</v>
      </c>
      <c r="J1785" t="s">
        <v>6735</v>
      </c>
      <c r="K1785" t="str">
        <f t="shared" si="621"/>
        <v>37.100209</v>
      </c>
      <c r="L1785" t="str">
        <f t="shared" si="622"/>
        <v>-121.012011</v>
      </c>
      <c r="M1785">
        <v>44</v>
      </c>
      <c r="N1785" s="1">
        <v>44791</v>
      </c>
      <c r="O1785" s="1">
        <v>46099</v>
      </c>
      <c r="P1785" s="2">
        <f t="shared" si="623"/>
        <v>3.5811088295687883</v>
      </c>
      <c r="Q1785" s="2" t="str">
        <f t="shared" si="624"/>
        <v>Mid</v>
      </c>
      <c r="R1785">
        <f t="shared" si="644"/>
        <v>12000</v>
      </c>
      <c r="S1785" t="str">
        <f t="shared" si="645"/>
        <v>Medium</v>
      </c>
      <c r="T1785" t="str">
        <f t="shared" si="627"/>
        <v>High EV Adoption Corridor</v>
      </c>
      <c r="U1785" s="3">
        <f t="shared" si="628"/>
        <v>28080000</v>
      </c>
      <c r="V1785" s="4">
        <f t="shared" si="629"/>
        <v>6336000</v>
      </c>
      <c r="W1785" s="3">
        <f t="shared" si="630"/>
        <v>79200000</v>
      </c>
      <c r="X1785" s="3">
        <f t="shared" si="631"/>
        <v>59400000</v>
      </c>
      <c r="Y1785">
        <f t="shared" si="632"/>
        <v>0.24</v>
      </c>
      <c r="Z1785">
        <f t="shared" si="633"/>
        <v>0.77435897435897438</v>
      </c>
      <c r="AA1785" t="str">
        <f t="shared" si="634"/>
        <v>Tier 1 - Priority Fleet</v>
      </c>
      <c r="AB1785" s="3">
        <f t="shared" si="635"/>
        <v>132000</v>
      </c>
      <c r="AC1785" s="3">
        <f t="shared" si="636"/>
        <v>1650000</v>
      </c>
      <c r="AD1785" s="3">
        <f t="shared" si="637"/>
        <v>585000</v>
      </c>
      <c r="AE1785" s="5">
        <f t="shared" si="638"/>
        <v>3.6423841059602649</v>
      </c>
      <c r="AF1785" s="10">
        <f t="shared" si="639"/>
        <v>3928320</v>
      </c>
      <c r="AG1785" s="10">
        <f t="shared" si="640"/>
        <v>1267200</v>
      </c>
      <c r="AH1785" s="10">
        <f t="shared" si="641"/>
        <v>633600</v>
      </c>
      <c r="AI1785" s="10">
        <f t="shared" si="642"/>
        <v>316800</v>
      </c>
      <c r="AJ1785" s="10">
        <f t="shared" si="643"/>
        <v>190080</v>
      </c>
    </row>
    <row r="1786" spans="1:36" x14ac:dyDescent="0.3">
      <c r="A1786" t="s">
        <v>6736</v>
      </c>
      <c r="B1786" t="s">
        <v>6737</v>
      </c>
      <c r="C1786" t="s">
        <v>224</v>
      </c>
      <c r="D1786" t="s">
        <v>225</v>
      </c>
      <c r="E1786">
        <v>84790</v>
      </c>
      <c r="F1786" t="s">
        <v>15</v>
      </c>
      <c r="G1786">
        <v>12</v>
      </c>
      <c r="H1786">
        <v>250</v>
      </c>
      <c r="I1786" t="str" cm="1">
        <f t="array" ref="I1786">_xlfn.IFS(H1786&lt;=120,"V1",H1786&lt;=150,"V2",H1786&lt;=250,"V3", H1786&lt;=350, "V4")</f>
        <v>V3</v>
      </c>
      <c r="J1786" t="s">
        <v>6738</v>
      </c>
      <c r="K1786" t="str">
        <f t="shared" si="621"/>
        <v>37.077559</v>
      </c>
      <c r="L1786" t="str">
        <f t="shared" si="622"/>
        <v>-113.5843</v>
      </c>
      <c r="M1786">
        <v>776</v>
      </c>
      <c r="N1786" s="1">
        <v>45071</v>
      </c>
      <c r="O1786" s="1">
        <v>46099</v>
      </c>
      <c r="P1786" s="2">
        <f t="shared" si="623"/>
        <v>2.8145106091718</v>
      </c>
      <c r="Q1786" s="2" t="str">
        <f t="shared" si="624"/>
        <v>New</v>
      </c>
      <c r="R1786">
        <f t="shared" si="644"/>
        <v>3000</v>
      </c>
      <c r="S1786" t="str">
        <f t="shared" si="645"/>
        <v>Small</v>
      </c>
      <c r="T1786" t="str">
        <f t="shared" si="627"/>
        <v>Lower EV Adoption Corridor</v>
      </c>
      <c r="U1786" s="3">
        <f t="shared" si="628"/>
        <v>5400000</v>
      </c>
      <c r="V1786" s="4">
        <f t="shared" si="629"/>
        <v>1320000</v>
      </c>
      <c r="W1786" s="3">
        <f t="shared" si="630"/>
        <v>18000000</v>
      </c>
      <c r="X1786" s="3">
        <f t="shared" si="631"/>
        <v>9900000</v>
      </c>
      <c r="Y1786">
        <f t="shared" si="632"/>
        <v>0.31515151515151513</v>
      </c>
      <c r="Z1786">
        <f t="shared" si="633"/>
        <v>0.75555555555555554</v>
      </c>
      <c r="AA1786" t="str">
        <f t="shared" si="634"/>
        <v>Tier 2 - Growth Markets</v>
      </c>
      <c r="AB1786" s="3">
        <f t="shared" si="635"/>
        <v>110000</v>
      </c>
      <c r="AC1786" s="3">
        <f t="shared" si="636"/>
        <v>1500000</v>
      </c>
      <c r="AD1786" s="3">
        <f t="shared" si="637"/>
        <v>450000</v>
      </c>
      <c r="AE1786" s="5">
        <f t="shared" si="638"/>
        <v>4.4117647058823533</v>
      </c>
      <c r="AF1786" s="10">
        <f t="shared" si="639"/>
        <v>818400</v>
      </c>
      <c r="AG1786" s="10">
        <f t="shared" si="640"/>
        <v>264000</v>
      </c>
      <c r="AH1786" s="10">
        <f t="shared" si="641"/>
        <v>132000</v>
      </c>
      <c r="AI1786" s="10">
        <f t="shared" si="642"/>
        <v>66000</v>
      </c>
      <c r="AJ1786" s="10">
        <f t="shared" si="643"/>
        <v>39600</v>
      </c>
    </row>
    <row r="1787" spans="1:36" x14ac:dyDescent="0.3">
      <c r="A1787" t="s">
        <v>6739</v>
      </c>
      <c r="B1787" t="s">
        <v>6740</v>
      </c>
      <c r="C1787" t="s">
        <v>293</v>
      </c>
      <c r="D1787" t="s">
        <v>294</v>
      </c>
      <c r="E1787">
        <v>37405</v>
      </c>
      <c r="F1787" t="s">
        <v>15</v>
      </c>
      <c r="G1787">
        <v>12</v>
      </c>
      <c r="H1787">
        <v>250</v>
      </c>
      <c r="I1787" t="str" cm="1">
        <f t="array" ref="I1787">_xlfn.IFS(H1787&lt;=120,"V1",H1787&lt;=150,"V2",H1787&lt;=250,"V3", H1787&lt;=350, "V4")</f>
        <v>V3</v>
      </c>
      <c r="J1787" t="s">
        <v>6741</v>
      </c>
      <c r="K1787" t="str">
        <f t="shared" si="621"/>
        <v>35.063323</v>
      </c>
      <c r="L1787" t="str">
        <f t="shared" si="622"/>
        <v>-85.314938</v>
      </c>
      <c r="M1787">
        <v>204</v>
      </c>
      <c r="N1787" s="1">
        <v>45077</v>
      </c>
      <c r="O1787" s="1">
        <v>46099</v>
      </c>
      <c r="P1787" s="2">
        <f t="shared" si="623"/>
        <v>2.7980835044490076</v>
      </c>
      <c r="Q1787" s="2" t="str">
        <f t="shared" si="624"/>
        <v>New</v>
      </c>
      <c r="R1787">
        <f t="shared" si="644"/>
        <v>3000</v>
      </c>
      <c r="S1787" t="str">
        <f t="shared" si="645"/>
        <v>Small</v>
      </c>
      <c r="T1787" t="str">
        <f t="shared" si="627"/>
        <v>Lower EV Adoption Corridor</v>
      </c>
      <c r="U1787" s="3">
        <f t="shared" si="628"/>
        <v>5400000</v>
      </c>
      <c r="V1787" s="4">
        <f t="shared" si="629"/>
        <v>1320000</v>
      </c>
      <c r="W1787" s="3">
        <f t="shared" si="630"/>
        <v>18000000</v>
      </c>
      <c r="X1787" s="3">
        <f t="shared" si="631"/>
        <v>9900000</v>
      </c>
      <c r="Y1787">
        <f t="shared" si="632"/>
        <v>0.31515151515151513</v>
      </c>
      <c r="Z1787">
        <f t="shared" si="633"/>
        <v>0.75555555555555554</v>
      </c>
      <c r="AA1787" t="str">
        <f t="shared" si="634"/>
        <v>Tier 2 - Growth Markets</v>
      </c>
      <c r="AB1787" s="3">
        <f t="shared" si="635"/>
        <v>110000</v>
      </c>
      <c r="AC1787" s="3">
        <f t="shared" si="636"/>
        <v>1500000</v>
      </c>
      <c r="AD1787" s="3">
        <f t="shared" si="637"/>
        <v>450000</v>
      </c>
      <c r="AE1787" s="5">
        <f t="shared" si="638"/>
        <v>4.4117647058823533</v>
      </c>
      <c r="AF1787" s="10">
        <f t="shared" si="639"/>
        <v>818400</v>
      </c>
      <c r="AG1787" s="10">
        <f t="shared" si="640"/>
        <v>264000</v>
      </c>
      <c r="AH1787" s="10">
        <f t="shared" si="641"/>
        <v>132000</v>
      </c>
      <c r="AI1787" s="10">
        <f t="shared" si="642"/>
        <v>66000</v>
      </c>
      <c r="AJ1787" s="10">
        <f t="shared" si="643"/>
        <v>39600</v>
      </c>
    </row>
    <row r="1788" spans="1:36" x14ac:dyDescent="0.3">
      <c r="A1788" t="s">
        <v>6742</v>
      </c>
      <c r="B1788" t="s">
        <v>6743</v>
      </c>
      <c r="C1788" t="s">
        <v>6744</v>
      </c>
      <c r="D1788" t="s">
        <v>484</v>
      </c>
      <c r="E1788">
        <v>35563</v>
      </c>
      <c r="F1788" t="s">
        <v>15</v>
      </c>
      <c r="G1788">
        <v>12</v>
      </c>
      <c r="H1788">
        <v>250</v>
      </c>
      <c r="I1788" t="str" cm="1">
        <f t="array" ref="I1788">_xlfn.IFS(H1788&lt;=120,"V1",H1788&lt;=150,"V2",H1788&lt;=250,"V3", H1788&lt;=350, "V4")</f>
        <v>V3</v>
      </c>
      <c r="J1788" t="s">
        <v>6745</v>
      </c>
      <c r="K1788" t="str">
        <f t="shared" si="621"/>
        <v>34.00972</v>
      </c>
      <c r="L1788" t="str">
        <f t="shared" si="622"/>
        <v>-87.8349</v>
      </c>
      <c r="M1788">
        <v>197</v>
      </c>
      <c r="N1788" s="1">
        <v>45068</v>
      </c>
      <c r="O1788" s="1">
        <v>46099</v>
      </c>
      <c r="P1788" s="2">
        <f t="shared" si="623"/>
        <v>2.8227241615331966</v>
      </c>
      <c r="Q1788" s="2" t="str">
        <f t="shared" si="624"/>
        <v>New</v>
      </c>
      <c r="R1788">
        <f t="shared" si="644"/>
        <v>3000</v>
      </c>
      <c r="S1788" t="str">
        <f t="shared" si="645"/>
        <v>Small</v>
      </c>
      <c r="T1788" t="str">
        <f t="shared" si="627"/>
        <v>Lower EV Adoption Corridor</v>
      </c>
      <c r="U1788" s="3">
        <f t="shared" si="628"/>
        <v>5400000</v>
      </c>
      <c r="V1788" s="4">
        <f t="shared" si="629"/>
        <v>1320000</v>
      </c>
      <c r="W1788" s="3">
        <f t="shared" si="630"/>
        <v>18000000</v>
      </c>
      <c r="X1788" s="3">
        <f t="shared" si="631"/>
        <v>9900000</v>
      </c>
      <c r="Y1788">
        <f t="shared" si="632"/>
        <v>0.31515151515151513</v>
      </c>
      <c r="Z1788">
        <f t="shared" si="633"/>
        <v>0.75555555555555554</v>
      </c>
      <c r="AA1788" t="str">
        <f t="shared" si="634"/>
        <v>Tier 2 - Growth Markets</v>
      </c>
      <c r="AB1788" s="3">
        <f t="shared" si="635"/>
        <v>110000</v>
      </c>
      <c r="AC1788" s="3">
        <f t="shared" si="636"/>
        <v>1500000</v>
      </c>
      <c r="AD1788" s="3">
        <f t="shared" si="637"/>
        <v>450000</v>
      </c>
      <c r="AE1788" s="5">
        <f t="shared" si="638"/>
        <v>4.4117647058823533</v>
      </c>
      <c r="AF1788" s="10">
        <f t="shared" si="639"/>
        <v>818400</v>
      </c>
      <c r="AG1788" s="10">
        <f t="shared" si="640"/>
        <v>264000</v>
      </c>
      <c r="AH1788" s="10">
        <f t="shared" si="641"/>
        <v>132000</v>
      </c>
      <c r="AI1788" s="10">
        <f t="shared" si="642"/>
        <v>66000</v>
      </c>
      <c r="AJ1788" s="10">
        <f t="shared" si="643"/>
        <v>39600</v>
      </c>
    </row>
    <row r="1789" spans="1:36" x14ac:dyDescent="0.3">
      <c r="A1789" t="s">
        <v>6746</v>
      </c>
      <c r="B1789" t="s">
        <v>6747</v>
      </c>
      <c r="C1789" t="s">
        <v>4125</v>
      </c>
      <c r="D1789" t="s">
        <v>852</v>
      </c>
      <c r="E1789">
        <v>8817</v>
      </c>
      <c r="F1789" t="s">
        <v>15</v>
      </c>
      <c r="G1789">
        <v>8</v>
      </c>
      <c r="H1789">
        <v>250</v>
      </c>
      <c r="I1789" t="str" cm="1">
        <f t="array" ref="I1789">_xlfn.IFS(H1789&lt;=120,"V1",H1789&lt;=150,"V2",H1789&lt;=250,"V3", H1789&lt;=350, "V4")</f>
        <v>V3</v>
      </c>
      <c r="J1789" t="s">
        <v>6748</v>
      </c>
      <c r="K1789" t="str">
        <f t="shared" si="621"/>
        <v>40.5062</v>
      </c>
      <c r="L1789" t="str">
        <f t="shared" si="622"/>
        <v>-74.3936</v>
      </c>
      <c r="M1789">
        <v>32</v>
      </c>
      <c r="N1789" s="1">
        <v>44908</v>
      </c>
      <c r="O1789" s="1">
        <v>46099</v>
      </c>
      <c r="P1789" s="2">
        <f t="shared" si="623"/>
        <v>3.2607802874743328</v>
      </c>
      <c r="Q1789" s="2" t="str">
        <f t="shared" si="624"/>
        <v>Mid</v>
      </c>
      <c r="R1789">
        <f t="shared" si="644"/>
        <v>2000</v>
      </c>
      <c r="S1789" t="str">
        <f t="shared" si="645"/>
        <v>Small</v>
      </c>
      <c r="T1789" t="str">
        <f t="shared" si="627"/>
        <v>High EV Adoption Corridor</v>
      </c>
      <c r="U1789" s="3">
        <f t="shared" si="628"/>
        <v>4680000</v>
      </c>
      <c r="V1789" s="4">
        <f t="shared" si="629"/>
        <v>1056000</v>
      </c>
      <c r="W1789" s="3">
        <f t="shared" si="630"/>
        <v>13200000.000000002</v>
      </c>
      <c r="X1789" s="3">
        <f t="shared" si="631"/>
        <v>9900000.0000000019</v>
      </c>
      <c r="Y1789">
        <f t="shared" si="632"/>
        <v>0.23999999999999996</v>
      </c>
      <c r="Z1789">
        <f t="shared" si="633"/>
        <v>0.77435897435897438</v>
      </c>
      <c r="AA1789" t="str">
        <f t="shared" si="634"/>
        <v>Tier 1 - Priority Fleet</v>
      </c>
      <c r="AB1789" s="3">
        <f t="shared" si="635"/>
        <v>132000</v>
      </c>
      <c r="AC1789" s="3">
        <f t="shared" si="636"/>
        <v>1650000.0000000002</v>
      </c>
      <c r="AD1789" s="3">
        <f t="shared" si="637"/>
        <v>585000</v>
      </c>
      <c r="AE1789" s="5">
        <f t="shared" si="638"/>
        <v>3.6423841059602653</v>
      </c>
      <c r="AF1789" s="10">
        <f t="shared" si="639"/>
        <v>654720</v>
      </c>
      <c r="AG1789" s="10">
        <f t="shared" si="640"/>
        <v>211200</v>
      </c>
      <c r="AH1789" s="10">
        <f t="shared" si="641"/>
        <v>105600</v>
      </c>
      <c r="AI1789" s="10">
        <f t="shared" si="642"/>
        <v>52800</v>
      </c>
      <c r="AJ1789" s="10">
        <f t="shared" si="643"/>
        <v>31680</v>
      </c>
    </row>
    <row r="1790" spans="1:36" x14ac:dyDescent="0.3">
      <c r="A1790" t="s">
        <v>6749</v>
      </c>
      <c r="B1790" t="s">
        <v>6750</v>
      </c>
      <c r="C1790" t="s">
        <v>6751</v>
      </c>
      <c r="D1790" t="s">
        <v>14</v>
      </c>
      <c r="E1790">
        <v>95066</v>
      </c>
      <c r="F1790" t="s">
        <v>15</v>
      </c>
      <c r="G1790">
        <v>16</v>
      </c>
      <c r="H1790">
        <v>250</v>
      </c>
      <c r="I1790" t="str" cm="1">
        <f t="array" ref="I1790">_xlfn.IFS(H1790&lt;=120,"V1",H1790&lt;=150,"V2",H1790&lt;=250,"V3", H1790&lt;=350, "V4")</f>
        <v>V3</v>
      </c>
      <c r="J1790" t="s">
        <v>6752</v>
      </c>
      <c r="K1790" t="str">
        <f t="shared" si="621"/>
        <v>37.047608</v>
      </c>
      <c r="L1790" t="str">
        <f t="shared" si="622"/>
        <v>-122.027743</v>
      </c>
      <c r="M1790">
        <v>161</v>
      </c>
      <c r="N1790" s="1">
        <v>43860</v>
      </c>
      <c r="O1790" s="1">
        <v>46099</v>
      </c>
      <c r="P1790" s="2">
        <f t="shared" si="623"/>
        <v>6.1300479123887746</v>
      </c>
      <c r="Q1790" s="2" t="str">
        <f t="shared" si="624"/>
        <v>Mid</v>
      </c>
      <c r="R1790">
        <f t="shared" si="644"/>
        <v>4000</v>
      </c>
      <c r="S1790" t="str">
        <f t="shared" si="645"/>
        <v>Small</v>
      </c>
      <c r="T1790" t="str">
        <f t="shared" si="627"/>
        <v>High EV Adoption Corridor</v>
      </c>
      <c r="U1790" s="3">
        <f t="shared" si="628"/>
        <v>9360000</v>
      </c>
      <c r="V1790" s="4">
        <f t="shared" si="629"/>
        <v>2112000</v>
      </c>
      <c r="W1790" s="3">
        <f t="shared" si="630"/>
        <v>26400000.000000004</v>
      </c>
      <c r="X1790" s="3">
        <f t="shared" si="631"/>
        <v>19800000.000000004</v>
      </c>
      <c r="Y1790">
        <f t="shared" si="632"/>
        <v>0.23999999999999996</v>
      </c>
      <c r="Z1790">
        <f t="shared" si="633"/>
        <v>0.77435897435897438</v>
      </c>
      <c r="AA1790" t="str">
        <f t="shared" si="634"/>
        <v>Tier 1 - Priority Fleet</v>
      </c>
      <c r="AB1790" s="3">
        <f t="shared" si="635"/>
        <v>132000</v>
      </c>
      <c r="AC1790" s="3">
        <f t="shared" si="636"/>
        <v>1650000.0000000002</v>
      </c>
      <c r="AD1790" s="3">
        <f t="shared" si="637"/>
        <v>585000</v>
      </c>
      <c r="AE1790" s="5">
        <f t="shared" si="638"/>
        <v>3.6423841059602653</v>
      </c>
      <c r="AF1790" s="10">
        <f t="shared" si="639"/>
        <v>1309440</v>
      </c>
      <c r="AG1790" s="10">
        <f t="shared" si="640"/>
        <v>422400</v>
      </c>
      <c r="AH1790" s="10">
        <f t="shared" si="641"/>
        <v>211200</v>
      </c>
      <c r="AI1790" s="10">
        <f t="shared" si="642"/>
        <v>105600</v>
      </c>
      <c r="AJ1790" s="10">
        <f t="shared" si="643"/>
        <v>63360</v>
      </c>
    </row>
    <row r="1791" spans="1:36" x14ac:dyDescent="0.3">
      <c r="A1791" t="s">
        <v>6753</v>
      </c>
      <c r="B1791" t="s">
        <v>6754</v>
      </c>
      <c r="C1791" t="s">
        <v>6755</v>
      </c>
      <c r="D1791" t="s">
        <v>158</v>
      </c>
      <c r="E1791">
        <v>11967</v>
      </c>
      <c r="F1791" t="s">
        <v>15</v>
      </c>
      <c r="G1791">
        <v>12</v>
      </c>
      <c r="H1791">
        <v>250</v>
      </c>
      <c r="I1791" t="str" cm="1">
        <f t="array" ref="I1791">_xlfn.IFS(H1791&lt;=120,"V1",H1791&lt;=150,"V2",H1791&lt;=250,"V3", H1791&lt;=350, "V4")</f>
        <v>V3</v>
      </c>
      <c r="J1791" t="s">
        <v>6756</v>
      </c>
      <c r="K1791" t="str">
        <f t="shared" si="621"/>
        <v>40.804373</v>
      </c>
      <c r="L1791" t="str">
        <f t="shared" si="622"/>
        <v>-72.860362</v>
      </c>
      <c r="M1791">
        <v>16</v>
      </c>
      <c r="N1791" s="1">
        <v>44667</v>
      </c>
      <c r="O1791" s="1">
        <v>46099</v>
      </c>
      <c r="P1791" s="2">
        <f t="shared" si="623"/>
        <v>3.9206023271731691</v>
      </c>
      <c r="Q1791" s="2" t="str">
        <f t="shared" si="624"/>
        <v>Mid</v>
      </c>
      <c r="R1791">
        <f t="shared" si="644"/>
        <v>3000</v>
      </c>
      <c r="S1791" t="str">
        <f t="shared" si="645"/>
        <v>Small</v>
      </c>
      <c r="T1791" t="str">
        <f t="shared" si="627"/>
        <v>Lower EV Adoption Corridor</v>
      </c>
      <c r="U1791" s="3">
        <f t="shared" si="628"/>
        <v>5400000</v>
      </c>
      <c r="V1791" s="4">
        <f t="shared" si="629"/>
        <v>1320000</v>
      </c>
      <c r="W1791" s="3">
        <f t="shared" si="630"/>
        <v>18000000</v>
      </c>
      <c r="X1791" s="3">
        <f t="shared" si="631"/>
        <v>9900000</v>
      </c>
      <c r="Y1791">
        <f t="shared" si="632"/>
        <v>0.31515151515151513</v>
      </c>
      <c r="Z1791">
        <f t="shared" si="633"/>
        <v>0.75555555555555554</v>
      </c>
      <c r="AA1791" t="str">
        <f t="shared" si="634"/>
        <v>Tier 2 - Growth Markets</v>
      </c>
      <c r="AB1791" s="3">
        <f t="shared" si="635"/>
        <v>110000</v>
      </c>
      <c r="AC1791" s="3">
        <f t="shared" si="636"/>
        <v>1500000</v>
      </c>
      <c r="AD1791" s="3">
        <f t="shared" si="637"/>
        <v>450000</v>
      </c>
      <c r="AE1791" s="5">
        <f t="shared" si="638"/>
        <v>4.4117647058823533</v>
      </c>
      <c r="AF1791" s="10">
        <f t="shared" si="639"/>
        <v>818400</v>
      </c>
      <c r="AG1791" s="10">
        <f t="shared" si="640"/>
        <v>264000</v>
      </c>
      <c r="AH1791" s="10">
        <f t="shared" si="641"/>
        <v>132000</v>
      </c>
      <c r="AI1791" s="10">
        <f t="shared" si="642"/>
        <v>66000</v>
      </c>
      <c r="AJ1791" s="10">
        <f t="shared" si="643"/>
        <v>39600</v>
      </c>
    </row>
    <row r="1792" spans="1:36" x14ac:dyDescent="0.3">
      <c r="A1792" t="s">
        <v>6757</v>
      </c>
      <c r="B1792" t="s">
        <v>6758</v>
      </c>
      <c r="C1792" t="s">
        <v>6759</v>
      </c>
      <c r="D1792" t="s">
        <v>299</v>
      </c>
      <c r="E1792">
        <v>24472</v>
      </c>
      <c r="F1792" t="s">
        <v>15</v>
      </c>
      <c r="G1792">
        <v>8</v>
      </c>
      <c r="H1792">
        <v>250</v>
      </c>
      <c r="I1792" t="str" cm="1">
        <f t="array" ref="I1792">_xlfn.IFS(H1792&lt;=120,"V1",H1792&lt;=150,"V2",H1792&lt;=250,"V3", H1792&lt;=350, "V4")</f>
        <v>V3</v>
      </c>
      <c r="J1792" t="s">
        <v>6760</v>
      </c>
      <c r="K1792" t="str">
        <f t="shared" si="621"/>
        <v>37.930083</v>
      </c>
      <c r="L1792" t="str">
        <f t="shared" si="622"/>
        <v>-79.234611</v>
      </c>
      <c r="M1792">
        <v>565</v>
      </c>
      <c r="N1792" s="1">
        <v>45063</v>
      </c>
      <c r="O1792" s="1">
        <v>46099</v>
      </c>
      <c r="P1792" s="2">
        <f t="shared" si="623"/>
        <v>2.8364134154688569</v>
      </c>
      <c r="Q1792" s="2" t="str">
        <f t="shared" si="624"/>
        <v>New</v>
      </c>
      <c r="R1792">
        <f t="shared" si="644"/>
        <v>2000</v>
      </c>
      <c r="S1792" t="str">
        <f t="shared" si="645"/>
        <v>Small</v>
      </c>
      <c r="T1792" t="str">
        <f t="shared" si="627"/>
        <v>Lower EV Adoption Corridor</v>
      </c>
      <c r="U1792" s="3">
        <f t="shared" si="628"/>
        <v>3600000</v>
      </c>
      <c r="V1792" s="4">
        <f t="shared" si="629"/>
        <v>880000.00000000012</v>
      </c>
      <c r="W1792" s="3">
        <f t="shared" si="630"/>
        <v>12000000</v>
      </c>
      <c r="X1792" s="3">
        <f t="shared" si="631"/>
        <v>6600000.0000000009</v>
      </c>
      <c r="Y1792">
        <f t="shared" si="632"/>
        <v>0.31515151515151513</v>
      </c>
      <c r="Z1792">
        <f t="shared" si="633"/>
        <v>0.75555555555555554</v>
      </c>
      <c r="AA1792" t="str">
        <f t="shared" si="634"/>
        <v>Tier 2 - Growth Markets</v>
      </c>
      <c r="AB1792" s="3">
        <f t="shared" si="635"/>
        <v>110000.00000000001</v>
      </c>
      <c r="AC1792" s="3">
        <f t="shared" si="636"/>
        <v>1500000</v>
      </c>
      <c r="AD1792" s="3">
        <f t="shared" si="637"/>
        <v>450000</v>
      </c>
      <c r="AE1792" s="5">
        <f t="shared" si="638"/>
        <v>4.4117647058823533</v>
      </c>
      <c r="AF1792" s="10">
        <f t="shared" si="639"/>
        <v>545600.00000000012</v>
      </c>
      <c r="AG1792" s="10">
        <f t="shared" si="640"/>
        <v>176000.00000000003</v>
      </c>
      <c r="AH1792" s="10">
        <f t="shared" si="641"/>
        <v>88000.000000000015</v>
      </c>
      <c r="AI1792" s="10">
        <f t="shared" si="642"/>
        <v>44000.000000000007</v>
      </c>
      <c r="AJ1792" s="10">
        <f t="shared" si="643"/>
        <v>26400.000000000004</v>
      </c>
    </row>
  </sheetData>
  <autoFilter ref="A1:AJ1792" xr:uid="{8C26EEDA-6424-4669-8C52-823332EE6FC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C3660-993A-4D52-BA1D-BC7E2F507B03}">
  <dimension ref="A1:C14"/>
  <sheetViews>
    <sheetView workbookViewId="0">
      <selection activeCell="B2" sqref="B2:B6"/>
    </sheetView>
  </sheetViews>
  <sheetFormatPr defaultRowHeight="14.4" x14ac:dyDescent="0.3"/>
  <cols>
    <col min="1" max="1" width="39.44140625" style="6" customWidth="1"/>
    <col min="2" max="2" width="9.33203125" bestFit="1" customWidth="1"/>
    <col min="3" max="3" width="66.109375" bestFit="1" customWidth="1"/>
  </cols>
  <sheetData>
    <row r="1" spans="1:3" s="9" customFormat="1" x14ac:dyDescent="0.3">
      <c r="A1" s="8" t="s">
        <v>6786</v>
      </c>
      <c r="B1" s="9" t="s">
        <v>6787</v>
      </c>
      <c r="C1" s="9" t="s">
        <v>6788</v>
      </c>
    </row>
    <row r="2" spans="1:3" x14ac:dyDescent="0.3">
      <c r="A2" s="6" t="s">
        <v>6781</v>
      </c>
      <c r="B2" t="s">
        <v>6789</v>
      </c>
      <c r="C2" t="s">
        <v>6795</v>
      </c>
    </row>
    <row r="3" spans="1:3" x14ac:dyDescent="0.3">
      <c r="A3" s="6" t="s">
        <v>6782</v>
      </c>
      <c r="B3" t="s">
        <v>6790</v>
      </c>
      <c r="C3" t="s">
        <v>6796</v>
      </c>
    </row>
    <row r="4" spans="1:3" x14ac:dyDescent="0.3">
      <c r="A4" s="6" t="s">
        <v>6783</v>
      </c>
      <c r="B4" t="s">
        <v>6791</v>
      </c>
      <c r="C4" t="s">
        <v>6797</v>
      </c>
    </row>
    <row r="5" spans="1:3" x14ac:dyDescent="0.3">
      <c r="A5" s="6" t="s">
        <v>6784</v>
      </c>
      <c r="B5" t="s">
        <v>6792</v>
      </c>
      <c r="C5" t="s">
        <v>6798</v>
      </c>
    </row>
    <row r="6" spans="1:3" x14ac:dyDescent="0.3">
      <c r="A6" s="6" t="s">
        <v>6785</v>
      </c>
      <c r="B6" t="s">
        <v>6793</v>
      </c>
      <c r="C6" t="s">
        <v>6799</v>
      </c>
    </row>
    <row r="8" spans="1:3" ht="86.4" x14ac:dyDescent="0.3">
      <c r="A8" s="6" t="s">
        <v>6794</v>
      </c>
    </row>
    <row r="14" spans="1:3" x14ac:dyDescent="0.3">
      <c r="B1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clustered_superchargers_AMER</vt:lpstr>
      <vt:lpstr>Category 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Shloka Shetty</dc:creator>
  <cp:lastModifiedBy>Shloka Shetty</cp:lastModifiedBy>
  <dcterms:created xsi:type="dcterms:W3CDTF">2026-03-18T18:44:20Z</dcterms:created>
  <dcterms:modified xsi:type="dcterms:W3CDTF">2026-03-24T03:15:10Z</dcterms:modified>
</cp:coreProperties>
</file>